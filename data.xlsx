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ento_zošit"/>
  <mc:AlternateContent xmlns:mc="http://schemas.openxmlformats.org/markup-compatibility/2006">
    <mc:Choice Requires="x15">
      <x15ac:absPath xmlns:x15ac="http://schemas.microsoft.com/office/spreadsheetml/2010/11/ac" url="https://d.docs.live.net/9341bd898444f190/Počítač/fakturacny system/"/>
    </mc:Choice>
  </mc:AlternateContent>
  <xr:revisionPtr revIDLastSave="0" documentId="8_{C3DFDA17-D2EC-4ED3-B181-9C8895B2DC74}" xr6:coauthVersionLast="47" xr6:coauthVersionMax="47" xr10:uidLastSave="{00000000-0000-0000-0000-000000000000}"/>
  <bookViews>
    <workbookView xWindow="-120" yWindow="-120" windowWidth="29040" windowHeight="15720" tabRatio="695" firstSheet="6" activeTab="11" xr2:uid="{2393F84B-0002-437F-83FA-41BFFC1F65F9}"/>
  </bookViews>
  <sheets>
    <sheet name="Výpis materiálu" sheetId="15" r:id="rId1"/>
    <sheet name="PP" sheetId="14" r:id="rId2"/>
    <sheet name="CP" sheetId="1" r:id="rId3"/>
    <sheet name="Cenník Beijer Anmima" sheetId="5" r:id="rId4"/>
    <sheet name="Cenník Powering " sheetId="47" r:id="rId5"/>
    <sheet name="Cenník VIVAX " sheetId="48" r:id="rId6"/>
    <sheet name="Cenník Sinclair " sheetId="8" r:id="rId7"/>
    <sheet name="cenniktoshiba" sheetId="3" r:id="rId8"/>
    <sheet name="databáza KONTAKTY" sheetId="2" r:id="rId9"/>
    <sheet name="Cenník Mitsubishi" sheetId="10" r:id="rId10"/>
    <sheet name="vivax" sheetId="46" r:id="rId11"/>
    <sheet name="Table_2" sheetId="52" r:id="rId12"/>
    <sheet name="Hárok2" sheetId="53" r:id="rId13"/>
    <sheet name="GPT cache" sheetId="19" state="veryHidden" r:id="rId14"/>
  </sheets>
  <definedNames>
    <definedName name="_xlnm._FilterDatabase" localSheetId="2" hidden="1">CP!$C$35:$I$35</definedName>
    <definedName name="_xlnm._FilterDatabase" localSheetId="0" hidden="1">'Výpis materiálu'!$C$21:$J$21</definedName>
    <definedName name="ABONUS_s.r.o.">'databáza KONTAKTY'!$A$12:$A$169</definedName>
    <definedName name="ExternéÚdaje_3" localSheetId="11" hidden="1">Table_2!$A$1:$DP$13204</definedName>
    <definedName name="_xlnm.Print_Area" localSheetId="2">CP!$C$13:$I$119</definedName>
    <definedName name="_xlnm.Print_Area" localSheetId="1">PP!$A$1:$E$53</definedName>
    <definedName name="_xlnm.Print_Area" localSheetId="0">'Výpis materiálu'!$C$2:$J$87</definedName>
    <definedName name="producst">'databáza KONTAKTY'!$B$1:$B$1</definedName>
    <definedName name="products">'databáza KONTAKTY'!$B$1:$B$1</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7" i="53" l="1"/>
  <c r="C262" i="53"/>
  <c r="AO73" i="1" l="1"/>
  <c r="AN73" i="1"/>
  <c r="AC73" i="1"/>
  <c r="AB73" i="1"/>
  <c r="X73" i="1"/>
  <c r="Y73" i="1" s="1"/>
  <c r="Z73" i="1" s="1"/>
  <c r="R73" i="1" a="1"/>
  <c r="R73" i="1" s="1"/>
  <c r="M73" i="1"/>
  <c r="N73" i="1" s="1"/>
  <c r="O73" i="1" s="1"/>
  <c r="L73" i="1"/>
  <c r="K73" i="1"/>
  <c r="E73" i="1"/>
  <c r="S73" i="1" l="1"/>
  <c r="AE73" i="1"/>
  <c r="AA73" i="1"/>
  <c r="AD73" i="1"/>
  <c r="AF73" i="1" s="1"/>
  <c r="AP73" i="1"/>
  <c r="AQ73" i="1" s="1"/>
  <c r="AG73" i="1" l="1"/>
  <c r="AO74" i="1" l="1"/>
  <c r="AC74" i="1"/>
  <c r="AB74" i="1"/>
  <c r="X74" i="1"/>
  <c r="Y74" i="1" s="1"/>
  <c r="Z74" i="1" s="1"/>
  <c r="R74" i="1" a="1"/>
  <c r="R74" i="1" s="1"/>
  <c r="M74" i="1"/>
  <c r="L74" i="1"/>
  <c r="K74" i="1"/>
  <c r="E74" i="1"/>
  <c r="AO83" i="1"/>
  <c r="AN83" i="1"/>
  <c r="AC83" i="1"/>
  <c r="AB83" i="1"/>
  <c r="X83" i="1"/>
  <c r="Y83" i="1" s="1"/>
  <c r="Z83" i="1" s="1"/>
  <c r="R83" i="1" a="1"/>
  <c r="R83" i="1" s="1"/>
  <c r="AO82" i="1"/>
  <c r="AN82" i="1"/>
  <c r="AC82" i="1"/>
  <c r="AB82" i="1"/>
  <c r="X82" i="1"/>
  <c r="Y82" i="1" s="1"/>
  <c r="Z82" i="1" s="1"/>
  <c r="R82" i="1" a="1"/>
  <c r="R82" i="1" s="1"/>
  <c r="C48" i="3"/>
  <c r="G39" i="3"/>
  <c r="G38" i="3"/>
  <c r="G37" i="3"/>
  <c r="G36" i="3"/>
  <c r="K7" i="1"/>
  <c r="E8" i="1"/>
  <c r="K8" i="1"/>
  <c r="L8" i="1"/>
  <c r="M8" i="1"/>
  <c r="R8" i="1" a="1"/>
  <c r="R8" i="1" s="1"/>
  <c r="X8" i="1"/>
  <c r="Y8" i="1" s="1"/>
  <c r="Z8" i="1" s="1"/>
  <c r="AB8" i="1"/>
  <c r="AC8" i="1"/>
  <c r="AN8" i="1"/>
  <c r="AO8" i="1"/>
  <c r="E7" i="1"/>
  <c r="L7" i="1"/>
  <c r="M7" i="1"/>
  <c r="R7" i="1" a="1"/>
  <c r="R7" i="1" s="1"/>
  <c r="X7" i="1"/>
  <c r="Y7" i="1" s="1"/>
  <c r="Z7" i="1" s="1"/>
  <c r="AB7" i="1"/>
  <c r="AC7" i="1"/>
  <c r="AN7" i="1"/>
  <c r="AO7" i="1"/>
  <c r="C11" i="47"/>
  <c r="C10" i="47"/>
  <c r="C9" i="47"/>
  <c r="C8" i="47"/>
  <c r="C7" i="47"/>
  <c r="C6" i="47"/>
  <c r="G3" i="47"/>
  <c r="B4" i="47" s="1"/>
  <c r="E6" i="1"/>
  <c r="K6" i="1"/>
  <c r="N75" i="1"/>
  <c r="O75" i="1" s="1"/>
  <c r="R75" i="1" a="1"/>
  <c r="R75" i="1" s="1"/>
  <c r="X75" i="1"/>
  <c r="Y75" i="1" s="1"/>
  <c r="Z75" i="1" s="1"/>
  <c r="AC75" i="1"/>
  <c r="AN75" i="1"/>
  <c r="AO75" i="1"/>
  <c r="F34" i="5"/>
  <c r="H3" i="5"/>
  <c r="C3" i="5" s="1"/>
  <c r="D117" i="1"/>
  <c r="D118" i="1" s="1"/>
  <c r="AO86" i="1"/>
  <c r="AO77" i="1"/>
  <c r="AN77" i="1"/>
  <c r="AC77" i="1"/>
  <c r="X77" i="1"/>
  <c r="Y77" i="1" s="1"/>
  <c r="Z77" i="1" s="1"/>
  <c r="R77" i="1" a="1"/>
  <c r="R77" i="1" s="1"/>
  <c r="N77" i="1"/>
  <c r="O77" i="1" s="1"/>
  <c r="J74" i="15"/>
  <c r="J72" i="15"/>
  <c r="AO71" i="1"/>
  <c r="AN71" i="1"/>
  <c r="AC71" i="1"/>
  <c r="X71" i="1"/>
  <c r="Y71" i="1" s="1"/>
  <c r="Z71" i="1" s="1"/>
  <c r="R71" i="1" a="1"/>
  <c r="R71" i="1" s="1"/>
  <c r="N71" i="1"/>
  <c r="O71" i="1" s="1"/>
  <c r="AO70" i="1"/>
  <c r="AN70" i="1"/>
  <c r="AC70" i="1"/>
  <c r="X70" i="1"/>
  <c r="Y70" i="1" s="1"/>
  <c r="Z70" i="1" s="1"/>
  <c r="R70" i="1" a="1"/>
  <c r="R70" i="1" s="1"/>
  <c r="N70" i="1"/>
  <c r="O70" i="1" s="1"/>
  <c r="AO69" i="1"/>
  <c r="AN69" i="1"/>
  <c r="AC69" i="1"/>
  <c r="X69" i="1"/>
  <c r="Y69" i="1" s="1"/>
  <c r="Z69" i="1" s="1"/>
  <c r="R69" i="1" a="1"/>
  <c r="R69" i="1" s="1"/>
  <c r="N69" i="1"/>
  <c r="O69" i="1" s="1"/>
  <c r="AO68" i="1"/>
  <c r="AN68" i="1"/>
  <c r="AC68" i="1"/>
  <c r="X68" i="1"/>
  <c r="Y68" i="1" s="1"/>
  <c r="Z68" i="1" s="1"/>
  <c r="R68" i="1" a="1"/>
  <c r="R68" i="1" s="1"/>
  <c r="N68" i="1"/>
  <c r="O68" i="1" s="1"/>
  <c r="AO67" i="1"/>
  <c r="AN67" i="1"/>
  <c r="AC67" i="1"/>
  <c r="X67" i="1"/>
  <c r="Y67" i="1" s="1"/>
  <c r="Z67" i="1" s="1"/>
  <c r="R67" i="1" a="1"/>
  <c r="R67" i="1" s="1"/>
  <c r="N67" i="1"/>
  <c r="O67" i="1" s="1"/>
  <c r="AO66" i="1"/>
  <c r="AN66" i="1"/>
  <c r="AC66" i="1"/>
  <c r="X66" i="1"/>
  <c r="Y66" i="1" s="1"/>
  <c r="Z66" i="1" s="1"/>
  <c r="R66" i="1" a="1"/>
  <c r="R66" i="1" s="1"/>
  <c r="N66" i="1"/>
  <c r="O66" i="1" s="1"/>
  <c r="AO65" i="1"/>
  <c r="AN65" i="1"/>
  <c r="AC65" i="1"/>
  <c r="X65" i="1"/>
  <c r="Y65" i="1" s="1"/>
  <c r="Z65" i="1" s="1"/>
  <c r="R65" i="1" a="1"/>
  <c r="R65" i="1" s="1"/>
  <c r="N65" i="1"/>
  <c r="O65" i="1" s="1"/>
  <c r="AO64" i="1"/>
  <c r="AN64" i="1"/>
  <c r="AC64" i="1"/>
  <c r="X64" i="1"/>
  <c r="Y64" i="1" s="1"/>
  <c r="Z64" i="1" s="1"/>
  <c r="R64" i="1" a="1"/>
  <c r="R64" i="1" s="1"/>
  <c r="N64" i="1"/>
  <c r="O64" i="1" s="1"/>
  <c r="AO63" i="1"/>
  <c r="AN63" i="1"/>
  <c r="AC63" i="1"/>
  <c r="X63" i="1"/>
  <c r="Y63" i="1" s="1"/>
  <c r="Z63" i="1" s="1"/>
  <c r="R63" i="1" a="1"/>
  <c r="R63" i="1" s="1"/>
  <c r="N63" i="1"/>
  <c r="O63" i="1" s="1"/>
  <c r="AO62" i="1"/>
  <c r="AN62" i="1"/>
  <c r="AC62" i="1"/>
  <c r="X62" i="1"/>
  <c r="Y62" i="1" s="1"/>
  <c r="Z62" i="1" s="1"/>
  <c r="R62" i="1" a="1"/>
  <c r="R62" i="1" s="1"/>
  <c r="N62" i="1"/>
  <c r="O62" i="1" s="1"/>
  <c r="AO61" i="1"/>
  <c r="AN61" i="1"/>
  <c r="AC61" i="1"/>
  <c r="X61" i="1"/>
  <c r="Y61" i="1" s="1"/>
  <c r="Z61" i="1" s="1"/>
  <c r="R61" i="1" a="1"/>
  <c r="R61" i="1" s="1"/>
  <c r="N61" i="1"/>
  <c r="O61" i="1" s="1"/>
  <c r="AO60" i="1"/>
  <c r="AN60" i="1"/>
  <c r="AC60" i="1"/>
  <c r="X60" i="1"/>
  <c r="Y60" i="1" s="1"/>
  <c r="Z60" i="1" s="1"/>
  <c r="R60" i="1" a="1"/>
  <c r="R60" i="1" s="1"/>
  <c r="N60" i="1"/>
  <c r="O60" i="1" s="1"/>
  <c r="AO59" i="1"/>
  <c r="AN59" i="1"/>
  <c r="AC59" i="1"/>
  <c r="X59" i="1"/>
  <c r="Y59" i="1" s="1"/>
  <c r="Z59" i="1" s="1"/>
  <c r="R59" i="1" a="1"/>
  <c r="R59" i="1" s="1"/>
  <c r="N59" i="1"/>
  <c r="O59" i="1" s="1"/>
  <c r="AO58" i="1"/>
  <c r="AN58" i="1"/>
  <c r="AC58" i="1"/>
  <c r="X58" i="1"/>
  <c r="Y58" i="1" s="1"/>
  <c r="Z58" i="1" s="1"/>
  <c r="R58" i="1" a="1"/>
  <c r="R58" i="1" s="1"/>
  <c r="N58" i="1"/>
  <c r="O58" i="1" s="1"/>
  <c r="AO57" i="1"/>
  <c r="AN57" i="1"/>
  <c r="AC57" i="1"/>
  <c r="X57" i="1"/>
  <c r="Y57" i="1" s="1"/>
  <c r="Z57" i="1" s="1"/>
  <c r="R57" i="1" a="1"/>
  <c r="R57" i="1" s="1"/>
  <c r="N57" i="1"/>
  <c r="O57" i="1" s="1"/>
  <c r="AO56" i="1"/>
  <c r="AN56" i="1"/>
  <c r="AC56" i="1"/>
  <c r="X56" i="1"/>
  <c r="Y56" i="1" s="1"/>
  <c r="Z56" i="1" s="1"/>
  <c r="R56" i="1" a="1"/>
  <c r="R56" i="1" s="1"/>
  <c r="N56" i="1"/>
  <c r="O56" i="1" s="1"/>
  <c r="AO55" i="1"/>
  <c r="AN55" i="1"/>
  <c r="AC55" i="1"/>
  <c r="X55" i="1"/>
  <c r="Y55" i="1" s="1"/>
  <c r="Z55" i="1" s="1"/>
  <c r="R55" i="1" a="1"/>
  <c r="R55" i="1" s="1"/>
  <c r="N55" i="1"/>
  <c r="O55" i="1" s="1"/>
  <c r="AO54" i="1"/>
  <c r="AN54" i="1"/>
  <c r="AC54" i="1"/>
  <c r="X54" i="1"/>
  <c r="Y54" i="1" s="1"/>
  <c r="Z54" i="1" s="1"/>
  <c r="R54" i="1" a="1"/>
  <c r="R54" i="1" s="1"/>
  <c r="N54" i="1"/>
  <c r="O54" i="1" s="1"/>
  <c r="AO53" i="1"/>
  <c r="AN53" i="1"/>
  <c r="AC53" i="1"/>
  <c r="X53" i="1"/>
  <c r="Y53" i="1" s="1"/>
  <c r="Z53" i="1" s="1"/>
  <c r="R53" i="1" a="1"/>
  <c r="R53" i="1" s="1"/>
  <c r="N53" i="1"/>
  <c r="O53" i="1" s="1"/>
  <c r="AO52" i="1"/>
  <c r="AN52" i="1"/>
  <c r="AC52" i="1"/>
  <c r="X52" i="1"/>
  <c r="Y52" i="1" s="1"/>
  <c r="Z52" i="1" s="1"/>
  <c r="R52" i="1" a="1"/>
  <c r="R52" i="1" s="1"/>
  <c r="N52" i="1"/>
  <c r="O52" i="1" s="1"/>
  <c r="AO51" i="1"/>
  <c r="AN51" i="1"/>
  <c r="AC51" i="1"/>
  <c r="X51" i="1"/>
  <c r="Y51" i="1" s="1"/>
  <c r="Z51" i="1" s="1"/>
  <c r="R51" i="1" a="1"/>
  <c r="R51" i="1" s="1"/>
  <c r="N51" i="1"/>
  <c r="O51" i="1" s="1"/>
  <c r="AO50" i="1"/>
  <c r="AN50" i="1"/>
  <c r="AC50" i="1"/>
  <c r="X50" i="1"/>
  <c r="Y50" i="1" s="1"/>
  <c r="Z50" i="1" s="1"/>
  <c r="R50" i="1" a="1"/>
  <c r="R50" i="1" s="1"/>
  <c r="N50" i="1"/>
  <c r="O50" i="1" s="1"/>
  <c r="AO49" i="1"/>
  <c r="AN49" i="1"/>
  <c r="AC49" i="1"/>
  <c r="X49" i="1"/>
  <c r="Y49" i="1" s="1"/>
  <c r="Z49" i="1" s="1"/>
  <c r="R49" i="1" a="1"/>
  <c r="R49" i="1" s="1"/>
  <c r="N49" i="1"/>
  <c r="O49" i="1" s="1"/>
  <c r="AO48" i="1"/>
  <c r="AN48" i="1"/>
  <c r="AC48" i="1"/>
  <c r="X48" i="1"/>
  <c r="Y48" i="1" s="1"/>
  <c r="Z48" i="1" s="1"/>
  <c r="R48" i="1" a="1"/>
  <c r="R48" i="1" s="1"/>
  <c r="N48" i="1"/>
  <c r="O48" i="1" s="1"/>
  <c r="AO47" i="1"/>
  <c r="AN47" i="1"/>
  <c r="AC47" i="1"/>
  <c r="X47" i="1"/>
  <c r="Y47" i="1" s="1"/>
  <c r="Z47" i="1" s="1"/>
  <c r="R47" i="1" a="1"/>
  <c r="R47" i="1" s="1"/>
  <c r="N47" i="1"/>
  <c r="O47" i="1" s="1"/>
  <c r="AO46" i="1"/>
  <c r="AN46" i="1"/>
  <c r="AC46" i="1"/>
  <c r="X46" i="1"/>
  <c r="Y46" i="1" s="1"/>
  <c r="Z46" i="1" s="1"/>
  <c r="R46" i="1" a="1"/>
  <c r="R46" i="1" s="1"/>
  <c r="N46" i="1"/>
  <c r="O46" i="1" s="1"/>
  <c r="AO45" i="1"/>
  <c r="AN45" i="1"/>
  <c r="AC45" i="1"/>
  <c r="X45" i="1"/>
  <c r="Y45" i="1" s="1"/>
  <c r="Z45" i="1" s="1"/>
  <c r="R45" i="1" a="1"/>
  <c r="R45" i="1" s="1"/>
  <c r="N45" i="1"/>
  <c r="O45" i="1" s="1"/>
  <c r="AO44" i="1"/>
  <c r="AN44" i="1"/>
  <c r="AC44" i="1"/>
  <c r="X44" i="1"/>
  <c r="Y44" i="1" s="1"/>
  <c r="Z44" i="1" s="1"/>
  <c r="R44" i="1" a="1"/>
  <c r="R44" i="1" s="1"/>
  <c r="N44" i="1"/>
  <c r="O44" i="1" s="1"/>
  <c r="AO43" i="1"/>
  <c r="AN43" i="1"/>
  <c r="AC43" i="1"/>
  <c r="X43" i="1"/>
  <c r="Y43" i="1" s="1"/>
  <c r="Z43" i="1" s="1"/>
  <c r="R43" i="1" a="1"/>
  <c r="R43" i="1" s="1"/>
  <c r="N43" i="1"/>
  <c r="O43" i="1" s="1"/>
  <c r="AO42" i="1"/>
  <c r="AN42" i="1"/>
  <c r="AC42" i="1"/>
  <c r="X42" i="1"/>
  <c r="Y42" i="1" s="1"/>
  <c r="Z42" i="1" s="1"/>
  <c r="R42" i="1" a="1"/>
  <c r="R42" i="1" s="1"/>
  <c r="N42" i="1"/>
  <c r="O42" i="1" s="1"/>
  <c r="AO41" i="1"/>
  <c r="AN41" i="1"/>
  <c r="AC41" i="1"/>
  <c r="X41" i="1"/>
  <c r="Y41" i="1" s="1"/>
  <c r="Z41" i="1" s="1"/>
  <c r="R41" i="1" a="1"/>
  <c r="R41" i="1" s="1"/>
  <c r="N41" i="1"/>
  <c r="O41" i="1" s="1"/>
  <c r="AO40" i="1"/>
  <c r="AN40" i="1"/>
  <c r="AC40" i="1"/>
  <c r="X40" i="1"/>
  <c r="Y40" i="1" s="1"/>
  <c r="Z40" i="1" s="1"/>
  <c r="R40" i="1" a="1"/>
  <c r="R40" i="1" s="1"/>
  <c r="N40" i="1"/>
  <c r="O40" i="1" s="1"/>
  <c r="AO39" i="1"/>
  <c r="AN39" i="1"/>
  <c r="AC39" i="1"/>
  <c r="X39" i="1"/>
  <c r="Y39" i="1" s="1"/>
  <c r="Z39" i="1" s="1"/>
  <c r="R39" i="1" a="1"/>
  <c r="R39" i="1" s="1"/>
  <c r="N39" i="1"/>
  <c r="O39" i="1" s="1"/>
  <c r="AO38" i="1"/>
  <c r="AN38" i="1"/>
  <c r="AC38" i="1"/>
  <c r="X38" i="1"/>
  <c r="Y38" i="1" s="1"/>
  <c r="Z38" i="1" s="1"/>
  <c r="R38" i="1" a="1"/>
  <c r="R38" i="1" s="1"/>
  <c r="N38" i="1"/>
  <c r="O38" i="1" s="1"/>
  <c r="AO37" i="1"/>
  <c r="AN37" i="1"/>
  <c r="AC37" i="1"/>
  <c r="X37" i="1"/>
  <c r="Y37" i="1" s="1"/>
  <c r="Z37" i="1" s="1"/>
  <c r="R37" i="1" a="1"/>
  <c r="R37" i="1" s="1"/>
  <c r="N37" i="1"/>
  <c r="O37" i="1" s="1"/>
  <c r="AO36" i="1"/>
  <c r="AN36" i="1"/>
  <c r="AC36" i="1"/>
  <c r="X36" i="1"/>
  <c r="Y36" i="1" s="1"/>
  <c r="Z36" i="1" s="1"/>
  <c r="R36" i="1" a="1"/>
  <c r="R36" i="1" s="1"/>
  <c r="N36" i="1"/>
  <c r="O36" i="1" s="1"/>
  <c r="D29" i="1"/>
  <c r="D15" i="15" s="1"/>
  <c r="E28" i="1"/>
  <c r="E27" i="1"/>
  <c r="E26" i="1"/>
  <c r="I14" i="15" s="1"/>
  <c r="AO11" i="1"/>
  <c r="AN11" i="1"/>
  <c r="AC11" i="1"/>
  <c r="AB11" i="1"/>
  <c r="X11" i="1"/>
  <c r="Y11" i="1" s="1"/>
  <c r="Z11" i="1" s="1"/>
  <c r="R11" i="1" a="1"/>
  <c r="R11" i="1" s="1"/>
  <c r="M11" i="1"/>
  <c r="L11" i="1"/>
  <c r="K11" i="1"/>
  <c r="E11" i="1"/>
  <c r="AO10" i="1"/>
  <c r="AN10" i="1"/>
  <c r="AC10" i="1"/>
  <c r="AB10" i="1"/>
  <c r="X10" i="1"/>
  <c r="Y10" i="1" s="1"/>
  <c r="Z10" i="1" s="1"/>
  <c r="R10" i="1" a="1"/>
  <c r="R10" i="1" s="1"/>
  <c r="M10" i="1"/>
  <c r="L10" i="1"/>
  <c r="K10" i="1"/>
  <c r="E10" i="1"/>
  <c r="AO9" i="1"/>
  <c r="AN9" i="1"/>
  <c r="AC9" i="1"/>
  <c r="AB9" i="1"/>
  <c r="X9" i="1"/>
  <c r="Y9" i="1" s="1"/>
  <c r="Z9" i="1" s="1"/>
  <c r="R9" i="1" a="1"/>
  <c r="R9" i="1" s="1"/>
  <c r="M9" i="1"/>
  <c r="L9" i="1"/>
  <c r="K9" i="1"/>
  <c r="E9" i="1"/>
  <c r="AO6" i="1"/>
  <c r="AN6" i="1"/>
  <c r="AC6" i="1"/>
  <c r="AB6" i="1"/>
  <c r="X6" i="1"/>
  <c r="Y6" i="1" s="1"/>
  <c r="Z6" i="1" s="1"/>
  <c r="R6" i="1" a="1"/>
  <c r="R6" i="1" s="1"/>
  <c r="AO5" i="1"/>
  <c r="AN5" i="1"/>
  <c r="AC5" i="1"/>
  <c r="AB5" i="1"/>
  <c r="X5" i="1"/>
  <c r="Y5" i="1" s="1"/>
  <c r="Z5" i="1" s="1"/>
  <c r="R5" i="1" a="1"/>
  <c r="R5" i="1" s="1"/>
  <c r="AO4" i="1"/>
  <c r="AC4" i="1"/>
  <c r="AB4" i="1"/>
  <c r="X4" i="1"/>
  <c r="Y4" i="1" s="1"/>
  <c r="Z4" i="1" s="1"/>
  <c r="R4" i="1" a="1"/>
  <c r="R4" i="1" s="1"/>
  <c r="M4" i="1"/>
  <c r="L4" i="1"/>
  <c r="K4" i="1"/>
  <c r="E4" i="1"/>
  <c r="A46" i="14"/>
  <c r="B28" i="14"/>
  <c r="C18" i="14"/>
  <c r="E17" i="14"/>
  <c r="D17" i="14"/>
  <c r="C17" i="14"/>
  <c r="C12" i="14"/>
  <c r="E8" i="14"/>
  <c r="D8" i="14"/>
  <c r="D89" i="15"/>
  <c r="J87" i="15"/>
  <c r="I87" i="15"/>
  <c r="D87" i="15"/>
  <c r="J86" i="15"/>
  <c r="I86" i="15"/>
  <c r="D86" i="15"/>
  <c r="J85" i="15"/>
  <c r="I85" i="15"/>
  <c r="D85" i="15"/>
  <c r="J84" i="15"/>
  <c r="I84" i="15"/>
  <c r="D84" i="15"/>
  <c r="J83" i="15"/>
  <c r="I83" i="15"/>
  <c r="D83" i="15"/>
  <c r="J82" i="15"/>
  <c r="I82" i="15"/>
  <c r="D82" i="15"/>
  <c r="J81" i="15"/>
  <c r="I81" i="15"/>
  <c r="D81" i="15"/>
  <c r="J80" i="15"/>
  <c r="I80" i="15"/>
  <c r="D80" i="15"/>
  <c r="J79" i="15"/>
  <c r="I79" i="15"/>
  <c r="D79" i="15"/>
  <c r="J78" i="15"/>
  <c r="I78" i="15"/>
  <c r="D78" i="15"/>
  <c r="J77" i="15"/>
  <c r="I77" i="15"/>
  <c r="D77" i="15"/>
  <c r="J76" i="15"/>
  <c r="I76" i="15"/>
  <c r="D76" i="15"/>
  <c r="I75" i="15"/>
  <c r="D75" i="15"/>
  <c r="I74" i="15"/>
  <c r="D74" i="15"/>
  <c r="J73" i="15"/>
  <c r="I73" i="15"/>
  <c r="D73" i="15"/>
  <c r="I72" i="15"/>
  <c r="D72" i="15"/>
  <c r="J71" i="15"/>
  <c r="I71" i="15"/>
  <c r="D71" i="15"/>
  <c r="J70" i="15"/>
  <c r="I70" i="15"/>
  <c r="D70" i="15"/>
  <c r="J69" i="15"/>
  <c r="I69" i="15"/>
  <c r="D69" i="15"/>
  <c r="J68" i="15"/>
  <c r="I68" i="15"/>
  <c r="D68" i="15"/>
  <c r="J67" i="15"/>
  <c r="I67" i="15"/>
  <c r="D67" i="15"/>
  <c r="J66" i="15"/>
  <c r="I66" i="15"/>
  <c r="D66" i="15"/>
  <c r="J65" i="15"/>
  <c r="I65" i="15"/>
  <c r="D65" i="15"/>
  <c r="J64" i="15"/>
  <c r="I64" i="15"/>
  <c r="D64" i="15"/>
  <c r="J63" i="15"/>
  <c r="I63" i="15"/>
  <c r="D63" i="15"/>
  <c r="J62" i="15"/>
  <c r="I62" i="15"/>
  <c r="D62" i="15"/>
  <c r="J61" i="15"/>
  <c r="I61" i="15"/>
  <c r="D61" i="15"/>
  <c r="J60" i="15"/>
  <c r="I60" i="15"/>
  <c r="D60" i="15"/>
  <c r="J59" i="15"/>
  <c r="I59" i="15"/>
  <c r="D59" i="15"/>
  <c r="J58" i="15"/>
  <c r="I58" i="15"/>
  <c r="D58" i="15"/>
  <c r="J57" i="15"/>
  <c r="I57" i="15"/>
  <c r="D57" i="15"/>
  <c r="J56" i="15"/>
  <c r="I56" i="15"/>
  <c r="D56" i="15"/>
  <c r="J55" i="15"/>
  <c r="I55" i="15"/>
  <c r="D55" i="15"/>
  <c r="J54" i="15"/>
  <c r="I54" i="15"/>
  <c r="D54" i="15"/>
  <c r="J53" i="15"/>
  <c r="I53" i="15"/>
  <c r="D53" i="15"/>
  <c r="J52" i="15"/>
  <c r="I52" i="15"/>
  <c r="D52" i="15"/>
  <c r="J51" i="15"/>
  <c r="I51" i="15"/>
  <c r="D51" i="15"/>
  <c r="J50" i="15"/>
  <c r="I50" i="15"/>
  <c r="D50" i="15"/>
  <c r="J49" i="15"/>
  <c r="I49" i="15"/>
  <c r="D49" i="15"/>
  <c r="J48" i="15"/>
  <c r="I48" i="15"/>
  <c r="D48" i="15"/>
  <c r="J47" i="15"/>
  <c r="I47" i="15"/>
  <c r="D47" i="15"/>
  <c r="J46" i="15"/>
  <c r="I46" i="15"/>
  <c r="D46" i="15"/>
  <c r="J45" i="15"/>
  <c r="I45" i="15"/>
  <c r="D45" i="15"/>
  <c r="J44" i="15"/>
  <c r="I44" i="15"/>
  <c r="D44" i="15"/>
  <c r="J43" i="15"/>
  <c r="I43" i="15"/>
  <c r="D43" i="15"/>
  <c r="J42" i="15"/>
  <c r="I42" i="15"/>
  <c r="D42" i="15"/>
  <c r="J41" i="15"/>
  <c r="I41" i="15"/>
  <c r="D41" i="15"/>
  <c r="J40" i="15"/>
  <c r="I40" i="15"/>
  <c r="D40" i="15"/>
  <c r="J39" i="15"/>
  <c r="I39" i="15"/>
  <c r="D39" i="15"/>
  <c r="J38" i="15"/>
  <c r="I38" i="15"/>
  <c r="D38" i="15"/>
  <c r="J37" i="15"/>
  <c r="I37" i="15"/>
  <c r="D37" i="15"/>
  <c r="J36" i="15"/>
  <c r="I36" i="15"/>
  <c r="D36" i="15"/>
  <c r="J35" i="15"/>
  <c r="I35" i="15"/>
  <c r="D35" i="15"/>
  <c r="J34" i="15"/>
  <c r="I34" i="15"/>
  <c r="D34" i="15"/>
  <c r="J33" i="15"/>
  <c r="I33" i="15"/>
  <c r="D33" i="15"/>
  <c r="J32" i="15"/>
  <c r="I32" i="15"/>
  <c r="D32" i="15"/>
  <c r="J31" i="15"/>
  <c r="I31" i="15"/>
  <c r="D31" i="15"/>
  <c r="J30" i="15"/>
  <c r="I30" i="15"/>
  <c r="D30" i="15"/>
  <c r="J29" i="15"/>
  <c r="I29" i="15"/>
  <c r="D29" i="15"/>
  <c r="J28" i="15"/>
  <c r="I28" i="15"/>
  <c r="D28" i="15"/>
  <c r="J27" i="15"/>
  <c r="I27" i="15"/>
  <c r="D27" i="15"/>
  <c r="J26" i="15"/>
  <c r="I26" i="15"/>
  <c r="D26" i="15"/>
  <c r="J25" i="15"/>
  <c r="I25" i="15"/>
  <c r="D25" i="15"/>
  <c r="J24" i="15"/>
  <c r="I24" i="15"/>
  <c r="D24" i="15"/>
  <c r="J23" i="15"/>
  <c r="I23" i="15"/>
  <c r="D23" i="15"/>
  <c r="J22" i="15"/>
  <c r="I22" i="15"/>
  <c r="D22" i="15"/>
  <c r="F14" i="15"/>
  <c r="D14" i="15"/>
  <c r="D13" i="15"/>
  <c r="D12" i="15"/>
  <c r="D2" i="15" s="1"/>
  <c r="D11" i="15"/>
  <c r="D10" i="15"/>
  <c r="I9" i="15"/>
  <c r="F9" i="15"/>
  <c r="D9" i="15"/>
  <c r="D8" i="15"/>
  <c r="N74" i="1" l="1"/>
  <c r="O74" i="1" s="1"/>
  <c r="AE74" i="1"/>
  <c r="S74" i="1"/>
  <c r="AN74" i="1"/>
  <c r="AE82" i="1"/>
  <c r="AE83" i="1"/>
  <c r="AP83" i="1"/>
  <c r="AQ83" i="1" s="1"/>
  <c r="AP82" i="1"/>
  <c r="AQ82" i="1" s="1"/>
  <c r="AE7" i="1"/>
  <c r="AE8" i="1"/>
  <c r="AP8" i="1"/>
  <c r="AQ8" i="1" s="1"/>
  <c r="AP53" i="1"/>
  <c r="AQ53" i="1" s="1"/>
  <c r="S57" i="1"/>
  <c r="AA57" i="1" s="1"/>
  <c r="S63" i="1"/>
  <c r="AA63" i="1" s="1"/>
  <c r="AE5" i="1"/>
  <c r="S59" i="1"/>
  <c r="AD59" i="1" s="1"/>
  <c r="S61" i="1"/>
  <c r="AA61" i="1" s="1"/>
  <c r="S65" i="1"/>
  <c r="AD65" i="1" s="1"/>
  <c r="AP10" i="1"/>
  <c r="AQ10" i="1" s="1"/>
  <c r="S48" i="1"/>
  <c r="AD48" i="1" s="1"/>
  <c r="AP48" i="1"/>
  <c r="AQ48" i="1" s="1"/>
  <c r="AE49" i="1"/>
  <c r="S50" i="1"/>
  <c r="AD50" i="1" s="1"/>
  <c r="AE51" i="1"/>
  <c r="S52" i="1"/>
  <c r="AD52" i="1" s="1"/>
  <c r="AE53" i="1"/>
  <c r="S66" i="1"/>
  <c r="AA66" i="1" s="1"/>
  <c r="AP7" i="1"/>
  <c r="AQ7" i="1" s="1"/>
  <c r="N8" i="1"/>
  <c r="O8" i="1" s="1"/>
  <c r="S8" i="1" s="1"/>
  <c r="AD8" i="1" s="1"/>
  <c r="N7" i="1"/>
  <c r="O7" i="1" s="1"/>
  <c r="S7" i="1" s="1"/>
  <c r="AA7" i="1" s="1"/>
  <c r="B3" i="47"/>
  <c r="C4" i="47"/>
  <c r="B2" i="47"/>
  <c r="C2" i="47"/>
  <c r="C3" i="47"/>
  <c r="C5" i="47"/>
  <c r="N4" i="1"/>
  <c r="O4" i="1" s="1"/>
  <c r="AN4" i="1" s="1"/>
  <c r="AP75" i="1"/>
  <c r="AQ75" i="1" s="1"/>
  <c r="AE40" i="1"/>
  <c r="AE42" i="1"/>
  <c r="S43" i="1"/>
  <c r="AD43" i="1" s="1"/>
  <c r="AE44" i="1"/>
  <c r="AP70" i="1"/>
  <c r="AQ70" i="1" s="1"/>
  <c r="AE68" i="1"/>
  <c r="S69" i="1"/>
  <c r="AA69" i="1" s="1"/>
  <c r="AP69" i="1"/>
  <c r="AQ69" i="1" s="1"/>
  <c r="S71" i="1"/>
  <c r="AA71" i="1" s="1"/>
  <c r="AP71" i="1"/>
  <c r="AQ71" i="1" s="1"/>
  <c r="AE10" i="1"/>
  <c r="S56" i="1"/>
  <c r="AA56" i="1" s="1"/>
  <c r="S58" i="1"/>
  <c r="AA58" i="1" s="1"/>
  <c r="S60" i="1"/>
  <c r="AA60" i="1" s="1"/>
  <c r="S62" i="1"/>
  <c r="AA62" i="1" s="1"/>
  <c r="AE69" i="1"/>
  <c r="AE75" i="1"/>
  <c r="AE4" i="1"/>
  <c r="AP9" i="1"/>
  <c r="AQ9" i="1" s="1"/>
  <c r="AE41" i="1"/>
  <c r="AE43" i="1"/>
  <c r="AE48" i="1"/>
  <c r="AP49" i="1"/>
  <c r="AQ49" i="1" s="1"/>
  <c r="AE52" i="1"/>
  <c r="AP65" i="1"/>
  <c r="AQ65" i="1" s="1"/>
  <c r="AE66" i="1"/>
  <c r="AE71" i="1"/>
  <c r="S75" i="1"/>
  <c r="AD75" i="1" s="1"/>
  <c r="S77" i="1"/>
  <c r="AA77" i="1" s="1"/>
  <c r="N9" i="1"/>
  <c r="O9" i="1" s="1"/>
  <c r="S9" i="1" s="1"/>
  <c r="AA9" i="1" s="1"/>
  <c r="AE36" i="1"/>
  <c r="S37" i="1"/>
  <c r="AD37" i="1" s="1"/>
  <c r="AE38" i="1"/>
  <c r="AE46" i="1"/>
  <c r="AP52" i="1"/>
  <c r="AQ52" i="1" s="1"/>
  <c r="S54" i="1"/>
  <c r="AA54" i="1" s="1"/>
  <c r="AE55" i="1"/>
  <c r="AP56" i="1"/>
  <c r="AQ56" i="1" s="1"/>
  <c r="AE57" i="1"/>
  <c r="AP58" i="1"/>
  <c r="AQ58" i="1" s="1"/>
  <c r="AE59" i="1"/>
  <c r="AP60" i="1"/>
  <c r="AQ60" i="1" s="1"/>
  <c r="AE61" i="1"/>
  <c r="AP62" i="1"/>
  <c r="AQ62" i="1" s="1"/>
  <c r="AE63" i="1"/>
  <c r="S64" i="1"/>
  <c r="AA64" i="1" s="1"/>
  <c r="AE65" i="1"/>
  <c r="S67" i="1"/>
  <c r="AD67" i="1" s="1"/>
  <c r="AP77" i="1"/>
  <c r="AQ77" i="1" s="1"/>
  <c r="B2" i="5"/>
  <c r="AE6" i="1"/>
  <c r="AP5" i="1"/>
  <c r="AQ5" i="1" s="1"/>
  <c r="AP36" i="1"/>
  <c r="AQ36" i="1" s="1"/>
  <c r="AE39" i="1"/>
  <c r="S40" i="1"/>
  <c r="AA40" i="1" s="1"/>
  <c r="AP44" i="1"/>
  <c r="AQ44" i="1" s="1"/>
  <c r="AE45" i="1"/>
  <c r="AE47" i="1"/>
  <c r="S49" i="1"/>
  <c r="AD49" i="1" s="1"/>
  <c r="S53" i="1"/>
  <c r="AD53" i="1" s="1"/>
  <c r="AE54" i="1"/>
  <c r="AE56" i="1"/>
  <c r="AP57" i="1"/>
  <c r="AQ57" i="1" s="1"/>
  <c r="AE58" i="1"/>
  <c r="AP59" i="1"/>
  <c r="AQ59" i="1" s="1"/>
  <c r="AE60" i="1"/>
  <c r="AP61" i="1"/>
  <c r="AQ61" i="1" s="1"/>
  <c r="AE62" i="1"/>
  <c r="AP63" i="1"/>
  <c r="AQ63" i="1" s="1"/>
  <c r="AE64" i="1"/>
  <c r="AE67" i="1"/>
  <c r="S68" i="1"/>
  <c r="AD68" i="1" s="1"/>
  <c r="AE70" i="1"/>
  <c r="S44" i="1"/>
  <c r="AD44" i="1" s="1"/>
  <c r="S38" i="1"/>
  <c r="AD38" i="1" s="1"/>
  <c r="S36" i="1"/>
  <c r="AD36" i="1" s="1"/>
  <c r="S39" i="1"/>
  <c r="AD39" i="1" s="1"/>
  <c r="S46" i="1"/>
  <c r="AD46" i="1" s="1"/>
  <c r="AE50" i="1"/>
  <c r="AE77" i="1"/>
  <c r="AE9" i="1"/>
  <c r="N10" i="1"/>
  <c r="O10" i="1" s="1"/>
  <c r="S10" i="1" s="1"/>
  <c r="Q86" i="1"/>
  <c r="AP39" i="1"/>
  <c r="AQ39" i="1" s="1"/>
  <c r="S42" i="1"/>
  <c r="AD42" i="1" s="1"/>
  <c r="AP42" i="1"/>
  <c r="AQ42" i="1" s="1"/>
  <c r="S45" i="1"/>
  <c r="AA45" i="1" s="1"/>
  <c r="AP67" i="1"/>
  <c r="AQ67" i="1" s="1"/>
  <c r="AP45" i="1"/>
  <c r="AQ45" i="1" s="1"/>
  <c r="AP11" i="1"/>
  <c r="AQ11" i="1" s="1"/>
  <c r="AP41" i="1"/>
  <c r="AQ41" i="1" s="1"/>
  <c r="S47" i="1"/>
  <c r="S51" i="1"/>
  <c r="S55" i="1"/>
  <c r="AP6" i="1"/>
  <c r="AQ6" i="1" s="1"/>
  <c r="AE11" i="1"/>
  <c r="AE37" i="1"/>
  <c r="AP37" i="1"/>
  <c r="AQ37" i="1" s="1"/>
  <c r="AP38" i="1"/>
  <c r="AQ38" i="1" s="1"/>
  <c r="AP40" i="1"/>
  <c r="AQ40" i="1" s="1"/>
  <c r="AP43" i="1"/>
  <c r="AQ43" i="1" s="1"/>
  <c r="S41" i="1"/>
  <c r="AP47" i="1"/>
  <c r="AQ47" i="1" s="1"/>
  <c r="AP51" i="1"/>
  <c r="AQ51" i="1" s="1"/>
  <c r="AP55" i="1"/>
  <c r="AQ55" i="1" s="1"/>
  <c r="AP46" i="1"/>
  <c r="AQ46" i="1" s="1"/>
  <c r="AP50" i="1"/>
  <c r="AQ50" i="1" s="1"/>
  <c r="AP54" i="1"/>
  <c r="AQ54" i="1" s="1"/>
  <c r="S70" i="1"/>
  <c r="AP66" i="1"/>
  <c r="AQ66" i="1" s="1"/>
  <c r="AP68" i="1"/>
  <c r="AQ68" i="1" s="1"/>
  <c r="AP64" i="1"/>
  <c r="AQ64" i="1" s="1"/>
  <c r="C2" i="5"/>
  <c r="B4" i="5"/>
  <c r="B3" i="5"/>
  <c r="C4" i="5"/>
  <c r="N11" i="1"/>
  <c r="O11" i="1" s="1"/>
  <c r="S11" i="1" s="1"/>
  <c r="AA11" i="1" s="1"/>
  <c r="X86" i="1"/>
  <c r="AP74" i="1" l="1"/>
  <c r="AQ74" i="1" s="1"/>
  <c r="AD74" i="1"/>
  <c r="AF74" i="1" s="1"/>
  <c r="AA74" i="1"/>
  <c r="AG74" i="1" s="1"/>
  <c r="K83" i="1"/>
  <c r="L83" i="1"/>
  <c r="N83" i="1" s="1"/>
  <c r="O83" i="1" s="1"/>
  <c r="S83" i="1" s="1"/>
  <c r="AA83" i="1" s="1"/>
  <c r="AD61" i="1"/>
  <c r="AF61" i="1" s="1"/>
  <c r="AG61" i="1" s="1"/>
  <c r="AF52" i="1"/>
  <c r="K82" i="1"/>
  <c r="L82" i="1"/>
  <c r="N82" i="1" s="1"/>
  <c r="O82" i="1" s="1"/>
  <c r="S82" i="1" s="1"/>
  <c r="AD69" i="1"/>
  <c r="AF69" i="1" s="1"/>
  <c r="AG69" i="1" s="1"/>
  <c r="AF42" i="1"/>
  <c r="AN86" i="1"/>
  <c r="AA52" i="1"/>
  <c r="AF8" i="1"/>
  <c r="AD63" i="1"/>
  <c r="AF63" i="1" s="1"/>
  <c r="AG63" i="1" s="1"/>
  <c r="AD57" i="1"/>
  <c r="AF57" i="1" s="1"/>
  <c r="AG57" i="1" s="1"/>
  <c r="AA39" i="1"/>
  <c r="AF75" i="1"/>
  <c r="AA68" i="1"/>
  <c r="AF36" i="1"/>
  <c r="AF48" i="1"/>
  <c r="AD71" i="1"/>
  <c r="AF71" i="1" s="1"/>
  <c r="AG71" i="1" s="1"/>
  <c r="AA59" i="1"/>
  <c r="AD58" i="1"/>
  <c r="AF58" i="1" s="1"/>
  <c r="AG58" i="1" s="1"/>
  <c r="AA67" i="1"/>
  <c r="AF53" i="1"/>
  <c r="AA48" i="1"/>
  <c r="AD56" i="1"/>
  <c r="AF56" i="1" s="1"/>
  <c r="AG56" i="1" s="1"/>
  <c r="AA50" i="1"/>
  <c r="AF49" i="1"/>
  <c r="AD66" i="1"/>
  <c r="AF66" i="1" s="1"/>
  <c r="AG66" i="1" s="1"/>
  <c r="AF44" i="1"/>
  <c r="AA43" i="1"/>
  <c r="AA65" i="1"/>
  <c r="AD60" i="1"/>
  <c r="AF60" i="1" s="1"/>
  <c r="AG60" i="1" s="1"/>
  <c r="AA38" i="1"/>
  <c r="AF65" i="1"/>
  <c r="AA8" i="1"/>
  <c r="AD7" i="1"/>
  <c r="AF7" i="1" s="1"/>
  <c r="AG7" i="1" s="1"/>
  <c r="S4" i="1"/>
  <c r="AD4" i="1" s="1"/>
  <c r="AF4" i="1" s="1"/>
  <c r="AD62" i="1"/>
  <c r="AF62" i="1" s="1"/>
  <c r="AG62" i="1" s="1"/>
  <c r="AA44" i="1"/>
  <c r="AA42" i="1"/>
  <c r="AF46" i="1"/>
  <c r="AD64" i="1"/>
  <c r="AF64" i="1" s="1"/>
  <c r="AG64" i="1" s="1"/>
  <c r="AA46" i="1"/>
  <c r="AF50" i="1"/>
  <c r="AF68" i="1"/>
  <c r="AF43" i="1"/>
  <c r="AA75" i="1"/>
  <c r="AG75" i="1" s="1"/>
  <c r="AF59" i="1"/>
  <c r="AG59" i="1" s="1"/>
  <c r="AA49" i="1"/>
  <c r="AD9" i="1"/>
  <c r="AF9" i="1" s="1"/>
  <c r="AG9" i="1" s="1"/>
  <c r="AF39" i="1"/>
  <c r="AF67" i="1"/>
  <c r="AF37" i="1"/>
  <c r="AD40" i="1"/>
  <c r="AF40" i="1" s="1"/>
  <c r="AG40" i="1" s="1"/>
  <c r="AF38" i="1"/>
  <c r="AD77" i="1"/>
  <c r="AF77" i="1" s="1"/>
  <c r="AG77" i="1" s="1"/>
  <c r="AD45" i="1"/>
  <c r="AF45" i="1" s="1"/>
  <c r="AG45" i="1" s="1"/>
  <c r="AD54" i="1"/>
  <c r="AF54" i="1" s="1"/>
  <c r="AG54" i="1" s="1"/>
  <c r="AA36" i="1"/>
  <c r="AA37" i="1"/>
  <c r="AD86" i="1"/>
  <c r="N87" i="1" s="1"/>
  <c r="AA53" i="1"/>
  <c r="J75" i="15"/>
  <c r="L6" i="1"/>
  <c r="M6" i="1"/>
  <c r="AA55" i="1"/>
  <c r="AD55" i="1"/>
  <c r="AF55" i="1" s="1"/>
  <c r="AP4" i="1"/>
  <c r="AQ4" i="1" s="1"/>
  <c r="AA51" i="1"/>
  <c r="AD51" i="1"/>
  <c r="AF51" i="1" s="1"/>
  <c r="E5" i="1"/>
  <c r="L5" i="1"/>
  <c r="N5" i="1" s="1"/>
  <c r="O5" i="1" s="1"/>
  <c r="S5" i="1" s="1"/>
  <c r="K5" i="1"/>
  <c r="AA47" i="1"/>
  <c r="AD47" i="1"/>
  <c r="AF47" i="1" s="1"/>
  <c r="AA10" i="1"/>
  <c r="AD10" i="1"/>
  <c r="AF10" i="1" s="1"/>
  <c r="AD70" i="1"/>
  <c r="AF70" i="1" s="1"/>
  <c r="AA70" i="1"/>
  <c r="AA41" i="1"/>
  <c r="AD41" i="1"/>
  <c r="AF41" i="1" s="1"/>
  <c r="AD11" i="1"/>
  <c r="AF11" i="1" s="1"/>
  <c r="AG11" i="1" s="1"/>
  <c r="AD83" i="1" l="1"/>
  <c r="AF83" i="1" s="1"/>
  <c r="AG83" i="1" s="1"/>
  <c r="AG52" i="1"/>
  <c r="AA82" i="1"/>
  <c r="AD82" i="1"/>
  <c r="AF82" i="1" s="1"/>
  <c r="AG36" i="1"/>
  <c r="AG42" i="1"/>
  <c r="AQ86" i="1"/>
  <c r="AG37" i="1"/>
  <c r="AG8" i="1"/>
  <c r="AG48" i="1"/>
  <c r="AG67" i="1"/>
  <c r="AG50" i="1"/>
  <c r="AG39" i="1"/>
  <c r="AG65" i="1"/>
  <c r="AG53" i="1"/>
  <c r="AG68" i="1"/>
  <c r="AG38" i="1"/>
  <c r="AG44" i="1"/>
  <c r="AG49" i="1"/>
  <c r="AG70" i="1"/>
  <c r="AG46" i="1"/>
  <c r="AA4" i="1"/>
  <c r="AG4" i="1" s="1"/>
  <c r="AG43" i="1"/>
  <c r="N6" i="1"/>
  <c r="O6" i="1" s="1"/>
  <c r="S6" i="1" s="1"/>
  <c r="AD6" i="1" s="1"/>
  <c r="AF6" i="1" s="1"/>
  <c r="AG47" i="1"/>
  <c r="AG10" i="1"/>
  <c r="O86" i="1"/>
  <c r="S86" i="1" s="1"/>
  <c r="Z86" i="1" s="1"/>
  <c r="AH73" i="1" s="1"/>
  <c r="AI73" i="1" s="1"/>
  <c r="AG41" i="1"/>
  <c r="AA5" i="1"/>
  <c r="AD5" i="1"/>
  <c r="AF5" i="1" s="1"/>
  <c r="AG51" i="1"/>
  <c r="AG55" i="1"/>
  <c r="AH74" i="1" l="1"/>
  <c r="AI74" i="1" s="1"/>
  <c r="AH82" i="1"/>
  <c r="AH83" i="1"/>
  <c r="AI83" i="1" s="1"/>
  <c r="AG82" i="1"/>
  <c r="AP86" i="1"/>
  <c r="AH8" i="1"/>
  <c r="AI8" i="1" s="1"/>
  <c r="AH7" i="1"/>
  <c r="AI7" i="1" s="1"/>
  <c r="AA6" i="1"/>
  <c r="AH6" i="1" s="1"/>
  <c r="AH75" i="1"/>
  <c r="AI75" i="1" s="1"/>
  <c r="AH9" i="1"/>
  <c r="AI9" i="1" s="1"/>
  <c r="AH5" i="1"/>
  <c r="AH37" i="1"/>
  <c r="AI37" i="1" s="1"/>
  <c r="AH41" i="1"/>
  <c r="AI41" i="1" s="1"/>
  <c r="AH45" i="1"/>
  <c r="AI45" i="1" s="1"/>
  <c r="AH49" i="1"/>
  <c r="AI49" i="1" s="1"/>
  <c r="AH53" i="1"/>
  <c r="AI53" i="1" s="1"/>
  <c r="AH57" i="1"/>
  <c r="AI57" i="1" s="1"/>
  <c r="AH61" i="1"/>
  <c r="AI61" i="1" s="1"/>
  <c r="AH65" i="1"/>
  <c r="AI65" i="1" s="1"/>
  <c r="AH69" i="1"/>
  <c r="AI69" i="1" s="1"/>
  <c r="Z87" i="1"/>
  <c r="AH77" i="1"/>
  <c r="AI77" i="1" s="1"/>
  <c r="AH39" i="1"/>
  <c r="AI39" i="1" s="1"/>
  <c r="AH43" i="1"/>
  <c r="AI43" i="1" s="1"/>
  <c r="AH47" i="1"/>
  <c r="AI47" i="1" s="1"/>
  <c r="AH51" i="1"/>
  <c r="AI51" i="1" s="1"/>
  <c r="AH55" i="1"/>
  <c r="AI55" i="1" s="1"/>
  <c r="AH59" i="1"/>
  <c r="AI59" i="1" s="1"/>
  <c r="AH63" i="1"/>
  <c r="AI63" i="1" s="1"/>
  <c r="AH67" i="1"/>
  <c r="AI67" i="1" s="1"/>
  <c r="AH71" i="1"/>
  <c r="AI71" i="1" s="1"/>
  <c r="AH11" i="1"/>
  <c r="AI11" i="1" s="1"/>
  <c r="AH4" i="1"/>
  <c r="AI4" i="1" s="1"/>
  <c r="AH36" i="1"/>
  <c r="AI36" i="1" s="1"/>
  <c r="AH40" i="1"/>
  <c r="AI40" i="1" s="1"/>
  <c r="AH44" i="1"/>
  <c r="AI44" i="1" s="1"/>
  <c r="AH48" i="1"/>
  <c r="AI48" i="1" s="1"/>
  <c r="AH52" i="1"/>
  <c r="AI52" i="1" s="1"/>
  <c r="AH56" i="1"/>
  <c r="AI56" i="1" s="1"/>
  <c r="AH60" i="1"/>
  <c r="AI60" i="1" s="1"/>
  <c r="AH64" i="1"/>
  <c r="AI64" i="1" s="1"/>
  <c r="AH68" i="1"/>
  <c r="AI68" i="1" s="1"/>
  <c r="AH10" i="1"/>
  <c r="AI10" i="1" s="1"/>
  <c r="AH38" i="1"/>
  <c r="AI38" i="1" s="1"/>
  <c r="AH42" i="1"/>
  <c r="AI42" i="1" s="1"/>
  <c r="AH46" i="1"/>
  <c r="AI46" i="1" s="1"/>
  <c r="AH50" i="1"/>
  <c r="AI50" i="1" s="1"/>
  <c r="AH54" i="1"/>
  <c r="AI54" i="1" s="1"/>
  <c r="AH58" i="1"/>
  <c r="AI58" i="1" s="1"/>
  <c r="AH62" i="1"/>
  <c r="AI62" i="1" s="1"/>
  <c r="AH66" i="1"/>
  <c r="AI66" i="1" s="1"/>
  <c r="AH70" i="1"/>
  <c r="AI70" i="1" s="1"/>
  <c r="AG5" i="1"/>
  <c r="AI82" i="1" l="1"/>
  <c r="AG6" i="1"/>
  <c r="AI6" i="1" s="1"/>
  <c r="AI5" i="1"/>
  <c r="AB86" i="1"/>
  <c r="L87" i="1" l="1"/>
  <c r="AF86" i="1"/>
  <c r="AJ73" i="1" s="1"/>
  <c r="AK73" i="1" s="1"/>
  <c r="H73" i="1" l="1"/>
  <c r="G73" i="1" s="1"/>
  <c r="I73" i="1"/>
  <c r="AJ74" i="1"/>
  <c r="AK74" i="1" s="1"/>
  <c r="H74" i="1" s="1"/>
  <c r="G74" i="1" s="1"/>
  <c r="I74" i="1"/>
  <c r="AJ82" i="1"/>
  <c r="AK82" i="1" s="1"/>
  <c r="I82" i="1" s="1"/>
  <c r="AJ83" i="1"/>
  <c r="AK83" i="1" s="1"/>
  <c r="AJ8" i="1"/>
  <c r="AK8" i="1" s="1"/>
  <c r="H8" i="1" s="1"/>
  <c r="G8" i="1" s="1"/>
  <c r="AJ7" i="1"/>
  <c r="AK7" i="1" s="1"/>
  <c r="AJ75" i="1"/>
  <c r="AK75" i="1" s="1"/>
  <c r="H75" i="1" s="1"/>
  <c r="G75" i="1" s="1"/>
  <c r="AJ66" i="1"/>
  <c r="AK66" i="1" s="1"/>
  <c r="H66" i="1" s="1"/>
  <c r="G66" i="1" s="1"/>
  <c r="AJ9" i="1"/>
  <c r="AK9" i="1" s="1"/>
  <c r="AJ36" i="1"/>
  <c r="AK36" i="1" s="1"/>
  <c r="H36" i="1" s="1"/>
  <c r="G36" i="1" s="1"/>
  <c r="AJ59" i="1"/>
  <c r="AK59" i="1" s="1"/>
  <c r="H59" i="1" s="1"/>
  <c r="G59" i="1" s="1"/>
  <c r="AJ57" i="1"/>
  <c r="AK57" i="1" s="1"/>
  <c r="H57" i="1" s="1"/>
  <c r="G57" i="1" s="1"/>
  <c r="AJ39" i="1"/>
  <c r="AK39" i="1" s="1"/>
  <c r="H39" i="1" s="1"/>
  <c r="G39" i="1" s="1"/>
  <c r="AJ48" i="1"/>
  <c r="AK48" i="1" s="1"/>
  <c r="H48" i="1" s="1"/>
  <c r="G48" i="1" s="1"/>
  <c r="AJ49" i="1"/>
  <c r="AK49" i="1" s="1"/>
  <c r="H49" i="1" s="1"/>
  <c r="G49" i="1" s="1"/>
  <c r="S87" i="1"/>
  <c r="P87" i="1"/>
  <c r="AJ43" i="1"/>
  <c r="AK43" i="1" s="1"/>
  <c r="H43" i="1" s="1"/>
  <c r="G43" i="1" s="1"/>
  <c r="AJ51" i="1"/>
  <c r="AK51" i="1" s="1"/>
  <c r="H51" i="1" s="1"/>
  <c r="G51" i="1" s="1"/>
  <c r="AJ61" i="1"/>
  <c r="AK61" i="1" s="1"/>
  <c r="H61" i="1" s="1"/>
  <c r="G61" i="1" s="1"/>
  <c r="AJ40" i="1"/>
  <c r="AK40" i="1" s="1"/>
  <c r="H40" i="1" s="1"/>
  <c r="G40" i="1" s="1"/>
  <c r="AJ62" i="1"/>
  <c r="AK62" i="1" s="1"/>
  <c r="H62" i="1" s="1"/>
  <c r="G62" i="1" s="1"/>
  <c r="AJ64" i="1"/>
  <c r="AK64" i="1" s="1"/>
  <c r="H64" i="1" s="1"/>
  <c r="G64" i="1" s="1"/>
  <c r="AJ41" i="1"/>
  <c r="AK41" i="1" s="1"/>
  <c r="H41" i="1" s="1"/>
  <c r="G41" i="1" s="1"/>
  <c r="AJ67" i="1"/>
  <c r="AK67" i="1" s="1"/>
  <c r="H67" i="1" s="1"/>
  <c r="G67" i="1" s="1"/>
  <c r="AJ63" i="1"/>
  <c r="AK63" i="1" s="1"/>
  <c r="H63" i="1" s="1"/>
  <c r="G63" i="1" s="1"/>
  <c r="AJ69" i="1"/>
  <c r="AK69" i="1" s="1"/>
  <c r="H69" i="1" s="1"/>
  <c r="G69" i="1" s="1"/>
  <c r="AJ55" i="1"/>
  <c r="AK55" i="1" s="1"/>
  <c r="H55" i="1" s="1"/>
  <c r="G55" i="1" s="1"/>
  <c r="AJ70" i="1"/>
  <c r="AK70" i="1" s="1"/>
  <c r="H70" i="1" s="1"/>
  <c r="G70" i="1" s="1"/>
  <c r="AJ10" i="1"/>
  <c r="AK10" i="1" s="1"/>
  <c r="AJ68" i="1"/>
  <c r="AK68" i="1" s="1"/>
  <c r="H68" i="1" s="1"/>
  <c r="G68" i="1" s="1"/>
  <c r="AJ56" i="1"/>
  <c r="AK56" i="1" s="1"/>
  <c r="H56" i="1" s="1"/>
  <c r="G56" i="1" s="1"/>
  <c r="AJ4" i="1"/>
  <c r="AK4" i="1" s="1"/>
  <c r="AJ60" i="1"/>
  <c r="AK60" i="1" s="1"/>
  <c r="H60" i="1" s="1"/>
  <c r="G60" i="1" s="1"/>
  <c r="AJ77" i="1"/>
  <c r="AK77" i="1" s="1"/>
  <c r="H77" i="1" s="1"/>
  <c r="G77" i="1" s="1"/>
  <c r="AJ54" i="1"/>
  <c r="AK54" i="1" s="1"/>
  <c r="H54" i="1" s="1"/>
  <c r="G54" i="1" s="1"/>
  <c r="AJ6" i="1"/>
  <c r="AK6" i="1" s="1"/>
  <c r="I6" i="1" s="1"/>
  <c r="AJ45" i="1"/>
  <c r="AK45" i="1" s="1"/>
  <c r="H45" i="1" s="1"/>
  <c r="G45" i="1" s="1"/>
  <c r="AJ65" i="1"/>
  <c r="AK65" i="1" s="1"/>
  <c r="H65" i="1" s="1"/>
  <c r="G65" i="1" s="1"/>
  <c r="AJ50" i="1"/>
  <c r="AK50" i="1" s="1"/>
  <c r="H50" i="1" s="1"/>
  <c r="G50" i="1" s="1"/>
  <c r="AJ5" i="1"/>
  <c r="AK5" i="1" s="1"/>
  <c r="AJ44" i="1"/>
  <c r="AK44" i="1" s="1"/>
  <c r="H44" i="1" s="1"/>
  <c r="G44" i="1" s="1"/>
  <c r="AJ52" i="1"/>
  <c r="AK52" i="1" s="1"/>
  <c r="H52" i="1" s="1"/>
  <c r="G52" i="1" s="1"/>
  <c r="AJ42" i="1"/>
  <c r="AK42" i="1" s="1"/>
  <c r="H42" i="1" s="1"/>
  <c r="G42" i="1" s="1"/>
  <c r="AJ53" i="1"/>
  <c r="AK53" i="1" s="1"/>
  <c r="H53" i="1" s="1"/>
  <c r="G53" i="1" s="1"/>
  <c r="AJ38" i="1"/>
  <c r="AK38" i="1" s="1"/>
  <c r="H38" i="1" s="1"/>
  <c r="G38" i="1" s="1"/>
  <c r="AJ47" i="1"/>
  <c r="AK47" i="1" s="1"/>
  <c r="H47" i="1" s="1"/>
  <c r="G47" i="1" s="1"/>
  <c r="AF87" i="1"/>
  <c r="AJ58" i="1"/>
  <c r="AK58" i="1" s="1"/>
  <c r="H58" i="1" s="1"/>
  <c r="G58" i="1" s="1"/>
  <c r="AJ71" i="1"/>
  <c r="AK71" i="1" s="1"/>
  <c r="H71" i="1" s="1"/>
  <c r="G71" i="1" s="1"/>
  <c r="AJ11" i="1"/>
  <c r="AK11" i="1" s="1"/>
  <c r="AJ37" i="1"/>
  <c r="AK37" i="1" s="1"/>
  <c r="H37" i="1" s="1"/>
  <c r="G37" i="1" s="1"/>
  <c r="AJ46" i="1"/>
  <c r="AK46" i="1" s="1"/>
  <c r="H46" i="1" s="1"/>
  <c r="G46" i="1" s="1"/>
  <c r="H82" i="1" l="1"/>
  <c r="G82" i="1" s="1"/>
  <c r="I83" i="1"/>
  <c r="I85" i="1" s="1"/>
  <c r="H83" i="1"/>
  <c r="G83" i="1" s="1"/>
  <c r="I8" i="1"/>
  <c r="H7" i="1"/>
  <c r="G7" i="1" s="1"/>
  <c r="I7" i="1"/>
  <c r="H6" i="1"/>
  <c r="G6" i="1" s="1"/>
  <c r="H10" i="1"/>
  <c r="G10" i="1" s="1"/>
  <c r="I10" i="1"/>
  <c r="AK86" i="1"/>
  <c r="H4" i="1"/>
  <c r="G4" i="1" s="1"/>
  <c r="I4" i="1"/>
  <c r="I9" i="1"/>
  <c r="H9" i="1"/>
  <c r="G9" i="1" s="1"/>
  <c r="I11" i="1"/>
  <c r="H11" i="1"/>
  <c r="G11" i="1" s="1"/>
  <c r="I5" i="1"/>
  <c r="H5" i="1"/>
  <c r="G5" i="1" s="1"/>
  <c r="I86" i="1" l="1"/>
  <c r="I88" i="1" s="1"/>
  <c r="H86" i="1" l="1"/>
  <c r="C216" i="48"/>
  <c r="C216" i="48" a="1"/>
  <c r="C217" i="46"/>
  <c r="C217" i="46"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D159E-5961-41F2-B6C0-37954E5A540D}" keepAlive="1" name="Dotaz – Table 1" description="Pripojenie k dotazu Table 1 v zošite." type="5" refreshedVersion="8" background="1" saveData="1">
    <dbPr connection="Provider=Microsoft.Mashup.OleDb.1;Data Source=$Workbook$;Location=&quot;Table 1&quot;;Extended Properties=&quot;&quot;" command="SELECT * FROM [Table 1]"/>
  </connection>
  <connection id="2" xr16:uid="{010DC458-666E-4663-A20E-4BEC9059895F}" keepAlive="1" name="Dotaz – Table_1" description="Pripojenie k dotazu Table_1 v zošite." type="5" refreshedVersion="8" background="1" saveData="1">
    <dbPr connection="Provider=Microsoft.Mashup.OleDb.1;Data Source=$Workbook$;Location=Table_1;Extended Properties=&quot;&quot;" command="SELECT * FROM [Table_1]"/>
  </connection>
  <connection id="3" xr16:uid="{7A420D6F-1419-46A1-8384-3BA622AD9424}" keepAlive="1" name="Dotaz – Table_2" description="Pripojenie k dotazu Table_2 v zošite." type="5" refreshedVersion="8" background="1" saveData="1">
    <dbPr connection="Provider=Microsoft.Mashup.OleDb.1;Data Source=$Workbook$;Location=Table_2;Extended Properties=&quot;&quot;" command="SELECT * FROM [Table_2]"/>
  </connection>
  <connection id="4" xr16:uid="{CF6337FA-B333-43C8-B8D4-8CC821C88FDB}" keepAlive="1" name="Dotaz – Table005 (Page 4)" description="Pripojenie k dotazu Table005 (Page 4) v zošite." type="5" refreshedVersion="0" background="1" saveData="1">
    <dbPr connection="Provider=Microsoft.Mashup.OleDb.1;Data Source=$Workbook$;Location=&quot;Table005 (Page 4)&quot;;Extended Properties=&quot;&quot;" command="SELECT * FROM [Table005 (Page 4)]"/>
  </connection>
  <connection id="5" xr16:uid="{53AC1AB9-D152-4121-A8A6-605B02B59E7D}" keepAlive="1" name="Dotaz – Table008 (Page 5)" description="Pripojenie k dotazu Table008 (Page 5) v zošite." type="5" refreshedVersion="0" background="1" saveData="1">
    <dbPr connection="Provider=Microsoft.Mashup.OleDb.1;Data Source=$Workbook$;Location=&quot;Table008 (Page 5)&quot;;Extended Properties=&quot;&quot;" command="SELECT * FROM [Table008 (Page 5)]"/>
  </connection>
  <connection id="6" xr16:uid="{5C738DB8-BD59-48DB-AFC3-976EF7428B81}" keepAlive="1" name="Dotaz – Table011 (Page 6)" description="Pripojenie k dotazu Table011 (Page 6) v zošite." type="5" refreshedVersion="0" background="1" saveData="1">
    <dbPr connection="Provider=Microsoft.Mashup.OleDb.1;Data Source=$Workbook$;Location=&quot;Table011 (Page 6)&quot;;Extended Properties=&quot;&quot;" command="SELECT * FROM [Table011 (Page 6)]"/>
  </connection>
  <connection id="7" xr16:uid="{7DA26D6F-6E89-4140-ABBE-FD5436FAC7B7}" keepAlive="1" name="Dotaz – Table014 (Page 8)" description="Pripojenie k dotazu Table014 (Page 8) v zošite." type="5" refreshedVersion="0" background="1" saveData="1">
    <dbPr connection="Provider=Microsoft.Mashup.OleDb.1;Data Source=$Workbook$;Location=&quot;Table014 (Page 8)&quot;;Extended Properties=&quot;&quot;" command="SELECT * FROM [Table014 (Page 8)]"/>
  </connection>
  <connection id="8" xr16:uid="{4709004C-94E8-454C-AC2E-93FEE53882E4}" keepAlive="1" name="Dotaz – Table018 (Page 10)" description="Pripojenie k dotazu Table018 (Page 10) v zošite." type="5" refreshedVersion="0" background="1" saveData="1">
    <dbPr connection="Provider=Microsoft.Mashup.OleDb.1;Data Source=$Workbook$;Location=&quot;Table018 (Page 10)&quot;;Extended Properties=&quot;&quot;" command="SELECT * FROM [Table018 (Page 10)]"/>
  </connection>
  <connection id="9" xr16:uid="{EAD76C56-1A64-472D-B82A-3018F13F383E}" keepAlive="1" name="Dotaz – Table022 (Page 11)" description="Pripojenie k dotazu Table022 (Page 11) v zošite." type="5" refreshedVersion="0" background="1" saveData="1">
    <dbPr connection="Provider=Microsoft.Mashup.OleDb.1;Data Source=$Workbook$;Location=&quot;Table022 (Page 11)&quot;;Extended Properties=&quot;&quot;" command="SELECT * FROM [Table022 (Page 11)]"/>
  </connection>
  <connection id="10" xr16:uid="{1BAAECA7-249C-46B6-860E-99BD3B4E5B92}" keepAlive="1" name="Dotaz – Table024 (Page 12)" description="Pripojenie k dotazu Table024 (Page 12) v zošite." type="5" refreshedVersion="0" background="1" saveData="1">
    <dbPr connection="Provider=Microsoft.Mashup.OleDb.1;Data Source=$Workbook$;Location=&quot;Table024 (Page 12)&quot;;Extended Properties=&quot;&quot;" command="SELECT * FROM [Table024 (Page 12)]"/>
  </connection>
  <connection id="11" xr16:uid="{002D9D01-76C4-42F7-9403-B5A166964500}" keepAlive="1" name="Dotaz – Table026 (Page 12)" description="Pripojenie k dotazu Table026 (Page 12) v zošite." type="5" refreshedVersion="0" background="1" saveData="1">
    <dbPr connection="Provider=Microsoft.Mashup.OleDb.1;Data Source=$Workbook$;Location=&quot;Table026 (Page 12)&quot;;Extended Properties=&quot;&quot;" command="SELECT * FROM [Table026 (Page 12)]"/>
  </connection>
  <connection id="12" xr16:uid="{43953748-0634-4016-BEC0-4B93C019CEEB}" keepAlive="1" name="Dotaz – Table028 (Page 13)" description="Pripojenie k dotazu Table028 (Page 13) v zošite." type="5" refreshedVersion="0" background="1" saveData="1">
    <dbPr connection="Provider=Microsoft.Mashup.OleDb.1;Data Source=$Workbook$;Location=&quot;Table028 (Page 13)&quot;;Extended Properties=&quot;&quot;" command="SELECT * FROM [Table028 (Page 13)]"/>
  </connection>
  <connection id="13" xr16:uid="{14562A8C-7E75-43B0-BB9C-61ED057DDFE1}" keepAlive="1" name="Dotaz – Table030 (Page 13)" description="Pripojenie k dotazu Table030 (Page 13) v zošite." type="5" refreshedVersion="0" background="1" saveData="1">
    <dbPr connection="Provider=Microsoft.Mashup.OleDb.1;Data Source=$Workbook$;Location=&quot;Table030 (Page 13)&quot;;Extended Properties=&quot;&quot;" command="SELECT * FROM [Table030 (Page 13)]"/>
  </connection>
  <connection id="14" xr16:uid="{88A10BFC-A9B5-4A4E-B8FB-9D2E367C772E}" keepAlive="1" name="Dotaz – Table032 (Page 13)" description="Pripojenie k dotazu Table032 (Page 13) v zošite." type="5" refreshedVersion="0" background="1" saveData="1">
    <dbPr connection="Provider=Microsoft.Mashup.OleDb.1;Data Source=$Workbook$;Location=&quot;Table032 (Page 13)&quot;;Extended Properties=&quot;&quot;" command="SELECT * FROM [Table032 (Page 13)]"/>
  </connection>
  <connection id="15" xr16:uid="{10DB8A2E-6D33-4F03-AEB0-3B059924B583}" keepAlive="1" name="Dotaz – Table034 (Page 13)" description="Pripojenie k dotazu Table034 (Page 13) v zošite." type="5" refreshedVersion="0" background="1" saveData="1">
    <dbPr connection="Provider=Microsoft.Mashup.OleDb.1;Data Source=$Workbook$;Location=&quot;Table034 (Page 13)&quot;;Extended Properties=&quot;&quot;" command="SELECT * FROM [Table034 (Page 13)]"/>
  </connection>
  <connection id="16" xr16:uid="{0FBDEA83-2E68-416A-A93D-4979189BAE08}" keepAlive="1" name="Dotaz – Table036 (Page 13)" description="Pripojenie k dotazu Table036 (Page 13) v zošite." type="5" refreshedVersion="0" background="1" saveData="1">
    <dbPr connection="Provider=Microsoft.Mashup.OleDb.1;Data Source=$Workbook$;Location=&quot;Table036 (Page 13)&quot;;Extended Properties=&quot;&quot;" command="SELECT * FROM [Table036 (Page 13)]"/>
  </connection>
  <connection id="17" xr16:uid="{32542429-939A-47DE-A4E4-0EB38375748E}" keepAlive="1" name="Dotaz – Table037 (Page 14)" description="Pripojenie k dotazu Table037 (Page 14) v zošite." type="5" refreshedVersion="0" background="1" saveData="1">
    <dbPr connection="Provider=Microsoft.Mashup.OleDb.1;Data Source=$Workbook$;Location=&quot;Table037 (Page 14)&quot;;Extended Properties=&quot;&quot;" command="SELECT * FROM [Table037 (Page 14)]"/>
  </connection>
  <connection id="18" xr16:uid="{9FA98C51-8EAA-41B4-941A-F91A75D3E24E}" keepAlive="1" name="Dotaz – Table038 (Page 14)" description="Pripojenie k dotazu Table038 (Page 14) v zošite." type="5" refreshedVersion="0" background="1" saveData="1">
    <dbPr connection="Provider=Microsoft.Mashup.OleDb.1;Data Source=$Workbook$;Location=&quot;Table038 (Page 14)&quot;;Extended Properties=&quot;&quot;" command="SELECT * FROM [Table038 (Page 14)]"/>
  </connection>
  <connection id="19" xr16:uid="{C42C74ED-774F-4DD6-B229-A03550A16851}" keepAlive="1" name="Dotaz – Table039 (Page 15)" description="Pripojenie k dotazu Table039 (Page 15) v zošite." type="5" refreshedVersion="0" background="1" saveData="1">
    <dbPr connection="Provider=Microsoft.Mashup.OleDb.1;Data Source=$Workbook$;Location=&quot;Table039 (Page 15)&quot;;Extended Properties=&quot;&quot;" command="SELECT * FROM [Table039 (Page 15)]"/>
  </connection>
  <connection id="20" xr16:uid="{E23FA875-E9AC-4E49-BF44-C0110A6DEFD1}" keepAlive="1" name="Dotaz – Table040 (Page 15)" description="Pripojenie k dotazu Table040 (Page 15) v zošite." type="5" refreshedVersion="0" background="1" saveData="1">
    <dbPr connection="Provider=Microsoft.Mashup.OleDb.1;Data Source=$Workbook$;Location=&quot;Table040 (Page 15)&quot;;Extended Properties=&quot;&quot;" command="SELECT * FROM [Table040 (Page 15)]"/>
  </connection>
  <connection id="21" xr16:uid="{826286AB-DF54-4515-B363-DCF04F7DF086}" keepAlive="1" name="Dotaz – Table042 (Page 16)" description="Pripojenie k dotazu Table042 (Page 16) v zošite." type="5" refreshedVersion="0" background="1" saveData="1">
    <dbPr connection="Provider=Microsoft.Mashup.OleDb.1;Data Source=$Workbook$;Location=&quot;Table042 (Page 16)&quot;;Extended Properties=&quot;&quot;" command="SELECT * FROM [Table042 (Page 16)]"/>
  </connection>
  <connection id="22" xr16:uid="{1D6D5E5D-5692-47AC-AE69-3664C1A974C1}" keepAlive="1" name="Dotaz – Table043 (Page 16)" description="Pripojenie k dotazu Table043 (Page 16) v zošite." type="5" refreshedVersion="0" background="1" saveData="1">
    <dbPr connection="Provider=Microsoft.Mashup.OleDb.1;Data Source=$Workbook$;Location=&quot;Table043 (Page 16)&quot;;Extended Properties=&quot;&quot;" command="SELECT * FROM [Table043 (Page 16)]"/>
  </connection>
  <connection id="23" xr16:uid="{389D3849-17C8-4C61-B0B2-6C24F44D7D9F}" keepAlive="1" name="Dotaz – Table044 (Page 17)" description="Pripojenie k dotazu Table044 (Page 17) v zošite." type="5" refreshedVersion="0" background="1" saveData="1">
    <dbPr connection="Provider=Microsoft.Mashup.OleDb.1;Data Source=$Workbook$;Location=&quot;Table044 (Page 17)&quot;;Extended Properties=&quot;&quot;" command="SELECT * FROM [Table044 (Page 17)]"/>
  </connection>
  <connection id="24" xr16:uid="{1F3D3448-ABD0-4401-B550-0E2EB65E96A3}" keepAlive="1" name="Dotaz – Table045 (Page 17)" description="Pripojenie k dotazu Table045 (Page 17) v zošite." type="5" refreshedVersion="0" background="1" saveData="1">
    <dbPr connection="Provider=Microsoft.Mashup.OleDb.1;Data Source=$Workbook$;Location=&quot;Table045 (Page 17)&quot;;Extended Properties=&quot;&quot;" command="SELECT * FROM [Table045 (Page 17)]"/>
  </connection>
  <connection id="25" xr16:uid="{436D14BD-DAD7-4247-9556-9A66761AE2D1}" keepAlive="1" name="Dotaz – Table046 (Page 17)" description="Pripojenie k dotazu Table046 (Page 17) v zošite." type="5" refreshedVersion="0" background="1" saveData="1">
    <dbPr connection="Provider=Microsoft.Mashup.OleDb.1;Data Source=$Workbook$;Location=&quot;Table046 (Page 17)&quot;;Extended Properties=&quot;&quot;" command="SELECT * FROM [Table046 (Page 17)]"/>
  </connection>
  <connection id="26" xr16:uid="{5DF271A5-C96A-468A-B7FC-F4B708CD85C4}" keepAlive="1" name="Dotaz – Table047 (Page 17)" description="Pripojenie k dotazu Table047 (Page 17) v zošite." type="5" refreshedVersion="0" background="1" saveData="1">
    <dbPr connection="Provider=Microsoft.Mashup.OleDb.1;Data Source=$Workbook$;Location=&quot;Table047 (Page 17)&quot;;Extended Properties=&quot;&quot;" command="SELECT * FROM [Table047 (Page 17)]"/>
  </connection>
  <connection id="27" xr16:uid="{13D054F3-8458-49CF-AA9A-C2A164F54E32}" keepAlive="1" name="Dotaz – Table048 (Page 18)" description="Pripojenie k dotazu Table048 (Page 18) v zošite." type="5" refreshedVersion="0" background="1" saveData="1">
    <dbPr connection="Provider=Microsoft.Mashup.OleDb.1;Data Source=$Workbook$;Location=&quot;Table048 (Page 18)&quot;;Extended Properties=&quot;&quot;" command="SELECT * FROM [Table048 (Page 18)]"/>
  </connection>
  <connection id="28" xr16:uid="{CF86C409-96FB-41EC-916C-3F7FC1E892FB}" keepAlive="1" name="Dotaz – Table049 (Page 18)" description="Pripojenie k dotazu Table049 (Page 18) v zošite." type="5" refreshedVersion="0" background="1" saveData="1">
    <dbPr connection="Provider=Microsoft.Mashup.OleDb.1;Data Source=$Workbook$;Location=&quot;Table049 (Page 18)&quot;;Extended Properties=&quot;&quot;" command="SELECT * FROM [Table049 (Page 18)]"/>
  </connection>
  <connection id="29" xr16:uid="{E8DDC5AB-0CA0-4310-A8B3-551B706B93AE}" keepAlive="1" name="Dotaz – Table050 (Page 18)" description="Pripojenie k dotazu Table050 (Page 18) v zošite." type="5" refreshedVersion="0" background="1" saveData="1">
    <dbPr connection="Provider=Microsoft.Mashup.OleDb.1;Data Source=$Workbook$;Location=&quot;Table050 (Page 18)&quot;;Extended Properties=&quot;&quot;" command="SELECT * FROM [Table050 (Page 1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<sst xmlns="http://schemas.openxmlformats.org/spreadsheetml/2006/main" count="49687" uniqueCount="14276">
  <si>
    <t>ZISK</t>
  </si>
  <si>
    <t>DOPRAVA</t>
  </si>
  <si>
    <t>ks</t>
  </si>
  <si>
    <t>hlavný nadpis</t>
  </si>
  <si>
    <t>podnadpis 1</t>
  </si>
  <si>
    <t>podnadpis 2</t>
  </si>
  <si>
    <t>kpl</t>
  </si>
  <si>
    <t>Tel.: +421 2 43 42 29 51, e-mail: edt@edt.sk, www.edt.sk</t>
  </si>
  <si>
    <t>tel. číslo</t>
  </si>
  <si>
    <t>e-mail</t>
  </si>
  <si>
    <t>Zákazník:</t>
  </si>
  <si>
    <t xml:space="preserve">I.T.A TELECOM SLOVAKIA, s.r.o. </t>
  </si>
  <si>
    <t>V zastúpení:</t>
  </si>
  <si>
    <t>Adresa:</t>
  </si>
  <si>
    <t>Názov akcie:</t>
  </si>
  <si>
    <t>Číslo zákazky:</t>
  </si>
  <si>
    <t>Číslo ponuky:</t>
  </si>
  <si>
    <t>Revízia:</t>
  </si>
  <si>
    <t>Vybavuje:</t>
  </si>
  <si>
    <t>Ing. Gejza Szabó</t>
  </si>
  <si>
    <t>Vypracoval:</t>
  </si>
  <si>
    <t>Schválil</t>
  </si>
  <si>
    <t>Dátum:</t>
  </si>
  <si>
    <t>Bc. Mojmír Svoboda</t>
  </si>
  <si>
    <t>svoboda@edt.sk</t>
  </si>
  <si>
    <t>Servis manager</t>
  </si>
  <si>
    <t>Ing. Eduard Tuna</t>
  </si>
  <si>
    <t>etuna@edt.sk</t>
  </si>
  <si>
    <t>Director</t>
  </si>
  <si>
    <t>Ing. Matúš Derco</t>
  </si>
  <si>
    <t>derco@edt.sk</t>
  </si>
  <si>
    <t>szabo@edt.sk</t>
  </si>
  <si>
    <t>Sales manager for HVAC</t>
  </si>
  <si>
    <t>Ing. Andrej Majstrík</t>
  </si>
  <si>
    <t>majstrik@edt.sk</t>
  </si>
  <si>
    <t>Zákazník</t>
  </si>
  <si>
    <t>Kontaktná osoba</t>
  </si>
  <si>
    <t>t.č.</t>
  </si>
  <si>
    <t>adresa</t>
  </si>
  <si>
    <t>ABONUS s.r.o.</t>
  </si>
  <si>
    <t>Pri strelnici 27 , Bratislava</t>
  </si>
  <si>
    <t xml:space="preserve">ABONUS s.r.o. </t>
  </si>
  <si>
    <t>Ing. Igor Silván</t>
  </si>
  <si>
    <t>igor.silvan@abonus.com</t>
  </si>
  <si>
    <t xml:space="preserve">ABONUS s.r.o.    </t>
  </si>
  <si>
    <t>Jozef Sklenka</t>
  </si>
  <si>
    <t>jozef.sklenka@abonus.com</t>
  </si>
  <si>
    <t xml:space="preserve">ABONUS s.r.o.      </t>
  </si>
  <si>
    <t xml:space="preserve">Jaroslav Žilavý </t>
  </si>
  <si>
    <t>jaroslav.zilavy@abonus.com</t>
  </si>
  <si>
    <t>Abas SR Managment</t>
  </si>
  <si>
    <t>Pavol Ondrovič</t>
  </si>
  <si>
    <t>facility.manager@abasco.sk</t>
  </si>
  <si>
    <t>Dúbravská cesta 1792/2C , Bratislava</t>
  </si>
  <si>
    <t>Adient Slovakia s.r.o.</t>
  </si>
  <si>
    <t>Marek Sojka</t>
  </si>
  <si>
    <t>marek.sojka@adient.com</t>
  </si>
  <si>
    <t>Mikušovská cesta 5363 , Lučenec</t>
  </si>
  <si>
    <t>JCI Lučenec</t>
  </si>
  <si>
    <t>Atos IT Solutions and Services s.r.o.</t>
  </si>
  <si>
    <t>Hudecová Dagmar</t>
  </si>
  <si>
    <t>dagmar.hudecova@atos.net</t>
  </si>
  <si>
    <t>Pribinova 19, Bratislava</t>
  </si>
  <si>
    <t xml:space="preserve">Adient Slovakia s.r.o. </t>
  </si>
  <si>
    <t>Julius Kantor</t>
  </si>
  <si>
    <t>julius.kantor@adient.com</t>
  </si>
  <si>
    <t>Audiaplastics s.r.o.</t>
  </si>
  <si>
    <t>Radomír Telčík</t>
  </si>
  <si>
    <t>radomir.talcik@washpenn.com</t>
  </si>
  <si>
    <t>Voderady</t>
  </si>
  <si>
    <t>Daniel Vypala</t>
  </si>
  <si>
    <t>daniel.vypala@washpenn.com</t>
  </si>
  <si>
    <t>Air Livery Limited , org.zl.</t>
  </si>
  <si>
    <t>Ing. Jozef Pojedinec</t>
  </si>
  <si>
    <t>pojedinec@viphandling.sk</t>
  </si>
  <si>
    <t>letisko M.R.Štefánika , Bratislava</t>
  </si>
  <si>
    <t>letisko MRŠtefánika</t>
  </si>
  <si>
    <t>AIRMARKET, s.r.o.</t>
  </si>
  <si>
    <t>Ján Mihala</t>
  </si>
  <si>
    <t>jan.mihala@gmail.com</t>
  </si>
  <si>
    <t>Jánošíková 2773/4A Nové Mesto nad Váhom</t>
  </si>
  <si>
    <t>projektant VZT</t>
  </si>
  <si>
    <t>AZ KLIMA SK, s.r.o</t>
  </si>
  <si>
    <t>Ing. Maroš Koník</t>
  </si>
  <si>
    <t>maros.konik@azklima.sk</t>
  </si>
  <si>
    <t xml:space="preserve">Nová Rožňavská 134/A, 831 04 Bratislava, Slovensko </t>
  </si>
  <si>
    <t>Radovan Knut</t>
  </si>
  <si>
    <t>radovan.knut@azklima.sk</t>
  </si>
  <si>
    <t>vedúci servisu</t>
  </si>
  <si>
    <t>BDI spol.s.r.o.</t>
  </si>
  <si>
    <t>Ing. Denisa Balkovská</t>
  </si>
  <si>
    <t>denisa.balkovska@dbi.sk</t>
  </si>
  <si>
    <t>T.G.Masaryka 9445/19, Zvolen</t>
  </si>
  <si>
    <t>BH  ESTATE s.r.o.</t>
  </si>
  <si>
    <t>Jaroslav Haluška</t>
  </si>
  <si>
    <t>jlhcfr@gmail.com</t>
  </si>
  <si>
    <t>Landererova 6 , BA</t>
  </si>
  <si>
    <t>BILLA</t>
  </si>
  <si>
    <t>Ing. Ladislav Paško</t>
  </si>
  <si>
    <t>l.pasko@billa.sk</t>
  </si>
  <si>
    <t>Bajkalská 19/A , Bratislava</t>
  </si>
  <si>
    <t xml:space="preserve">BOCK SR s.r.o. </t>
  </si>
  <si>
    <t>Silvia Gelienová</t>
  </si>
  <si>
    <t>priprava@bocksr.sk</t>
  </si>
  <si>
    <t>Mostná 72, Nitra</t>
  </si>
  <si>
    <t>Cestné stavby Liptovský Mikuláš spol. s r.o.</t>
  </si>
  <si>
    <t>Tatiana Oravcová</t>
  </si>
  <si>
    <t>oravcova@cestnestavbylm.sk</t>
  </si>
  <si>
    <t>Ul. 1. mája 724, 031 01 Liptovský Mikuláš</t>
  </si>
  <si>
    <t xml:space="preserve">CRH Slovensko  a.s. </t>
  </si>
  <si>
    <t>ales.platenik@sk.crh.com</t>
  </si>
  <si>
    <t>Rohožník / Slovakia</t>
  </si>
  <si>
    <t xml:space="preserve">CRH Slovensko  a.s.  </t>
  </si>
  <si>
    <t>Dušan Rečný</t>
  </si>
  <si>
    <t>dusan.recny@sk.crh.com</t>
  </si>
  <si>
    <t xml:space="preserve">CRH Slovensko  a.s.     </t>
  </si>
  <si>
    <t>Lubomír Ukropec</t>
  </si>
  <si>
    <t>lubomir.ukropec@sk.crh.com</t>
  </si>
  <si>
    <t xml:space="preserve">CRH Slovensko  a.s.       </t>
  </si>
  <si>
    <t>Milan Fašánek</t>
  </si>
  <si>
    <t>milan.fasanek@sk.crh.com</t>
  </si>
  <si>
    <t xml:space="preserve">CRH Slovensko  a.s.              </t>
  </si>
  <si>
    <t>Andrej Galbička</t>
  </si>
  <si>
    <t xml:space="preserve">andrej.galbicka@sk.crh.com </t>
  </si>
  <si>
    <t xml:space="preserve">CRH Slovensko  a.s.         </t>
  </si>
  <si>
    <t>Tomáš Kainz</t>
  </si>
  <si>
    <t>tomas.kainz@sk.crh.com</t>
  </si>
  <si>
    <t>Commerc service spol.s.r.o.</t>
  </si>
  <si>
    <t>Ľubica Surgentová</t>
  </si>
  <si>
    <t>loziska@commercservice.sk</t>
  </si>
  <si>
    <t>ku Surdoku 35 , 08001 Prešov</t>
  </si>
  <si>
    <t>Getragford správcovská</t>
  </si>
  <si>
    <t>Deltech a.s.</t>
  </si>
  <si>
    <t>Ivan Šeucovič</t>
  </si>
  <si>
    <t>ivan.seucovic@deltech.sk</t>
  </si>
  <si>
    <t>Priemyselná 1, 031 01 Liptovský Mikuláš</t>
  </si>
  <si>
    <t>DSS Integra</t>
  </si>
  <si>
    <t>PaedDr. Renáta Balážová</t>
  </si>
  <si>
    <t>riaditel@dssintegra.sk</t>
  </si>
  <si>
    <t>Tylová 21, 831 04 Bratislava</t>
  </si>
  <si>
    <t>DSSI International LLC organizačná zložka</t>
  </si>
  <si>
    <t>Zuzana Pileková</t>
  </si>
  <si>
    <t>421 2 32343029</t>
  </si>
  <si>
    <t>zpilekova@directsourcing.com</t>
  </si>
  <si>
    <t>Turčianska 2 ,Blok F , 7. poschodie</t>
  </si>
  <si>
    <t>Ľubomír Moravčík</t>
  </si>
  <si>
    <t>lubomir.moravcik@digislovakia.sk</t>
  </si>
  <si>
    <t>Röntgenova 26 , Bratislava</t>
  </si>
  <si>
    <t>Ing. Silvia Strauchová</t>
  </si>
  <si>
    <t>silvia.strauchova@digislovakia.sk</t>
  </si>
  <si>
    <t>Ericsson Slovensko spol.s.r.o.</t>
  </si>
  <si>
    <t>Tibor Markoš</t>
  </si>
  <si>
    <t>tibor.markos@ericsson.com</t>
  </si>
  <si>
    <t>Rožnavská 24 , Bratislava</t>
  </si>
  <si>
    <t xml:space="preserve">Ericsson Slovensko spol.s.r.o. </t>
  </si>
  <si>
    <t>Vladimír Kuna</t>
  </si>
  <si>
    <t>vladimir.kuna@ericsson.com</t>
  </si>
  <si>
    <t xml:space="preserve">Ericsson Slovensko spol.s.r.o.   </t>
  </si>
  <si>
    <t>Marta Papcová</t>
  </si>
  <si>
    <t>marta.papcova@ericsson.com</t>
  </si>
  <si>
    <t>správa serverovní na Rožnavskej</t>
  </si>
  <si>
    <t>Ecoklima s.r.o.</t>
  </si>
  <si>
    <t>Martin Močko</t>
  </si>
  <si>
    <t>mocko@ecoklima.sk</t>
  </si>
  <si>
    <t>Vrbovská cesta 2511/19, Piešťany</t>
  </si>
  <si>
    <t xml:space="preserve">Ecoklima s.r.o.  </t>
  </si>
  <si>
    <t>Lukáš Jurica</t>
  </si>
  <si>
    <t>manager@ecoklima.sk</t>
  </si>
  <si>
    <t>ENGIE Services a.s.</t>
  </si>
  <si>
    <t>Peter Mizner</t>
  </si>
  <si>
    <t>peter.mizner@engie.com</t>
  </si>
  <si>
    <t>Jarošova 1, 831 03  Bratislava</t>
  </si>
  <si>
    <t xml:space="preserve">Vedúci servisnej skupiny TZB </t>
  </si>
  <si>
    <t xml:space="preserve">Foxconn Slovakia spol.s.r.o.  </t>
  </si>
  <si>
    <t>Ing. Jozef Sedliak</t>
  </si>
  <si>
    <t>jozef.sedliak@emea.foxconn.com</t>
  </si>
  <si>
    <t>Dolné Hony 29 , Nitra</t>
  </si>
  <si>
    <t>Gemeri Ondrej</t>
  </si>
  <si>
    <t>Ondrej Gemeri</t>
  </si>
  <si>
    <t>o.gemeri@gmail.com</t>
  </si>
  <si>
    <t>Nová 877, Dolná Streda</t>
  </si>
  <si>
    <t>Global Facility a.s.</t>
  </si>
  <si>
    <t>Daniel Bezák</t>
  </si>
  <si>
    <t>bezak@globalfacility.sk</t>
  </si>
  <si>
    <t>Račianska 153 , Bratislava</t>
  </si>
  <si>
    <t>Predseda predstavenstva</t>
  </si>
  <si>
    <t xml:space="preserve">Golden Shine trading s. r. o. </t>
  </si>
  <si>
    <t>Stefan</t>
  </si>
  <si>
    <t>r.golden10@gmail.com</t>
  </si>
  <si>
    <t>Papraďová 1/A, 821 01 Bratislava</t>
  </si>
  <si>
    <t>GreMi KLIMA, s.r.o.</t>
  </si>
  <si>
    <t xml:space="preserve">Ing. Jakub Kučerík </t>
  </si>
  <si>
    <t>jakub.kucerik@gremi.com</t>
  </si>
  <si>
    <t>Kragujevská 9, SK-010 01 Žilina</t>
  </si>
  <si>
    <t>HB REM spol.s.r.o.</t>
  </si>
  <si>
    <t>Mgr. Radovan Macháč</t>
  </si>
  <si>
    <t>radovan.machac@hbreavis.com</t>
  </si>
  <si>
    <t>Karadžičova 12 , Bratislava</t>
  </si>
  <si>
    <t>HORVÁT klimatizácia a vetranie, s.r.o.</t>
  </si>
  <si>
    <t>Dušan Gráč</t>
  </si>
  <si>
    <t>grac@horvat.sk</t>
  </si>
  <si>
    <t>Bánovská cesta 11, 010 01 Žilina</t>
  </si>
  <si>
    <t xml:space="preserve">Inštitút VS MV SR </t>
  </si>
  <si>
    <t>Tibor Beneš</t>
  </si>
  <si>
    <t>eko@vsmv.sk</t>
  </si>
  <si>
    <t>Azalkova 5 ,Bratislava</t>
  </si>
  <si>
    <t>I.T.A TELECOM SLOVAKIA, s.r.o.</t>
  </si>
  <si>
    <t>Lukáš Valent</t>
  </si>
  <si>
    <t>lukas.valent@ita-telecom.sk</t>
  </si>
  <si>
    <t>Nové Záhrady I 13/a</t>
  </si>
  <si>
    <t>Eric Vattier</t>
  </si>
  <si>
    <t>eric.vattier@ita-telecom.sk</t>
  </si>
  <si>
    <t>Justičná akadémia Slovenskej republiky</t>
  </si>
  <si>
    <t>Peter Psota</t>
  </si>
  <si>
    <t>peter.psota@justice.sk</t>
  </si>
  <si>
    <t>Suvorovova 5/C, 902 01 Pezinok</t>
  </si>
  <si>
    <t xml:space="preserve">jlhcfr@gmail.com </t>
  </si>
  <si>
    <t xml:space="preserve">Nadbrežna 5/8 Moravany </t>
  </si>
  <si>
    <t xml:space="preserve">J &amp; T REAL ESTATE, a.s. </t>
  </si>
  <si>
    <t>Pieš</t>
  </si>
  <si>
    <t>pies@jtre.sk</t>
  </si>
  <si>
    <t>Dvořákovo nábrežie 10 811 02 Bratislava</t>
  </si>
  <si>
    <t>KLIMA TREND , spol.s.r.o.</t>
  </si>
  <si>
    <t>Ing. Tomáš Košík</t>
  </si>
  <si>
    <t>kosikt@klimatrend.sk</t>
  </si>
  <si>
    <t>Štúrova 165 , Nitra 949 01</t>
  </si>
  <si>
    <t>Ing. Mario Sýkora</t>
  </si>
  <si>
    <t>sykora@klimatrend.sk</t>
  </si>
  <si>
    <t>KLIMAK, s.r.o.</t>
  </si>
  <si>
    <t>Ing. Branislav Pauk</t>
  </si>
  <si>
    <t>pauk@klimakslovakia.com</t>
  </si>
  <si>
    <t>Štúrová 165, Nitra 949 01</t>
  </si>
  <si>
    <t>Klimaservis Bratislava s.r.o.</t>
  </si>
  <si>
    <t>Dušan Uriča</t>
  </si>
  <si>
    <t>dusan.urica@klimaservisba.sk</t>
  </si>
  <si>
    <t>Domašská 10 , Bratislava</t>
  </si>
  <si>
    <t>Zuzana Schniererová</t>
  </si>
  <si>
    <t>zuzana.schniererova@klimaservisba.sk</t>
  </si>
  <si>
    <t>KlimaVal s.r.o.</t>
  </si>
  <si>
    <t>Martin Valenčin</t>
  </si>
  <si>
    <t>firma@klimaval.sk</t>
  </si>
  <si>
    <t>Pod Táborom 12918/45, Prešov</t>
  </si>
  <si>
    <t>Krajský súd v Bratislave</t>
  </si>
  <si>
    <t>Bruno Siebenstich</t>
  </si>
  <si>
    <t>bruno.siebenstich@justice.sk</t>
  </si>
  <si>
    <t>Záhradnícka 10, 813 66 Bratislava</t>
  </si>
  <si>
    <t>Krkoš Miroslav</t>
  </si>
  <si>
    <t>Miroslav Krkoš</t>
  </si>
  <si>
    <t>miroslav.krkos@citi.com</t>
  </si>
  <si>
    <t>Odbojárov 8, Bratislava</t>
  </si>
  <si>
    <t>Ivan Kršák</t>
  </si>
  <si>
    <t>krsotn@zoznam.sk</t>
  </si>
  <si>
    <t>Kubiczová</t>
  </si>
  <si>
    <t>kubimasro@gmail.com</t>
  </si>
  <si>
    <t>Kremelská 77, 84110 Bratislava, Devín</t>
  </si>
  <si>
    <t xml:space="preserve">Lightstorm Communications s.r.o. </t>
  </si>
  <si>
    <t>Tomáš Molota</t>
  </si>
  <si>
    <t>tomas.molota@lightstorm.sk</t>
  </si>
  <si>
    <t>Páričkova 18 , Bratislava</t>
  </si>
  <si>
    <t>Lightstorm Communications s.r.o.</t>
  </si>
  <si>
    <t>Peter Schill</t>
  </si>
  <si>
    <t>peter.schill@lightstorm.sk</t>
  </si>
  <si>
    <t>Magistrát hlavného mesta SR Bratislavy</t>
  </si>
  <si>
    <t>Ing. Vladimír Zdražil</t>
  </si>
  <si>
    <t>vladimir.zdrazil@bratislava.sk</t>
  </si>
  <si>
    <t>Primaciálne námestie 1, 814 99 Bratislava</t>
  </si>
  <si>
    <t>vedúci technického referátu</t>
  </si>
  <si>
    <t>Magna PT s.r.o.</t>
  </si>
  <si>
    <t>Ľuboš Porubský</t>
  </si>
  <si>
    <t>lubos.porubsky@magna.com</t>
  </si>
  <si>
    <t>Perínska cesta 282 , Kechnec</t>
  </si>
  <si>
    <t>Majer Marek</t>
  </si>
  <si>
    <t>Marek Majer</t>
  </si>
  <si>
    <t>mmarecekk@centrum.sk</t>
  </si>
  <si>
    <t>Kolónia 607, Lehnice</t>
  </si>
  <si>
    <t>Marian Kubánek</t>
  </si>
  <si>
    <t>marian.kubanek@gmail.com</t>
  </si>
  <si>
    <t xml:space="preserve">Rozmarínova 35 ,Bratislava </t>
  </si>
  <si>
    <t>Michalovích Dominika</t>
  </si>
  <si>
    <t>Dominika Michalovích</t>
  </si>
  <si>
    <t>dominika.michalovich@gmail.com</t>
  </si>
  <si>
    <t>Okružná 149, Slovenský Grob</t>
  </si>
  <si>
    <t>Tuhovská 5 , Bratislava</t>
  </si>
  <si>
    <t>MERAX SK s.r.o.</t>
  </si>
  <si>
    <t>Marian Čermák</t>
  </si>
  <si>
    <t>merax@merax.sk</t>
  </si>
  <si>
    <t>Kpt. Nálepku 102 , 934 01 Levice</t>
  </si>
  <si>
    <t>m-plan, s.r.o.</t>
  </si>
  <si>
    <t>Ing. Marek Blaho</t>
  </si>
  <si>
    <t>blaho@mplan.sk</t>
  </si>
  <si>
    <t>Rybničná 40, Bratislava</t>
  </si>
  <si>
    <t>MSD Company s.r.o.</t>
  </si>
  <si>
    <t>Ing. Richard Maček</t>
  </si>
  <si>
    <t>macek@msdcompany.sk</t>
  </si>
  <si>
    <t>Nádražná 50, Ivanka pri Dunaji</t>
  </si>
  <si>
    <t>project manager</t>
  </si>
  <si>
    <t>Národná banka Slovenska</t>
  </si>
  <si>
    <t>Lubor Vitek</t>
  </si>
  <si>
    <t>lubor.vitek@nbs.sk</t>
  </si>
  <si>
    <t>Imricha Karvaša 1 , Bratislava</t>
  </si>
  <si>
    <t xml:space="preserve">Národná banka Slovenska  </t>
  </si>
  <si>
    <t>Dušan Zvač</t>
  </si>
  <si>
    <t>dusan.zvac@nbs.sk</t>
  </si>
  <si>
    <t>NBI s.r.o.</t>
  </si>
  <si>
    <t>Nikita Balašov</t>
  </si>
  <si>
    <t>nbi@nbi.sk</t>
  </si>
  <si>
    <t>Mliekarenská 19m, 821 09 Bratislava</t>
  </si>
  <si>
    <t>Neibrs s.r.o.</t>
  </si>
  <si>
    <t>Rastislav Nemčík</t>
  </si>
  <si>
    <t>nemcik@neibrs.sk</t>
  </si>
  <si>
    <t>Dulovo nám. - Páričkova 29, 821 08 Bratislava</t>
  </si>
  <si>
    <t>Niersberger Slovakia , s.r.o.</t>
  </si>
  <si>
    <t>Ing. Martin Škvarka</t>
  </si>
  <si>
    <t>skvarka@niersberger.sk</t>
  </si>
  <si>
    <t>Bytčická cesta 82 , Žilina</t>
  </si>
  <si>
    <t xml:space="preserve">Niersberger Slovakia , s.r.o.    </t>
  </si>
  <si>
    <t>Marian Raffaj</t>
  </si>
  <si>
    <t>raffaj@niersberger.sk</t>
  </si>
  <si>
    <t xml:space="preserve">Niersberger Slovakia , s.r.o. </t>
  </si>
  <si>
    <t xml:space="preserve">Peter Lajčok </t>
  </si>
  <si>
    <t>lajcok@niersberger.sk</t>
  </si>
  <si>
    <t>OLO - Odvoz a likvidácia odpadu a.s.</t>
  </si>
  <si>
    <t>Zuzana Machalíková</t>
  </si>
  <si>
    <t>machalikova@olo.sk</t>
  </si>
  <si>
    <t>Ivanská cesta 22, Bratislava</t>
  </si>
  <si>
    <t>OTP Banka Slovensko a.s.</t>
  </si>
  <si>
    <t>Ing.Ľuboš Calpaš</t>
  </si>
  <si>
    <t>calpas@otpbanka.sk</t>
  </si>
  <si>
    <t>Štúrova 5, Bratislava</t>
  </si>
  <si>
    <t xml:space="preserve">OTP Banka Slovensko a.s. </t>
  </si>
  <si>
    <t>Mgr. Lubor Sekáč</t>
  </si>
  <si>
    <t>sekac@otpbanka.sk</t>
  </si>
  <si>
    <t>Ing. Ladislav Kalman</t>
  </si>
  <si>
    <t>kalman@otpbanka.sk</t>
  </si>
  <si>
    <t>ONE Fashion Outlet1 s.r.o.</t>
  </si>
  <si>
    <t>Jaroslav Feder</t>
  </si>
  <si>
    <t>jaroslav.feder@1outlet.sk</t>
  </si>
  <si>
    <t>Ržová dolina 25, Bratislava</t>
  </si>
  <si>
    <t>Orange Slovensko a.s.</t>
  </si>
  <si>
    <t>Mgr. Tomáš Zápražný</t>
  </si>
  <si>
    <t>tomas.zaprazny@orange.com</t>
  </si>
  <si>
    <t>Metodova 8 , Bratislava</t>
  </si>
  <si>
    <t xml:space="preserve">Orange Slovensko a.s.  </t>
  </si>
  <si>
    <t>Ing. Peter Cvitkovič</t>
  </si>
  <si>
    <t>peter.cvitkovic@orange.com</t>
  </si>
  <si>
    <t>Orange BB</t>
  </si>
  <si>
    <t>Orbita Motors, a.s.</t>
  </si>
  <si>
    <t>Ing. arch. Peter Varga</t>
  </si>
  <si>
    <t>vargapeter@vargapeter.sk</t>
  </si>
  <si>
    <t>Bohrova 1, 851 01 Bratislava</t>
  </si>
  <si>
    <t>PE.GA.S. s.r.o.</t>
  </si>
  <si>
    <t>Ing. Michal Olexa</t>
  </si>
  <si>
    <t>michal.olexa@pegasklima.eu</t>
  </si>
  <si>
    <t>Sabinovská 44, Prešov</t>
  </si>
  <si>
    <t>riaditeľ</t>
  </si>
  <si>
    <t xml:space="preserve">POBA servis a.s. </t>
  </si>
  <si>
    <t>Ing. Martin Majda</t>
  </si>
  <si>
    <t>majda@pobaservis.sk</t>
  </si>
  <si>
    <t>Karloveská 34 , Bratislava</t>
  </si>
  <si>
    <t xml:space="preserve">POBA servis a.s.  </t>
  </si>
  <si>
    <t>Ing. Miloš Klobučník</t>
  </si>
  <si>
    <t>klobucnik@pobaservis.sk</t>
  </si>
  <si>
    <t>Powering s.r.o.</t>
  </si>
  <si>
    <t>Ing. Dominik Dubovský</t>
  </si>
  <si>
    <t>dubovsky@powering.sk</t>
  </si>
  <si>
    <t>Galvaniho 8, 821 04 Bratislava</t>
  </si>
  <si>
    <t>PRO.GROUP s.r.o.</t>
  </si>
  <si>
    <t>Ing. Bajtek Martin</t>
  </si>
  <si>
    <t>Martin.Bajtek@apro.sk</t>
  </si>
  <si>
    <t>Gaštanová 3822/1, 811 04 Bratislava</t>
  </si>
  <si>
    <t>Process Technik s.r.o.</t>
  </si>
  <si>
    <t>Róbet Fest</t>
  </si>
  <si>
    <t>process@processtechnik.sk</t>
  </si>
  <si>
    <t>Akademická 2  ,Nitra</t>
  </si>
  <si>
    <t xml:space="preserve">Process Technik s.r.o. </t>
  </si>
  <si>
    <t>Dušan Chrenko</t>
  </si>
  <si>
    <t>PK Partner s.r.o.</t>
  </si>
  <si>
    <t>Lubomír Stančo</t>
  </si>
  <si>
    <t>l.stanco@pkpartner.eu</t>
  </si>
  <si>
    <t>Športová 1334 ,Kysucké Nové Mesto</t>
  </si>
  <si>
    <t xml:space="preserve">PK Partner s.r.o.  </t>
  </si>
  <si>
    <t>Ing. Gašperák Peter</t>
  </si>
  <si>
    <t>p.gasperak@pkpartner.eu</t>
  </si>
  <si>
    <t>PORS-WEST, s.r.o.</t>
  </si>
  <si>
    <t>Mária Mitošinková</t>
  </si>
  <si>
    <t>02/44454803</t>
  </si>
  <si>
    <t>bosanska@ba.sintra.sk</t>
  </si>
  <si>
    <t>Pluhová 2 ,831 03 Bratislava</t>
  </si>
  <si>
    <t>PURE FORM s.r.o.</t>
  </si>
  <si>
    <t>Mgr.art. Ing. Roman Palko</t>
  </si>
  <si>
    <t>palko@pure-form.sk</t>
  </si>
  <si>
    <t>Františkánska 2, 811 01 Bratislava</t>
  </si>
  <si>
    <t>RISERVIS s.r.o.</t>
  </si>
  <si>
    <t xml:space="preserve">Richard Sebera </t>
  </si>
  <si>
    <t>servis@riservis.sk</t>
  </si>
  <si>
    <t>Janotova 14, Bratislava</t>
  </si>
  <si>
    <t>Rojková Miroslava</t>
  </si>
  <si>
    <t>Miroslava Rojková</t>
  </si>
  <si>
    <t>miroslava.kuciakova@gmail.com</t>
  </si>
  <si>
    <t>Školská 918/54B, 90045 Malinovo</t>
  </si>
  <si>
    <t>Spaceplan Factory s.r.o.</t>
  </si>
  <si>
    <t>Ing. Ladislav Vilner</t>
  </si>
  <si>
    <t>vilner@spaceplan.sk</t>
  </si>
  <si>
    <t>Vysoká 26 , Bratislava</t>
  </si>
  <si>
    <t>Slovenská produkčná a.s.</t>
  </si>
  <si>
    <t>Roman Kulišiak</t>
  </si>
  <si>
    <t>kulisiak@joj.sk</t>
  </si>
  <si>
    <t>Brečtanová 1 , BA</t>
  </si>
  <si>
    <t xml:space="preserve">Slovenská produkčná a.s. </t>
  </si>
  <si>
    <t>Dezider Fischer</t>
  </si>
  <si>
    <t>hatala@joj.sk</t>
  </si>
  <si>
    <t>Slovenská revízna a servisná spoločnosť s. r. o.</t>
  </si>
  <si>
    <t>Adam Žák</t>
  </si>
  <si>
    <t>zak@srss.sk</t>
  </si>
  <si>
    <t>Buzalkova 10037/10, Bratislava</t>
  </si>
  <si>
    <t>Sberbank Slovensko</t>
  </si>
  <si>
    <t>Anton Vyberal</t>
  </si>
  <si>
    <t>anton.vyberal@sberbank.sk</t>
  </si>
  <si>
    <t>Hlavná 997/14,Galanta</t>
  </si>
  <si>
    <t xml:space="preserve">Sociálna poisťovňa </t>
  </si>
  <si>
    <t xml:space="preserve">Július Sasko </t>
  </si>
  <si>
    <t>Julius.Sasko@socpoist.sk</t>
  </si>
  <si>
    <t xml:space="preserve">Ul. 29. augusta, 813 63 Bratislava </t>
  </si>
  <si>
    <t>STU FEI Bratislava</t>
  </si>
  <si>
    <t>Ing. Miroslav Peško</t>
  </si>
  <si>
    <t>miroslav.pesko@stuba.sk</t>
  </si>
  <si>
    <t>Ilkovičova 3 ,812 19 Bratislava</t>
  </si>
  <si>
    <t>STU  Bratislava</t>
  </si>
  <si>
    <t>Ing. Julius Binder</t>
  </si>
  <si>
    <t>julo@binder.sk</t>
  </si>
  <si>
    <t>Vazovova 5 , Bratislava</t>
  </si>
  <si>
    <t>Samsung Electronics Europe logistic B.V.</t>
  </si>
  <si>
    <t>Ing. Tibor Helienek</t>
  </si>
  <si>
    <t>t.helienek@samsung.com</t>
  </si>
  <si>
    <t>Gán</t>
  </si>
  <si>
    <t>Synlab Slovakia s.r.o.</t>
  </si>
  <si>
    <t>Ing. Marián Ragan</t>
  </si>
  <si>
    <t>marian.ragan@synlab.sk</t>
  </si>
  <si>
    <t>Limbová 5, Bratislava</t>
  </si>
  <si>
    <t xml:space="preserve">Synlab Slovakia s.r.o. </t>
  </si>
  <si>
    <t xml:space="preserve">Ing. Jana Jurková </t>
  </si>
  <si>
    <t>jana.jurkova@synlab.sk</t>
  </si>
  <si>
    <t xml:space="preserve">Synlab Slovakia s.r.o.  </t>
  </si>
  <si>
    <t>Ing. Vladislav Kocmunda</t>
  </si>
  <si>
    <t>vladislav.kocmunda@synlab.sk</t>
  </si>
  <si>
    <t>Stavoklima s.r.o.</t>
  </si>
  <si>
    <t>Lukáš Houska</t>
  </si>
  <si>
    <t>houska@stavoklima.cz</t>
  </si>
  <si>
    <t>Budejovická 450, Homole</t>
  </si>
  <si>
    <t>Stavotech SK s.r.o.</t>
  </si>
  <si>
    <t xml:space="preserve">Ing. Katarína Michaligová </t>
  </si>
  <si>
    <t>michaligova@stavotechsk.sk</t>
  </si>
  <si>
    <t>Miestneho priemyslu1085,Námestovo</t>
  </si>
  <si>
    <t>Contikit Púchov</t>
  </si>
  <si>
    <t>TB TECHNIKA s.r.o.</t>
  </si>
  <si>
    <t>Ing. Jozef Žulko</t>
  </si>
  <si>
    <t>zulko@tbtechnika.sk</t>
  </si>
  <si>
    <t>Kpt. Weinholda 34, Zemianske Kostoľany</t>
  </si>
  <si>
    <t>TECHTEAM, s.r.o.</t>
  </si>
  <si>
    <t>Bc.Stanislava Sušinová</t>
  </si>
  <si>
    <t>cenari@techteam.sk</t>
  </si>
  <si>
    <t>Tomášiková 17, 821 09 Bratislava</t>
  </si>
  <si>
    <t>Towercom a.s.</t>
  </si>
  <si>
    <t>Ing. Miroslav Jarolín</t>
  </si>
  <si>
    <t>miroslav.jarolin@towercom.sk</t>
  </si>
  <si>
    <t>Cesta na Kamzík 14 , Bratislava</t>
  </si>
  <si>
    <t xml:space="preserve">Towercom a.s. </t>
  </si>
  <si>
    <t>Ing. Juraj Bezúch</t>
  </si>
  <si>
    <t>juraj.bezuch@towercom.sk</t>
  </si>
  <si>
    <t xml:space="preserve">Towercom a.s.      </t>
  </si>
  <si>
    <t>Ing. Jozef Strinič</t>
  </si>
  <si>
    <t>jozef.strinic@towercom.sk</t>
  </si>
  <si>
    <t xml:space="preserve">Towercom a.s.       </t>
  </si>
  <si>
    <t>Ing. Ján Vegh</t>
  </si>
  <si>
    <t>jan.vegh@towercom.sk</t>
  </si>
  <si>
    <t xml:space="preserve">Towercom a.s.     </t>
  </si>
  <si>
    <t>Ján Lešťan</t>
  </si>
  <si>
    <t>jan.lestan@towercom.sk</t>
  </si>
  <si>
    <t xml:space="preserve">Towercom a.s.   </t>
  </si>
  <si>
    <t>Peter Matis</t>
  </si>
  <si>
    <t>peter.matis@towercom.sk</t>
  </si>
  <si>
    <t>Úrad vlády SR</t>
  </si>
  <si>
    <t>Miroslav Štefánek</t>
  </si>
  <si>
    <t>miroslav.stefanek@vlada.gov.sk</t>
  </si>
  <si>
    <t>Námestie slobody , Bratilslava</t>
  </si>
  <si>
    <t>Úrad geodezie kartografie a katastra SR</t>
  </si>
  <si>
    <t>Mgr. Martin Nociar</t>
  </si>
  <si>
    <t>421 2 20816063</t>
  </si>
  <si>
    <t>martin.nociar@skgeodesy.sk</t>
  </si>
  <si>
    <t>Chlumeckého 2 , 82012 Bratislava212</t>
  </si>
  <si>
    <t>UNIVENTA, s.r.o.</t>
  </si>
  <si>
    <t>Marc Feld</t>
  </si>
  <si>
    <t>obchod@univenta.sk</t>
  </si>
  <si>
    <t>Rybničná 40/A, Bratislava</t>
  </si>
  <si>
    <t xml:space="preserve">Univerzita Tomáše Bati ve Zlíně </t>
  </si>
  <si>
    <t>Radomír Ševčík</t>
  </si>
  <si>
    <t>sevcik@rektorat.utb.cz</t>
  </si>
  <si>
    <t>Nám. T. G. Masaryka 5555,Zlín</t>
  </si>
  <si>
    <t xml:space="preserve">Univerzita Tomáše Bati ve Zlíně  </t>
  </si>
  <si>
    <t>Antonín Dlabač</t>
  </si>
  <si>
    <t>dlabac@rektorat.utb.cz</t>
  </si>
  <si>
    <t xml:space="preserve">Univerzita Tomáše Bati ve Zlíně   </t>
  </si>
  <si>
    <t>Jaroslav Kocfelda</t>
  </si>
  <si>
    <t>kocfelda@rektorat.utb.cz</t>
  </si>
  <si>
    <t xml:space="preserve">Varga František </t>
  </si>
  <si>
    <t>MUDr. František Varga</t>
  </si>
  <si>
    <t>wargha@e-net.sk</t>
  </si>
  <si>
    <t>Hečkova 28, Senec</t>
  </si>
  <si>
    <t>Vertiv Slovakia , a.s.</t>
  </si>
  <si>
    <t>Ing. Matúš Macura</t>
  </si>
  <si>
    <t>matus.macura@vertivco.com</t>
  </si>
  <si>
    <t>Nišovice 9, 387 01 Nišovice</t>
  </si>
  <si>
    <t xml:space="preserve">Vertiv Slovakia , a.s. </t>
  </si>
  <si>
    <t>Ing. Zdenek Červený</t>
  </si>
  <si>
    <t>zdenek.cerveny@vertivco.com</t>
  </si>
  <si>
    <t xml:space="preserve">Vertiv Slovakia , a.s.  </t>
  </si>
  <si>
    <t>Ing. Ján Perejda</t>
  </si>
  <si>
    <t>jan.perejda@vertivco.com</t>
  </si>
  <si>
    <t>Piešťanská 1202/44 , Nové mesto nad Váhom</t>
  </si>
  <si>
    <t>VIP Handling a.s.</t>
  </si>
  <si>
    <t>VNET a.s</t>
  </si>
  <si>
    <t>Mgr. Vladimír Kupčo</t>
  </si>
  <si>
    <t>kupco@vnet.eu</t>
  </si>
  <si>
    <t>Nánestie hraničiarov 39 , Bratislava</t>
  </si>
  <si>
    <t>Vysoká škola výtvarných umení v Bratislave</t>
  </si>
  <si>
    <t>Mgr. Ondrej Tkáč</t>
  </si>
  <si>
    <t>tkac@vsvu.sk</t>
  </si>
  <si>
    <t>Hviezdoslavovo nám. 18, Bratislava</t>
  </si>
  <si>
    <t>Zeppelin SK s.r.o.</t>
  </si>
  <si>
    <t>Ing. Peter Barcík</t>
  </si>
  <si>
    <t>peter.barcik@zeppelin.sk</t>
  </si>
  <si>
    <t>Zvolenská cesta 14605/50, 974 05 Banská Bystrica - Kráľová</t>
  </si>
  <si>
    <t>ZSE Elektrárne s.r.o.</t>
  </si>
  <si>
    <t>Ing. Peter Ševečka</t>
  </si>
  <si>
    <t>Peter.Sevecka@ppc-malzenice.sk</t>
  </si>
  <si>
    <t>SPP Kompresorová stanica 3,919 33 Trakovice</t>
  </si>
  <si>
    <t xml:space="preserve">ZSE Elektrárne s.r.o.  </t>
  </si>
  <si>
    <t>Ing. Marian Greif</t>
  </si>
  <si>
    <t>Marian.Greif@eon-slovensko.sk</t>
  </si>
  <si>
    <t xml:space="preserve">J&amp;L Construction s.r.o </t>
  </si>
  <si>
    <t>Ing. Aleš Pláteník</t>
  </si>
  <si>
    <t>P.č.</t>
  </si>
  <si>
    <t>Cenotvorba</t>
  </si>
  <si>
    <t>Kód položky</t>
  </si>
  <si>
    <t>Popis položky</t>
  </si>
  <si>
    <t>Merná jednotka</t>
  </si>
  <si>
    <t>Množstvo</t>
  </si>
  <si>
    <t>Cena spolu</t>
  </si>
  <si>
    <t>Jednotková cena</t>
  </si>
  <si>
    <t>Hadica na kondenz 16 mm</t>
  </si>
  <si>
    <t>Hadica na kondenz 18 mm</t>
  </si>
  <si>
    <t>m</t>
  </si>
  <si>
    <t>Hisense</t>
  </si>
  <si>
    <t>Dodávka</t>
  </si>
  <si>
    <t>Montáž</t>
  </si>
  <si>
    <t>Hodinovka</t>
  </si>
  <si>
    <t>Eur/hod</t>
  </si>
  <si>
    <t>MONTÁŽ</t>
  </si>
  <si>
    <t>Technik</t>
  </si>
  <si>
    <t>MaR</t>
  </si>
  <si>
    <t>Dozor</t>
  </si>
  <si>
    <t>NÁKLADY</t>
  </si>
  <si>
    <t>MARŽA</t>
  </si>
  <si>
    <t>Nákup spolu</t>
  </si>
  <si>
    <t>DODÁVKA</t>
  </si>
  <si>
    <t>Materiál SPOLU</t>
  </si>
  <si>
    <t>Montáž SPOLU</t>
  </si>
  <si>
    <t>Náklady SPOLU</t>
  </si>
  <si>
    <t>Dodávka spolu</t>
  </si>
  <si>
    <t>Doprava SPOLU</t>
  </si>
  <si>
    <t>Dodávka SPOLU</t>
  </si>
  <si>
    <t>ZISK Montáž</t>
  </si>
  <si>
    <t>ZISK Dodávka</t>
  </si>
  <si>
    <t>Typ</t>
  </si>
  <si>
    <t>NÁKUP</t>
  </si>
  <si>
    <t>zľava (%)</t>
  </si>
  <si>
    <t>Jedn. cena po zľave</t>
  </si>
  <si>
    <t>Doprava spolu</t>
  </si>
  <si>
    <t>Počet km spolu</t>
  </si>
  <si>
    <t>Typ dopravy</t>
  </si>
  <si>
    <t>ZĽAVA</t>
  </si>
  <si>
    <t>Powering</t>
  </si>
  <si>
    <t>Tvarovky</t>
  </si>
  <si>
    <t>PVC podstavec 450 mm</t>
  </si>
  <si>
    <t>Podstavec z vulkanizovanej gumy 450 mm</t>
  </si>
  <si>
    <t>Silentbloky 48x20 mm set</t>
  </si>
  <si>
    <t>Konzola 450 mm s vodováhou (80 kg)</t>
  </si>
  <si>
    <t>Konzola 450 mm s vodováhou (100 kg)</t>
  </si>
  <si>
    <t>Montáž spolu</t>
  </si>
  <si>
    <t>Počet hodín</t>
  </si>
  <si>
    <t>Počet ľudí</t>
  </si>
  <si>
    <t>Typ montáž-nika</t>
  </si>
  <si>
    <t>Jedn. cena montáž</t>
  </si>
  <si>
    <t>ZISK SPOLU</t>
  </si>
  <si>
    <t>Cena zariadení a montáže</t>
  </si>
  <si>
    <t>Všetky neocenené položky budú v prípade potreby ocenené dodatočne.</t>
  </si>
  <si>
    <t>Termín dodania</t>
  </si>
  <si>
    <t>Platobné podmienky</t>
  </si>
  <si>
    <t>Platnosť ponuky:</t>
  </si>
  <si>
    <t>Záručná doba:</t>
  </si>
  <si>
    <t>Podmienky platnosti záruky</t>
  </si>
  <si>
    <t>Servisné a montážne práce môže vykonávať iba firma zaškolená a certifikovaná na tento účel priamo výrobcom alebo zástupcom výrobcu.</t>
  </si>
  <si>
    <t>Záruka sa nevzťahuje</t>
  </si>
  <si>
    <t>Na škody a poruchy vzniknuté neodbornou alebo neautorizovanou obsluhou a manipuláciou.</t>
  </si>
  <si>
    <t>S pozdravom</t>
  </si>
  <si>
    <t>Vykonávanie pravidelných servisných prehliadok min 1x ročne autorizovanou servisnou firmou. Tieto prehliadky nie sú súčasťou CP, ale je to samostatne platená činnosť, ktorú si musí investor zabezpečiť na vlastné náklady.</t>
  </si>
  <si>
    <t>Používanie výhradne originálnych náhradných dielov.</t>
  </si>
  <si>
    <t>Na spotrebné náhradné diely.</t>
  </si>
  <si>
    <t>Na škody vzniknuté prevádzkou zariadenia v podmienkach, ktoré sú v rozpore s prevádzkovými predpismi určenými výrobcom pre toto zariadenie.</t>
  </si>
  <si>
    <t>Zákazkár</t>
  </si>
  <si>
    <t>MONTÁŽNICI</t>
  </si>
  <si>
    <t>SUM</t>
  </si>
  <si>
    <t>Zľava</t>
  </si>
  <si>
    <t>Dodávateľ</t>
  </si>
  <si>
    <t>Suma zľavy</t>
  </si>
  <si>
    <t>Popis</t>
  </si>
  <si>
    <t>60 dní.</t>
  </si>
  <si>
    <t>Na škody a poruchy vzniknuté neodborným alebo neautorizovaným servisným zásahom.</t>
  </si>
  <si>
    <t>€/km</t>
  </si>
  <si>
    <t>Spojka na hadicu 16 mm</t>
  </si>
  <si>
    <t>Žľab 120x75 mm + tvarovky</t>
  </si>
  <si>
    <t>Príplatok tvarovky</t>
  </si>
  <si>
    <t>Vidlica lomená</t>
  </si>
  <si>
    <t>PRÍPLATOK</t>
  </si>
  <si>
    <t>Cenník</t>
  </si>
  <si>
    <t>Chladivo R32</t>
  </si>
  <si>
    <t>Chladivo R410A</t>
  </si>
  <si>
    <t>Suma 2</t>
  </si>
  <si>
    <t>Suma 1</t>
  </si>
  <si>
    <t>VÝSLEDNÁ CENA</t>
  </si>
  <si>
    <t>Náklad + zisk</t>
  </si>
  <si>
    <t>KONEČNÁ CENA BEZ DPH</t>
  </si>
  <si>
    <t>ZĽAVA NA PROJEKT - POWERING</t>
  </si>
  <si>
    <t>0,50 €/km</t>
  </si>
  <si>
    <t>0,30 €/km</t>
  </si>
  <si>
    <t>0,70 €/km</t>
  </si>
  <si>
    <t>Pôvodná nákupná cena</t>
  </si>
  <si>
    <t>Zľavnená nákupná cena</t>
  </si>
  <si>
    <t>NÁKLAD SPOLU</t>
  </si>
  <si>
    <t>KONEČNÁ CENA</t>
  </si>
  <si>
    <t>Redukcia Y na kondenz</t>
  </si>
  <si>
    <t>Obchodný zástupca</t>
  </si>
  <si>
    <t>Náklady + Rozpustený náklad SPOLU</t>
  </si>
  <si>
    <t>Hadica na kondenz 20 mm</t>
  </si>
  <si>
    <t>Cena z</t>
  </si>
  <si>
    <t>Aktualizované</t>
  </si>
  <si>
    <t>cenník</t>
  </si>
  <si>
    <t>Konzola na zem FFMINI čierna do 360 kg</t>
  </si>
  <si>
    <t>Konzola na zem SP740 biela do 200 kg</t>
  </si>
  <si>
    <t>Káblový ovládač základný 86x86 mm</t>
  </si>
  <si>
    <t>Centrálny ovládač pre 16 jednotiek</t>
  </si>
  <si>
    <t xml:space="preserve">Refnet pre TWIN </t>
  </si>
  <si>
    <t>Refnet pre TRIPLE</t>
  </si>
  <si>
    <t>Refnet pre QUADRI</t>
  </si>
  <si>
    <t>LCAC AHU Kit riadiaci modul</t>
  </si>
  <si>
    <t>Wi-Fi modul</t>
  </si>
  <si>
    <t>Externý farebný dotykový ovládač pre TČ 4"</t>
  </si>
  <si>
    <t>Hi-MIT Wi-Fi modul pre TČ</t>
  </si>
  <si>
    <t>Izbový termostat ovládací</t>
  </si>
  <si>
    <t>Nástenný snímač teploty káblový pre TČ</t>
  </si>
  <si>
    <t>Príložný snímač teploty vody pre TÚV</t>
  </si>
  <si>
    <t>3-cestný ventil so servopohonom</t>
  </si>
  <si>
    <t>Externý snímač vzduchu doplnkový</t>
  </si>
  <si>
    <t>TČ Hisense Monoblok 8,0 kW</t>
  </si>
  <si>
    <t>TČ Hisense Monoblok 4,4 kW</t>
  </si>
  <si>
    <t>TČ Hisense Split Integra Hydrobox pre 8,0 kW</t>
  </si>
  <si>
    <t>TČ Hisense Split Integra Hydrobox pre 6,0 kW</t>
  </si>
  <si>
    <t>TČ Hisense Split Integra Hydrobox pre 4,4 kW</t>
  </si>
  <si>
    <t>TČ Hisense Split Hydrobox pre 8,0 kW</t>
  </si>
  <si>
    <t>TČ Hisense Split Hydrobox pre 6,0 kW</t>
  </si>
  <si>
    <t>TČ Hisense Split Hydrobox pre 4,4 kW</t>
  </si>
  <si>
    <t>TČ Hisense Split vonkajšia jednotka 8,0 kW</t>
  </si>
  <si>
    <t>TČ Hisense Split vonkajšia jednotka 6,0 kW</t>
  </si>
  <si>
    <t>TČ Hisense Split vonkajšia jednotka 4,4 kW</t>
  </si>
  <si>
    <t>Veronika Husárová</t>
  </si>
  <si>
    <t>servis.rozpocty@edt.sk</t>
  </si>
  <si>
    <t>Dodávka a montáž klimatizácie</t>
  </si>
  <si>
    <t>Konzola 600 mm s vodováhou (160 kg)</t>
  </si>
  <si>
    <t xml:space="preserve">Čerpadlo na odvod kondenzátu Tecnoslim </t>
  </si>
  <si>
    <t>Čerpadlo na odvod kondenzátu Mini ECOLINE</t>
  </si>
  <si>
    <t xml:space="preserve">                                   KLIMATIZÁCIE RESIDENTIAL</t>
  </si>
  <si>
    <t xml:space="preserve">              PARAPETNÉ/PODSTROPNÉ</t>
  </si>
  <si>
    <t xml:space="preserve">              KONZOLOVÉ</t>
  </si>
  <si>
    <t xml:space="preserve">                                                TEPELNÉ ČERPADLÁ</t>
  </si>
  <si>
    <t>Potrubie Cu 6/10 x 0,8 Dual</t>
  </si>
  <si>
    <t>Potrubie Cu 6/12 x 0,8 Dual</t>
  </si>
  <si>
    <t>Potrubie Cu 6 x 0,8 Single</t>
  </si>
  <si>
    <t>Potrubie Cu 10 x 0,8 Single</t>
  </si>
  <si>
    <t>Potrubie Cu 12 x 0,8 Single</t>
  </si>
  <si>
    <t>Potrubie Cu 16 x 1,0 Single</t>
  </si>
  <si>
    <t xml:space="preserve">                                         MATERIÁL BEIJER ANMIMA</t>
  </si>
  <si>
    <t xml:space="preserve">                                           MATERIÁL POWERING</t>
  </si>
  <si>
    <t>https://www.elektro-sychra.sk/istic-ltn-32c-1-p801/</t>
  </si>
  <si>
    <t>Istič LTN 32C/1 6 kA (32 A)</t>
  </si>
  <si>
    <t>Istič LTE 25C/1 6 kA (25 A)</t>
  </si>
  <si>
    <t>Istič LTE 20C/1 6 kA (20 A)</t>
  </si>
  <si>
    <t>Istič LTE 16C/1 6 kA (16 A)</t>
  </si>
  <si>
    <t>https://www.elektro-sychra.sk/oez-lte-25c-1-p6187/</t>
  </si>
  <si>
    <t>https://www.elektro-sychra.sk/istic-lte-16c-3-p849/</t>
  </si>
  <si>
    <t>Istič LTE 16C/3 6 kA (16 A)</t>
  </si>
  <si>
    <t>Istič LTE 32C/3 6 kA (32 A)</t>
  </si>
  <si>
    <t>https://www.aktaon.com/vodic-cysy-3x6-0-h05vv-f-p16516</t>
  </si>
  <si>
    <t>https://www.aktaon.com/vodic-cysy-3x4-0-h05vv-f-p16515</t>
  </si>
  <si>
    <t>https://www.elektro-sychra.sk/istic-lte-20c-1-p789/</t>
  </si>
  <si>
    <t>https://www.aktaon.com/vodic-cysy-5x2-5-h05vv-f-p16529</t>
  </si>
  <si>
    <t>TČ Hisense Split vonkajšia jednotka 10,0 kW</t>
  </si>
  <si>
    <t>TČ Hisense Split vonkajšia jednotka 12,0 kW</t>
  </si>
  <si>
    <t>TČ Hisense Split vonkajšia jednotka 14,0 kW</t>
  </si>
  <si>
    <t>TČ Hisense Split vonkajšia jednotka 16,0 kW</t>
  </si>
  <si>
    <t>TČ Hisense Split Hydrobox pre 10,0 kW</t>
  </si>
  <si>
    <t>TČ Hisense Split Hydrobox pre 12,0 kW</t>
  </si>
  <si>
    <t>TČ Hisense Split Hydrobox pre 14,0 kW</t>
  </si>
  <si>
    <t>TČ Hisense Split Hydrobox pre 16,0 kW</t>
  </si>
  <si>
    <t>kg</t>
  </si>
  <si>
    <t>Potrubie Cu 10/16 x 0,8 Dual</t>
  </si>
  <si>
    <t>Potrubie Cu 22 x 1,0 Single</t>
  </si>
  <si>
    <t>Konzola na šikmú strechu</t>
  </si>
  <si>
    <t>Beijer</t>
  </si>
  <si>
    <t>Anmima</t>
  </si>
  <si>
    <t>Počet dní</t>
  </si>
  <si>
    <t>ROZPUSTENÉ</t>
  </si>
  <si>
    <t>Rozpustený náklad</t>
  </si>
  <si>
    <t>Rozpustený zisk</t>
  </si>
  <si>
    <t>Náklad + zisk + rozp. náklad</t>
  </si>
  <si>
    <t>Zisk + Rozpustený zisk SPOLU</t>
  </si>
  <si>
    <t>Hisense AKT26 Qch=2,6 kW vnútorná konzolová + vonkajšia</t>
  </si>
  <si>
    <t>Hisense AKT35 Qch=3,5 kW vnútorná konzolová + vonkajšia</t>
  </si>
  <si>
    <t>Hisense Easy CA25 Qch=2,6 kW vnútorná nástenná + vonkajšia</t>
  </si>
  <si>
    <t>Hisense AUV105 Qch=9,5 kW vnútorná parapetná/podstropná + vonkajšia</t>
  </si>
  <si>
    <t>Hisense AVT71 Qch=7,0 kW vnútorná parapetná/podstropná + vonkajšia</t>
  </si>
  <si>
    <t>Hisense AUV125 Qch=12,1 kW vnútorná parapetná/podstropná + vonkajšia</t>
  </si>
  <si>
    <t>Hisense AUV140 Qch=13,5 kW vnútorná parapetná/podstropná + vonkajšia</t>
  </si>
  <si>
    <t>Hisense AUV175 Qch=17,0 kW vnútorná parapetná/podstropná + vonkajšia</t>
  </si>
  <si>
    <t>Hisense AKT52 Qch=4,9 kW vnútorná konzolová + vonkajšia</t>
  </si>
  <si>
    <t>Kábel CYSY 3x1,5</t>
  </si>
  <si>
    <t>Kábel CYSY 3x2,5</t>
  </si>
  <si>
    <t>Kábel CYSY 3x4</t>
  </si>
  <si>
    <t>Kábel CYSY 3x6</t>
  </si>
  <si>
    <t>Kábel CYSY 5x2,5</t>
  </si>
  <si>
    <t>Kábel CYKY-J 5x1,5</t>
  </si>
  <si>
    <t>Kábel CYKY-J 5x2,5</t>
  </si>
  <si>
    <t>Kábel JY(St)Y 1x2x0,8</t>
  </si>
  <si>
    <t>Kábel JY(St)Y 2x2x0,8</t>
  </si>
  <si>
    <t>Lišta LHD 20x20 mm</t>
  </si>
  <si>
    <t>Lišta LHD 30x30 mm</t>
  </si>
  <si>
    <t>Jednotka</t>
  </si>
  <si>
    <t>Zisk Dodávka</t>
  </si>
  <si>
    <t>Mitsubishi Economy HR25 Qch=2,5 kW vnútorná nástenná + vonkajšia</t>
  </si>
  <si>
    <t>Mitsubishi Economy HR35 Qch=5,0 kW vnútorná nástenná + vonkajšia</t>
  </si>
  <si>
    <t>Mitsubishi Economy HR35 Qch=3,5 kW vnútorná nástenná + vonkajšia</t>
  </si>
  <si>
    <t>Mitsubishi Standard AP20 Qch=2,0 kW vnútorná nástenná + vonkajšia</t>
  </si>
  <si>
    <t>Mitsubishi Standard AY25 Qch=2,5 kW vnútorná nástenná + vonkajšia</t>
  </si>
  <si>
    <t>Mitsubishi Standard AY35 Qch=3,5 kW vnútorná nástenná + vonkajšia</t>
  </si>
  <si>
    <t>Mitsubishi Standard AY42 Qch=4,2 kW vnútorná nástenná + vonkajšia</t>
  </si>
  <si>
    <t>Mitsubishi Standard AY50 Qch=5,0 kW vnútorná nástenná + vonkajšia</t>
  </si>
  <si>
    <t>Mitsubishi Standard AP60 Qch=6,1 kW vnútorná nástenná + vonkajšia</t>
  </si>
  <si>
    <t>Mitsubishi Standard AP70 Qch=7,1 kW vnútorná nástenná + vonkajšia</t>
  </si>
  <si>
    <t>CS-Mtrade</t>
  </si>
  <si>
    <t>Mitsubishi Premium EF25 Qch=2,5 kW vnútorná nástenná biela + vonkajšia</t>
  </si>
  <si>
    <t>Mitsubishi Premium EF35 Qch=3,5 kW vnútorná nástenná biela + vonkajšia</t>
  </si>
  <si>
    <t>Mitsubishi Premium EF42 Qch=4,2 kW vnútorná nástenná biela + vonkajšia</t>
  </si>
  <si>
    <t>Mitsubishi Premium EF50 Qch=5,0 kW vnútorná nástenná biela + vonkajšia</t>
  </si>
  <si>
    <t>Mitsubishi Premium EF25 Qch=2,5 kW vnútorná nástenná čierna + vonkajšia</t>
  </si>
  <si>
    <t>Mitsubishi Premium EF35 Qch=3,5 kW vnútorná nástenná čierna + vonkajšia</t>
  </si>
  <si>
    <t>Mitsubishi Premium EF42 Qch=4,2 kW vnútorná nástenná čierna + vonkajšia</t>
  </si>
  <si>
    <t>Mitsubishi Premium EF50 Qch=5,0 kW vnútorná nástenná čierna + vonkajšia</t>
  </si>
  <si>
    <t>Mitsubishi Premium EF25 Qch=2,5 kW vnútorná nástenná strieborná + vonkajšia</t>
  </si>
  <si>
    <t>Mitsubishi Premium EF35 Qch=3,5 kW vnútorná nástenná strieborná + vonkajšia</t>
  </si>
  <si>
    <t>Mitsubishi Premium EF42 Qch=4,2 kW vnútorná nástenná strieborná + vonkajšia</t>
  </si>
  <si>
    <t>Mitsubishi Premium EF50 Qch=5,0 kW vnútorná nástenná strieborná + vonkajšia</t>
  </si>
  <si>
    <t>Mitsubishi Diamond LN25 Qch=2,5 kW vnútorná nástenná čierna + vonkajšia</t>
  </si>
  <si>
    <t>Mitsubishi Diamond LN35 Qch=3,5 kW vnútorná nástenná čierna + vonkajšia</t>
  </si>
  <si>
    <t>Mitsubishi Diamond LN50 Qch=5,0 kW vnútorná nástenná čierna + vonkajšia</t>
  </si>
  <si>
    <t>Mitsubishi Diamond LN60 Qch=6,1 kW vnútorná nástenná čierna + vonkajšia</t>
  </si>
  <si>
    <t>Mitsubishi Diamond LN25 Qch=2,5 kW vnútorná nástenná perleťovo biela + vonkajšia</t>
  </si>
  <si>
    <t>Mitsubishi Diamond LN35 Qch=3,5 kW vnútorná nástenná perleťovo biela + vonkajšia</t>
  </si>
  <si>
    <t>Mitsubishi Diamond LN50 Qch=5,0 kW vnútorná nástenná perleťovo biela + vonkajšia</t>
  </si>
  <si>
    <t>Mitsubishi Diamond LN60 Qch=6,1 kW vnútorná nástenná perleťovo biela + vonkajšia</t>
  </si>
  <si>
    <t>Mitsubishi Diamond LN25 Qch=2,5 kW vnútorná nástenná prírodná biela + vonkajšia</t>
  </si>
  <si>
    <t>Mitsubishi Diamond LN35 Qch=3,5 kW vnútorná nástenná prírodná biela + vonkajšia</t>
  </si>
  <si>
    <t>Mitsubishi Diamond LN50 Qch=5,0 kW vnútorná nástenná prírodná biela + vonkajšia</t>
  </si>
  <si>
    <t>Mitsubishi Diamond LN60 Qch=6,1 kW vnútorná nástenná prírodná biela + vonkajšia</t>
  </si>
  <si>
    <t>Mitsubishi Diamond LN25 Qch=2,5 kW vnútorná nástenná rubínovo červená + vonkajšia</t>
  </si>
  <si>
    <t>Mitsubishi Diamond LN35 Qch=3,5 kW vnútorná nástenná rubínovo červená + vonkajšia</t>
  </si>
  <si>
    <t>Mitsubishi Diamond LN50 Qch=5,0 kW vnútorná nástenná rubínovo červená + vonkajšia</t>
  </si>
  <si>
    <t>Mitsubishi Diamond LN60 Qch=6,1 kW vnútorná nástenná rubínovo červená + vonkajšia</t>
  </si>
  <si>
    <t>Toshiba Seiya 07E2 Qch=2,0 kW vnútorná nástenná + vonkajšia</t>
  </si>
  <si>
    <t>Toshiba Seiya 10E2 Qch=2,5 kW vnútorná nástenná + vonkajšia</t>
  </si>
  <si>
    <t>Toshiba Seiya 13E2 Qch=3,5 kW vnútorná nástenná + vonkajšia</t>
  </si>
  <si>
    <t>Toshiba Seiya 16E2 Qch=4,2 kW vnútorná nástenná + vonkajšia</t>
  </si>
  <si>
    <t>Toshiba Seiya 18E2 Qch=5,0 kW vnútorná nástenná + vonkajšia</t>
  </si>
  <si>
    <t>Toshiba Seiya 24E2 Qch=6,5 kW vnútorná nástenná + vonkajšia</t>
  </si>
  <si>
    <t>Toshiba Shorai Edge 07J2 Qch=2,0 kW vnútorná nástenná + vonkajšia</t>
  </si>
  <si>
    <t>Toshiba Shorai Edge 10J2 Qch=2,5 kW vnútorná nástenná + vonkajšia</t>
  </si>
  <si>
    <t>Toshiba Shorai Edge 13J2 Qch=3,5 kW vnútorná nástenná + vonkajšia</t>
  </si>
  <si>
    <t>Toshiba Shorai Edge 16J2 Qch=4,2 kW vnútorná nástenná + vonkajšia</t>
  </si>
  <si>
    <t>Toshiba Shorai Edge 18J2 Qch=5,0 kW vnútorná nástenná + vonkajšia</t>
  </si>
  <si>
    <t>Toshiba Shorai Edge 22J2 Qch=6,1 kW vnútorná nástenná + vonkajšia</t>
  </si>
  <si>
    <t>Toshiba Shorai Edge 24J2 Qch=7,0 kW vnútorná nástenná + vonkajšia</t>
  </si>
  <si>
    <t>Toshiba Shorai Edge Black 07G3 Qch=2,0 kW vnútorná nástenná čierna+ vonkajšia</t>
  </si>
  <si>
    <t>Toshiba Shorai Edge Black 10G3 Qch=2,5 kW vnútorná nástenná čierna + vonkajšia</t>
  </si>
  <si>
    <t>Toshiba Shorai Edge Black 13G3 Qch=3,5 kW vnútorná nástenná čierna + vonkajšia</t>
  </si>
  <si>
    <t>Toshiba Shorai Edge Black 16G3 Qch=4,2 kW vnútorná nástenná čierna + vonkajšia</t>
  </si>
  <si>
    <t>Toshiba Shorai Edge Black 18G3 Qch=5,0 kW vnútorná nástenná čierna + vonkajšia</t>
  </si>
  <si>
    <t>Toshiba Shorai Edge Black 22G3 Qch=6,1 kW vnútorná nástenná čierna + vonkajšia</t>
  </si>
  <si>
    <t>Toshiba Shorai Edge Black 24G3 Qch=7,0 kW vnútorná nástenná čierna + vonkajšia</t>
  </si>
  <si>
    <t>Toshiba Shorai Edge White 07G3 Qch=2,0 kW vnútorná nástenná biela + vonkajšia</t>
  </si>
  <si>
    <t>Toshiba Shorai Edge White 10G3 Qch=2,5 kW vnútorná nástenná biela + vonkajšia</t>
  </si>
  <si>
    <t>Toshiba Shorai Edge White 13G3 Qch=3,5 kW vnútorná nástenná biela + vonkajšia</t>
  </si>
  <si>
    <t>Toshiba Shorai Edge White 16G3 Qch=4,2 kW vnútorná nástenná biela + vonkajšia</t>
  </si>
  <si>
    <t>Toshiba Shorai Edge White 18G3 Qch=5,0 kW vnútorná nástenná biela + vonkajšia</t>
  </si>
  <si>
    <t>Toshiba Shorai Edge White 22G3 Qch=6,1 kW vnútorná nástenná biela + vonkajšia</t>
  </si>
  <si>
    <t>Toshiba Shorai Edge White 24G3 Qch=7,0 kW vnútorná nástenná biela + vonkajšia</t>
  </si>
  <si>
    <t>Toshiba Haori 10N4 Qch=2,5 kW vnútorná nástenná + vonkajšia</t>
  </si>
  <si>
    <t>Toshiba Haori 13N4 Qch=3,5 kW vnútorná nástenná + vonkajšia</t>
  </si>
  <si>
    <t>Toshiba Haori 16N4 Qch=4,6 kW vnútorná nástenná + vonkajšia</t>
  </si>
  <si>
    <t>Toshiba Daisekai 9 10PK Qch=2,5 kW vnútorná nástenná + vonkajšia</t>
  </si>
  <si>
    <t>Toshiba Daisekai 9 13PK Qch=3,5 kW vnútorná nástenná + vonkajšia</t>
  </si>
  <si>
    <t>Toshiba Daisekai 9 16PK Qch=4,5 kW vnútorná nástenná + vonkajšia</t>
  </si>
  <si>
    <t xml:space="preserve">                                                    MITSUBISHI</t>
  </si>
  <si>
    <t xml:space="preserve">                                                       TOSHIBA</t>
  </si>
  <si>
    <t xml:space="preserve">                                                     PANASONIC</t>
  </si>
  <si>
    <t>Bankové spojenie: Slovenská sporiteľňa, a.s., IBAN: SK97 0900 0000 0051 6609 4679</t>
  </si>
  <si>
    <t>Materiálová záruka 24 mesiacov od dodávky a za podmienky použitia originálnych náhradných dielov v prípade potreby. Záruka sa nevzťahuje na spotrebné náhradné diely.</t>
  </si>
  <si>
    <t>PREBERACÍ PROTOKOL</t>
  </si>
  <si>
    <t>označenie</t>
  </si>
  <si>
    <t>Q-F-3.13</t>
  </si>
  <si>
    <t>verzia</t>
  </si>
  <si>
    <t>platnosť od</t>
  </si>
  <si>
    <t>Firma</t>
  </si>
  <si>
    <t>ZASTÚPENIE / KONTAKT</t>
  </si>
  <si>
    <t>ADRESA</t>
  </si>
  <si>
    <t>IČO</t>
  </si>
  <si>
    <t>DIČ</t>
  </si>
  <si>
    <t>Evidenčné číslo zákazky odovzdávajúceho subjektu</t>
  </si>
  <si>
    <t>Preberajúci subjekt:</t>
  </si>
  <si>
    <t xml:space="preserve"> </t>
  </si>
  <si>
    <t>Evidenčné číslo preberacieho subjektu</t>
  </si>
  <si>
    <t>Hore uvedená firma týmto preberá nasledovný tovar / služby:</t>
  </si>
  <si>
    <t>Číslo</t>
  </si>
  <si>
    <t>Tovar / služba</t>
  </si>
  <si>
    <t xml:space="preserve">Týmto hore uvedená firma prehlasuje, že prevzatý tovar/služby bol dodaný nepoškodený v plnom rozsahu v súlade s vystavenou objednávkou. </t>
  </si>
  <si>
    <t xml:space="preserve">Čitateľné meno, pečiatka a  podpis </t>
  </si>
  <si>
    <t>Čitateľné meno, pečiatka a  podpis</t>
  </si>
  <si>
    <t>zástupcu odovzdávajúcej strany</t>
  </si>
  <si>
    <t>zástupcu preberajúcej strany</t>
  </si>
  <si>
    <t>V Bratislave, dňa:</t>
  </si>
  <si>
    <r>
      <rPr>
        <b/>
        <sz val="7"/>
        <color rgb="FF333333"/>
        <rFont val="Arial"/>
        <family val="2"/>
        <charset val="238"/>
      </rPr>
      <t>E.D.T. spol. s r.o.</t>
    </r>
    <r>
      <rPr>
        <sz val="7"/>
        <color rgb="FF333333"/>
        <rFont val="Arial"/>
        <family val="2"/>
        <charset val="238"/>
      </rPr>
      <t>, Galvaniho 4324/8, 821 04 Bratislava, Slovensko, 
I</t>
    </r>
    <r>
      <rPr>
        <sz val="7"/>
        <color rgb="FF333333"/>
        <rFont val="Verdana"/>
        <family val="2"/>
        <charset val="238"/>
      </rPr>
      <t>Č</t>
    </r>
    <r>
      <rPr>
        <sz val="7"/>
        <color rgb="FF333333"/>
        <rFont val="Arial"/>
        <family val="2"/>
        <charset val="238"/>
      </rPr>
      <t>O: 35 731 761, DIČ: 2020 251 343, IČ DPH: SK 2020 251 343</t>
    </r>
  </si>
  <si>
    <t xml:space="preserve">Odovzdávajúci subjekt: </t>
  </si>
  <si>
    <t>DIGI Slovakia s.r.o.</t>
  </si>
  <si>
    <t xml:space="preserve">DIGI Slovakia s.r.o. </t>
  </si>
  <si>
    <t>Peter Hrašna</t>
  </si>
  <si>
    <t>Patrícia Kubusová</t>
  </si>
  <si>
    <t>p.kubusova@motor-car.sk</t>
  </si>
  <si>
    <t>p.hrasna@motor-car.sk</t>
  </si>
  <si>
    <t>i.seemannova@motor-car.sk</t>
  </si>
  <si>
    <t>Dominika Ďuránová</t>
  </si>
  <si>
    <t>d.duranova@motor-car.sk</t>
  </si>
  <si>
    <t>Monika Švárna</t>
  </si>
  <si>
    <t>monika.svarna@zse-energia.sk</t>
  </si>
  <si>
    <t>ZSE Energia</t>
  </si>
  <si>
    <t>Čulenova 6, 816 47 Bratislava</t>
  </si>
  <si>
    <t>Špecializovaný trestný súd</t>
  </si>
  <si>
    <t>Ing. Martin Greguš</t>
  </si>
  <si>
    <t>martin.gregus@justice.sk</t>
  </si>
  <si>
    <t xml:space="preserve">Suvorovova 4343/5A, 902 01 Pezinok </t>
  </si>
  <si>
    <t>MSD Company</t>
  </si>
  <si>
    <t>Hisense AUD250 Qch=23,0 kW vnútorná kanálová + vonkajšia</t>
  </si>
  <si>
    <t>TČ Hisense Monoblok 10,0kW</t>
  </si>
  <si>
    <t>TČ Hisense Monoblok 12,0 kW</t>
  </si>
  <si>
    <t>TČ Hisense Monoblok 14,0 kW</t>
  </si>
  <si>
    <t>TČ Hisense Monoblok 16,0 kW</t>
  </si>
  <si>
    <t>TČ Hisense Split Integra Hydrobox pre 10,0 kW</t>
  </si>
  <si>
    <t>TČ Hisense Split Integra Hydrobox pre 14,0 kW</t>
  </si>
  <si>
    <t>TČ Hisense Split Integra Hydrobox pre 12,0 kW</t>
  </si>
  <si>
    <t>TČ Hisense Split Integra Hydrobox pre 16,0 kW</t>
  </si>
  <si>
    <t>Ing. Bohuslav Štepán</t>
  </si>
  <si>
    <t>bohuslav.stepan@abonus.com</t>
  </si>
  <si>
    <t>Mgr. Martin Holík</t>
  </si>
  <si>
    <t xml:space="preserve">Motor Car Bratislava spol. s r.o.  </t>
  </si>
  <si>
    <t xml:space="preserve">Motor Car Bratislava spol. s.r.o.  </t>
  </si>
  <si>
    <t>Motor Car Bratislava spol. s.r.o.</t>
  </si>
  <si>
    <t xml:space="preserve">Motor Car Bratislava spol. s r.o.  </t>
  </si>
  <si>
    <t>Registrácia: OR Mestského súdu Bratislava III, oddiel Sro, vložka č.: 15919/B</t>
  </si>
  <si>
    <t>Zoznam položiek</t>
  </si>
  <si>
    <t>Podstavec z vulkanizovanej gumy 600 mm</t>
  </si>
  <si>
    <t>Káblový ovládač základný 120x120 mm + 10 m kábel</t>
  </si>
  <si>
    <t>B544 univerzálny ovládací modul BACnet, Modbus, Twin</t>
  </si>
  <si>
    <t>Oľga Jacová</t>
  </si>
  <si>
    <t>jacovaolga@gmail.com</t>
  </si>
  <si>
    <t>Branč</t>
  </si>
  <si>
    <t>p. Aibekova</t>
  </si>
  <si>
    <t>Galanta</t>
  </si>
  <si>
    <t>edita.aibekova@gmail.com</t>
  </si>
  <si>
    <t>Edita Aibekova</t>
  </si>
  <si>
    <t>Adam Faljs</t>
  </si>
  <si>
    <t>Adam Flajs</t>
  </si>
  <si>
    <t>flajs.adam@gmail.com</t>
  </si>
  <si>
    <t>Bajkalská29E , Bratislava</t>
  </si>
  <si>
    <t>Richard Rischter</t>
  </si>
  <si>
    <t>Richard Rishter</t>
  </si>
  <si>
    <t>Rischter@raja.sk</t>
  </si>
  <si>
    <t>Sv. Jur</t>
  </si>
  <si>
    <t>Ernst Peter</t>
  </si>
  <si>
    <t>ernst64@gmail.com</t>
  </si>
  <si>
    <t>Siladice</t>
  </si>
  <si>
    <t xml:space="preserve">Luboš Kovár </t>
  </si>
  <si>
    <t>Jana Hakoci</t>
  </si>
  <si>
    <t>jana.hakoci@gmail.com</t>
  </si>
  <si>
    <t xml:space="preserve">Žltá 4, 851 07 Bratislava </t>
  </si>
  <si>
    <t xml:space="preserve">LEYUAN, s.r.o. </t>
  </si>
  <si>
    <t>Ji</t>
  </si>
  <si>
    <t>info@cina-kuchajda.sk</t>
  </si>
  <si>
    <t>Tomašikova 55, Bratislava</t>
  </si>
  <si>
    <t>R1</t>
  </si>
  <si>
    <t>G.T LABS s.r.o</t>
  </si>
  <si>
    <t>29.02.2023</t>
  </si>
  <si>
    <t>Za mlynom 2, 83107 Bratislava - Vajnory</t>
  </si>
  <si>
    <t>2121276179</t>
  </si>
  <si>
    <t>Spoločnosť Čínska reštaurácia, s.r.o.</t>
  </si>
  <si>
    <t>5x DJ35_G_COMFORT_3,5W_IDU</t>
  </si>
  <si>
    <t xml:space="preserve">         5x DJ35_W_COMFORT_3,5kW_ODU</t>
  </si>
  <si>
    <t>5ks</t>
  </si>
  <si>
    <t>Prevzatá hotovosť:</t>
  </si>
  <si>
    <t>Slavomír Nožička</t>
  </si>
  <si>
    <t>Rokos s.r.o.</t>
  </si>
  <si>
    <t>rokos@rokos.sk</t>
  </si>
  <si>
    <t>Hradská 7</t>
  </si>
  <si>
    <r>
      <rPr>
        <b/>
        <i/>
        <sz val="7"/>
        <color rgb="FF333333"/>
        <rFont val="Arial"/>
        <family val="2"/>
        <charset val="238"/>
      </rPr>
      <t>GT Labs s.r.o. IČO 53100972 DIČ 2121276179IČ DPHSK2121276179</t>
    </r>
    <r>
      <rPr>
        <i/>
        <sz val="7"/>
        <color rgb="FF333333"/>
        <rFont val="Arial"/>
        <family val="2"/>
        <charset val="238"/>
      </rPr>
      <t>,                             podľa §4, registrácia od 5.11.2022 Sídlo GT LABS, s.r.o. Za mlynom 2 831 07 Bratislava - mestská časť Vajnory</t>
    </r>
  </si>
  <si>
    <t>Peter Vorlíček</t>
  </si>
  <si>
    <t>Peter.vorlicek@gmail.com</t>
  </si>
  <si>
    <t>Považanová 1857/4, 84102 Bratislava</t>
  </si>
  <si>
    <t>Podľa dohody</t>
  </si>
  <si>
    <t>Tomaš Cagáň</t>
  </si>
  <si>
    <t>Tomáš Cagaň</t>
  </si>
  <si>
    <t>cagan.tomas@gmail.com</t>
  </si>
  <si>
    <t>Ludovíta Fullu 56, Bratislava</t>
  </si>
  <si>
    <t>Vortech s.r.o.</t>
  </si>
  <si>
    <t>Ing. Marek Bašek</t>
  </si>
  <si>
    <t>vortech.hs@gmail.com</t>
  </si>
  <si>
    <t>Plavecký Mikulaš</t>
  </si>
  <si>
    <t>Štepan</t>
  </si>
  <si>
    <t>Jana Dracová</t>
  </si>
  <si>
    <t>janadracova@gmail.com</t>
  </si>
  <si>
    <t>Čajaková 4030/7, Bratislava</t>
  </si>
  <si>
    <t>holik@klimafresh.sk</t>
  </si>
  <si>
    <t>Konateľ</t>
  </si>
  <si>
    <t>Vojtech Mikula</t>
  </si>
  <si>
    <t>mikula@knihy-mikula.sk</t>
  </si>
  <si>
    <t>Nánestie hraničiarov 35 , Bratislava</t>
  </si>
  <si>
    <t>SINCLAIR</t>
  </si>
  <si>
    <t>ZL-112-24-248</t>
  </si>
  <si>
    <t>do 7 dní od potvrdenia objdnávky.</t>
  </si>
  <si>
    <t>Roman Dóza</t>
  </si>
  <si>
    <t>dozaroman.mobil@gmail.com</t>
  </si>
  <si>
    <t>Stavbárska 40, Bratislava</t>
  </si>
  <si>
    <t>CP-112-24-844</t>
  </si>
  <si>
    <t>Šoltes</t>
  </si>
  <si>
    <t>Dvanásta 9, Bratislava</t>
  </si>
  <si>
    <t>Dušan Šoltes</t>
  </si>
  <si>
    <t>Spolu s DPH</t>
  </si>
  <si>
    <t>mgr.peterlani@gmail.com</t>
  </si>
  <si>
    <t>Drobný montážny materiál</t>
  </si>
  <si>
    <t xml:space="preserve">Toshiba Seiya RAS-B07E2KVG-E vnútorná nástenná jednotka </t>
  </si>
  <si>
    <t xml:space="preserve">Toshiba Seiya RAS-B10E2KVG-E  vnútorná nástenná jednotka </t>
  </si>
  <si>
    <t xml:space="preserve">Toshiba Seiya RAS-B13E2KVG-E  vnútorná nástenná jednotka </t>
  </si>
  <si>
    <t xml:space="preserve">Toshiba Seiya RAS-B16E2KVG-E  vnútorná nástenná jednotka </t>
  </si>
  <si>
    <t xml:space="preserve">Toshiba Shorai Edge RAS-B07G3KVSG-E  vnútorná nástenná jednotka </t>
  </si>
  <si>
    <t xml:space="preserve">Toshiba Shorai Edge RAS-B10G3KVSG-E  vnútorná nástenná jednotka </t>
  </si>
  <si>
    <t xml:space="preserve">Toshiba Shorai Edge RAS-B13G3KVSG-E  vnútorná nástenná jednotka </t>
  </si>
  <si>
    <t xml:space="preserve">Toshiba Shorai Edge RAS-B16G3KVSG-E  vnútorná nástenná jednotka </t>
  </si>
  <si>
    <t xml:space="preserve">Toshiba Shorai Edge RAS-B18G3KVSG-E  vnútorná nástenná jednotka </t>
  </si>
  <si>
    <t xml:space="preserve">Toshiba Shorai Edge RAS-B22G3KVSG-E  vnútorná nástenná jednotka </t>
  </si>
  <si>
    <t xml:space="preserve">Toshiba Shorai Edge RAS-B24G3KVSG-E  vnútorná nástenná jednotka </t>
  </si>
  <si>
    <t xml:space="preserve">Toshiba Haori RAS-B10N4KVRG-E  vnútorná nástenná jednotka </t>
  </si>
  <si>
    <t>Toshiba R32 RAS-2M14U2AVG-E 4kW  vonkajšia jednotka</t>
  </si>
  <si>
    <t>Toshiba R32 RAS-2M18U2AVG-E 5,2kW vonkajšia jednotka</t>
  </si>
  <si>
    <t>Toshiba R32 RAS-3M18U2AVG-E 5,2kW vonkajšia jednotka</t>
  </si>
  <si>
    <t>Toshiba R32 RAS-3M26U2AVG-E 7,5kW vonkajšia jednotka</t>
  </si>
  <si>
    <t>Toshiba R32 RAS-4M27U2AVG-E 8kW vonkajšia jednotka</t>
  </si>
  <si>
    <t>Toshiba R32 RAS-5M34U2AVG-E 10kW vonkajšia jednotka</t>
  </si>
  <si>
    <t>Toshiba Outdoor unit, 4 kW
HWT-401HW-E</t>
  </si>
  <si>
    <t>Toshiba Outdoor unit, 6 kW
HWT-601HW-E</t>
  </si>
  <si>
    <t>Toshiba Outdoor unit, 8 kW
HWT-801HW-E</t>
  </si>
  <si>
    <t>Toshiba Outdoor unit, 8 kW, 3-phase
HWT-801H8W-E</t>
  </si>
  <si>
    <t>Toshiba Outdoor unit, 11 kW
HWT-1101HW-E</t>
  </si>
  <si>
    <t>Toshiba Outdoor unit, 11 kW, 3-phase
HWT-1101H8W-E</t>
  </si>
  <si>
    <t>Toshiba Outdoor unit, 14 kW
HWT-1401HW-E</t>
  </si>
  <si>
    <t>Toshiba Outdoor unit, 14 kW, 3-phase
HWT-1401H8W-E</t>
  </si>
  <si>
    <t>Toshiba  HWT-601XWHT6W-E 
Hydro indoor unit
Hydrobox Compact, 6 kW</t>
  </si>
  <si>
    <t>Toshiba HWT-1101XWHT6W-E 
Hydro indoor unit
Hydrobox Compact, 6 kW</t>
  </si>
  <si>
    <t>Toshiba HWT-1401XWHT9W-E 
 Hydro indoor unit
Hydrobox Compact, 9 kW</t>
  </si>
  <si>
    <t>Toshiba HWT-1101XWHT9W-E 
 Hydro indoor unit
Hydrobox Compact, 9 kW</t>
  </si>
  <si>
    <t>Toshiba
HWT-602S21SM3W-E
Toshiba AIO Tank Capacity 210l
Hot water cylinder, 3 kW, 1-zone</t>
  </si>
  <si>
    <t>Toshiba
HWT-602S21ST6W-E
Toshiba AIO Tank Capacity 210l
Hot water cylinder, 6 kW, 1-zone</t>
  </si>
  <si>
    <t>Toshiba
HWT-1102S21ST9W-E
Toshiba AIO Tank Capacity 210l
Hot water cylinder, 9 kW, 1-zone</t>
  </si>
  <si>
    <t>Toshiba
HWT-1102S21MT9W-E
Toshiba AIO Tank Capacity 210l
Hot water cylinder, 9 kW, 2-zone</t>
  </si>
  <si>
    <t>Toshiba
HWT-1402S21ST9W-E
Toshiba AIO Tank Capacity 210l
Hot water cylinder, 9 kW, 1-zone</t>
  </si>
  <si>
    <t>{"hash":"6d0a1205c28edd90b9716d01def9fb6b6ba74665b1ba1fc770ee03106666d940","version":1,"value":"[[\"The formula =RC[-2]*(1-RC[-1]) in Microsoft Excel is written using R1C1 reference style. It calculates the value by performing the following steps:\\n\\n1. **RC[-2]**: This part of the formula refers to a cell that is two columns to the left of the current cell in the same row. For example, if the formula is in cell C5, RC[-2] refers to cell A5.\\n\\n2. **RC[-1]**: This refers to the cell immediately to the left of the current cell in the same row. If the formula is in cell C5, RC[-1] refers to cell B5.\\n\\n3. **1-RC[-1]**: This expression subtracts the value in the cell referred to by RC[-1] from 1.\\n\\n4. **RC[-2]*(1-RC[-1])**: Finally, the formula multiplies the value from step 1 (RC[-2]) by the result from step 3 (1-RC[-1]). This results in a new value that is derived by reducing the value in RC[-2] by a percentage equal to the value in RC[-1].\\n\\nIn summary, this formula reduces the value in a cell two columns to the left by a percentage specified in the cell immediately to the left, and outputs the result in the cell where the formula is placed.\"]]"}</t>
  </si>
  <si>
    <t>TERREL SÉRIA SET INDOOR + OUTDOOR, WHITE PANEL</t>
  </si>
  <si>
    <t>MARVIN SÉRIA SET INDOOR + OUTDOOR</t>
  </si>
  <si>
    <t>Cena</t>
  </si>
  <si>
    <t>Pč</t>
  </si>
  <si>
    <t>Položky SPOLU</t>
  </si>
  <si>
    <t>c</t>
  </si>
  <si>
    <t>ACP-12CH35AEYIs R32 / I</t>
  </si>
  <si>
    <t>1 462,10 €</t>
  </si>
  <si>
    <t>ACP-12CH35AEYIs R32 / O</t>
  </si>
  <si>
    <t>ACP-07CH21AEMI/I</t>
  </si>
  <si>
    <t>216,36 €</t>
  </si>
  <si>
    <t>Vnútorná</t>
  </si>
  <si>
    <t>(vrátane RP)</t>
  </si>
  <si>
    <t>ACP-12CH35AEHI+ /I WHITE</t>
  </si>
  <si>
    <t>982,37 €</t>
  </si>
  <si>
    <t>ACP-12CH35AEHI+ R32 /O</t>
  </si>
  <si>
    <t>ACP-12CH35AEHI+ /I SILVER</t>
  </si>
  <si>
    <t>1 023,70 €</t>
  </si>
  <si>
    <t>ACP-12CH35AEHI+/I GOLD</t>
  </si>
  <si>
    <t>ACP-12CH35AEHI+ /I MIRROR</t>
  </si>
  <si>
    <t>1 072,76 €</t>
  </si>
  <si>
    <t>ACP-18CH50AEHI+ /I WHITE</t>
  </si>
  <si>
    <t>1 279,40 €</t>
  </si>
  <si>
    <t>ACP-18CH50AEHI+ R32 /O</t>
  </si>
  <si>
    <t>ACP-18CH50AEHI+ /I SILVER</t>
  </si>
  <si>
    <t>1 332,71 €</t>
  </si>
  <si>
    <t>ACP-18CH50AEHI+ /I GOLD</t>
  </si>
  <si>
    <t>ACP-18CH50AEHI+ /I MIRROR</t>
  </si>
  <si>
    <t>1 394,77 €</t>
  </si>
  <si>
    <t>Vnútorná / vonkajšia jednotka</t>
  </si>
  <si>
    <t>ACP-09CH25AERI+ R32 / I</t>
  </si>
  <si>
    <t>ACP-09CH25AERI+ / O</t>
  </si>
  <si>
    <t>ACP-09CH25AERI+ GOLD /</t>
  </si>
  <si>
    <t>ACP-09CH25AERI+ SILVER / I</t>
  </si>
  <si>
    <t>ACP-12CH35AERI+ R32 / I</t>
  </si>
  <si>
    <t>ACP-12CH35AERI+ / O</t>
  </si>
  <si>
    <t>ACP-12CH35AERI+ GOLD / I</t>
  </si>
  <si>
    <t>ACP-12CH35AERI+ SILVER / I</t>
  </si>
  <si>
    <t>ACP-12CH35AERI+ MIRROR / I</t>
  </si>
  <si>
    <t>ACP-12CH35AERI+</t>
  </si>
  <si>
    <t>ACP-12CH35AERI+ RED / I</t>
  </si>
  <si>
    <t>ACP-18CH50AERI+ R32 / I</t>
  </si>
  <si>
    <t>ACP-18CH50AERI+</t>
  </si>
  <si>
    <t>ACP-18CH50AERI+ MIRRO</t>
  </si>
  <si>
    <t>ACP-18CH50AERI+ / O</t>
  </si>
  <si>
    <t>ACP-24CH70AERI+ R32 / I</t>
  </si>
  <si>
    <t>ACP-24CH70AERI+</t>
  </si>
  <si>
    <t>ACP-09CH25AEMI+ R32 / I</t>
  </si>
  <si>
    <t>ACP-09CH25AEMI+ R32 / O</t>
  </si>
  <si>
    <t>ACP-12CH35AEMI+ R32 / I</t>
  </si>
  <si>
    <t>ACP-12CH35AEMI+ R32 / O</t>
  </si>
  <si>
    <t>ACP-18CH50AEMIs R32 / I</t>
  </si>
  <si>
    <t>ACP-18CH50AEMIs R32 / O</t>
  </si>
  <si>
    <t>ACP-24CH70AEMIs R32 / I</t>
  </si>
  <si>
    <t>ACP-24CH70AEMIs R32 / O</t>
  </si>
  <si>
    <t>ACP-09CH25AEQI+ R32 / I</t>
  </si>
  <si>
    <t>ACP-09CH25AEQI+ R32 / O</t>
  </si>
  <si>
    <t>ACP-12CH35AEQI+ R32 / I</t>
  </si>
  <si>
    <t>ACP-12CH35AEQI+ R32 / O</t>
  </si>
  <si>
    <t>ACP-18CH50AEQIs R32 / I</t>
  </si>
  <si>
    <t>ACP-18CH50AEQIs R32 / O</t>
  </si>
  <si>
    <t>ACP-24CH70AEQIs R32 / I</t>
  </si>
  <si>
    <t>ACP-24CH70AEQIs R32 / O</t>
  </si>
  <si>
    <t>ACP-09CH25AERI+/I WHITE</t>
  </si>
  <si>
    <t>ACP-09CH25AERI+/I GOLD</t>
  </si>
  <si>
    <t>ACP-09CH25AERI+/I SILVER</t>
  </si>
  <si>
    <t>ACP-12CH35AERI+/I WHITE</t>
  </si>
  <si>
    <t>ACP-12CH35AERI+/I GOLD</t>
  </si>
  <si>
    <t>ACP-12CH35AERI+/I SILVER</t>
  </si>
  <si>
    <t>ACP-12CH35AERI+/I MIRROR</t>
  </si>
  <si>
    <t>ACP-12CH35AERI+/I RED</t>
  </si>
  <si>
    <t>ACP-18CH50AERI+/I WHITE</t>
  </si>
  <si>
    <t>ACP-18CH50AERI+/I MIRROR</t>
  </si>
  <si>
    <t>ACP-09CC25AERI/I2</t>
  </si>
  <si>
    <t>ACP-12CC35AERI/I3s</t>
  </si>
  <si>
    <t>ACP-18CC50AERI/I3s</t>
  </si>
  <si>
    <t>ACP-09CT25AERI/I3</t>
  </si>
  <si>
    <t>ACP-12CT35AERI/I3</t>
  </si>
  <si>
    <t>ACP-18CT50AERI/I3</t>
  </si>
  <si>
    <t>ACP-12DT35AERI/I3s</t>
  </si>
  <si>
    <t>ACP-18DT50AERI/I3s</t>
  </si>
  <si>
    <t>ACP-18CF50AERI/I3</t>
  </si>
  <si>
    <t>ACP-14COFM40AERIs R32</t>
  </si>
  <si>
    <t>ACP-18COFM50AERIs R32</t>
  </si>
  <si>
    <t>ACP-21COFM60AERIs R32</t>
  </si>
  <si>
    <t>ACP-27COFM79AERIs R32</t>
  </si>
  <si>
    <t>ACP-28COFM82AERI R32</t>
  </si>
  <si>
    <t>ACP-36COFM105AERI R32</t>
  </si>
  <si>
    <t>ACP-42COFM123AERIs R32</t>
  </si>
  <si>
    <t>ACP-12CC35AERI+ / I</t>
  </si>
  <si>
    <t>ACP-12LCAC35AERI</t>
  </si>
  <si>
    <t>ACP-12CC35AERI / P</t>
  </si>
  <si>
    <t>ACP-18CC50AERI+ / I</t>
  </si>
  <si>
    <t>ACP-18LCAC50AERI</t>
  </si>
  <si>
    <t>ACP-18CC50AERI / P</t>
  </si>
  <si>
    <t>ACP-24CC70AERI+ / I</t>
  </si>
  <si>
    <t>ACP-24LCAC70AERI</t>
  </si>
  <si>
    <t>ACP-24CC70AERI / P</t>
  </si>
  <si>
    <t>ACP-36CC105AERI+ / I</t>
  </si>
  <si>
    <t>ACP-36LCAC105AERI</t>
  </si>
  <si>
    <t>ACP-36CC105AERI / P</t>
  </si>
  <si>
    <t>ACP-48CC140AERI+ / I</t>
  </si>
  <si>
    <t>ACP-48LCAC140AERI</t>
  </si>
  <si>
    <t>ACP-48CC140AERI / P</t>
  </si>
  <si>
    <t>ACP-55CC160AERI+ / I</t>
  </si>
  <si>
    <t>ACP-55LCAC160AERI</t>
  </si>
  <si>
    <t>ACP-55CC160AERI / P</t>
  </si>
  <si>
    <t>ACP-12DT35AERI+ / I</t>
  </si>
  <si>
    <t>ACP-18DT50AERI+ / I</t>
  </si>
  <si>
    <t>ACP-24DT70AERI+ / I</t>
  </si>
  <si>
    <t>ACP-36DT105AERI+ / I</t>
  </si>
  <si>
    <t>ACP-48DT140AERI+ / I</t>
  </si>
  <si>
    <t>ACP-55DT160AERI+ / I</t>
  </si>
  <si>
    <t>ACP-18CF50AERI+ / I</t>
  </si>
  <si>
    <t>ACP-24CF70AERI+ / I</t>
  </si>
  <si>
    <t>ACP-36CF105AERI+ / I</t>
  </si>
  <si>
    <t>ACP-48CF140AERI+ / I</t>
  </si>
  <si>
    <t>ACP-55CF160AERI+ / I</t>
  </si>
  <si>
    <t>ACP-09CH25AERI/O</t>
  </si>
  <si>
    <t>ACP-12CT35AERI+ / I</t>
  </si>
  <si>
    <t>ACP-18CT50AERI+ / I</t>
  </si>
  <si>
    <t>HPS-14CH40AERI/O1s R32</t>
  </si>
  <si>
    <t>HPS-22CH65AERI/O1s R32</t>
  </si>
  <si>
    <t>HPS-28CH84AERI/O1s R32</t>
  </si>
  <si>
    <t>HPS-34CH100AERI/O1s R32</t>
  </si>
  <si>
    <t>HPS-41CH120AERI/O3s R32</t>
  </si>
  <si>
    <t>HPS-48CH140AERI/O3s R32</t>
  </si>
  <si>
    <t>HPS-53CH155AERI/O3s R32</t>
  </si>
  <si>
    <t>HPS-42HM65AERI/I1s</t>
  </si>
  <si>
    <t>HPS-84HM100AERI/I1s</t>
  </si>
  <si>
    <t>HPS-120HM155AERI/I1s</t>
  </si>
  <si>
    <t>HPS-42HM65AERI/I1H3s</t>
  </si>
  <si>
    <t>HPS-84HM100AERI/I1H3s</t>
  </si>
  <si>
    <t>HPS-84HM100AERI/I3H9s</t>
  </si>
  <si>
    <t>HPS-120HM155AERI/I3H9s</t>
  </si>
  <si>
    <t>HPS-42HM65AERI/I1T190H3s</t>
  </si>
  <si>
    <t>HPS-84HM100AERI/IT241H3s</t>
  </si>
  <si>
    <t>HPS-120HM155AERI/IT241H3s</t>
  </si>
  <si>
    <t>HPM-14CH40AERIs R32-1</t>
  </si>
  <si>
    <t>HPM-22CH65AERIs R32-1</t>
  </si>
  <si>
    <t>HPM-28CH84AERIs R32-1</t>
  </si>
  <si>
    <t>HPM-34CH100AERIs R32-1</t>
  </si>
  <si>
    <t>HPM-41CH120AERIs R32-3</t>
  </si>
  <si>
    <t>HPM-48CH140AERIs R32-3</t>
  </si>
  <si>
    <t>HPM-53CH155AERIs R32-3</t>
  </si>
  <si>
    <t>HPM-61CH180AERIs R32-3</t>
  </si>
  <si>
    <t>HPM-75CH220AERIs R32-3</t>
  </si>
  <si>
    <t>HPM-89CH260AERIs R32-3</t>
  </si>
  <si>
    <t>HPM-102CH300AERIs R32-3</t>
  </si>
  <si>
    <t>HPM-14CH40AERIs R32-1H3</t>
  </si>
  <si>
    <t>HPM-22CH65AERIs R32-1H3</t>
  </si>
  <si>
    <t>HPM-28CH84AERIs R32-1H3</t>
  </si>
  <si>
    <t>HPM-34CH100AERIs R32-1H3</t>
  </si>
  <si>
    <t>HPM-41CH120AERIs R32-3H9</t>
  </si>
  <si>
    <t>HPM-48CH140AERIs R32-3H9</t>
  </si>
  <si>
    <t>HPM-53CH155AERIs R32-3H9</t>
  </si>
  <si>
    <t>Špirála 9kW</t>
  </si>
  <si>
    <t>HPP-24CH70AERI R32-1</t>
  </si>
  <si>
    <t>HPP-30CH90AERI R32-1</t>
  </si>
  <si>
    <t>HPP-41CH120AERI R32-1</t>
  </si>
  <si>
    <t>Tepelné čerpadlá</t>
  </si>
  <si>
    <t>Y-DESIGN</t>
  </si>
  <si>
    <t>N-DESIGN</t>
  </si>
  <si>
    <t>H+ DESIGN</t>
  </si>
  <si>
    <t>R+ DESIGN</t>
  </si>
  <si>
    <t>M-DESIGN</t>
  </si>
  <si>
    <t>Q-DESIGN</t>
  </si>
  <si>
    <t>Vnútorné nástenné jednotky R+ DESIG</t>
  </si>
  <si>
    <t>Vnútorné nástenné jednotky M-DESIG</t>
  </si>
  <si>
    <t>Vnútorné kazetové jednotky</t>
  </si>
  <si>
    <t>Vnútorné parapetné jednotky</t>
  </si>
  <si>
    <t>Vnútorné kanálové jednotky</t>
  </si>
  <si>
    <t>Vnútorné podstropné jednotky Rozm</t>
  </si>
  <si>
    <t>Vonkajšie jednotky MultiSplit</t>
  </si>
  <si>
    <t>Kazetové klimatizácie</t>
  </si>
  <si>
    <t>Kanálové klimatizácie</t>
  </si>
  <si>
    <t>Podstropno parapetné klimatizácie</t>
  </si>
  <si>
    <t>Parapetné klimatizácie</t>
  </si>
  <si>
    <t>Splitové tepelné čerpadlá VIVAX – vonkajšie jednotk</t>
  </si>
  <si>
    <t>Splitové tepelné čerpadlá VIVAX – Hydrobox</t>
  </si>
  <si>
    <t>Monoblokové tepelné čerpadlá VIVAX</t>
  </si>
  <si>
    <t>Bazénové tepelné čerpadlá VIVAX</t>
  </si>
  <si>
    <t>Stĺpec1</t>
  </si>
  <si>
    <t>Stĺpec2</t>
  </si>
  <si>
    <t>Stĺpec3</t>
  </si>
  <si>
    <t>Stĺpec4</t>
  </si>
  <si>
    <t>Stĺpec5</t>
  </si>
  <si>
    <t>Stĺpec6</t>
  </si>
  <si>
    <t>VIVAX</t>
  </si>
  <si>
    <t xml:space="preserve">                                        VIVAX</t>
  </si>
  <si>
    <t>SPECTRUM PLUS SET INDOOR + OUTDOOR</t>
  </si>
  <si>
    <r>
      <rPr>
        <b/>
        <sz val="12"/>
        <rFont val="Calibri"/>
        <family val="2"/>
        <charset val="238"/>
        <scheme val="minor"/>
      </rPr>
      <t>ASH-09BIS2/W</t>
    </r>
    <r>
      <rPr>
        <sz val="12"/>
        <rFont val="Calibri"/>
        <family val="2"/>
        <charset val="238"/>
        <scheme val="minor"/>
      </rPr>
      <t xml:space="preserve"> Nástenná klimatizácia SET</t>
    </r>
  </si>
  <si>
    <r>
      <rPr>
        <b/>
        <sz val="12"/>
        <rFont val="Calibri"/>
        <family val="2"/>
        <charset val="238"/>
        <scheme val="minor"/>
      </rPr>
      <t>ASH-13BIS2/W</t>
    </r>
    <r>
      <rPr>
        <sz val="12"/>
        <rFont val="Calibri"/>
        <family val="2"/>
        <charset val="238"/>
        <scheme val="minor"/>
      </rPr>
      <t xml:space="preserve"> Nástenná klimatizácia SET</t>
    </r>
  </si>
  <si>
    <r>
      <rPr>
        <b/>
        <sz val="12"/>
        <rFont val="Calibri"/>
        <family val="2"/>
        <charset val="238"/>
        <scheme val="minor"/>
      </rPr>
      <t>ASH-18BIS2/W</t>
    </r>
    <r>
      <rPr>
        <sz val="12"/>
        <rFont val="Calibri"/>
        <family val="2"/>
        <charset val="238"/>
        <scheme val="minor"/>
      </rPr>
      <t xml:space="preserve"> Nástenná klimatizácia SET</t>
    </r>
  </si>
  <si>
    <t>1 121</t>
  </si>
  <si>
    <r>
      <rPr>
        <b/>
        <sz val="12"/>
        <rFont val="Calibri"/>
        <family val="2"/>
        <charset val="238"/>
        <scheme val="minor"/>
      </rPr>
      <t>ASH-24BIS2/W</t>
    </r>
    <r>
      <rPr>
        <sz val="12"/>
        <rFont val="Calibri"/>
        <family val="2"/>
        <charset val="238"/>
        <scheme val="minor"/>
      </rPr>
      <t xml:space="preserve"> Nástenná klimatizácia SET</t>
    </r>
  </si>
  <si>
    <t>1 176</t>
  </si>
  <si>
    <t>SIH-09BITx Terrel vnútorná jednotka</t>
  </si>
  <si>
    <t xml:space="preserve">SOH-09BIT Terrel Vonkajšia jednotka </t>
  </si>
  <si>
    <t>Cena Nástenná klimatizácia Terrel SET</t>
  </si>
  <si>
    <t>SIH-13BITx Terrel vnútorná jednotk</t>
  </si>
  <si>
    <t xml:space="preserve">SOH-13BIT Terrel Vonkajšia jednotka </t>
  </si>
  <si>
    <t>SIH-18BIT2x Terrel vnútorná jednotka</t>
  </si>
  <si>
    <t>SOH-18BIT2 Terrel Vonkajšia jednotka</t>
  </si>
  <si>
    <t>SIH-24BIT2x Terrel vnútorná jednotka</t>
  </si>
  <si>
    <t>SOH-24BIT2 Terrel Vonkajšia jednotka</t>
  </si>
  <si>
    <t>TERREL COLOR SÉRIA SET INDOOR + OUTDOOR, x options:  S = Silver, B = Black, C = Champagne</t>
  </si>
  <si>
    <t>SIH-09BITW Terrel vnútorná jednotka</t>
  </si>
  <si>
    <t>SIH-13BITW Terrel vnútorná jednotk</t>
  </si>
  <si>
    <t>SIH-18BIT2W Terrel vnútorná jednotka</t>
  </si>
  <si>
    <r>
      <rPr>
        <b/>
        <sz val="12"/>
        <rFont val="Calibri"/>
        <family val="2"/>
        <charset val="238"/>
        <scheme val="minor"/>
      </rPr>
      <t>SIH-24BIT2W</t>
    </r>
    <r>
      <rPr>
        <sz val="12"/>
        <rFont val="Calibri"/>
        <family val="2"/>
        <charset val="238"/>
        <scheme val="minor"/>
      </rPr>
      <t xml:space="preserve"> Terrel vnútorná jednotka</t>
    </r>
  </si>
  <si>
    <r>
      <rPr>
        <b/>
        <sz val="12"/>
        <rFont val="Calibri"/>
        <family val="2"/>
        <charset val="238"/>
        <scheme val="minor"/>
      </rPr>
      <t>SOH-24BIT2</t>
    </r>
    <r>
      <rPr>
        <sz val="12"/>
        <rFont val="Calibri"/>
        <family val="2"/>
        <charset val="238"/>
        <scheme val="minor"/>
      </rPr>
      <t xml:space="preserve"> Terrel Vonkajšia jednotka</t>
    </r>
  </si>
  <si>
    <r>
      <t>SIH-09BIMW vn</t>
    </r>
    <r>
      <rPr>
        <sz val="12"/>
        <rFont val="Calibri"/>
        <family val="2"/>
        <charset val="238"/>
        <scheme val="minor"/>
      </rPr>
      <t>útor</t>
    </r>
    <r>
      <rPr>
        <sz val="11"/>
        <rFont val="Calibri"/>
        <family val="2"/>
        <charset val="238"/>
        <scheme val="minor"/>
      </rPr>
      <t>ná jednotka</t>
    </r>
  </si>
  <si>
    <t>y</t>
  </si>
  <si>
    <t>SOH-09BIM  Vonkajšia jednotka</t>
  </si>
  <si>
    <t>Cena Nástenná klimatizácia MARVIN SET</t>
  </si>
  <si>
    <t>SIH-12BIMW vnútorná jednotka</t>
  </si>
  <si>
    <t>SOH-12BIM  Vonkajšia jednotka</t>
  </si>
  <si>
    <t>SIH-18BIMW vnútorná jednotka</t>
  </si>
  <si>
    <t>SOH-18BIM  Vonkajšia jednotka</t>
  </si>
  <si>
    <t>SIH-24BIMW vnútorná jednotka</t>
  </si>
  <si>
    <t>SOH-24BIM  Vonkajšia jednotka</t>
  </si>
  <si>
    <t>MARVIN SÉRIA SET INDOOR + OUTDOOR x options:  S = Silver, B = Black, C = Champagne</t>
  </si>
  <si>
    <t>SIH-09BIMx</t>
  </si>
  <si>
    <t>SOH-09BIM</t>
  </si>
  <si>
    <t>SIH-12BIMWx</t>
  </si>
  <si>
    <t>SOH-12BIM</t>
  </si>
  <si>
    <t>SIH-18BIMWx</t>
  </si>
  <si>
    <t>SOH-18BIM</t>
  </si>
  <si>
    <t>SIH-24BIMWx</t>
  </si>
  <si>
    <t>SOH-24BIM</t>
  </si>
  <si>
    <t>Cena Nástenná klimatizácia SET</t>
  </si>
  <si>
    <t>KEYON SÉRIA SET INDOOR + OUTDOOR</t>
  </si>
  <si>
    <t>SIH-09BIK vnutorná jednotka</t>
  </si>
  <si>
    <t>SOH-09BIK2 vonkajšia jednotka</t>
  </si>
  <si>
    <t>Cena Nástenná klimatizácia KEYON SET</t>
  </si>
  <si>
    <t>SIH-12BIK vnútorná jednotka</t>
  </si>
  <si>
    <t>SOH-12BIK2 vonkajšia jednotka</t>
  </si>
  <si>
    <t>SIH-18BIK vnútorná jednotka</t>
  </si>
  <si>
    <t>SOH-18BIK vonkajšia jednotka</t>
  </si>
  <si>
    <r>
      <rPr>
        <sz val="12"/>
        <rFont val="Calibri"/>
        <family val="2"/>
        <charset val="238"/>
        <scheme val="minor"/>
      </rPr>
      <t>SIH-24BIK</t>
    </r>
    <r>
      <rPr>
        <sz val="11"/>
        <rFont val="Calibri"/>
        <family val="2"/>
        <charset val="238"/>
        <scheme val="minor"/>
      </rPr>
      <t xml:space="preserve"> vnútorná jednotka</t>
    </r>
  </si>
  <si>
    <t>SOH-24BIK vonkajšia jednotka</t>
  </si>
  <si>
    <t>SKY SÉRIA SET INDOOR + OUTDOOR</t>
  </si>
  <si>
    <t>SIM-09BS-WF vnútorná jednotka</t>
  </si>
  <si>
    <t>SOM-09BS-LH vonkajšia jednotka</t>
  </si>
  <si>
    <t>Cena Nástenná klimatizácia SKY SET</t>
  </si>
  <si>
    <t>SIM-12BS-WFvnútorná jednotka</t>
  </si>
  <si>
    <t>SOM-12BS-LH vonkajšia jednotka</t>
  </si>
  <si>
    <t>SIM-18BS-WF vnútorná jednotka</t>
  </si>
  <si>
    <t>SOM-18BS-LH  vonkajšia jednotka</t>
  </si>
  <si>
    <t>SOM-24BS-LH  vonkajšia jednotka</t>
  </si>
  <si>
    <t>SIM-09BS2 vnútorná jednotka</t>
  </si>
  <si>
    <t>SOM-09BS2  vonkajšia jednotka</t>
  </si>
  <si>
    <r>
      <t xml:space="preserve">Cena Nástenná klimatizácia </t>
    </r>
    <r>
      <rPr>
        <b/>
        <sz val="12"/>
        <color rgb="FFFFFF00"/>
        <rFont val="Calibri"/>
        <family val="2"/>
        <charset val="238"/>
        <scheme val="minor"/>
      </rPr>
      <t>SKY2</t>
    </r>
    <r>
      <rPr>
        <b/>
        <sz val="12"/>
        <rFont val="Calibri"/>
        <family val="2"/>
        <charset val="238"/>
        <scheme val="minor"/>
      </rPr>
      <t xml:space="preserve"> SET</t>
    </r>
  </si>
  <si>
    <t>SIM-12BS2 vnútorná jednotka</t>
  </si>
  <si>
    <t>SOM-12BS2  vonkajšia jednotka</t>
  </si>
  <si>
    <t>SIM-18BS2 vnútorná jednotka</t>
  </si>
  <si>
    <t>SOM-18BS2  vonkajšia jednotka</t>
  </si>
  <si>
    <t>SIM-24BS2 vnútorná jednotka</t>
  </si>
  <si>
    <t>SOM-24BS2  vonkajšia jednotka</t>
  </si>
  <si>
    <t>RAY SÉRIA SET INDOOR + OUTDOOR</t>
  </si>
  <si>
    <t>SIH-09BIR vnútorná jednotka</t>
  </si>
  <si>
    <t>SOH-09BIR2 vonkajšia jednotka</t>
  </si>
  <si>
    <t>Cena Nástenná klimatizácia RAY SET</t>
  </si>
  <si>
    <t>SIH-12BIR vnútorná jednotka</t>
  </si>
  <si>
    <t>SOH-12BIR2 vonkajšia jednotka</t>
  </si>
  <si>
    <t>SIH-18BIR vnútorná jednotka</t>
  </si>
  <si>
    <t>SOH-18BIR vonkajšia jednotka</t>
  </si>
  <si>
    <t>SIH-24BIR vnútorná jednotka</t>
  </si>
  <si>
    <t>SOH-24BIR vonkajšia jednotka</t>
  </si>
  <si>
    <t>MULTI VARIABLE SÉRIA – VONKAJŠIE JEDNOTKY</t>
  </si>
  <si>
    <t>MV-E14BI2 vonkajšia jednotka 4,1 / 4,4 kW</t>
  </si>
  <si>
    <t>MV-E18BI2 vonkajšia jednotka 5,3 / 5,6 kW</t>
  </si>
  <si>
    <t>MV-E21BI2 vonkajšia jednotka 6,1 / 6,5 kW</t>
  </si>
  <si>
    <t>MV-E24BI2 vonkajšia jednotka 7,1 / 8,6 kW</t>
  </si>
  <si>
    <t>MV-E28BI2 vonkajšia jednotka 8,0 / 9,5 kW</t>
  </si>
  <si>
    <t>1 025</t>
  </si>
  <si>
    <t>MV-E36BI2 vonkajšia jednotka 10,6 / 12,0 kW</t>
  </si>
  <si>
    <t>1 440</t>
  </si>
  <si>
    <t>MV-E42BI2vonkajšia jednotka 12,1 / 13,0 kW</t>
  </si>
  <si>
    <t>1 635</t>
  </si>
  <si>
    <t>KONZIOLOVE KLIMATIZACIE vnútorné jednotky</t>
  </si>
  <si>
    <t>MV-P09BI konzolova vnútorná jednotka</t>
  </si>
  <si>
    <t>MV-P12BI konzolova vnútorná jednotka</t>
  </si>
  <si>
    <r>
      <rPr>
        <sz val="12"/>
        <rFont val="Calibri"/>
        <family val="2"/>
        <charset val="238"/>
        <scheme val="minor"/>
      </rPr>
      <t>MV-P18BI</t>
    </r>
    <r>
      <rPr>
        <sz val="12"/>
        <color rgb="FF000000"/>
        <rFont val="Calibri"/>
        <family val="2"/>
        <charset val="238"/>
        <scheme val="minor"/>
      </rPr>
      <t xml:space="preserve"> konzolova vnútorná jednotka</t>
    </r>
  </si>
  <si>
    <t>PODSTROPNO-PARAPETNÉ JEDNOTKY vnútorné jednotky</t>
  </si>
  <si>
    <t>MV-F09BI podstropná vnútorná jednotka</t>
  </si>
  <si>
    <t>MV-F12BI  podstropná vnútorná jednotka</t>
  </si>
  <si>
    <t>MV-F18BI podstropná vnútorná jednotka</t>
  </si>
  <si>
    <t>MV-F24BI  podstropná vnútorná jednotka</t>
  </si>
  <si>
    <t>KAZETOVÉ JEDNOTKY  vnútorné jednotky</t>
  </si>
  <si>
    <t>MV-C12BI2 kazetová vnútorná jednotka</t>
  </si>
  <si>
    <t>MV-C18BI2 kazetová vnútorná jednotka</t>
  </si>
  <si>
    <t>MV-C24BI2 kazetová vnútorná jednotka</t>
  </si>
  <si>
    <t>TEPELNÉ ČERPADLÁ S-THERM VZDUCH VODA</t>
  </si>
  <si>
    <t>GSH-40IRB 3.8 / 4.0</t>
  </si>
  <si>
    <t>GSH-40ERB 3.8 / 4.0</t>
  </si>
  <si>
    <r>
      <rPr>
        <b/>
        <sz val="12"/>
        <rFont val="Arial"/>
        <family val="2"/>
      </rPr>
      <t>1 714</t>
    </r>
  </si>
  <si>
    <t>GSH-60IRB 5.8 / 6.0</t>
  </si>
  <si>
    <t>GSH-60ERB 5.8 / 6.0</t>
  </si>
  <si>
    <r>
      <rPr>
        <b/>
        <sz val="12"/>
        <rFont val="Arial"/>
        <family val="2"/>
      </rPr>
      <t>1 774</t>
    </r>
  </si>
  <si>
    <t>GSH-80IRB 7.0 / 8.0</t>
  </si>
  <si>
    <r>
      <rPr>
        <sz val="12"/>
        <rFont val="Arial"/>
        <family val="2"/>
      </rPr>
      <t>1 477</t>
    </r>
  </si>
  <si>
    <t>GSH-80ERB 7.0 / 8.0</t>
  </si>
  <si>
    <r>
      <rPr>
        <sz val="12"/>
        <rFont val="Arial"/>
        <family val="2"/>
      </rPr>
      <t>1 023</t>
    </r>
  </si>
  <si>
    <r>
      <rPr>
        <b/>
        <sz val="12"/>
        <rFont val="Arial"/>
        <family val="2"/>
      </rPr>
      <t>2 500</t>
    </r>
  </si>
  <si>
    <t>GSH-100IRB 8.5 / 9.5</t>
  </si>
  <si>
    <t>GSH-100ERB 8.5 / 9.5</t>
  </si>
  <si>
    <r>
      <rPr>
        <sz val="12"/>
        <rFont val="Arial"/>
        <family val="2"/>
      </rPr>
      <t>1 111</t>
    </r>
  </si>
  <si>
    <r>
      <rPr>
        <b/>
        <sz val="12"/>
        <rFont val="Arial"/>
        <family val="2"/>
      </rPr>
      <t>2 588</t>
    </r>
  </si>
  <si>
    <t>GSH-40IRBC 3.8 / 4.0</t>
  </si>
  <si>
    <t>GSH-40ERB2 3.9 / 4.0</t>
  </si>
  <si>
    <r>
      <rPr>
        <b/>
        <sz val="12"/>
        <rFont val="Arial"/>
        <family val="2"/>
      </rPr>
      <t>1 800</t>
    </r>
  </si>
  <si>
    <t>GSH-60IRBC GSH-40IRB 3.8 / 4.0</t>
  </si>
  <si>
    <t>GSH-60ERB2 5.8 / 6.0</t>
  </si>
  <si>
    <r>
      <rPr>
        <b/>
        <sz val="12"/>
        <rFont val="Arial"/>
        <family val="2"/>
      </rPr>
      <t>1 844</t>
    </r>
  </si>
  <si>
    <t>GSH-80IRBC 7.0 / 8.0</t>
  </si>
  <si>
    <t>GSH-80ERB2 7.7 / 8.0</t>
  </si>
  <si>
    <r>
      <rPr>
        <sz val="12"/>
        <rFont val="Arial"/>
        <family val="2"/>
      </rPr>
      <t>1 058</t>
    </r>
  </si>
  <si>
    <t>MSH-160IB-3/9 14.2 / 16.0</t>
  </si>
  <si>
    <t>MSH-120EB-3 12.0 / 12.1</t>
  </si>
  <si>
    <t>MSH-140EB-3 13.5 / 14.5</t>
  </si>
  <si>
    <t>MSH-160EB-3 14.2 / 16.0</t>
  </si>
  <si>
    <t xml:space="preserve">S-THERM YUKON SPLIT - Vnútorná jednotka ALL-IN-ONE s integrovaným zásobník TUV o objeme 190 a 240 litrov </t>
  </si>
  <si>
    <t>MSH-190TB/3 10.0 / 10.0</t>
  </si>
  <si>
    <t>MSH-60EB 6.55 / 6.2</t>
  </si>
  <si>
    <t>MSH-190TB-3/9 10.0 / 10.0</t>
  </si>
  <si>
    <t>MSH-80EB 8.4 / 8.3</t>
  </si>
  <si>
    <t>MSH-100EB 10.0 / 10.0</t>
  </si>
  <si>
    <t>MSH-240TB-3/9 14.2 / 16.0</t>
  </si>
  <si>
    <t>MODEL Výkon chladiaci / vykurovací</t>
  </si>
  <si>
    <t xml:space="preserve"> kW</t>
  </si>
  <si>
    <t xml:space="preserve">S-THERM YUKON MONOBLOK - Kompaktná vonkajšia jednotka </t>
  </si>
  <si>
    <t>SMHM-60B/3 6.5 / 6.35</t>
  </si>
  <si>
    <t>SMHM-80B/3 8.3 / 8.4</t>
  </si>
  <si>
    <t>SMHM-100B/3 9.9 / 10.0</t>
  </si>
  <si>
    <t>SMHM-120B-3/9 12.0 / 12.1</t>
  </si>
  <si>
    <t>SMHM-140B-3/9 13.5 / 14.5</t>
  </si>
  <si>
    <t>SMHM-160B-3/9 14.2 / 15.9</t>
  </si>
  <si>
    <t>SMHM-180B-3 17.0 / 18.0</t>
  </si>
  <si>
    <t>SMHM-220B-3 21.0 / 22.0</t>
  </si>
  <si>
    <t>SMHM-260B-3 26.0 / 26.0</t>
  </si>
  <si>
    <t>SMHM-300B-3 30.0 / 30.1</t>
  </si>
  <si>
    <t>SMHM-650B-3 57.0 / 64.0</t>
  </si>
  <si>
    <t>SMHM-750B-3 70.0 / 77.0</t>
  </si>
  <si>
    <t>SMHM-1100B-3 100.0 / 112.0</t>
  </si>
  <si>
    <t>SMHM-1400B-3 130.0 / 142.0</t>
  </si>
  <si>
    <t>SMHM-650BH-3 56.68 / 64.65</t>
  </si>
  <si>
    <t>SMHM-750BH-3 69.29 / 77.7</t>
  </si>
  <si>
    <t>SMHM-1100BH-3 99.33 / 113.14</t>
  </si>
  <si>
    <t>SMHM-1400BH-3 129.29 / 142.94</t>
  </si>
  <si>
    <t>GSH-100IRBC 8.5 / 9.5</t>
  </si>
  <si>
    <t>GSH-100ERB2 9.35 / 10.0</t>
  </si>
  <si>
    <t>GSH-80IRB-3 / GSH-80IRBC-3* 8.5 / 8.0</t>
  </si>
  <si>
    <t>GSH-80ERB-3 7.0 / 8.0</t>
  </si>
  <si>
    <t>GSH-100IRB-3 / GSH-100IRBC-3* 10.0 / 10.0</t>
  </si>
  <si>
    <t>GSH-100ERB-3 10.0 / 10.0</t>
  </si>
  <si>
    <t>GSH-120IRB-3 / GSH-120IRBC-3* 11.0 / 12.0</t>
  </si>
  <si>
    <t>GSH-120ERB-3 11.0 / 12.0</t>
  </si>
  <si>
    <t>GSH-140IRB-3 / GSH-140IRBC-3* 12.6 / 14.0</t>
  </si>
  <si>
    <t>GSH-140ERB-3 12.6 / 14.0</t>
  </si>
  <si>
    <t>GSH-160IRB-3 / GSH-160IRBC-3* 13.0 / 15.5</t>
  </si>
  <si>
    <t>GSH-160ERB-3 13.0 / 15.5</t>
  </si>
  <si>
    <t xml:space="preserve">S-THERM ONTARIO SPLIT – Vnútorná jednotka ALL-IN-ONE s integrovaným zásobníkom TUV 185 litrov </t>
  </si>
  <si>
    <t>GSH-40TRB2 / GSH-40TRBC2* 3.9 / 4.0</t>
  </si>
  <si>
    <t>GSH-60TRB2 / GSH-60TRBC2* 5.8 / 6.0</t>
  </si>
  <si>
    <t>GSH-80TRB2 / GSH-80TRBC2* 7.7 / 8.0</t>
  </si>
  <si>
    <t>GSH-100TRB2 / GSH-100TRBC2* 9.35 / 10.0</t>
  </si>
  <si>
    <t>GSH-80TRB2-3 / GSH-80TRBC2-3* 7.7 / 8.0</t>
  </si>
  <si>
    <t>GSH-100TRB2-3 / GSH-100TRBC2-3* 10.0 / 10.0</t>
  </si>
  <si>
    <t>GSH-120TRB2-3 / GSH-120TRBC2-3* 11.0 / 12.0</t>
  </si>
  <si>
    <t>GSH-140TRB2-3 / GSH-140TRBC2-3* 12.6 / 14.0</t>
  </si>
  <si>
    <t>GSH-160TRB2-3 / GSH-160TRBC2-3* 13.0 / 15.5</t>
  </si>
  <si>
    <t xml:space="preserve">S-THERM ONTARIO MONOBLOK – Kompaktná vonkajšia jednotka </t>
  </si>
  <si>
    <t>SMH-40IRB 3,8 / 4,0</t>
  </si>
  <si>
    <t>SMH-60IRB 5,8 / 6,0</t>
  </si>
  <si>
    <t>SMH-80IRB 6.8 / 7.5</t>
  </si>
  <si>
    <t>SMH-100IRB2 8.8 / 10.0</t>
  </si>
  <si>
    <t>SMH-100IRB2-3 8.8 / 10.0</t>
  </si>
  <si>
    <t>SMH-120IRB2-3 11.0 / 12.0</t>
  </si>
  <si>
    <t>SMH-140IRB2-3 12.5 / 14.0</t>
  </si>
  <si>
    <t>SMH-160IRB2-3 14,5 / 15,5</t>
  </si>
  <si>
    <t xml:space="preserve">S-THERM YUKON SPLIT - Vnútorná jednotka HYDROBOX </t>
  </si>
  <si>
    <t>MSH-60IB/3 6.55 / 6.2</t>
  </si>
  <si>
    <t>MSH-100IB-3/9 10.0 / 10.0</t>
  </si>
  <si>
    <t xml:space="preserve">MONOBLOKOVÝ OHRIEVAČ TEPLEJ VODY S MOŽNOSŤOU PRIPOJENIA NA SOLÁRNY SYSTÉM </t>
  </si>
  <si>
    <t>SWH-190IRE2 * / 1,62</t>
  </si>
  <si>
    <t>SWH-300IRE2 * / 2,30</t>
  </si>
  <si>
    <t>SWH-190IRES2 * / 1,62</t>
  </si>
  <si>
    <t>SWH-300IRES2 * / 2,30</t>
  </si>
  <si>
    <t xml:space="preserve">DELENÝ OHRIEVAČ TEPLEJ VODY </t>
  </si>
  <si>
    <t>SWH-35ERA2 - / 3,5</t>
  </si>
  <si>
    <t>SWH-200DE - / 3,5</t>
  </si>
  <si>
    <t xml:space="preserve">AKUMULAČNÉ ZÁSOBNÍKY A OHRIEVAČE TUV – PRÍSLUŠENSTVO </t>
  </si>
  <si>
    <t>AKU ST 50 S 58 l</t>
  </si>
  <si>
    <t>AKU ST 150 S 150 l</t>
  </si>
  <si>
    <t>AKU ST 300 S 284 l</t>
  </si>
  <si>
    <t>ST-300DS 270 l</t>
  </si>
  <si>
    <t>ST-250DE 234 l</t>
  </si>
  <si>
    <t>ST-300DE 286 l</t>
  </si>
  <si>
    <t>ST-500DE 469 l</t>
  </si>
  <si>
    <t>ST-500AF 500 l</t>
  </si>
  <si>
    <t xml:space="preserve">TJ 6/4" 3,3 kW </t>
  </si>
  <si>
    <t xml:space="preserve">EH-SMH </t>
  </si>
  <si>
    <t>SET CENA</t>
  </si>
  <si>
    <r>
      <rPr>
        <sz val="7.5"/>
        <rFont val="Arial"/>
        <family val="2"/>
      </rPr>
      <t>1 477</t>
    </r>
  </si>
  <si>
    <r>
      <rPr>
        <sz val="7.5"/>
        <rFont val="Arial"/>
        <family val="2"/>
      </rPr>
      <t>1 058</t>
    </r>
  </si>
  <si>
    <r>
      <rPr>
        <sz val="7.5"/>
        <rFont val="Arial"/>
        <family val="2"/>
      </rPr>
      <t>1 112</t>
    </r>
  </si>
  <si>
    <r>
      <rPr>
        <b/>
        <sz val="7.5"/>
        <rFont val="Arial"/>
        <family val="2"/>
      </rPr>
      <t>2 589</t>
    </r>
  </si>
  <si>
    <r>
      <rPr>
        <sz val="7.5"/>
        <rFont val="Arial"/>
        <family val="2"/>
      </rPr>
      <t>1 482</t>
    </r>
  </si>
  <si>
    <r>
      <rPr>
        <b/>
        <sz val="7.5"/>
        <rFont val="Arial"/>
        <family val="2"/>
      </rPr>
      <t>2 540</t>
    </r>
  </si>
  <si>
    <r>
      <rPr>
        <sz val="7.5"/>
        <rFont val="Arial"/>
        <family val="2"/>
      </rPr>
      <t>1 485</t>
    </r>
  </si>
  <si>
    <r>
      <rPr>
        <b/>
        <sz val="7.5"/>
        <rFont val="Arial"/>
        <family val="2"/>
      </rPr>
      <t>2 597</t>
    </r>
  </si>
  <si>
    <r>
      <rPr>
        <sz val="7.5"/>
        <rFont val="Arial"/>
        <family val="2"/>
      </rPr>
      <t>1 500</t>
    </r>
  </si>
  <si>
    <r>
      <rPr>
        <sz val="7.5"/>
        <rFont val="Arial"/>
        <family val="2"/>
      </rPr>
      <t>1 131</t>
    </r>
  </si>
  <si>
    <r>
      <rPr>
        <b/>
        <sz val="7.5"/>
        <rFont val="Arial"/>
        <family val="2"/>
      </rPr>
      <t>2 631</t>
    </r>
  </si>
  <si>
    <r>
      <rPr>
        <sz val="7.5"/>
        <rFont val="Arial"/>
        <family val="2"/>
      </rPr>
      <t>1 198</t>
    </r>
  </si>
  <si>
    <r>
      <rPr>
        <b/>
        <sz val="7.5"/>
        <rFont val="Arial"/>
        <family val="2"/>
      </rPr>
      <t>2 698</t>
    </r>
  </si>
  <si>
    <r>
      <rPr>
        <sz val="7.5"/>
        <rFont val="Arial"/>
        <family val="2"/>
      </rPr>
      <t>1 208</t>
    </r>
  </si>
  <si>
    <r>
      <rPr>
        <b/>
        <sz val="7.5"/>
        <rFont val="Arial"/>
        <family val="2"/>
      </rPr>
      <t>2 708</t>
    </r>
  </si>
  <si>
    <r>
      <rPr>
        <sz val="7.5"/>
        <rFont val="Arial"/>
        <family val="2"/>
      </rPr>
      <t>2 096</t>
    </r>
  </si>
  <si>
    <r>
      <rPr>
        <b/>
        <sz val="7.5"/>
        <rFont val="Arial"/>
        <family val="2"/>
      </rPr>
      <t>2 960</t>
    </r>
  </si>
  <si>
    <r>
      <rPr>
        <sz val="7.5"/>
        <rFont val="Arial"/>
        <family val="2"/>
      </rPr>
      <t>2 103</t>
    </r>
  </si>
  <si>
    <r>
      <rPr>
        <b/>
        <sz val="7.5"/>
        <rFont val="Arial"/>
        <family val="2"/>
      </rPr>
      <t>2 979</t>
    </r>
  </si>
  <si>
    <r>
      <rPr>
        <sz val="7.5"/>
        <rFont val="Arial"/>
        <family val="2"/>
      </rPr>
      <t>1 954</t>
    </r>
  </si>
  <si>
    <r>
      <rPr>
        <b/>
        <sz val="7.5"/>
        <rFont val="Arial"/>
        <family val="2"/>
      </rPr>
      <t>3 012</t>
    </r>
  </si>
  <si>
    <r>
      <rPr>
        <sz val="7.5"/>
        <rFont val="Arial"/>
        <family val="2"/>
      </rPr>
      <t>1 962</t>
    </r>
  </si>
  <si>
    <r>
      <rPr>
        <b/>
        <sz val="7.5"/>
        <rFont val="Arial"/>
        <family val="2"/>
      </rPr>
      <t>3 074</t>
    </r>
  </si>
  <si>
    <r>
      <rPr>
        <sz val="7.5"/>
        <rFont val="Arial"/>
        <family val="2"/>
      </rPr>
      <t>1 965</t>
    </r>
  </si>
  <si>
    <r>
      <rPr>
        <b/>
        <sz val="7.5"/>
        <rFont val="Arial"/>
        <family val="2"/>
      </rPr>
      <t>3 023</t>
    </r>
  </si>
  <si>
    <r>
      <rPr>
        <sz val="7.5"/>
        <rFont val="Arial"/>
        <family val="2"/>
      </rPr>
      <t>2 046</t>
    </r>
  </si>
  <si>
    <r>
      <rPr>
        <b/>
        <sz val="7.5"/>
        <rFont val="Arial"/>
        <family val="2"/>
      </rPr>
      <t>3 158</t>
    </r>
  </si>
  <si>
    <r>
      <rPr>
        <sz val="7.5"/>
        <rFont val="Arial"/>
        <family val="2"/>
      </rPr>
      <t>2 954</t>
    </r>
  </si>
  <si>
    <r>
      <rPr>
        <b/>
        <sz val="7.5"/>
        <rFont val="Arial"/>
        <family val="2"/>
      </rPr>
      <t>4 085</t>
    </r>
  </si>
  <si>
    <r>
      <rPr>
        <b/>
        <sz val="7.5"/>
        <rFont val="Arial"/>
        <family val="2"/>
      </rPr>
      <t>4 152</t>
    </r>
  </si>
  <si>
    <r>
      <rPr>
        <b/>
        <sz val="7.5"/>
        <rFont val="Arial"/>
        <family val="2"/>
      </rPr>
      <t>4 162</t>
    </r>
  </si>
  <si>
    <r>
      <rPr>
        <sz val="7.5"/>
        <rFont val="Arial"/>
        <family val="2"/>
      </rPr>
      <t>1 602</t>
    </r>
  </si>
  <si>
    <r>
      <rPr>
        <sz val="7.5"/>
        <rFont val="Arial"/>
        <family val="2"/>
      </rPr>
      <t>1 622</t>
    </r>
  </si>
  <si>
    <r>
      <rPr>
        <sz val="7.5"/>
        <rFont val="Arial"/>
        <family val="2"/>
      </rPr>
      <t>1 782</t>
    </r>
  </si>
  <si>
    <r>
      <rPr>
        <sz val="7.5"/>
        <rFont val="Arial"/>
        <family val="2"/>
      </rPr>
      <t>2 252</t>
    </r>
  </si>
  <si>
    <r>
      <rPr>
        <sz val="7.5"/>
        <rFont val="Arial"/>
        <family val="2"/>
      </rPr>
      <t>2 342</t>
    </r>
  </si>
  <si>
    <r>
      <rPr>
        <sz val="7.5"/>
        <rFont val="Arial"/>
        <family val="2"/>
      </rPr>
      <t>2 472</t>
    </r>
  </si>
  <si>
    <r>
      <rPr>
        <sz val="7.5"/>
        <rFont val="Arial"/>
        <family val="2"/>
      </rPr>
      <t>2 603</t>
    </r>
  </si>
  <si>
    <r>
      <rPr>
        <sz val="7.5"/>
        <rFont val="Arial"/>
        <family val="2"/>
      </rPr>
      <t>2 713</t>
    </r>
  </si>
  <si>
    <r>
      <rPr>
        <sz val="7.5"/>
        <rFont val="Arial"/>
        <family val="2"/>
      </rPr>
      <t>1 358</t>
    </r>
  </si>
  <si>
    <r>
      <rPr>
        <b/>
        <sz val="7.5"/>
        <rFont val="Arial"/>
        <family val="2"/>
      </rPr>
      <t>2 320</t>
    </r>
  </si>
  <si>
    <r>
      <rPr>
        <sz val="7.5"/>
        <rFont val="Arial"/>
        <family val="2"/>
      </rPr>
      <t>1 737</t>
    </r>
  </si>
  <si>
    <r>
      <rPr>
        <sz val="7.5"/>
        <rFont val="Arial"/>
        <family val="2"/>
      </rPr>
      <t>1 245</t>
    </r>
  </si>
  <si>
    <r>
      <rPr>
        <b/>
        <sz val="7.5"/>
        <rFont val="Arial"/>
        <family val="2"/>
      </rPr>
      <t>2 982</t>
    </r>
  </si>
  <si>
    <r>
      <rPr>
        <sz val="7.5"/>
        <rFont val="Arial"/>
        <family val="2"/>
      </rPr>
      <t>1 308</t>
    </r>
  </si>
  <si>
    <r>
      <rPr>
        <b/>
        <sz val="7.5"/>
        <rFont val="Arial"/>
        <family val="2"/>
      </rPr>
      <t>3 045</t>
    </r>
  </si>
  <si>
    <r>
      <rPr>
        <sz val="7.5"/>
        <rFont val="Arial"/>
        <family val="2"/>
      </rPr>
      <t>1 765</t>
    </r>
  </si>
  <si>
    <r>
      <rPr>
        <sz val="7.5"/>
        <rFont val="Arial"/>
        <family val="2"/>
      </rPr>
      <t>1 810</t>
    </r>
  </si>
  <si>
    <r>
      <rPr>
        <b/>
        <sz val="7.5"/>
        <rFont val="Arial"/>
        <family val="2"/>
      </rPr>
      <t>3 575</t>
    </r>
  </si>
  <si>
    <r>
      <rPr>
        <sz val="7.5"/>
        <rFont val="Arial"/>
        <family val="2"/>
      </rPr>
      <t>1 851</t>
    </r>
  </si>
  <si>
    <r>
      <rPr>
        <b/>
        <sz val="7.5"/>
        <rFont val="Arial"/>
        <family val="2"/>
      </rPr>
      <t>3 616</t>
    </r>
  </si>
  <si>
    <r>
      <rPr>
        <sz val="7.5"/>
        <rFont val="Arial"/>
        <family val="2"/>
      </rPr>
      <t>1 880</t>
    </r>
  </si>
  <si>
    <r>
      <rPr>
        <b/>
        <sz val="7.5"/>
        <rFont val="Arial"/>
        <family val="2"/>
      </rPr>
      <t>3 645</t>
    </r>
  </si>
  <si>
    <r>
      <rPr>
        <sz val="7.5"/>
        <rFont val="Arial"/>
        <family val="2"/>
      </rPr>
      <t>2 490</t>
    </r>
  </si>
  <si>
    <r>
      <rPr>
        <b/>
        <sz val="7.5"/>
        <rFont val="Arial"/>
        <family val="2"/>
      </rPr>
      <t>3 452</t>
    </r>
  </si>
  <si>
    <r>
      <rPr>
        <sz val="7.5"/>
        <rFont val="Arial"/>
        <family val="2"/>
      </rPr>
      <t>2 764</t>
    </r>
  </si>
  <si>
    <r>
      <rPr>
        <b/>
        <sz val="7.5"/>
        <rFont val="Arial"/>
        <family val="2"/>
      </rPr>
      <t>4 009</t>
    </r>
  </si>
  <si>
    <r>
      <rPr>
        <b/>
        <sz val="7.5"/>
        <rFont val="Arial"/>
        <family val="2"/>
      </rPr>
      <t>4 072</t>
    </r>
  </si>
  <si>
    <r>
      <rPr>
        <sz val="7.5"/>
        <rFont val="Arial"/>
        <family val="2"/>
      </rPr>
      <t>3 475</t>
    </r>
  </si>
  <si>
    <r>
      <rPr>
        <b/>
        <sz val="7.5"/>
        <rFont val="Arial"/>
        <family val="2"/>
      </rPr>
      <t>5 285</t>
    </r>
  </si>
  <si>
    <r>
      <rPr>
        <b/>
        <sz val="7.5"/>
        <rFont val="Arial"/>
        <family val="2"/>
      </rPr>
      <t>5 326</t>
    </r>
  </si>
  <si>
    <r>
      <rPr>
        <b/>
        <sz val="7.5"/>
        <rFont val="Arial"/>
        <family val="2"/>
      </rPr>
      <t>5 355</t>
    </r>
  </si>
  <si>
    <r>
      <rPr>
        <sz val="7.5"/>
        <rFont val="Arial"/>
        <family val="2"/>
      </rPr>
      <t>1 998</t>
    </r>
  </si>
  <si>
    <r>
      <rPr>
        <sz val="7.5"/>
        <rFont val="Arial"/>
        <family val="2"/>
      </rPr>
      <t>2 097</t>
    </r>
  </si>
  <si>
    <r>
      <rPr>
        <sz val="7.5"/>
        <rFont val="Arial"/>
        <family val="2"/>
      </rPr>
      <t>2 755</t>
    </r>
  </si>
  <si>
    <r>
      <rPr>
        <sz val="7.5"/>
        <rFont val="Arial"/>
        <family val="2"/>
      </rPr>
      <t>2 998</t>
    </r>
  </si>
  <si>
    <r>
      <rPr>
        <sz val="7.5"/>
        <rFont val="Arial"/>
        <family val="2"/>
      </rPr>
      <t>3 062</t>
    </r>
  </si>
  <si>
    <r>
      <rPr>
        <sz val="7.5"/>
        <rFont val="Arial"/>
        <family val="2"/>
      </rPr>
      <t>3 192</t>
    </r>
  </si>
  <si>
    <r>
      <rPr>
        <sz val="7.5"/>
        <rFont val="Arial"/>
        <family val="2"/>
      </rPr>
      <t>4 951</t>
    </r>
  </si>
  <si>
    <r>
      <rPr>
        <sz val="7.5"/>
        <rFont val="Arial"/>
        <family val="2"/>
      </rPr>
      <t>5 072</t>
    </r>
  </si>
  <si>
    <r>
      <rPr>
        <sz val="7.5"/>
        <rFont val="Arial"/>
        <family val="2"/>
      </rPr>
      <t>5 156</t>
    </r>
  </si>
  <si>
    <r>
      <rPr>
        <sz val="7.5"/>
        <rFont val="Arial"/>
        <family val="2"/>
      </rPr>
      <t>5 251</t>
    </r>
  </si>
  <si>
    <r>
      <rPr>
        <sz val="7.5"/>
        <rFont val="Arial"/>
        <family val="2"/>
      </rPr>
      <t>11 713</t>
    </r>
  </si>
  <si>
    <r>
      <rPr>
        <sz val="7.5"/>
        <rFont val="Arial"/>
        <family val="2"/>
      </rPr>
      <t>12 048</t>
    </r>
  </si>
  <si>
    <r>
      <rPr>
        <sz val="7.5"/>
        <rFont val="Arial"/>
        <family val="2"/>
      </rPr>
      <t>20 181</t>
    </r>
  </si>
  <si>
    <r>
      <rPr>
        <sz val="7.5"/>
        <rFont val="Arial"/>
        <family val="2"/>
      </rPr>
      <t>21 775</t>
    </r>
  </si>
  <si>
    <r>
      <rPr>
        <sz val="7.5"/>
        <rFont val="Arial"/>
        <family val="2"/>
      </rPr>
      <t>14 578</t>
    </r>
  </si>
  <si>
    <r>
      <rPr>
        <sz val="7.5"/>
        <rFont val="Arial"/>
        <family val="2"/>
      </rPr>
      <t>15 252</t>
    </r>
  </si>
  <si>
    <r>
      <rPr>
        <sz val="7.5"/>
        <rFont val="Arial"/>
        <family val="2"/>
      </rPr>
      <t>23 912</t>
    </r>
  </si>
  <si>
    <r>
      <rPr>
        <sz val="7.5"/>
        <rFont val="Arial"/>
        <family val="2"/>
      </rPr>
      <t>25 253</t>
    </r>
  </si>
  <si>
    <r>
      <rPr>
        <sz val="7.5"/>
        <rFont val="Arial"/>
        <family val="2"/>
      </rPr>
      <t>1 401</t>
    </r>
  </si>
  <si>
    <r>
      <rPr>
        <sz val="7.5"/>
        <rFont val="Arial"/>
        <family val="2"/>
      </rPr>
      <t>1 604</t>
    </r>
  </si>
  <si>
    <r>
      <rPr>
        <sz val="7.5"/>
        <rFont val="Arial"/>
        <family val="2"/>
      </rPr>
      <t>1 499</t>
    </r>
  </si>
  <si>
    <r>
      <rPr>
        <sz val="7.5"/>
        <rFont val="Arial"/>
        <family val="2"/>
      </rPr>
      <t>1 702</t>
    </r>
  </si>
  <si>
    <r>
      <rPr>
        <b/>
        <sz val="7.5"/>
        <rFont val="Arial"/>
        <family val="2"/>
      </rPr>
      <t>1 302</t>
    </r>
  </si>
  <si>
    <r>
      <rPr>
        <sz val="7.5"/>
        <rFont val="Arial"/>
        <family val="2"/>
      </rPr>
      <t>1 014</t>
    </r>
  </si>
  <si>
    <r>
      <rPr>
        <sz val="7.5"/>
        <rFont val="Arial"/>
        <family val="2"/>
      </rPr>
      <t>1 926</t>
    </r>
  </si>
  <si>
    <t xml:space="preserve">Montáž klimatizácie </t>
  </si>
  <si>
    <t>Žľab 60x45 mm + tvarovky</t>
  </si>
  <si>
    <t>Konzola na vonkajšiu jednotku</t>
  </si>
  <si>
    <t xml:space="preserve"> Nástenná klimatizácia KEYON SET </t>
  </si>
  <si>
    <t>Cena Nástenná klimatizácia KEYON SET 3,5kW</t>
  </si>
  <si>
    <t>SKY2 SÉRIA SET INDOOR + OUTDOOR</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</si>
  <si>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</si>
  <si>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</si>
  <si>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</si>
  <si>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</si>
  <si>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</si>
  <si>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</si>
  <si>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</si>
  <si>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</si>
  <si>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</si>
  <si>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</si>
  <si>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</si>
  <si>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</si>
  <si>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</si>
  <si>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</si>
  <si>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</si>
  <si>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</si>
  <si>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</si>
  <si>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</si>
  <si>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</si>
  <si>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</si>
  <si>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</si>
  <si>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</si>
  <si>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</si>
  <si>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</si>
  <si>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</si>
  <si>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</si>
  <si>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</si>
  <si>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</si>
  <si>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</si>
  <si>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</si>
  <si>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</si>
  <si>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</si>
  <si>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</si>
  <si>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</si>
  <si>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</si>
  <si>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</si>
  <si>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</si>
  <si>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</si>
  <si>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</si>
  <si>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</si>
  <si>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</si>
  <si>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</si>
  <si>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</si>
  <si>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</si>
  <si>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</si>
  <si>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</si>
  <si>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</si>
  <si>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</si>
  <si>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</si>
  <si>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</si>
  <si>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</si>
  <si>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</si>
  <si>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</si>
  <si>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</si>
  <si>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</si>
  <si>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</si>
  <si>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</si>
  <si>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</si>
  <si>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</si>
  <si>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</si>
  <si>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</si>
  <si>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</si>
  <si>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</si>
  <si>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</si>
  <si>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</si>
  <si>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</si>
  <si>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</si>
  <si>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</si>
  <si>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</si>
  <si>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</si>
  <si>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</si>
  <si>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</si>
  <si>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</si>
  <si>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</si>
  <si>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</si>
  <si>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</si>
  <si>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</si>
  <si>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</si>
  <si>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</si>
  <si>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</si>
  <si>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</si>
  <si>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</si>
  <si>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</si>
  <si>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</si>
  <si>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</si>
  <si>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</si>
  <si>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</si>
  <si>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</si>
  <si>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</si>
  <si>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</si>
  <si>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</si>
  <si>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</si>
  <si>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</si>
  <si>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</si>
  <si>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</si>
  <si>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</si>
  <si>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</si>
  <si>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</si>
  <si>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</si>
  <si>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</si>
  <si>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</si>
  <si>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</si>
  <si>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</si>
  <si>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</si>
  <si>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</si>
  <si>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</si>
  <si>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</si>
  <si>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</si>
  <si>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</si>
  <si>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</si>
  <si>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</si>
  <si>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</si>
  <si>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</si>
  <si>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</si>
  <si>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</si>
  <si>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</si>
  <si>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</si>
  <si>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</si>
  <si>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</si>
  <si>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</si>
  <si>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Cenník montážneho materiálu
Platný od 1.4.2024</t>
  </si>
  <si>
    <t>Skl.číslo</t>
  </si>
  <si>
    <t>Sklad</t>
  </si>
  <si>
    <t>M.j.</t>
  </si>
  <si>
    <t>Nákupná cena
v EUR bez DPH</t>
  </si>
  <si>
    <t>Predizolované medené potrubie</t>
  </si>
  <si>
    <t>s</t>
  </si>
  <si>
    <t>Cu potrubie predizolované  6  (1/4" x 0,8) 50m</t>
  </si>
  <si>
    <t>Cu potrubie predizolované  10 (3/8" x 0,8) 50m</t>
  </si>
  <si>
    <t>Cu potrubie predizolované  12 (1/2" x 0,8) 50m</t>
  </si>
  <si>
    <t>o</t>
  </si>
  <si>
    <t>Cu potrubie predizolované  6  (1/4" x 1) 50m</t>
  </si>
  <si>
    <t>Cu potrubie predizolované  10 (3/8" x 1) 50m</t>
  </si>
  <si>
    <t>Cu potrubie predizolované  12 (1/2" x 1) 50m</t>
  </si>
  <si>
    <t>Cu potrubie predizolované  16 (5/8" x 1,0)50m</t>
  </si>
  <si>
    <t>Cu potrubie predizolované  18 (3/4" x 1,0) 25m</t>
  </si>
  <si>
    <t>Cu potrubie predizolované  22 (7/8" x 1,0) 25m</t>
  </si>
  <si>
    <t>Predizolovaná dvojica medeného potrubia (DUAL)</t>
  </si>
  <si>
    <t>Cu potrubie predizolované DUO  6+10 (1/4"+3/8"x0,8) 25m</t>
  </si>
  <si>
    <t>Cu potrubie predizolované DUO  6+12 (1/4"+1/2"x0,8) 25m</t>
  </si>
  <si>
    <t>Cu potrubie predizolované DUO  10-16 (3/8"x5/8") 25m</t>
  </si>
  <si>
    <t>Cu potrubie predizolované DUO  6+10 (1/4"+3/8"x1) 25m</t>
  </si>
  <si>
    <t>Cu potrubie predizolované DUO  6+12 (1/4"+1/2"x1) 25m</t>
  </si>
  <si>
    <t>Predizolovaná dvojica medeného potrubia (DUAL - UV Resistant)</t>
  </si>
  <si>
    <t>Izolačné pásky</t>
  </si>
  <si>
    <t>Samolepiaca izolačná páska - čierna</t>
  </si>
  <si>
    <t>Samolepiaca izolačná páska -biela</t>
  </si>
  <si>
    <t>Al páska, hliníková 50mm x 50m</t>
  </si>
  <si>
    <t>Al páska, hliníková 75mm x 50m</t>
  </si>
  <si>
    <t>Čistiace a dezinfekčné prostriedky</t>
  </si>
  <si>
    <t>RTU Evaporator 1l , čistiaci a dezinfekčný roztok výparníka</t>
  </si>
  <si>
    <t>RTU Evaporator 5l , čistiaci a dezinfekčný roztok výparníka</t>
  </si>
  <si>
    <t>CondenCide 5l, koncentrát - čistič výparníka s dezinfekcia</t>
  </si>
  <si>
    <t>SuperClean 5l, koncentrát pre veľmi znečistené kondenzátory</t>
  </si>
  <si>
    <t>Easy Care sprej-čistič a desinfekcia výparníka</t>
  </si>
  <si>
    <t>Ulith - detekčná pena - sprej</t>
  </si>
  <si>
    <t>Rothenberger - Sanifresh - čistič a dezinfekcia</t>
  </si>
  <si>
    <t>Konzoly</t>
  </si>
  <si>
    <t>Konzola biela - 465</t>
  </si>
  <si>
    <t>set</t>
  </si>
  <si>
    <t>Konzola biela - 550</t>
  </si>
  <si>
    <t>Konzola biela - 620</t>
  </si>
  <si>
    <t>Konzola biela - 700</t>
  </si>
  <si>
    <t>Nastaviteľná konzola - 420</t>
  </si>
  <si>
    <t>Nastaviteľná konzola - 550</t>
  </si>
  <si>
    <t>Strešna konzola</t>
  </si>
  <si>
    <t>Konzola pre TČ - SP700 - 25 cm</t>
  </si>
  <si>
    <t>Konzola pre TČ - SP740 - 40 cm</t>
  </si>
  <si>
    <t>Konzola pre TČ - Frame Foot</t>
  </si>
  <si>
    <t>Nosnosť konzol: 420 - 120 kg, 550 - 140 kg, 620 - 160 kg, 700 - 170 kg
Silentbloky</t>
  </si>
  <si>
    <t>Silentblok - konus - sada 4 ks</t>
  </si>
  <si>
    <t>bal.</t>
  </si>
  <si>
    <t>Antivibrační silentbloky - žltá sada 4 ks do 200 kg</t>
  </si>
  <si>
    <t>sada</t>
  </si>
  <si>
    <t>Antivibrační silentbloky - zelená sada 4 ks do 100 kg</t>
  </si>
  <si>
    <t>Gumové Nôžky 40 mm - sada 4 ks</t>
  </si>
  <si>
    <t>Montážne bloky pod klimatizácie</t>
  </si>
  <si>
    <t>Montážny blok 450 - biely, nosnosť 200kg</t>
  </si>
  <si>
    <t>Montážny blok 1000 - biely, nosnosť 200kg</t>
  </si>
  <si>
    <t>Koncový kryt montážneho bloku biely</t>
  </si>
  <si>
    <t>Podkladový blok 400 - gumený</t>
  </si>
  <si>
    <t>Podkladový blok 600 - gumený</t>
  </si>
  <si>
    <t>Podkladový blok 1000 - gumený</t>
  </si>
  <si>
    <t>Čerpadlá</t>
  </si>
  <si>
    <t>SI 27  Sauermann 10 l/h , max. 6m</t>
  </si>
  <si>
    <t>Delta Pack - rohové čerpadlo s lištou 8 l/h , max. 6m</t>
  </si>
  <si>
    <t>SI 83  čerpadlo se zásobníkem 2l , 500l/h , max.4,2m</t>
  </si>
  <si>
    <t>MiniBlue - čerpadlo + teplotní čidla</t>
  </si>
  <si>
    <t>Micro Blue - so zásobníkom a akustickým alarmom</t>
  </si>
  <si>
    <t>COMBI-Refco čerpadlo, 42l, sacia výška 3m, výtlak 20m</t>
  </si>
  <si>
    <t>GOBI II-Refco čerpadlo pod klimatizáciu</t>
  </si>
  <si>
    <t>Príslušenstvo na odvod kondenzátu</t>
  </si>
  <si>
    <t>PVC hadička zosilnená k čerpadlám 6x9 mm , 50m</t>
  </si>
  <si>
    <t>Hadička odvodu kondenzátu 16 mm , vo vnútri hladká 30m</t>
  </si>
  <si>
    <t>Y spojka odvodu kondenzátu</t>
  </si>
  <si>
    <t>Sifon odvodu kondenzátu - univerzálny</t>
  </si>
  <si>
    <t>Sifon podomietkový s guličkou DN 32/20</t>
  </si>
  <si>
    <t>Redukcia Yellow 16/20 - 18 - 16</t>
  </si>
  <si>
    <t>Redukcia Red 18/20 - 18 - 16</t>
  </si>
  <si>
    <t>Redukcia Blue 20/20 - 18 - 16</t>
  </si>
  <si>
    <t>Redukcia Green 25/20 - 18 - 16</t>
  </si>
  <si>
    <t>Redukcia Grey 32/20 - 18 - 16</t>
  </si>
  <si>
    <t>PVC potrubie kondenzátu 20mm</t>
  </si>
  <si>
    <t>Koleno 90° 20mm</t>
  </si>
  <si>
    <t>Koleno 45° 20mm</t>
  </si>
  <si>
    <t>Spojka 20mm</t>
  </si>
  <si>
    <t>T kus 20mm</t>
  </si>
  <si>
    <t>PVC redukcia 25 - 20</t>
  </si>
  <si>
    <t>Príchytka potrubia 20mm</t>
  </si>
  <si>
    <t>PVC potrubie kondenzátu 25mm</t>
  </si>
  <si>
    <t>Koleno 90° 25mm</t>
  </si>
  <si>
    <t>Koleno 45° 25mm</t>
  </si>
  <si>
    <t>Spojka 25mm</t>
  </si>
  <si>
    <t>T kus 25mm</t>
  </si>
  <si>
    <t>PVC redukce 32 - 25</t>
  </si>
  <si>
    <t>Príchytka potrubia 25mm</t>
  </si>
  <si>
    <t>Plastové lišty ECO</t>
  </si>
  <si>
    <t>Lišta 80 mm , dĺžka 2m</t>
  </si>
  <si>
    <t>Roh vnútorný 80 mm</t>
  </si>
  <si>
    <t>Roh vonkajší 80 mm</t>
  </si>
  <si>
    <t>Roh plochý 80 mm</t>
  </si>
  <si>
    <t>T - kus 80 mm</t>
  </si>
  <si>
    <t>Spojka 80 mm</t>
  </si>
  <si>
    <t>Koncový kryt 80 mm</t>
  </si>
  <si>
    <t>Koncový stenový kryt 80 mm</t>
  </si>
  <si>
    <t>Rozeta lišty 80 mm</t>
  </si>
  <si>
    <t>Na objednávku vieme zabezpečiť lišty a tvarovky ECO so šírkou 105mm</t>
  </si>
  <si>
    <t>Plastové lišty OPTIMAL</t>
  </si>
  <si>
    <t>Lišta Optimal 80 mm ,dĺžka 2 metre</t>
  </si>
  <si>
    <t>Roh vnútorný Optimal 80 mm</t>
  </si>
  <si>
    <t>Roh vonkajší Optimal 80 mm</t>
  </si>
  <si>
    <t>Roh plochý Optimal 80 mm</t>
  </si>
  <si>
    <t>T- kus Optimal 80 mm</t>
  </si>
  <si>
    <t>Spojka Optimal 80 mm</t>
  </si>
  <si>
    <t>Koncový kryt Optimal 80 mm</t>
  </si>
  <si>
    <t>Koncový kryt stenový Optimal 80 mm</t>
  </si>
  <si>
    <t>Redukcia Optimal 110/80 mm</t>
  </si>
  <si>
    <t>Rozeta lišty Optimal 80 mm</t>
  </si>
  <si>
    <t>Na objednávku vieme zabezpečiť lišty a tvarovky OPTIMAL so šírkou 110mm</t>
  </si>
  <si>
    <t>Predinstalačný - montážny box</t>
  </si>
  <si>
    <t>Predmontážny box RODIGAS - väčší</t>
  </si>
  <si>
    <t>Predmontážny box s bočným vývodom</t>
  </si>
  <si>
    <t>Dodávateľ si vyhradzuje právo úpravy cien, o ktorých bude odberateľa vopred informovať.
s          Tovar je na sklade                      o          Tovar na objednávku - dodávka cca týždeň</t>
  </si>
  <si>
    <t>KONTAKTY</t>
  </si>
  <si>
    <t>www.microwell.sk
Sídlo firmy: ŠAĽA
ul. SNP 2018/42, 927 00  Šaľa
tel.: 031/702 0540-1   fax: 031/702 0542
mobil: 0903-413 764, 0902-422 422, 0911-413 768, 0902-051 392</t>
  </si>
  <si>
    <t>REZIDENČNÉ KLIMATIZÁCIE
CENNÍK</t>
  </si>
  <si>
    <t>MICROWELL, spol. s.r.o.
ul. SNP 2018/42 927 01 ŠAĽA
www.microwell.sk klima@microwell.sk
0903 413 764
0902 422 422
0902 051 392
0911 413 768</t>
  </si>
  <si>
    <t>Platí: od 01.04.2024 do odvolania Záruka: 3 roky</t>
  </si>
  <si>
    <t>Typ                      Vnút. jed.            Menovitý  Energetická trieda       Cenníková cena Vonk. jed.              výkon      SEER (chladenie)             bez DPH €
[kW]          SCOP (kúrenie)</t>
  </si>
  <si>
    <t>MG2X-09-SP
s Wi-Fi</t>
  </si>
  <si>
    <t>MSAGAU-09HRFNX</t>
  </si>
  <si>
    <t>7,4 (A++)                       748,00</t>
  </si>
  <si>
    <t>ohrevvanekondenzátu</t>
  </si>
  <si>
    <t>MOX102-09HFN8                                     4,1 (A+)</t>
  </si>
  <si>
    <t>MG2X-12-SP          MSAGBU-12HRFNX                                   7,0 (A++)
s Wi-Fi                                              3,5                                                           786,00
ohrevvanekondenzátu      MOX102-12HFN8                                     4,2 (A+)</t>
  </si>
  <si>
    <t>MG2X-18-SP</t>
  </si>
  <si>
    <t>MSAGCU-18HRFNX</t>
  </si>
  <si>
    <t>7,0 (A++)</t>
  </si>
  <si>
    <t>MG2X-24-SP         MSAGDU-24HRFN8                                   6,4 (A++)                   1 553,00
s Wi-Fi                                              7,1
ohrevvanekondenzátu      MOX401-24HFN8                                     4,0 (A+)</t>
  </si>
  <si>
    <t>Typ                       Vnút. jed.            Menovitý  Energetická trieda      Cenníková cena Vonk. jed.              výkon      SEER (chladenie)            bez DPH €
[kW]          SCOP (kúrenie)</t>
  </si>
  <si>
    <t>MGP2X-09-SP
s Wi-Fi ohrevvanekondenzátu UV</t>
  </si>
  <si>
    <t>MSAGBU-09HRFN8
MOX230-09HFN8</t>
  </si>
  <si>
    <t>8,8 (A+++)
4,6 (A++)</t>
  </si>
  <si>
    <t>MGP2X-12-SP          MSAGBU-12HRFN8                                8,5 (A+++)
ohrevvs Wi-Fi                                               3,5                                                          934,00
anekondenzátu       MOX230-12HFN8                                  4,6 (A++)
UV</t>
  </si>
  <si>
    <t>Typ                       Vnút. jed.            Menovitý  Energetická trieda      Cenníková cena Vonk. jed.              výkon      SEER (chladenie)              bez DPH €
[kW]          SCOP (kúrenie)</t>
  </si>
  <si>
    <t>MEX-12-SP            MSEPBU-12HRFN8                                 8,5 (A+++)                  1 001,00
s Wi-Fi                                               3,5
ohrevvanekondenzátu       MOX330-12HFN8                                  4,6 (A++)</t>
  </si>
  <si>
    <t>MEX-24-SP           MSEPDU-24HRFN8                                8,5 (A+++)
s Wi-Fi                                               7,1                                                      1 647,00
ohrevvanekondenzátu      MOX430-24HFN8                                  4,2 (A+)</t>
  </si>
  <si>
    <t>Ohrev vane kondenzátu</t>
  </si>
  <si>
    <t>Obchodná spoločnosť si vyhradzuje právo na zmeny údajov uvedených v cenníku bez predchádzajúceho odsúhlasenia!</t>
  </si>
  <si>
    <t>Typ                       Vnút. jed.            Menovitý  Energetická trieda      Cenníková cena Vonk. jed.              výkon      SEER (chladenie)             bez DPH €
[kW]          SCOP (kúrenie)</t>
  </si>
  <si>
    <t>MCB-09-SP</t>
  </si>
  <si>
    <t>CB1-09HRFN8-I</t>
  </si>
  <si>
    <t>8,5 (A+++)</t>
  </si>
  <si>
    <t>MCB-12-SP           CB1-12HRFN8-I                                        8,5 (A+++)                      860,00
s Wi-Fi                                               3,5
ohrevvanekondenzátu     CB1-12HFNX-O                                        4,6 (A++)</t>
  </si>
  <si>
    <t>MCB-24-SP           CB1-24HRFN8-I                                        8,5 (A+++)                  1 800,00
s Wi-Fi                                               7,1
ohrevvanekondenzátu      CB1-24HFNX-O                                        4,6 (A++)</t>
  </si>
  <si>
    <t>Vnút. jed.            Menovitý    Energetická trieda        Cenníková
Typ                                                                  SEER (chladenie)
Vonk. jed.              výkon         SCOP (kúrenie)                   cena
bez DPH €</t>
  </si>
  <si>
    <t>MSF3-09-SP
s Wi-Fi ohrevvanekondenzátu</t>
  </si>
  <si>
    <t>8,5 (A+++)                    1 107,00
2,6
4,6(A++)</t>
  </si>
  <si>
    <t>MSFAAU-09HFRN8
MOX230-09HFN8-BR</t>
  </si>
  <si>
    <t>MSF3-12-SP           MSFAAU-12HFRN8        3,5                 8,5 (A+++)
s Wi-Fi                                                                                              1 165,00
ohrevvanekondenzátu      MOX230-12HFN8-BR                           4,6 (A++)</t>
  </si>
  <si>
    <t>Typ                      Vnút. jed.             Menovitý    Energetická trieda        Cenníková
Vonk. jed.               výkon        SEER (chladenie)                   cena
SCOP (kúrenie)                   bez DPH €</t>
  </si>
  <si>
    <t>MOP3-09-SP
s Wi-Fi ohrevvanekondenzátu</t>
  </si>
  <si>
    <t>MSOPBU-09HRFN8
MOX330-09HFN8-OP</t>
  </si>
  <si>
    <t>2,6                 9,3 (A+++)                   1 319,00
5,3 (A+++)</t>
  </si>
  <si>
    <t>MOP3-12-SP           MSOPBU-12HRFN8                              9,3 (A+++)                    1 361,00
s Wi-Fi              MOX330-12HFN8-OP    3,5                5,3 (A+++)
ohrevvanekondenzátu</t>
  </si>
  <si>
    <t>Typ                       Vnút. jed.            Menovitý  Energetická trieda    Cenníková cena Vonk. jed.              výkon      SEER (chladenie)            bez DPH €
[kW]          SCOP (kúrenie)</t>
  </si>
  <si>
    <t>MGA2-09-SP
s Wi-Fi</t>
  </si>
  <si>
    <t>GAIA-09HRFN8-I(B)</t>
  </si>
  <si>
    <t>9,2 (A+++)</t>
  </si>
  <si>
    <t>GAIA-09HRFN8-O                                    4,6 (A++)</t>
  </si>
  <si>
    <t>MGA2-12-SP          GAIA-12HRFN8-I(B)                                   8,5 (A+++)
s Wi-Fi                                               3,5                                                        1 534,00
ohrevvanekondenzátu     GAIA-12HRFN8-O                                     4,6 (A++)</t>
  </si>
  <si>
    <t>Vnút. jed.            Menovitý       Energetická           Cenníková cena Typ                      Vonk. jed.              výkon      SEERtrieda                   bez DPH €
[kW]         SC    (chladenie)
OP (kúrenie)</t>
  </si>
  <si>
    <t>GAIA-09HRFN8-I-GREY                            9,3 (A+++)                       1 538,00
2,6</t>
  </si>
  <si>
    <t>MGA-09-GREY-SP
s Wi-Fi</t>
  </si>
  <si>
    <t>GAIA-09HRFN8-O                                   5,3 (A+++)</t>
  </si>
  <si>
    <t>MGA-12-GREY-SP        GAIA-012HRFN8-I-GREY                          9,2 (A+++)                       1 571,00
s Wi-Fi                                              3,5
ohrevvanekondenzátu      GAIA-12HRFN8-O                                  5,3 (A+++)</t>
  </si>
  <si>
    <t>Cenníková cena
Názov                    Modelový kód              Popis                         bez DPH €</t>
  </si>
  <si>
    <t>Wifi modul                      SK105                   Opcionálny</t>
  </si>
  <si>
    <t>Opcionálny
Nástenný ovládač                 WF-60A1          Wi-Fi modul</t>
  </si>
  <si>
    <t>KJR-29B/BK-E</t>
  </si>
  <si>
    <t>SK105 wifi modul</t>
  </si>
  <si>
    <t>Xtreme Save
Prídavný multifunkčný panel         MFB01              Xtr 9k/12k/18k  ro
eme Save P
(Multi Function Board)                                         9k/12k</t>
  </si>
  <si>
    <t>Na vytvorenie externého
štartovacieho signálu, spoločného poruchového signálu alebo možnosti</t>
  </si>
  <si>
    <t>MFB02                 Xtreme Save 24k</t>
  </si>
  <si>
    <t>centrálneho riadenia
MFB03                 All Easy Pro
9k/12k/18k/24k</t>
  </si>
  <si>
    <t>Typ                  Menovitý       Max.        Elektrické           Cenníková cena výkon         počet         napätie                bez DPH € [kW]         vnút. jed.</t>
  </si>
  <si>
    <t>230V - 1 fáza ohrev vane kondenzátu</t>
  </si>
  <si>
    <t>M2OH-14HFN8-Q(B)  4,1                         2</t>
  </si>
  <si>
    <t>1 112,00</t>
  </si>
  <si>
    <t>230V - 1 fáza
M2OE-18HFN8-Q(B)   5,2                        2            ohrev vane                 1 285,00
kondenzátu</t>
  </si>
  <si>
    <t>1 422,00</t>
  </si>
  <si>
    <t>M3OG-21HFN8-Q(B)   6,3                        3</t>
  </si>
  <si>
    <t>230V - 1 fáza
M3OA-27HFN8-Q(B)  7,9                        3            ohrev vane                  1 819,00
kondenzátu</t>
  </si>
  <si>
    <t>M4OE-28HFN8-Q(B)    8,2                       4</t>
  </si>
  <si>
    <t>1 930,00</t>
  </si>
  <si>
    <t>230V - 1 fáza
M4O-36FN8-Q(B)       10,6                       4            ohrev vane                  2 231,00
kondenzátu</t>
  </si>
  <si>
    <t>M5OE-42HFN8-Q(B)  12,3                       5</t>
  </si>
  <si>
    <t>2 758,00</t>
  </si>
  <si>
    <t>NÁZOV
VÝKON</t>
  </si>
  <si>
    <t>XTREME
Save
(2,6-7,1 kW)</t>
  </si>
  <si>
    <t>XTREME
Save Pro
(2,6-3,5 kW)</t>
  </si>
  <si>
    <t>ALL EASY PRO
(2,6-7,1 kW)</t>
  </si>
  <si>
    <t>BREEZELESS+
(2,6-3,5 kW)</t>
  </si>
  <si>
    <t>BREEZELESS E
(2,6-7,1 kW)</t>
  </si>
  <si>
    <t>GAIA   GAIA GREY
(2,6-3,5 kW)</t>
  </si>
  <si>
    <t>M2OH-14HFN8-Q 4,1 kW</t>
  </si>
  <si>
    <t>•</t>
  </si>
  <si>
    <t>M2OE-18HFN8-Q 5,3 kW</t>
  </si>
  <si>
    <t>M3OG-21HFN8-Q 6,3 kW</t>
  </si>
  <si>
    <t>M3OA-27HFN8-Q 7,9 kW</t>
  </si>
  <si>
    <t>M4OE-28HFN8-Q(HB) 8,3 kW</t>
  </si>
  <si>
    <t>M4O-36FN8-Q(HB)  10,6 kW</t>
  </si>
  <si>
    <t>M5OE-42HFN8-Q  12,4 kW</t>
  </si>
  <si>
    <t>Ohrev vane kondenzátu
Obchodná spoločnosť si vyhradzuje právo na zmeny údajov uvedených v cenníku bez predchádzajúceho odsúhlasenia!</t>
  </si>
  <si>
    <t>Wi-Fi modul 4-smerové prúdenie
UV filter</t>
  </si>
  <si>
    <t>Menovitý            Cenníková cena</t>
  </si>
  <si>
    <t>výkon</t>
  </si>
  <si>
    <t>bez DPH €</t>
  </si>
  <si>
    <t>[kW]</t>
  </si>
  <si>
    <t>240</t>
  </si>
  <si>
    <t>MSAGBU-12HRFNX</t>
  </si>
  <si>
    <t>266</t>
  </si>
  <si>
    <t>378</t>
  </si>
  <si>
    <t>MSAGDU-24HRFN8</t>
  </si>
  <si>
    <t>419</t>
  </si>
  <si>
    <t>Xtreme Save Pro multi vnútorná R32</t>
  </si>
  <si>
    <t>Typ                  Menovitý            Cenníková cena výkon                bez DPH €
[kW]</t>
  </si>
  <si>
    <t>MSAGBU-09HRFN8</t>
  </si>
  <si>
    <t>310</t>
  </si>
  <si>
    <t>MSAGBU-12HRFN8</t>
  </si>
  <si>
    <t>330</t>
  </si>
  <si>
    <t>Menovitý</t>
  </si>
  <si>
    <t>Cenníková cena</t>
  </si>
  <si>
    <t>výkon
[kW]</t>
  </si>
  <si>
    <t>300</t>
  </si>
  <si>
    <t>CB1-12HRFN8-I</t>
  </si>
  <si>
    <t>318</t>
  </si>
  <si>
    <t>CB1-18HRFN8-I</t>
  </si>
  <si>
    <t>389</t>
  </si>
  <si>
    <t>CB1-24HRFN8-I</t>
  </si>
  <si>
    <t>552</t>
  </si>
  <si>
    <t>MSFAAU-09HRFN8(B)</t>
  </si>
  <si>
    <t>2,6</t>
  </si>
  <si>
    <t>382</t>
  </si>
  <si>
    <t>MSFAAU-12HRFN8(B)</t>
  </si>
  <si>
    <t>3,5</t>
  </si>
  <si>
    <t>392</t>
  </si>
  <si>
    <t>Wi-Fi modul
Obchodná spoločnosť si vyhradzuje právo na zmeny údajov uvedených v cenníku bez predchádzajúceho odsúhlasenia!</t>
  </si>
  <si>
    <t>All Easy Pro multi R32</t>
  </si>
  <si>
    <t>Wi-Fi modul 4-smerové prúdenie
Inteligentné oko</t>
  </si>
  <si>
    <t>Menovitý            Cenníková cena
Typ                   výkon                 bez DPH €
[kW]</t>
  </si>
  <si>
    <t>MSEPBU-09HRFN8</t>
  </si>
  <si>
    <t>303</t>
  </si>
  <si>
    <t>MSEPBU-12HRFN8</t>
  </si>
  <si>
    <t>324</t>
  </si>
  <si>
    <t>MSEPCU-18HRFN8</t>
  </si>
  <si>
    <t>5,3</t>
  </si>
  <si>
    <t>409</t>
  </si>
  <si>
    <t>MSEPDU-24HRFN8</t>
  </si>
  <si>
    <t>7,1</t>
  </si>
  <si>
    <t>480</t>
  </si>
  <si>
    <t>Menovitý            Cenníková cena
Typ                   výkon                  bez DPH €
[kW]</t>
  </si>
  <si>
    <t>794</t>
  </si>
  <si>
    <t>GAIA-12HRFN8-I(B)</t>
  </si>
  <si>
    <t>812</t>
  </si>
  <si>
    <t>Typ                Menovitý            Cenníková cena výkon                  bez DPH €
[kW]</t>
  </si>
  <si>
    <t>GAIA-09HRFN8-I-GREY     2,6</t>
  </si>
  <si>
    <t>GAIA-12HRFN8-I-GREY    3,5                               849,00</t>
  </si>
  <si>
    <t>Menovitý                                                Cenníková cena
Typ                   výkon            Panel           Popis               bez DPH €</t>
  </si>
  <si>
    <t>MCA3U-09HRFNX(GA)</t>
  </si>
  <si>
    <t>4-smerové             526,00
TMBQ-03C3       600 x 600</t>
  </si>
  <si>
    <t>MCA4U-12HRFNX</t>
  </si>
  <si>
    <t>4-smerové
TMBQ-03AWD                             563,00
600 x 600</t>
  </si>
  <si>
    <t>MCA4U-18HRFNX</t>
  </si>
  <si>
    <t>TMBQ-03AWD   4-smerové              621,00</t>
  </si>
  <si>
    <t>600 x 600</t>
  </si>
  <si>
    <t>Menovitý výkon
[kW]</t>
  </si>
  <si>
    <t>Cenníková cena
bez DPH €</t>
  </si>
  <si>
    <t>MTIU-09HWFNX(GA)</t>
  </si>
  <si>
    <t>616</t>
  </si>
  <si>
    <t>MTIU-18HWFNX</t>
  </si>
  <si>
    <t>643</t>
  </si>
  <si>
    <t>663</t>
  </si>
  <si>
    <t>Menovitý                            Cenníková cena</t>
  </si>
  <si>
    <t>MFA2U-12HRFNX(GA)</t>
  </si>
  <si>
    <t>MFA2U-17HRFNX(GA)</t>
  </si>
  <si>
    <t>5,0</t>
  </si>
  <si>
    <t>Cenníková cena
Názov                        Modelový kód                      Popis                              bez DPH €</t>
  </si>
  <si>
    <t>Wi-Fi modul                          SK105                  Opcionálny Wi-Fi modul                           30,00</t>
  </si>
  <si>
    <t>Wi-Fi modul                        WF-60A1            Opcionálny Wi-Fi modul</t>
  </si>
  <si>
    <t>MFB01                  Xtreme Save 9k/12k/18k
Prídavný multifunkčný panel                                     Xtreme Save Pro 9k/12k</t>
  </si>
  <si>
    <t>(Multi Function Board)
Na vytvorenie externého štartovacieho signálu, spoločného poruchového signálu alebo</t>
  </si>
  <si>
    <t>MFB02                          Xtreme Save 24k</t>
  </si>
  <si>
    <t>možnosti centrálneho riadenia
MFB03               All Easy Pro 9k/12k/18k/24k</t>
  </si>
  <si>
    <t>Opcionálny ovládač
Nástenný ovládač                WDC-86E/K              pre nástenné, kazetové,
podstropno-parapetné a kanálové
jednotky</t>
  </si>
  <si>
    <t>Opcionálny nástenný (drôtový) ovládač
Nad 7 KW</t>
  </si>
  <si>
    <t>Nástenný ovládač                   KJR-120X</t>
  </si>
  <si>
    <t>KJR-120C/BW-E
(pre kazetové, pod- stropno-parapetné a kanálové jednotky)</t>
  </si>
  <si>
    <t>Nástenný ovládač               KJR-120C/BW-E    Opcionálny nástenný (drôtový)                       81,00
ovládač</t>
  </si>
  <si>
    <t>SK105 wifi modul Pre nástenné jednotky</t>
  </si>
  <si>
    <t>KJR-120X
(nad 7 kW kazetové jed., podstropno-parapetné a kanálové jednotky)</t>
  </si>
  <si>
    <t>WDC-86E/K
(nástenný ovládač pre kazety, parapety,
konzolové, kanálové)</t>
  </si>
  <si>
    <t>WF-60A1 wifi modul (pre kazetové, pod- stropno-parapetné a kanálové jednotky)</t>
  </si>
  <si>
    <t>Energetická
Vnút. jed.              Menovitý         trieda               Cenníková cena
Typ                          Panel                   výkon                                     bez DPH €
Vonk. jed.                 [kW]      SEER (chladenie)
SCOP (kúrenie)</t>
  </si>
  <si>
    <t>MCA4U-12HRFNX TMBQ4-03AWD
rozmery: 600x600
MOX230-12HFN8-QD0</t>
  </si>
  <si>
    <t>6,6 (A++)
4,1 (A+)</t>
  </si>
  <si>
    <t>MCA4-12HRFNX-SP</t>
  </si>
  <si>
    <t>MCA4U-18HRFNX
TMBQ4-03AWD                                        6,3 (A++)
MCA4-18HRFNX-SP      rozmery: 600x600            5,3                                                       1 938,00
MOX330U-18HFN8-QD0                               4,0 (A+)</t>
  </si>
  <si>
    <t>MCD1-24HRFNX TMBQ4-04AWD
rozmery: 850x850</t>
  </si>
  <si>
    <t>6,2 (A++)</t>
  </si>
  <si>
    <t>MCD1-24HRFN8-W-SP</t>
  </si>
  <si>
    <t>MCA4-12HRFN8-SP -</t>
  </si>
  <si>
    <t>MOX430U-24HFN8-QD0</t>
  </si>
  <si>
    <t>4,0 (A+)</t>
  </si>
  <si>
    <t>MCD1-36HRFN8-W-SP</t>
  </si>
  <si>
    <t>MCD1-36HRFN8
TMBQ4-04AWD                                      6,3 (A++)                    4 167,00
MCD1-36HRFN8-W-SP   rozmery: 850x850           10,6
MOD30U-36HFN8-RD0                                 4,0 (A+)</t>
  </si>
  <si>
    <t>MCD1-48HRFNX TMBQ4-04AWD
rozmery: 850x850</t>
  </si>
  <si>
    <t>6,1 (A++)</t>
  </si>
  <si>
    <t>MCD1-48HRFN8-W-SP</t>
  </si>
  <si>
    <t>14,1</t>
  </si>
  <si>
    <t>MOE30U-48HFN8-RD0</t>
  </si>
  <si>
    <t>MCD1-55HRFNX
MCD1-55HRFN8-   SP     TMBQ4-04AWD             1  ,                     6,3 (A++)                    4 882,00
W-        rozmery: 850x850            6 1
MOE30U-55HFN8-RD0                                4,0 (A+)</t>
  </si>
  <si>
    <t>MCD1-48HRFN8-W-SP - MCD1-55HRFN8-W-SP</t>
  </si>
  <si>
    <t>MUE-48HRFN8-SP - MUE-55HRFN8-SP</t>
  </si>
  <si>
    <t>Vnút. jed.             Menovitý      Energetická            Cenníková cena Typ                         Panel                  výkon     SEERtrieda                    bez DPH €
Vonk. jed.                [kW]         SC    (chladenie)
OP (kúrenie)</t>
  </si>
  <si>
    <t>MUE-18HRFNX                                      6,2 (A++)
MUE-18HRFN8-SP                                               5,3                                                         2 053,00
MOX330U-18HFN8-QD0                                4,0 (A+)</t>
  </si>
  <si>
    <t>MUE-24HRFNX              7,1                  6,5 (A++)                        2 421,00
MUE-24HRFN8-SP
MOX430U-24HFN8-QD0                               4,0 (A+)</t>
  </si>
  <si>
    <t>MUE-36HRFNX                                      6,2 (A++)
MUE-36HRFN8-SP                                        10,6                                                        3 969,00
MOD30U-36HFN8-RD0                                4,0 (A+)</t>
  </si>
  <si>
    <t>MUE-48HRFNX                                      6,1 (A++)
MUE-48HRFN8-SP                                       14,1                                                         4 325,00
MOE30U-48HFN8-RD0                                4,0 (A+)</t>
  </si>
  <si>
    <t>MUE-18HRFN8-SP - MUE-36HRFN8-SP</t>
  </si>
  <si>
    <t>MUE-55HRFNX                                      6,1 (A++)
MUE-55HRFN8-SP                                       16,1                                                         4 623,00
MOE30U-55HFN8-RD0                                 4,0 (A+)</t>
  </si>
  <si>
    <t>Konzolové splity R32</t>
  </si>
  <si>
    <t>Výfuk zhora aj zdola Ionizátor
iClean</t>
  </si>
  <si>
    <t>Vnút. jed.             Menovitý      Energetická             Cenníková cena Typ                                                  výkon              trieda                        bez DPH €
Vonk. jed.                [kW]        SEER (chladenie)
SCOP (kúrenie)</t>
  </si>
  <si>
    <t>MFA2U-12HRFNX(GA)
MFA2-12HRFN8-SP
MOX230-12HFN8-QD0</t>
  </si>
  <si>
    <t>3,5                  7,3 (A++)
4,0 (A+)</t>
  </si>
  <si>
    <t>MFA2U-12HRFNX(GA)
MFA2-17HRFN8-SP                                       5,0                6,7 (A++)                       1 901,00
MOX230-12HFN8-QD0                          4,0 (A+)</t>
  </si>
  <si>
    <t>Kanálové splity   R32</t>
  </si>
  <si>
    <t>Nástenný ovládač
Kompaktný rozmer</t>
  </si>
  <si>
    <t>Statický tlak: 12k, 18k,24k:25Pa,  36k:37Pa, 48k/55k: 50Pa</t>
  </si>
  <si>
    <t>Energetická
Vnút. jed.             Menovitý         trieda            Cenníková cena Typ                     V Panel                  výkon      SEER (chladenie)         bez DPH €
onk. jed.                 [kW]
SCOP (kúrenie)</t>
  </si>
  <si>
    <t>MTIU-12HWFNX                                    5,6 (A+)                    1 659,00
MTI-12HWFN8-SP                                      3,5
MOX230-12HFN8-QD0                               4,0 (A+)</t>
  </si>
  <si>
    <t>MTIU-18HWFNX                                    6,1 (A++)
MTI-18HWFN8-SP                                     5,3                                                      1 980,00
MOX330U-18HFN8-QD0                              4,0 (A+)</t>
  </si>
  <si>
    <t>MTI-24HWFNX                                     6,1 (A++)
MTI-24HWFN8-SP                                     7,1                                                       2 607,00
MOX430U-24HFN8-QD0                             4,0 (A+)</t>
  </si>
  <si>
    <t>MTI-12HWFN8-SP -
MTI-36HWFN8-SP</t>
  </si>
  <si>
    <t>MTI-36HWFNX                                     6,1 (A++)
MTI-36HWFN8-SP                                     10,5                                                     3 991,00
MOD30U-36HFN8-RD0                              4,0 (A+)</t>
  </si>
  <si>
    <t>MTI-48HWFNX                                    6,1 (A++)                    4 493,00
MTI-48HWFN8-SP                                     14,1
MOE30U-48HFN8-RD0                              4,0 (A+)</t>
  </si>
  <si>
    <t>MTI-55HWFNX                                     6,1 (A++)
MTI-55HWFN8-SP                                     16,1                                                     4 758,00
MOE30U-55HFN8-RD0                              4,0 (A+)</t>
  </si>
  <si>
    <t>MTI-48HWFN8-SP  - MTI-55HWFN8-SP</t>
  </si>
  <si>
    <t>Vnút. jed.         Menovitý    Energetická trieda      Cenníková cena Typ                     Panel              výkon        SEER (chladenie)              bez DPH €
Vonk. jed.            [kW]            SCOP (kúrenie)</t>
  </si>
  <si>
    <t>MHC-96HWD1N1(A)                              3 fázy (400V),
MHC-96HWD1N1(A)                                  28,0</t>
  </si>
  <si>
    <t>8 162,00</t>
  </si>
  <si>
    <t>MHC-96HWD1N1(A)</t>
  </si>
  <si>
    <t>MOUA-96HD1N1-R</t>
  </si>
  <si>
    <t>statický tlak (ESP)
150 Pa</t>
  </si>
  <si>
    <t>Cenníková cena
Názov                        Modelový kód                      Popis                            bez DPH €</t>
  </si>
  <si>
    <t>Nástenný ovládač             KJR-27B/BGE (A)   Opcionálny nástenný (drôtový)
ovládač</t>
  </si>
  <si>
    <t>Nástenný ovládač                   KJR-120X          Opcionálny nástenný (drôtový)
ovládač</t>
  </si>
  <si>
    <t>Nástenný ovládač</t>
  </si>
  <si>
    <t>KJR-120C/BW-E    Opcionálny nástenný (drôtový)
ovládač</t>
  </si>
  <si>
    <t>Wi-Fi modul                        WF-60A1                Opcionálny Wi-Fi modul                  120,00
pre kazetové, podstropno-
parapetné a kanálové jednotky</t>
  </si>
  <si>
    <t>KJR-27B/BGE (A)
(Nie je možné použiť spolu s Wifi modulom WF-60A1)</t>
  </si>
  <si>
    <t>HRV štandardným ovládačom</t>
  </si>
  <si>
    <t>Max. prietok                                                 Cenníková cena
Modelový kód               vzduchu [m3/h]                 Popis                         bez DPH €
Elektrické napätie</t>
  </si>
  <si>
    <t>HRV-D200(B)      KJR-27B/E</t>
  </si>
  <si>
    <t>200 m3/h 230V - 1 fáza</t>
  </si>
  <si>
    <t>100 Pa, Ø144</t>
  </si>
  <si>
    <t>2 213,00</t>
  </si>
  <si>
    <t>HRV-D300(B)      KJR-27B/E            300 m3/h                         100 Pa,                                2 305,00
ovládač            230V - 1 fáza                        Ø144</t>
  </si>
  <si>
    <t>HRV-D400 (B)      KJR-27B/E</t>
  </si>
  <si>
    <t>400 m3/h 230V - 1 fáza</t>
  </si>
  <si>
    <t>110 Pa, Ø198</t>
  </si>
  <si>
    <t>2 575,00</t>
  </si>
  <si>
    <t>HRV-D200(B) - HRV-D1000(B)</t>
  </si>
  <si>
    <t>HRV-D500(B)      KJR-27B/E            500 m3/h                          110 Pa,                                 3 043,00
ovládač            230V - 1 fáza                        Ø244</t>
  </si>
  <si>
    <t>HRV-D800(B)      KJR-27B/E</t>
  </si>
  <si>
    <t>800 m3/h 230V - 1 fáza</t>
  </si>
  <si>
    <t>155 Pa, Ø244</t>
  </si>
  <si>
    <t>3 666,00</t>
  </si>
  <si>
    <t>KJR-27B/E</t>
  </si>
  <si>
    <t>HRV-D1000(B)      KJR-27B/E            1000 m3/h                         145 Pa,                                 4 90300
ovládač            230V - 1 fáza                        Ø244</t>
  </si>
  <si>
    <t>HRV-D1500(B)      KJR-27B/E</t>
  </si>
  <si>
    <t>1500 m3/h 230V - 1 fáza</t>
  </si>
  <si>
    <t>180 Pa,
346x326</t>
  </si>
  <si>
    <t>6 929,00</t>
  </si>
  <si>
    <t>HRV-D1500(B) - HRV-D2000(B)</t>
  </si>
  <si>
    <t>HRV-D2000(B)     KJR-27B/E           2000 m3/h                        180 Pa,                                7 313,00
ovládač            230V - 1 fáza                      346x326</t>
  </si>
  <si>
    <t>HRV s vylepšeným ovládačom</t>
  </si>
  <si>
    <t>HRV-D200(B)   WDC-120G/WK</t>
  </si>
  <si>
    <t>200 m3/h
230V - 1 fáza</t>
  </si>
  <si>
    <t>100 Pa,
Ø144</t>
  </si>
  <si>
    <t>2 476,00</t>
  </si>
  <si>
    <t>HRV-D300(B)   WDC-120G/WK</t>
  </si>
  <si>
    <t>300 m3/h 230V - 1 fáza</t>
  </si>
  <si>
    <t>2 568,00</t>
  </si>
  <si>
    <t>HRV-D400(B)   WDC-120G/WK</t>
  </si>
  <si>
    <t>2 838,00</t>
  </si>
  <si>
    <t>HRV-D500(B)   WDC-120G/WK</t>
  </si>
  <si>
    <t>500 m3/h 230V - 1 fáza</t>
  </si>
  <si>
    <t>110 Pa, Ø244</t>
  </si>
  <si>
    <t>3 306,00</t>
  </si>
  <si>
    <t>HRV-D800(B)   WDC-120G/WK</t>
  </si>
  <si>
    <t>3 929,00</t>
  </si>
  <si>
    <t>HRV-D1000(B)   WDC-120G/WK</t>
  </si>
  <si>
    <t>1000 m3/h 230V - 1 fáza</t>
  </si>
  <si>
    <t>145 Pa, Ø244</t>
  </si>
  <si>
    <t>5 166,00</t>
  </si>
  <si>
    <t>HRV-D1500(B)   WDC-120G/WK</t>
  </si>
  <si>
    <t>7 192,00</t>
  </si>
  <si>
    <t>HRV-D2000(B)  WDC-120G/WK</t>
  </si>
  <si>
    <t>2000 m3/h 230V - 1 fáza</t>
  </si>
  <si>
    <t>7 576,00</t>
  </si>
  <si>
    <t>ovládač</t>
  </si>
  <si>
    <t>ovládač
ovládač
ovládač
ovládač
ovládač
ovládač
Obchodná spoločnosť si vyhradzuje právo na zmeny údajov uvedených v cenníku bez predchádzajúceho odsúhlasenia!</t>
  </si>
  <si>
    <t>HRV-D200(B) - HRV-D1000(B)
WDC-120G/WK
HRV-D1500(B) - HRV-D2000(B)</t>
  </si>
  <si>
    <t>Vykurovací výkon     Vykurovacia         Cenníková cena Modelový kód        Vonkajšia jednotka           / SCOP                špirála                bez DPH €
Vnútorná jednotka     Chladiaci výkon /       Elektrická
SEER                 napätie</t>
  </si>
  <si>
    <t>MHA-V6W/D2N8-B2</t>
  </si>
  <si>
    <t>MHA-V6W/D2N8-B2    6,2 kW / 4,95                     3 kW
špirála</t>
  </si>
  <si>
    <t>(čierna)</t>
  </si>
  <si>
    <t>HB-A60/CD30GN8-B     7,0 kW / 8,21
MHA-V8W/D2N8-B2    8 3 kW / 5,21</t>
  </si>
  <si>
    <t>230V - 1 fáza</t>
  </si>
  <si>
    <t>3 kW špirála
230V - 1 fáza</t>
  </si>
  <si>
    <t>5 279,00</t>
  </si>
  <si>
    <t>MHA-V8W/D2N8-B2
(čierna)</t>
  </si>
  <si>
    <t>HB-A100/CD30GN8-B</t>
  </si>
  <si>
    <t>7,4 kW / 5,83</t>
  </si>
  <si>
    <t>MHA-V10W/D2N8-B2</t>
  </si>
  <si>
    <t>10,0 kW / 5,19</t>
  </si>
  <si>
    <t>5 949,00</t>
  </si>
  <si>
    <t>MHA-V10W/D2N8-B2
(čierna)</t>
  </si>
  <si>
    <t>8,2 kW / 5,98</t>
  </si>
  <si>
    <t>MHA-V12W/D2N8-B2
(čierna)</t>
  </si>
  <si>
    <t>MHA-V12W/D2N8-B2
HB-A160/CDS90GN8-B</t>
  </si>
  <si>
    <t>12,1 kW / 4,81
11,6 kW / 4,89</t>
  </si>
  <si>
    <t>9 kW špirála
230V - 1 fáza</t>
  </si>
  <si>
    <t>7 471,00</t>
  </si>
  <si>
    <t>MHA-V16W/D2N8-B2</t>
  </si>
  <si>
    <t>16,0 kW / 4,62</t>
  </si>
  <si>
    <t>8 037,00</t>
  </si>
  <si>
    <t>MHA-V16W/D2N8-B2
(čierna)</t>
  </si>
  <si>
    <t>HB-A160/CDS90GN8-B</t>
  </si>
  <si>
    <t>14,0 kW / 4,69</t>
  </si>
  <si>
    <t>MHA-V12W/D2RN8-B2
(čierna)</t>
  </si>
  <si>
    <t>MHA-V12W/D2RN8-B2
HB-A160/CDS90GN8-B</t>
  </si>
  <si>
    <t>12,1 kW / 4,81
11,6 kW / 4,86</t>
  </si>
  <si>
    <t>9 kW špirála
400V - 3 fázy</t>
  </si>
  <si>
    <t>8 028,00</t>
  </si>
  <si>
    <t>MHA-V16W/D2RN8-B2</t>
  </si>
  <si>
    <t>8 167,00</t>
  </si>
  <si>
    <t>MHA-V16W/D2RN8-B2
(čierna)</t>
  </si>
  <si>
    <t>14,0 kW / 4,67</t>
  </si>
  <si>
    <t>Ohrev vane                         Wi-Fi modul
Obchodná spoločnosť si vyhradzuje právo na zmeny údajov uvedených v cenníku bez predchádzajúceho odsúhlasenia!</t>
  </si>
  <si>
    <t>Vykurovací výkon     Vykurovacia             Cenníková cena Modelový kód         Vonkajšia jednotka            / SCOP                špirála                    bez DPH €
Vnútorná jednotka      Chladiaci výkon /       Elektrická
SEER                 napätie</t>
  </si>
  <si>
    <t>MHA-V6W/D2N8-B2     6,2 kW / 4,95                3 kW špirála
HBT-A100/190CD30GN8-B  6,55 kW / 8,21              230V - 1 fáza</t>
  </si>
  <si>
    <t>**MHA-V6W/ D2N8-B2
-IWT190
(čierna)</t>
  </si>
  <si>
    <t>8 951,00</t>
  </si>
  <si>
    <t>***MHA-V6W/         MHA-V6W/D2N8-B2    6,2 kW / 4,95                3 kW špirála
D2N8-B2                                                                        230V - 1 fáza                    10 127,00
-IWT240         HBT-A100/240CD30GN8-B  7,4 kW / 5,83
(čierna)</t>
  </si>
  <si>
    <t>MHA-V8W/D2N8-B2      8,3 kW / 5,21                 3 kW špirála
HBT-A100/190CD30GN8-B   6,55 kW / 8,21             230V - 1 fáza</t>
  </si>
  <si>
    <t>**MHA-V8W/ D2N8-B2
-IWT190
(čierna)</t>
  </si>
  <si>
    <t>9 178,00</t>
  </si>
  <si>
    <t>***MHA-V8W/         MHA-V8W/D2N8-B2      8,3 kW / 5,21                 3 kW špirála                   10 354,00
D2N8-B2                                                                        230V - 1 fáza
-IWT240         HBT-A100/240CD30GN8-B  11,6 kW / 4,89
(čierna)</t>
  </si>
  <si>
    <t>MHA-V10W/D2N8-B2    10,0 kW / 5,19               3 kW špirála
HBT-A100/190CD30GN8-B  6,55 kW / 8,21              230V - 1 fáza</t>
  </si>
  <si>
    <t>**MHA-V10W/ D2N8-B2
-IWT190
(čierna)</t>
  </si>
  <si>
    <t>9 848,00</t>
  </si>
  <si>
    <t>***MHA-V10W/       MHA-V10W/D2N8-B2    10,0 kW / 5,19                 3 kW špirála                    11 024,00
D2N8-B2                                                                       230V - 1 fáza
-IWT240         HBT-A100/240CD30GN8-B  11,6 kW / 4,86
(čierna)</t>
  </si>
  <si>
    <t>MHA-V12W/D2N8-B2     12,1 kW / 4,81                3 kW špirála
HBT-A160/240CDS90GN8-B  14,0 kW / 4,67           230V - 1 fáza</t>
  </si>
  <si>
    <t>***MHA-V12W/ D2N8-B2
-WI  T240
(čierna)</t>
  </si>
  <si>
    <t>12 204,00</t>
  </si>
  <si>
    <t>***MHA-V16W/            MHA-V16W/D2N8-B2    16,0 kW / 4,62
D2N8-B2                                                                        3 kW špirála                    12 770,00
-IWT240            HBT-A160/240CDS90GN8-B  11,6 kW / 4,89            230V - 1 fáza
(čierna)</t>
  </si>
  <si>
    <t>MHA-V12W/D2RN8-B2    12,1 kW / 4,81                3 kW špirála
HBT-A160/240CDS90GN8-B  14,0 kW / 4,69           400V - 3 fázy</t>
  </si>
  <si>
    <t>***MHA-V12W/ D2RN8-B2
-IWT240
(čierna)</t>
  </si>
  <si>
    <t>12 761,00</t>
  </si>
  <si>
    <t>***MHA-V16W/       MHA-V16W/D2RN8-B2    16,0 kW / 4,62
D2RN8-B2                                                                       3 kW špirála                     12 900,00
-IWT240         HBT-A160/240CDS90GN8-B  11,6 kW / 4,86           400V - 3 fázy
(čierna)</t>
  </si>
  <si>
    <t>* IWT (Integrated Water Tank) = Vstavaný zásobník TÚV
** So 190 litrovým vstavaným zásobníkom teplej vody
*** So 240 litrovým vstavaným zásobníkom teplej vody</t>
  </si>
  <si>
    <t>Vykurovací výkon / SCOP                       Vykurovacia         Cenníková cena Modelový kód               Chladiaci výkon / SEER                             špirála                bez DPH €
Elektrická
napätie</t>
  </si>
  <si>
    <t>6,2 kW / 4,95                                           3 kW</t>
  </si>
  <si>
    <t>MHA-V6W/D2N7-E30
(čierna)</t>
  </si>
  <si>
    <t>5 019,00</t>
  </si>
  <si>
    <t>7,0 kW / 8,21</t>
  </si>
  <si>
    <t>špirála
230V - 1 fáza</t>
  </si>
  <si>
    <t>MHA-V8W/D2N7-E30
(čierna)</t>
  </si>
  <si>
    <t>8,3 kW / 5,21
7,4 kW / 5,83</t>
  </si>
  <si>
    <t>5 310,00</t>
  </si>
  <si>
    <t>MHA-V10W/D2N7-E30
(čierna)</t>
  </si>
  <si>
    <t>10,0 kW / 5,19
8,2 kW / 5,98</t>
  </si>
  <si>
    <t>5 443,00</t>
  </si>
  <si>
    <t>MHA-V12W/D2N7-E30
(čierna)</t>
  </si>
  <si>
    <t>7 550,00</t>
  </si>
  <si>
    <t>MHA-V12W/D2RN7-ER90
(čierna)</t>
  </si>
  <si>
    <t>16,0 kW / 4,62
14,0 kW / 4,69</t>
  </si>
  <si>
    <t>MHA-V16W/D2N7-E30
(čierna)</t>
  </si>
  <si>
    <t>7 702,00</t>
  </si>
  <si>
    <t>MHA-V16W/D2RN7-ER90
(čierna)</t>
  </si>
  <si>
    <t>16,0 kW / 4,62
14,0 kW / 4,67</t>
  </si>
  <si>
    <t>7 886,00</t>
  </si>
  <si>
    <t>Vykurovacia
Modelový kód          Vykurovací výkon / SCOP          špirála                   Cenníková cena
Chladiaci výkon / SEER         Elektrická                     bez DPH €
napätie</t>
  </si>
  <si>
    <t>12,1 kW / 4,81                 3 kW špirála
MHC-V12W/D2N8-B2E30                                                                           6 982,00
(čierna)                           11,5 kW / 4,89                 230V - 1 fáza</t>
  </si>
  <si>
    <t>15,9 kW / 4,62                 3 kW špirála
MHC-V16W/D2N8-B2E30</t>
  </si>
  <si>
    <t>12,1 kW / 4,81</t>
  </si>
  <si>
    <t>MHC-V12W/D2RN8-B2ER90                                      9 kW špirála                        7 180,00
(čierna)                           11,5 kW / 4,86                 400V - 3 fázy</t>
  </si>
  <si>
    <t>Vykurovací výkon                                             Cenníková cena Modelový kód           Chla/ SCOP   on       Elektrické napätie                   bez DPH €
diaci výk                  Objem
/ SEER</t>
  </si>
  <si>
    <t>230V - 1 fáza, 190l nádrž,
bez pripojenia na solar</t>
  </si>
  <si>
    <t>RSJ-15/190RDN3-F       1,5 kW / 3,86 (A+)</t>
  </si>
  <si>
    <t>3 055,00</t>
  </si>
  <si>
    <t>RSJ-35/300RDN3-F1      3,0 kW / 4,34 (A+)           230V - 1 fáza,                            3 621,00
- / -               bez   300l nádrž, solar
pripojenia na</t>
  </si>
  <si>
    <t>Vnút. jed.            Menovitý  Energetická trieda       Cenníková cena              VIP cena
Typ                      Vonk. jed.              výkon      SEER (chladenie)             bez DPH €                   bez DPH €
[kW]          SCOP (kúrenie)</t>
  </si>
  <si>
    <t>MG2X-12-SP          MSAGBU-12HRFNX                                   7,0 (A++)
s Wi-Fi                                              3,5                                                           786,00                 366,00
ohrevvanekondenzátu      MOX102-12HFN8                                     4,2 (A+)</t>
  </si>
  <si>
    <t>MG2X-24-SP         MSAGDU-24HRFN8                                   6,4 (A++)                   1 553,00                 722,00
s Wi-Fi                                              7,1
ohrevvanekondenzátu      MOX401-24HFN8                                     4,0 (A+)</t>
  </si>
  <si>
    <t>Vnút. jed.            Menovitý  Energetická trieda      Cenníková cena              VIP cena
Typ                      Vonk. jed.              výkon      SEER (chladenie)            bez DPH €                   bez DPH €
[kW]          SCOP (kúrenie)</t>
  </si>
  <si>
    <t>MGP2X-12-SP          MSAGBU-12HRFN8                                8,5 (A+++)
ohrevvs Wi-Fi                                               3,5                                                          934,00                 434,00
anekondenzátu       MOX230-12HFN8                                  4,6 (A++)
UV</t>
  </si>
  <si>
    <t>Typ                       Vnút. jed.            Menovitý  Energetická trieda      Cenníková cena             VIP cena
Vonk. jed.              výkon      SEER (chladenie)              bez DPH €                 bez DPH €
[kW]          SCOP (kúrenie)</t>
  </si>
  <si>
    <t>MEX-12-SP            MSEPBU-12HRFN8                                 8,5 (A+++)                  1 001,00                 466,00
s Wi-Fi                                               3,5
ohrevvanekondenzátu       MOX330-12HFN8                                  4,6 (A++)</t>
  </si>
  <si>
    <t>MEX-24-SP           MSEPDU-24HRFN8                                8,5 (A+++)
s Wi-Fi                                               7,1                                                      1 647,00                 765,00
ohrevvanekondenzátu      MOX430-24HFN8                                  4,2 (A+)</t>
  </si>
  <si>
    <t>Typ                       Vnút. jed.            Menovitý  Energetická trieda      Cenníková cena        VIP cena
Vonk. jed.              výkon      SEER (chladenie)             bez DPH €              bez DPH €
[kW]          SCOP (kúrenie)</t>
  </si>
  <si>
    <t>MCB-12-SP           CB1-12HRFN8-I                                        8,5 (A+++)                      860,00             400,00
s Wi-Fi                                               3,5
ohrevvanekondenzátu     CB1-12HFNX-O                                        4,6 (A++)</t>
  </si>
  <si>
    <t>MCB-24-SP           CB1-24HRFN8-I                                        8,5 (A+++)                  1 800,00            837,00
s Wi-Fi                                               7,1
ohrevvanekondenzátu      CB1-24HFNX-O                                        4,6 (A++)</t>
  </si>
  <si>
    <t>Vnút. jed.            Menovitý    Energetická trieda        Cenníková
Typ                                                                  SEER (chladenie)                                              VIP cena
Vonk. jed.              výkon         SCOP (kúrenie)                   cena
bez DPH €                 bez DPH €</t>
  </si>
  <si>
    <t>MSF3-12-SP           MSFAAU-12HFRN8        3,5                 8,5 (A+++)                                                        543,00
s Wi-Fi                                                                                              1 165,00
ohrevvanekondenzátu      MOX230-12HFN8-BR                           4,6 (A++)</t>
  </si>
  <si>
    <t>Typ                      Vnút. jed.             Menovitý    Energetická trieda        Cenníková            VIP cena
Vonk. jed.               výkon        SEER (chladenie)                   cena
SCOP (kúrenie)                   bez DPH €                 bez DPH €</t>
  </si>
  <si>
    <t>MOP3-12-SP           MSOPBU-12HRFN8                              9,3 (A+++)                    1 361,00           632,00
s Wi-Fi              MOX330-12HFN8-OP    3,5                5,3 (A+++)
ohrevvanekondenzátu</t>
  </si>
  <si>
    <t>VIP cena
bez DPH €</t>
  </si>
  <si>
    <t>1 501,00</t>
  </si>
  <si>
    <t>1 534,00</t>
  </si>
  <si>
    <t>MGA2-12-SP          GAIA-12HRFN8-I(B)                                   8,5 (A+++)
s Wi-Fi                                               3,5
ohrevvanekondenzátu     GAIA-12HRFN8-O                                     4,6 (A++)</t>
  </si>
  <si>
    <t>Vnút. jed.            Menovitý       Energetická           Cenníková cena          VIP cena
Typ                      Vonk. jed.              výkon      SEERtrieda                   bez DPH €              bez DPH €
[kW]         SC    (chladenie)
OP (kúrenie)</t>
  </si>
  <si>
    <t>ohrevvanekondenzátu
Ohrev vane kondenzátu</t>
  </si>
  <si>
    <t>GAIA-09HRFN8-O
Wi-Fi modul</t>
  </si>
  <si>
    <t>5,3 (A+++)</t>
  </si>
  <si>
    <t>MGA-12-GREY-SP        GAIA-012HRFN8-I-GREY                          9,2 (A+++)                       1 571,00         731,00
s Wi-Fi                                              3,5
ohrevvanekondenzátu      GAIA-12HRFN8-O                                  5,3 (A+++)</t>
  </si>
  <si>
    <t>Cenníková cena                  VIP cena Názov                    Modelový kód              Popis                         bez DPH €                      bez DPH €</t>
  </si>
  <si>
    <t>Wifi modul</t>
  </si>
  <si>
    <t>Opcionálny
WF-60A1            Wi-Fi modul</t>
  </si>
  <si>
    <t>Prídavný multifunkčný panel (Multi Function Board)</t>
  </si>
  <si>
    <t>Xtreme Save
MFB01              Xtr 9k/12k/18k  ro
eme Save P
9k/12k</t>
  </si>
  <si>
    <t>centrálneho riadenia</t>
  </si>
  <si>
    <t>MFB03                 All Easy Pro 9k/12k/18k/24k</t>
  </si>
  <si>
    <t>Typ                  Menovitý       Max.        Elektrické           Cenníková cena                VIP cena výkon         počet         napätie                bez DPH €                     bez DPH € [kW]         vnút. jed.</t>
  </si>
  <si>
    <t>230V - 1 fáza
M2OE-18HFN8-Q(B)   5,2                        2            ohrev vane                 1 285,00               598,00
kondenzátu</t>
  </si>
  <si>
    <t>230V - 1 fáza
6,3                        3            ohrev vane kondenzátu</t>
  </si>
  <si>
    <t>M3OG-21HFN8-Q(B)</t>
  </si>
  <si>
    <t>230V - 1 fáza
M3OA-27HFN8-Q(B)  7,9                        3            ohrev vane                  1 819,00               846,00
kondenzátu</t>
  </si>
  <si>
    <t>230V - 1 fáza
M4O-36FN8-Q(B)       10,6                       4            ohrev vane                  2 231,00            1 037,00
kondenzátu</t>
  </si>
  <si>
    <t>1 283,00</t>
  </si>
  <si>
    <t>Menovitý            Cenníková cena                           VIP cena
Typ                   výkon                bez DPH €                                bez DPH €
[kW]</t>
  </si>
  <si>
    <t>111</t>
  </si>
  <si>
    <t>124</t>
  </si>
  <si>
    <t>176</t>
  </si>
  <si>
    <t>195</t>
  </si>
  <si>
    <t>Typ                  Menovitý            Cenníková cena                      VIP cena
výkon                bez DPH €                              bez DPH €
[kW]</t>
  </si>
  <si>
    <t>MSAGBU-09HRFN8      2,6                                  310,00                           144,00</t>
  </si>
  <si>
    <t>MSAGBU-12HRFN8      3,5                                  330,00                          153,00</t>
  </si>
  <si>
    <t>140</t>
  </si>
  <si>
    <t>148</t>
  </si>
  <si>
    <t>181</t>
  </si>
  <si>
    <t>257</t>
  </si>
  <si>
    <t>MSFAAU-12HRFN8(B)          3,5                            392,00                           183,00</t>
  </si>
  <si>
    <t>Menovitý            Cenníková cena                     VIP cena
Typ                   výkon                 bez DPH €                             bez DPH €
[kW]</t>
  </si>
  <si>
    <t>141</t>
  </si>
  <si>
    <t>151</t>
  </si>
  <si>
    <t>190</t>
  </si>
  <si>
    <t>223</t>
  </si>
  <si>
    <t>Menovitý            Cenníková cena                     VIP cena
Typ                   výkon                  bez DPH €
[kW]                                                                           bez DPH €</t>
  </si>
  <si>
    <t>369</t>
  </si>
  <si>
    <t>GAIA-09HRFN8-I(B)         2,6</t>
  </si>
  <si>
    <t>GAIA-12HRFN8-I(B)        3,5                           812,00                        378,00</t>
  </si>
  <si>
    <t>Typ                Menovitý            Cenníková cena                    VIP cena
výkon                  bez DPH €                          bez DPH €
[kW]</t>
  </si>
  <si>
    <t>387</t>
  </si>
  <si>
    <t>GAIA-12HRFN8-I-GREY    3,5                               849,00                        395,00</t>
  </si>
  <si>
    <t>Panel           Popis               bez DPH €           bez DPH €</t>
  </si>
  <si>
    <t>4-smerové             526,00           245,00
TMBQ-03C3       600 x 600</t>
  </si>
  <si>
    <t>4-smerové
TMBQ-03AWD                             563,00           262,00
600 x 600</t>
  </si>
  <si>
    <t>TMBQ-03AWD   4-smerové              621,00           289,00</t>
  </si>
  <si>
    <t>286</t>
  </si>
  <si>
    <t>299</t>
  </si>
  <si>
    <t>308</t>
  </si>
  <si>
    <t>Menovitý                            Cenníková cena         VIP cena
Typ                                      výkon                                  bez DPH €               bez DPH €</t>
  </si>
  <si>
    <t>272</t>
  </si>
  <si>
    <t>Cenníková cena                  VIP cena Názov                        Modelový kód                      Popis                              bez DPH €                         bez DPH €</t>
  </si>
  <si>
    <t>Wi-Fi modul                          SK105              Opcionálny Wi-Fi modul
(nástenné, kazetové,  konzolové)</t>
  </si>
  <si>
    <t>Wi-Fi modul                      WF-60A1             Opcionálny Wi-Fi modul
(parapety, kanálové)</t>
  </si>
  <si>
    <t>Opcionálny ovládač
Nástenný ovládač                    WDC-86E/K           pre nástenné, kazetové,
podstropno-parapetné a kanálové
jednotky</t>
  </si>
  <si>
    <t>Opcionálny nástenný (drôtový)
Nástenný ovládač                   KJR-120X                             ovládač Nad 7 KW</t>
  </si>
  <si>
    <t>Nástenný ovládač               KJR-120C/BW-E    Opcionálny nástenný (drôtový)                    81,00                        38,00
ovládač</t>
  </si>
  <si>
    <t>KJR-120X
(nad 7 kW kazetové jed., podstropno- parapetné a kanálové jednotky)</t>
  </si>
  <si>
    <t>Energetická
Vnút. jed.              Menovitý         trieda               Cenníková cena               VIP cena
Typ                          Panel                   výkon                                     bez DPH €
Vonk. jed.                 [kW]      SEER (chladenie)                                                          bez DPH €
SCOP (kúrenie)</t>
  </si>
  <si>
    <t>MCA4U-18HRFNX
TMBQ4-03AWD                                        6,3 (A++)
MCA4-18HRFNX-SP      rozmery: 600x600            5,3                                                       1 938,00                  902,00
MOX330U-18HFN8-QD0                               4,0 (A+)</t>
  </si>
  <si>
    <t>1 135,00</t>
  </si>
  <si>
    <t>MCD1-36HRFN8
TMBQ4-04AWD                                      6,3 (A++)                    4 167,00                1 938,00
MCD1-36HRFN8-W-SP   rozmery: 850x850           10,6
MOD30U-36HFN8-RD0                                 4,0 (A+)</t>
  </si>
  <si>
    <t>2 074,00</t>
  </si>
  <si>
    <t>MCD1-55HRFNX
MCD1-55HRFN8-   SP     TMBQ4-04AWD             1  ,                     6,3 (A++)                    4 822,00               2 241,00
W-        rozmery: 850x850            6 1
MOE30U-55HFN8-RD0                                4,0 (A+)</t>
  </si>
  <si>
    <t>Ohrev vane</t>
  </si>
  <si>
    <t>Vnút. jed.             Menovitý      Energetická            Cenníková cena             VIP cena
Typ                         Panel                  výkon            trieda
Vonk. jed.                [kW]       SEER (chladenie)               bez DPH €                   bez DPH €
SCOP (kúrenie)</t>
  </si>
  <si>
    <t>MUE-24HRFNX              7,1                  6,5 (A++)                        2 421,00            1 126,00
MUE-24HRFN8-SP
MOX430U-24HFN8-QD0                               4,0 (A+)</t>
  </si>
  <si>
    <t>1 845,00</t>
  </si>
  <si>
    <t>MUE-48HRFNX                                      6,1 (A++)
MUE-48HRFN8-SP                                       14,1                                                         4 325,00            2 011,00
MOE30U-48HFN8-RD0                                4,0 (A+)</t>
  </si>
  <si>
    <t>2 149,00</t>
  </si>
  <si>
    <t>Vnút. jed.             Menovitý      Energetická             Cenníková cena              VIP cena
Typ                                                  výkon              trieda                        bez DPH €                   bez DPH €
Vonk. jed.                [kW]        SEER (chladenie)
SCOP (kúrenie)</t>
  </si>
  <si>
    <t>MFA2U-12HRFNX(GA)
MFA2-17HRFN8-SP                                       5,0                6,7 (A++)                       1 901,00                885,00
MOX230-12HFN8-QD0                          4,0 (A+)</t>
  </si>
  <si>
    <t>Energetická
Vnút. jed.             Menovitý         trieda            Cenníková cena                       VIP cena
Typ                     V Panel                  výkon      SEER (chladenie)         bez DPH €                          bez DPH €
onk. jed.                 [kW]
SCOP (kúrenie)</t>
  </si>
  <si>
    <t>MTIU-18HWFNX                                    6,1 (A++)
MTI-18HWFN8-SP                                     5,3                                                      1 980,00                     921,00
MOX330U-18HFN8-QD0                              4,0 (A+)</t>
  </si>
  <si>
    <t>1 212,00</t>
  </si>
  <si>
    <t>MTI-36HWFNX                                     6,1 (A++)
MTI-36HWFN8-SP                                     10,5                                                     3 991,00                  1 856,00
MOD30U-36HFN8-RD0                              4,0 (A+)</t>
  </si>
  <si>
    <t>2 089,00</t>
  </si>
  <si>
    <t>MTI-55HWFNX                                     6,1 (A++)
MTI-55HWFN8-SP                                     16,1                                                     4 758,00                  2 212,00
MOE30U-55HFN8-RD0                              4,0 (A+)</t>
  </si>
  <si>
    <t>Vnút. jed.         Menovitý    Energetická trieda      Cenníková cena              VIP  cena
Typ                     Panel              výkon        SEER (chladenie)              bez DPH €                   bez DPH €
Vonk. jed.            [kW]            SCOP (kúrenie)</t>
  </si>
  <si>
    <t>MHC-96HWD1N1(A)                              3 fázy (400V),
MHC-96HWD1N1(A)                                  28,0           statický tlak (ESP)</t>
  </si>
  <si>
    <t>3 796,00</t>
  </si>
  <si>
    <t>150 Pa</t>
  </si>
  <si>
    <t>Názov</t>
  </si>
  <si>
    <t>Modelový kód</t>
  </si>
  <si>
    <t>KJR-27B/BGE (A) Opcionálny nástenný (drôtový)
ovládač</t>
  </si>
  <si>
    <t>44</t>
  </si>
  <si>
    <t>KJR-120X</t>
  </si>
  <si>
    <t>Opcionálny nástenný (drôtový) ovládač</t>
  </si>
  <si>
    <t>73</t>
  </si>
  <si>
    <t>KJR-120C/BW-E</t>
  </si>
  <si>
    <t>38</t>
  </si>
  <si>
    <t>WF-60A1</t>
  </si>
  <si>
    <t>Opcionálny Wi-Fi modul pre kazetové, podstropno-
parapetné a kanálové jednotky</t>
  </si>
  <si>
    <t>65</t>
  </si>
  <si>
    <t>KJR-27B/BGE
(Nie je možné použiť spolu s Wifi modulom WF-60A1)</t>
  </si>
  <si>
    <t>Max. prietok                                                 Cenníková cena           VIP cena
Modelový kód               vzduchu [m3/h]                 Popis                         bez DPH €                 bez DPH €
Elektrické napätie</t>
  </si>
  <si>
    <t>HRV-D200(B)</t>
  </si>
  <si>
    <t>KJR-27B/BGE
ovládač</t>
  </si>
  <si>
    <t>1 029,00</t>
  </si>
  <si>
    <t>HRV-D300(B)     KJR-27B/BGE        300 m3/h                         100 Pa,                                2 305,00          1 072,00
ovládač            230V - 1 fáza                        Ø144</t>
  </si>
  <si>
    <t>HRV-D400 (B)</t>
  </si>
  <si>
    <t>1 198,00</t>
  </si>
  <si>
    <t>HRV-D500(B)      KJR-27B/BGE      500 m3/h                          110 Pa,                                 3 043,00         1 415,00
ovládač            230V - 1 fáza                        Ø244</t>
  </si>
  <si>
    <t>HRV-D800(B)</t>
  </si>
  <si>
    <t>1 705,00</t>
  </si>
  <si>
    <t>KJR-27B/BGE (A)</t>
  </si>
  <si>
    <t>KJR-27B/BGE
HRV-D1000(B)</t>
  </si>
  <si>
    <t>145 Pa,                                 4 903,00           2 280,00
Ø244</t>
  </si>
  <si>
    <t>KJR-27B/BGE
HRV-D1500(B)</t>
  </si>
  <si>
    <t>1500 m3/h</t>
  </si>
  <si>
    <t>180 Pa,                                6 929,00          3 222,00</t>
  </si>
  <si>
    <t>346x326</t>
  </si>
  <si>
    <t>KJR-27B/BGE
HRV-D2000(B)</t>
  </si>
  <si>
    <t>2000 m3/h</t>
  </si>
  <si>
    <t>180 Pa,                                7 313,00          3 401,00</t>
  </si>
  <si>
    <t>ovládač
HRV s vylepšeným ovládačom
ovládač</t>
  </si>
  <si>
    <t>HRV-D1500(B) - HRV-D2000(B)
HRV-D200(B) - HRV-D1000(B)
WDC-120G/WK
HRV-D1500(B) - HRV-D2000(B)</t>
  </si>
  <si>
    <t>1 151,00</t>
  </si>
  <si>
    <t>1 194,00</t>
  </si>
  <si>
    <t>1 320,00</t>
  </si>
  <si>
    <t>1 537,00</t>
  </si>
  <si>
    <t>1 827,00</t>
  </si>
  <si>
    <t>2 402,00</t>
  </si>
  <si>
    <t>3 344,00</t>
  </si>
  <si>
    <t>3 523,00</t>
  </si>
  <si>
    <t>300 m3/h</t>
  </si>
  <si>
    <t>100 Pa,</t>
  </si>
  <si>
    <t>Ø144</t>
  </si>
  <si>
    <t>400 m3/h</t>
  </si>
  <si>
    <t>110 Pa,</t>
  </si>
  <si>
    <t>Ø198</t>
  </si>
  <si>
    <t>500 m3/h</t>
  </si>
  <si>
    <t>Ø244</t>
  </si>
  <si>
    <t>800 m3/h</t>
  </si>
  <si>
    <t>155 Pa,</t>
  </si>
  <si>
    <t>1000 m3/h</t>
  </si>
  <si>
    <t>145 Pa,</t>
  </si>
  <si>
    <t>180 Pa,</t>
  </si>
  <si>
    <t>Vykurovací výkon     Vykurovacia         Cenníková cena              VIP cena
Modelový kód        Vonkajšia jednotka           / SCOP                špirála                bez DPH €                     bez DPH €
Vnútorná jednotka     Chladiaci výkon /       Elektrická
SEER                 napätie</t>
  </si>
  <si>
    <t>2 508,00</t>
  </si>
  <si>
    <t>2 700,00</t>
  </si>
  <si>
    <t>3 043,00</t>
  </si>
  <si>
    <t>3 822,00</t>
  </si>
  <si>
    <t>4 111,00</t>
  </si>
  <si>
    <t>4 106,00</t>
  </si>
  <si>
    <t>4 178,00</t>
  </si>
  <si>
    <t>Vykurovací výkon     Vykurovacia             Cenníková cena                       VIP cena Modelový kód         Vonkajšia jednotka            / SCOP                špirála                    bez DPH €                          bez DPH €
Vnútorná jednotka      Chladiaci výkon /       Elektrická
SEER                 napätie</t>
  </si>
  <si>
    <t>MHA-V6W/D2N8-B2     6,2 kW / 4,95                3 kW špirála                      8 951,00
HBT-A100/190CD30GN8-B  6,55 kW / 8,21              230V - 1 fáza</t>
  </si>
  <si>
    <t>4 578,00</t>
  </si>
  <si>
    <t>MHA-V8W/D2N8-B2      8,3 kW / 5,21                 3 kW špirála                      9 178,00
HBT-A100/190CD30GN8-B   6,55 kW / 8,21             230V - 1 fáza</t>
  </si>
  <si>
    <t>4 694,00</t>
  </si>
  <si>
    <t>5 037,00</t>
  </si>
  <si>
    <t>***MHA-V10W/       MHA-V10W/D2N8-B2    10,0 kW / 5,19                 3 kW špirála                    11 024,00                  5 639,00
D2N8-B2                                                                       230V - 1 fáza
-IWT240         HBT-A100/240CD30GN8-B  11,6 kW / 4,86
(čierna)</t>
  </si>
  <si>
    <t>6 243,00</t>
  </si>
  <si>
    <t>***MHA-V16W/            MHA-V16W/D2N8-B2    16,0 kW / 4,62
D2N8-B2                                                                        3 kW špirála                    12 770,00                  6 532,00
-IWT240            HBT-A160/240CDS90GN8-B  11,6 kW / 4,89            230V - 1 fáza
(čierna)</t>
  </si>
  <si>
    <t>6 527,00</t>
  </si>
  <si>
    <t>***MHA-V16W/       MHA-V16W/D2RN8-B2    16,0 kW / 4,62
D2RN8-B2                                                                       3 kW špirála                     12 900,00                  6 599,00
-IWT240         HBT-A160/240CDS90GN8-B  11,6 kW / 4,86           400V - 3 fázy
(čierna)</t>
  </si>
  <si>
    <t>Vykurovací výkon / SCOP                       Vykurovacia         Cenníková cena                VIP cena
Modelový kód               Chladiaci výkon / SEER                             špirála                bez DPH €                       bez DPH €
Elektrická
napätie</t>
  </si>
  <si>
    <t>2 567,00</t>
  </si>
  <si>
    <t>2 716,00</t>
  </si>
  <si>
    <t>2 784,00</t>
  </si>
  <si>
    <t>3 865,00</t>
  </si>
  <si>
    <t>3 862,00</t>
  </si>
  <si>
    <t>3 940,00</t>
  </si>
  <si>
    <t>4 034,00</t>
  </si>
  <si>
    <t>Vykurovacia
Modelový kód          Vykurovací výkon / SCOP          špirála                   Cenníková cena                VIP cena
Chladiaci výkon / SEER         Elektrická                     bez DPH €                   bez DPH €
napätie</t>
  </si>
  <si>
    <t>12,1 kW / 4,81                 3 kW špirála
MHC-V12W/D2N8-B2E30                                                                           6 982,00            3 571,00
(čierna)                           11,5 kW / 4,89                 230V - 1 fáza</t>
  </si>
  <si>
    <t>3 694,00</t>
  </si>
  <si>
    <t>MHC-V12W/D2RN8-B2ER90                                      9 kW špirála                        7 180,00            3 673,00
(čierna)                           11,5 kW / 4,86                 400V - 3 fázy</t>
  </si>
  <si>
    <t>Vykurovací výkon                                             Cenníková cena                        VIP cena
Modelový kód           Chla/ SCOP   on       Elektrické napätie                   bez DPH €                            bez DPH €
diaci výk                  Objem
/ SEER</t>
  </si>
  <si>
    <t>1 562,00</t>
  </si>
  <si>
    <t>RSJ-35/300RDN3-F1      3,0 kW / 4,34 (A+)           230V - 1 fáza,                            3 621,00                       1 852,00
- / -               bez   300l nádrž, solar
pripojenia na</t>
  </si>
  <si>
    <t>Voľne množstvo na sklade</t>
  </si>
  <si>
    <t>Informácie</t>
  </si>
  <si>
    <t>AR07TXFCAWKNEU</t>
  </si>
  <si>
    <t>Nástenná - Wind Free™ Comfort - 2 kW</t>
  </si>
  <si>
    <t>0 ks</t>
  </si>
  <si>
    <t>nie je možné objednať</t>
  </si>
  <si>
    <t>AR09TXCAAWKXEU</t>
  </si>
  <si>
    <t>Vonkajšia - Wind Free™ Elite - 2,5kW, R32</t>
  </si>
  <si>
    <t>3 ks</t>
  </si>
  <si>
    <t>-</t>
  </si>
  <si>
    <t>jednotku je možné objednať iba splite</t>
  </si>
  <si>
    <t>AR09CXCAAWKNEU</t>
  </si>
  <si>
    <t>Nástenná - Wind Free™ Elite - 2.5 kW</t>
  </si>
  <si>
    <t>2 ks</t>
  </si>
  <si>
    <t>1 ks 30.1.2025</t>
  </si>
  <si>
    <t>AR09TXFCAWKXEU</t>
  </si>
  <si>
    <t>Vonkajšia - Wind Free™ Comfort - 2,75 kW, R32</t>
  </si>
  <si>
    <t>65 ks</t>
  </si>
  <si>
    <t>jednotku je možné objednať v multisplite / splite</t>
  </si>
  <si>
    <t>AR09TXFCAWKNEU</t>
  </si>
  <si>
    <t>Nástenná - Wind Free™ Comfort - 2.5 kW</t>
  </si>
  <si>
    <t>131 ks začiatok februára</t>
  </si>
  <si>
    <t>AR09TXEAAWKXEU</t>
  </si>
  <si>
    <t>Vonkajšia - Wind Free™ Avant - 2,5kW, R32</t>
  </si>
  <si>
    <t>26 ks</t>
  </si>
  <si>
    <t>AR09TXEAAWKNEU</t>
  </si>
  <si>
    <t>Nástenná - Wind Free™ Avant - 2.5 kW</t>
  </si>
  <si>
    <t>AR09TXFYAWKXEU</t>
  </si>
  <si>
    <t>Vonkajšia - Cebu - 2,75 kW, R32</t>
  </si>
  <si>
    <t>16 ks</t>
  </si>
  <si>
    <t>AR09TXFYAWKNEU</t>
  </si>
  <si>
    <t>Nástenná - Cebu - 2.5 kW</t>
  </si>
  <si>
    <t>AR09TXHQASIXEU</t>
  </si>
  <si>
    <t>Vonkajšia - AR35 - 2,75 kW, R32</t>
  </si>
  <si>
    <t>10 ks</t>
  </si>
  <si>
    <t>AR09TXHQASINEU</t>
  </si>
  <si>
    <t>Nástenná - AR35 - 2.6 kW</t>
  </si>
  <si>
    <t>AR12TXCAAWKXEU</t>
  </si>
  <si>
    <t>Vonkajšia - Wind Free™ Elite - 3,5kW, R32</t>
  </si>
  <si>
    <t>4 ks</t>
  </si>
  <si>
    <t>AR12CXCAAWKNEU</t>
  </si>
  <si>
    <t>Nástenná - Wind Free™ Elite - 3.5 kW</t>
  </si>
  <si>
    <t>12 ks</t>
  </si>
  <si>
    <t>AR12TXEAAWKXEU</t>
  </si>
  <si>
    <t>Vonkajšia - Wind Free™ Avant - 3,5 kW, R32</t>
  </si>
  <si>
    <t>15 ks dodanie apríl</t>
  </si>
  <si>
    <t>AR12TXEAAWKNEU</t>
  </si>
  <si>
    <t>Nástenná - Wind Free™ Avant - 3.5 kW</t>
  </si>
  <si>
    <t>45 ks</t>
  </si>
  <si>
    <t>AR12TXFCAWKXEU</t>
  </si>
  <si>
    <t>Vonkajšia - Wind Free™ Comfort - 3,5 kW, R32</t>
  </si>
  <si>
    <t>74 ks</t>
  </si>
  <si>
    <t>AR12TXFCAWKNEU</t>
  </si>
  <si>
    <t>Nástenná - Wind Free™ Comfort - 3.5 kW</t>
  </si>
  <si>
    <t>6 ks</t>
  </si>
  <si>
    <t>30 ks 30.1.2025</t>
  </si>
  <si>
    <t>AR12TXFYAWKXEU</t>
  </si>
  <si>
    <t>Vonkajšia - Cebu - 3,5 kW, R32</t>
  </si>
  <si>
    <t>AR12TXFYAWKNEU</t>
  </si>
  <si>
    <t>Nástenná - Cebu - 3.5 kW</t>
  </si>
  <si>
    <t>AR12TXHQASIXEU</t>
  </si>
  <si>
    <t>Vonkajšia - AR35 - 3,5 kW, R32</t>
  </si>
  <si>
    <t>21 ks</t>
  </si>
  <si>
    <t>AR12TXHQASINEU</t>
  </si>
  <si>
    <t>Nástenná - AR35 - 3.5 kW</t>
  </si>
  <si>
    <t>AR18TXFCAWKXEU</t>
  </si>
  <si>
    <t>Vonkajšia - Wind Free™ Comfort - 5 kW, R32</t>
  </si>
  <si>
    <t>AR18TXFCAWKNEU</t>
  </si>
  <si>
    <t>Nástenná - Wind Free™ Comfort - 5 kW</t>
  </si>
  <si>
    <t>10ks dodanie apríl</t>
  </si>
  <si>
    <t>AR18TXEAAWKXEU</t>
  </si>
  <si>
    <t>Vonkajšia - Wind Free™ Avant - 5 kW, R32</t>
  </si>
  <si>
    <t>1 ks dodanie 30.1</t>
  </si>
  <si>
    <t>AR18TXEAAWKNEU</t>
  </si>
  <si>
    <t>Nástenná - Wind Free™ Avant - 5 kW</t>
  </si>
  <si>
    <t>12 ks dodanie 4.2</t>
  </si>
  <si>
    <t>AR18BXHQASIXEU</t>
  </si>
  <si>
    <t>Vonkajšia - AR35 - 5  kW, R32</t>
  </si>
  <si>
    <t>13 ks</t>
  </si>
  <si>
    <t>AR18BXHQASINEU</t>
  </si>
  <si>
    <t>Nástenná - AR35 - 5.2 kW</t>
  </si>
  <si>
    <t>AR24TXFCAWKXEU</t>
  </si>
  <si>
    <t>Vonkajšia - Wind Free™ Comfort - 6,5 kW, R32</t>
  </si>
  <si>
    <t>AR24TXFCAWKNEU</t>
  </si>
  <si>
    <t>Nástenná - Wind Free™ Comfort - 6.5 kW</t>
  </si>
  <si>
    <t>jednotku je možné objednať  do multisplitu</t>
  </si>
  <si>
    <t>AJ040TXJ2KG/EU</t>
  </si>
  <si>
    <t>Multisplit pre 2 jednotky - 4kW</t>
  </si>
  <si>
    <t>pravidelne doskladnujeme</t>
  </si>
  <si>
    <t>bez zmeny , dostupné dlhodobo</t>
  </si>
  <si>
    <t>AJ050TXJ2KG/EU</t>
  </si>
  <si>
    <t>Multisplit pre 2 jednotky - 5kW</t>
  </si>
  <si>
    <t>1 ks</t>
  </si>
  <si>
    <t>AJ052TXJ3KG/EU</t>
  </si>
  <si>
    <t>Multisplit pre 3 jednotky - 5,2kW</t>
  </si>
  <si>
    <t>AJ068TXJ3KG/EU</t>
  </si>
  <si>
    <t>Multisplit pre 3 jednotky - 6,8kW</t>
  </si>
  <si>
    <t>AJ080TXJ4KG/EU</t>
  </si>
  <si>
    <t>Multisplit pre 4 jednotky - 8kW</t>
  </si>
  <si>
    <t>AJ100TXJ5KG/EU</t>
  </si>
  <si>
    <t>Multisplit pre 5 jednotiek - 10kW</t>
  </si>
  <si>
    <t>DOKONALÉ PROSTREDIE
Podstropná jednotka SL R32                Prednosti
Aktualizácia funkcie SL »Speed Line«
Atraktívny dizajn Nízka úroveň hluku
Optimálne rozvádzanie vzduchu v chladiacej a vykurovacej prevádzke</t>
  </si>
  <si>
    <t>Podstropná jednotka pre jednopriestorové systémy RAV na kombináciu s vonkajšími jednotkami digitálneho invertora, super digitálneho invertora a digitálneho invertora BIG pre chladivo R32. Elegantný dizajn so zaoblenými hranami a veľkou smerovou lamelou pre optimálnu cirkuláciu vzduchu. Dostupná v siedmich výkonnostných stupňoch od 3,6 do 14,0 kW.</t>
  </si>
  <si>
    <t>Výkon
Veľmi vysoká energetická účinnosť
Optimalizované rozvádzanie teploty až po podlahu vo vykurovacej prevádzke
Vysokovýkonný tepelný výmenník Funkcia samočistenia
Tichý 3-stupňový ventilátor Funkcia Quiet Autodiagnostický systém
Flexibilita
Optimálne rozvádzanie vzduchu aj vo vysokých miestnostiach Jednoducho vyberateľné, umývateľné prachové filtre Kdispozícii doplnková doska plošných spojov TCB-PCUC2E
na externé analógové adigitálne riadenie
Voliteľné ovládanie prostredníctvom WIFI cez smartfón, tablet alebo počítač</t>
  </si>
  <si>
    <t>Technické údaje
Jednoduchá montáž vďaka snímateľným závesným zariadeniam
Kondenzátové zdvihové čerpadlo TCB-DP31CE k dispozícii voliteľne
S možnosťou integrovania prijímača pre infračervené diaľkové ovládanie
S možnosťou kombinovania všetkých káblových diaľkových ovládaní
S možnosťou pripojenia prostredníctvom rozhrania TCC-
/TU2C-Link do riadiacich systémov VRF  Kompatibilita so systémovou zbernicou TU2C-Link Automatický reštart po výpadku elektrického prúdu je nastaviteľný
Dostupný voliteľný redundantný box
ŠPECIÁLNE FUNKCIE SL
Funkcia redundancie
Riadenie voľného chladenia Free-Cooling Pripojenie dodatočných vykurovacích systémov Zobrazenie výstupnej teploty
Prepínanie výkonu</t>
  </si>
  <si>
    <t>Podstropná jednotka SL R32</t>
  </si>
  <si>
    <t>Technické údaje</t>
  </si>
  <si>
    <t>RAV-HM1601CTP-E</t>
  </si>
  <si>
    <t>Chladiaci výkon
Rozsah chladiaceho výkonu (min. – max.) Vykurovací výkon
Rozsah vykurovacieho výkonu (min. – max.)
Hladina akustického tlaku (low/med/high)</t>
  </si>
  <si>
    <t>kW</t>
  </si>
  <si>
    <t>2,60 - 16,00</t>
  </si>
  <si>
    <t>2,40 - 19,00</t>
  </si>
  <si>
    <t>dB(A)</t>
  </si>
  <si>
    <t>36/42/46</t>
  </si>
  <si>
    <t>Hladina akustického tlaku (low/med/high) Hladina akustického výkonu
Hladina akustického výkonu Prietok vzduchu
Ø vedenia kondenzátu</t>
  </si>
  <si>
    <t>51/57/61</t>
  </si>
  <si>
    <t>m³/h</t>
  </si>
  <si>
    <t>1200/1650/2040</t>
  </si>
  <si>
    <t>mm</t>
  </si>
  <si>
    <t>VP20</t>
  </si>
  <si>
    <t>Ø vedenia nasávaného plynu</t>
  </si>
  <si>
    <t>mm (palce)</t>
  </si>
  <si>
    <t>15,9 (5/8)</t>
  </si>
  <si>
    <t>Ø vedenia kvapaliny Komunikačné vedenie Chladiaci prostriedok Rozmery (VxŠxH) Hmotnosť
Napájanie napätím
Odporúčaný typ prívodu</t>
  </si>
  <si>
    <t>H07RN-F 4G1,5</t>
  </si>
  <si>
    <t>R32</t>
  </si>
  <si>
    <t>235 x 1586 x 690</t>
  </si>
  <si>
    <t>V/f + N/Hz</t>
  </si>
  <si>
    <t>220-240/1+N/50</t>
  </si>
  <si>
    <t>H07RN-F 3G1,5</t>
  </si>
  <si>
    <t>chladenie          vykurovanie
Podmienky merania pre tento výrobok nájdete na stránke https://www.toshiba-aircondition.com/sk/podmienky-merania.html</t>
  </si>
  <si>
    <t>CENNÍK 2024
nástenné / kazetové / parapetné / podstropné / kanálové / tepelné čerpadlá</t>
  </si>
  <si>
    <t>5i
Rokov ZARUKA</t>
  </si>
  <si>
    <t>uvedené ceny sú doporučené maloobchodné bez DPH</t>
  </si>
  <si>
    <t>OBSAH</t>
  </si>
  <si>
    <t>Nástenné split jednotky                                                    Strana</t>
  </si>
  <si>
    <t>Y-DESIGN                                                                                                                             4
N-DESIGN                                                                                                                            5
H+-DESIGN                                                                                                                          6-7
R+-DESIGN                                                                                                                          8-9
M-DESIGN                                                                                                                            10
Q-DESIGN                                                                                                                            11</t>
  </si>
  <si>
    <t>Multisplit jednotky
Vnútorné jednotky                                                                                                               12
Vnútorné a vonkajšie jednotky                                                                                         13</t>
  </si>
  <si>
    <t>Kazetové a kanálové klimatizácie                                                                                    14
Podstropné a parapetné klimatizácie                                                                              15</t>
  </si>
  <si>
    <t>Tepelné čerpadlá – vonkajšie jednotky                                                                           16
Tepelné čerpadlá – hydrobox                                                                                            17
Tepelné čerpadlá – monoblok a bazénové čerpadlá                                                     18</t>
  </si>
  <si>
    <t>Kúrenie pri teplote -32°C                                               Prevádzka na plný výkon pri -15°C</t>
  </si>
  <si>
    <t>Pokročilá invertorová technológia umožňuje klimatizácii pracovať efektívne a vo veľmi extrémnych poveternostných podmienkach.
Môžete využívať kúrenie aj pri vonkajšej teplote -32°C, klimatizácia Y-DESIGN pracuje so 100 % výkonom
až do -15 °C.
Pohybový senzor
Inteligentný pohybový senzor dokáže automaticky identifikovať ľudskú aktivitu v miestnosti a podľa toho prispôsobiť chod klimatizácie. Keď sú ľudia v miestnosti, aktivuje sa silné chladenie a keď ju opustia, zariadenie pokračuje v prevádzke so zníženou rýchlosťou.</t>
  </si>
  <si>
    <t>Keď teploty klesnú až na -15 °C, klimatizácie VIVAX
zo série Y Design pokračujú v prevádzke na plný výkon.
V prípade takto nízkych teplôt vyrobia klimatizácie tejto série 5,3 kW vykurovacej energie na 1,0 kW spotrebovanej elektriny.</t>
  </si>
  <si>
    <t>Typ zariadenia
Vnútorná / vonkajšia jednotka</t>
  </si>
  <si>
    <t>Výkon chlad./kúr.</t>
  </si>
  <si>
    <t>Rozmery (ŠxHxV)</t>
  </si>
  <si>
    <t>Hlučnosť</t>
  </si>
  <si>
    <t>Energ. Trieda chlad./ kúr.</t>
  </si>
  <si>
    <t>Jedn. cena bez DPH
(bez RP)</t>
  </si>
  <si>
    <t>RP *
bez DPH</t>
  </si>
  <si>
    <t>Cena za SPLIT bez DPH
(vrátane RP)</t>
  </si>
  <si>
    <t>3,5 / 4,2kW</t>
  </si>
  <si>
    <t>895 x 248 x 298 mm</t>
  </si>
  <si>
    <t>24/43 dB(A)</t>
  </si>
  <si>
    <t>A+++/A+++</t>
  </si>
  <si>
    <t>552,9</t>
  </si>
  <si>
    <t>805 x 333 x 554 mm</t>
  </si>
  <si>
    <t>56 dB(A)</t>
  </si>
  <si>
    <t>902,1</t>
  </si>
  <si>
    <t>* recyklačný poplatok je započítaný v "Cena za SPLIT bez DPH"</t>
  </si>
  <si>
    <t>Prehľad funkcií</t>
  </si>
  <si>
    <t>- Chladivo R32</t>
  </si>
  <si>
    <t>- 3D DC Inverter</t>
  </si>
  <si>
    <t>- Ochranný kryt ventilu</t>
  </si>
  <si>
    <t>- Elegantný dizajn</t>
  </si>
  <si>
    <t>- Nočný mód</t>
  </si>
  <si>
    <t>- Detekcia chýb</t>
  </si>
  <si>
    <t>- Ohrev vaničky</t>
  </si>
  <si>
    <t>- Temperovanie +8°C</t>
  </si>
  <si>
    <t>- Prachový filter</t>
  </si>
  <si>
    <t>- Núdzový funkcia</t>
  </si>
  <si>
    <t>- Ohrev kompresora</t>
  </si>
  <si>
    <t>- Turbo režim</t>
  </si>
  <si>
    <t>- Samočistenie</t>
  </si>
  <si>
    <t>- 1,0W StandBy</t>
  </si>
  <si>
    <t>- Inteligentné odmrazovanie</t>
  </si>
  <si>
    <t>- Digitálny displej</t>
  </si>
  <si>
    <t>- Bio Filter</t>
  </si>
  <si>
    <t>- ECO režim</t>
  </si>
  <si>
    <t>- Pamäť posledného režimu</t>
  </si>
  <si>
    <t>- Regulácia vlhkosti</t>
  </si>
  <si>
    <t>- Chladenie pri teplote -32°C</t>
  </si>
  <si>
    <t>- Antikorózna ochrana</t>
  </si>
  <si>
    <t>- Časovač</t>
  </si>
  <si>
    <t>- 3D prúdenie vzduchu</t>
  </si>
  <si>
    <t>- Kúrenie pri teplote -32°C</t>
  </si>
  <si>
    <t>- Ionizátor vzduchu</t>
  </si>
  <si>
    <t>- Detektor pohybu</t>
  </si>
  <si>
    <t>- I Feel Funkcia</t>
  </si>
  <si>
    <t>- Tichá prevádzka</t>
  </si>
  <si>
    <t>- Auto Swing</t>
  </si>
  <si>
    <t>- 12 rýchlostí ventilátora</t>
  </si>
  <si>
    <t>- Wi-Fi ovládanie</t>
  </si>
  <si>
    <t>Cenník klimatizácií VIVAX 2024</t>
  </si>
  <si>
    <t>strana 4</t>
  </si>
  <si>
    <t>Kúrenie pri -20°C                                                           Dvojitý filter</t>
  </si>
  <si>
    <t>Klimatizácia VIVAX N-DESIGN dokáže kúriť pri -20°C vonkajšej teploty. Vďaka ohrevu vaničky a kompresora nepotrebuje kimatizácia VIVAX N-DESIGN časté odmrazovanie.</t>
  </si>
  <si>
    <t>Duálny filtračný systém dôkladne eliminuje škodlivé látky a zaisťuje čerstvý a čistý vzduch. Prvý filter účinne zabraňuje šíreniu častíc. Druhý filter s aktívnym
uhlím zachytáva pachy.</t>
  </si>
  <si>
    <t> Studený katalytický filter                                                
Odstraňuje nebezpečné plyny a nepríjemné zápachy. Rozkladať benzén, čpavok a iné nebezpečné látky.</t>
  </si>
  <si>
    <t>ACP-12CH35AENI R32 / I</t>
  </si>
  <si>
    <t>3,5 / 3,8kW</t>
  </si>
  <si>
    <t>802 x 200 x 295 mm</t>
  </si>
  <si>
    <t>21/37 dB(A)</t>
  </si>
  <si>
    <t>A++/A+</t>
  </si>
  <si>
    <t>257,44</t>
  </si>
  <si>
    <t>ACP-12CH35AENI R32 / O</t>
  </si>
  <si>
    <t>720 x 270 x 495 mm</t>
  </si>
  <si>
    <t>420,04</t>
  </si>
  <si>
    <t>ACP-18CH50AENI R32 / I</t>
  </si>
  <si>
    <t>5,2 / 5,5kW</t>
  </si>
  <si>
    <t>971 x 228 x 321 mm</t>
  </si>
  <si>
    <t>20/41 dB(A)</t>
  </si>
  <si>
    <t>401,55</t>
  </si>
  <si>
    <t>1 063,82 €</t>
  </si>
  <si>
    <t>ACP-18CH50AENI R32 / O</t>
  </si>
  <si>
    <t>805 x 330 x 554 mm</t>
  </si>
  <si>
    <t>57 dB(A)</t>
  </si>
  <si>
    <t>655,17</t>
  </si>
  <si>
    <t>Cenník príslušenstva:                                                                                                                                                          Cena bez DPH</t>
  </si>
  <si>
    <t>Wi-Fi Adaptér pre ovládani</t>
  </si>
  <si>
    <t>klimatizácie cez</t>
  </si>
  <si>
    <t>smart zariad</t>
  </si>
  <si>
    <t>enie</t>
  </si>
  <si>
    <t>- Chladenie do -15°C</t>
  </si>
  <si>
    <t>- Kúrenie do -20°C</t>
  </si>
  <si>
    <t>- Núdzová funkcia</t>
  </si>
  <si>
    <t>- Režim úspory energie</t>
  </si>
  <si>
    <t>- Automaticky režim</t>
  </si>
  <si>
    <t>- Katalytický filter</t>
  </si>
  <si>
    <t>- Turbo</t>
  </si>
  <si>
    <t>- Eco režim</t>
  </si>
  <si>
    <t>- Manuálne ovládanie</t>
  </si>
  <si>
    <t>- Ochrana proti korózii</t>
  </si>
  <si>
    <t>- Pamäť polohy lamely</t>
  </si>
  <si>
    <t>- Wi-Fi Ready</t>
  </si>
  <si>
    <t>- 3 rýchlosti prúdenia vzduchu</t>
  </si>
  <si>
    <t>Cenník klimatizácií VIVAX 2024                                                                                                                                                 Strana 5</t>
  </si>
  <si>
    <t>180° Prietok vzduchu                                                      BIO HEPA Filtračný systém
Bio Hepa filtračný systém odstraňuje vzduchom prenášané častice do PM 0,3 ako aj iné škodlivé látky, čím zabezpečuje čerstvý, čistý a zdravý vzduch. Dodatočný superhustý predfilter účinne zastaví veľké častice, ako sú chlpy domácich zvierat, prach a iné častice vo vzduchu.
IONIZÁTOR                                                                  
Ionizácia odstraňuje zo vzduchu alergény a škodlivé častice ako prach, peľ, baktérie a vírusy, čím zvyšuje úroveň kvality vzduchu v miestnosti.</t>
  </si>
  <si>
    <t>Energ. Tr. chlad./ kúr.</t>
  </si>
  <si>
    <t>920 x 211 x 321 mm</t>
  </si>
  <si>
    <t>19/40 dB(A)</t>
  </si>
  <si>
    <t>A+++/A++</t>
  </si>
  <si>
    <t>341,35</t>
  </si>
  <si>
    <t>765 x 303 x 555 mm</t>
  </si>
  <si>
    <t>53 dB(A)</t>
  </si>
  <si>
    <t>633,92</t>
  </si>
  <si>
    <t>382,68</t>
  </si>
  <si>
    <t>431,74</t>
  </si>
  <si>
    <t>19/41 dB(A)</t>
  </si>
  <si>
    <t>445,31</t>
  </si>
  <si>
    <t>54 dB(A)</t>
  </si>
  <si>
    <t>826,99</t>
  </si>
  <si>
    <t>498,62</t>
  </si>
  <si>
    <t>560,68</t>
  </si>
  <si>
    <t>Cenník príslušenstva:</t>
  </si>
  <si>
    <t>Cena bez DPH</t>
  </si>
  <si>
    <t>Wi-Fi Adaptér pre ovládanie klim</t>
  </si>
  <si>
    <t>a</t>
  </si>
  <si>
    <t>tizácie cez sm</t>
  </si>
  <si>
    <t>art zariadenie</t>
  </si>
  <si>
    <t>- Chladivo R32
- Nočný mód
- Režim úspory energie
- Prachový filter
- Samočistenie
- BIO Filter
- 1,0W StandBy</t>
  </si>
  <si>
    <t>- ECO Režim
- Chladenie do -15°C
- Kúrenie do -25°C
- 3D DC Inverter
- Detekcia chýb
- Ohrev vaničky
- Ohrev kompresora</t>
  </si>
  <si>
    <t>- Inteligentné odmrazovanie
- Detekcia úniku chladiva
- Núdzová funkcia
- Pamäť posledného režimu
- Časovač
- Pamäť polohy lamely
- Bezhlučná prevádzka</t>
  </si>
  <si>
    <t>- Temperovanie +8°C
- Turbo režim
- Digitálny displej
- 3D Prúdenie vzduchu
- I Feel Funkcia
- 12 rýchlostí ventilátora
- Wi-Fi Ready</t>
  </si>
  <si>
    <t>Strana 6</t>
  </si>
  <si>
    <t>WHITE
SILVER              H+
GOLD          Design
MIRROR</t>
  </si>
  <si>
    <t>BIELA                                                                             STRIEBORNÁ</t>
  </si>
  <si>
    <t>ZLATÁ                                                                           ČIERNA / ZRKADLOVÁ</t>
  </si>
  <si>
    <t>Cenník klimatizácií VIVAX 2024                                                                                                                                              Strana 7</t>
  </si>
  <si>
    <t>IONIZÁTOR VZDUCHU
Ionizácia odstraňuje zo vzduchu alergény a škodlivé častice ako prach, peľ, bakérie a vírusy, čím zvyšuje úroveň kvality vzduchu v miestnosti.</t>
  </si>
  <si>
    <t>Farba</t>
  </si>
  <si>
    <t>Rozmery (ŠxVxH)</t>
  </si>
  <si>
    <t>2,6 / 2,9kW</t>
  </si>
  <si>
    <t>802 x 297 x 189 mm</t>
  </si>
  <si>
    <t>20/37 dB(A)</t>
  </si>
  <si>
    <t>765 x 555 x 303 mm</t>
  </si>
  <si>
    <t>I</t>
  </si>
  <si>
    <t>21/40 dB(A)</t>
  </si>
  <si>
    <t>55 dB(A)</t>
  </si>
  <si>
    <t>ACP-12CH35AERI+  / O</t>
  </si>
  <si>
    <t>965 x 319 x 215 mm</t>
  </si>
  <si>
    <t>23/43 dB(A)</t>
  </si>
  <si>
    <t>1 167,90 €</t>
  </si>
  <si>
    <t>ACP-18CH50AERI+  / O</t>
  </si>
  <si>
    <t>805 x 554 x 330 mm</t>
  </si>
  <si>
    <t>R / I</t>
  </si>
  <si>
    <t>1 226,44 €</t>
  </si>
  <si>
    <t>7,0 / 7,3kW</t>
  </si>
  <si>
    <t>1080 x 335 x 226 mm</t>
  </si>
  <si>
    <t>25/47 dB(A)</t>
  </si>
  <si>
    <t>1 568,70 €</t>
  </si>
  <si>
    <t>ACP-24CH70AERI+  / O</t>
  </si>
  <si>
    <t>890 x 673 x 342 mm</t>
  </si>
  <si>
    <t>61 dB(A)</t>
  </si>
  <si>
    <t>Cenník príslušenstva:                                                                                                                                                            Cena bez DPH</t>
  </si>
  <si>
    <t>e kl</t>
  </si>
  <si>
    <t>imatizá</t>
  </si>
  <si>
    <t>cie cez smar</t>
  </si>
  <si>
    <t>t zariadenie</t>
  </si>
  <si>
    <t>Prehľad funkcií:</t>
  </si>
  <si>
    <t>- Chladivo R32                                                       - Ionizátor                   - Ohrev kompresora               - Turbo režim
- Nočný mód                                                          - 3D DC Inverter          - Chladenie do -15°C               - Automatický režim
- Režim úspory energie                                           - Ohrev vaničky           - Samočistenie                       - Digitálny displej
- Prachový filter                                                     - Núdzová funkcia        - Inteligentný defrost              - Wi-Fi Ready
- Kúrenie do -25°C (2,5kW a 3,5kW)                          - Časovač                   - Antikorózna ochrana            - Auto swing
- Bio Filter                                                             - Temperovanie 8°C     - Pamäť poloholy lamely         - Tichá prevádzka
- Follow Me funkcia                                                - Soft štart                  - Detekcia úniku chladiva        - Núdzová funkcia</t>
  </si>
  <si>
    <t>Cenník klimatizácií VIVAX 2024                                                                                                                                                  Strana 8</t>
  </si>
  <si>
    <t>WHITE
RED                 R+
SILVER        Design
MIRROR
GOLD</t>
  </si>
  <si>
    <t xml:space="preserve">ČERVENÁ:  3,5kW                                                     STRIEBORNÁ:  2,5kW / 3,5kW
</t>
  </si>
  <si>
    <t xml:space="preserve">STRIEBORNO ZRKADLOVÁ:   3,5kW / 5,0kW                                            ZLATÁ:  2,5kW / 3,5kW
</t>
  </si>
  <si>
    <t>Cenník klimatizácií VIVAX 2024                                                                                                                                              Strana 9</t>
  </si>
  <si>
    <t>Temperovanie 8°C                                                          FOLLOW ME Funkcia</t>
  </si>
  <si>
    <t>S funkciou HEAT +8°C dokážete váš domov
udržať v temperovacej teplote 8°C, vďaka čomu predídete škodám spôsobeným mrazivým počasím.</t>
  </si>
  <si>
    <t>Zariadenie pomocou dodatočného senzoru na dial’kovom ovládači automaticky upravuje súčastnú teplotu na želanú teplotu.</t>
  </si>
  <si>
    <t>715 x 285 x 194 mm</t>
  </si>
  <si>
    <t>225,25</t>
  </si>
  <si>
    <t>720 x 495 x 270 mm</t>
  </si>
  <si>
    <t>367,51</t>
  </si>
  <si>
    <t>805 x 285 x 194 mm</t>
  </si>
  <si>
    <t>238,46</t>
  </si>
  <si>
    <t>389,07</t>
  </si>
  <si>
    <t>957 x 302 x 213 mm</t>
  </si>
  <si>
    <t>20/43 dB(A)</t>
  </si>
  <si>
    <t>378,27</t>
  </si>
  <si>
    <t>1 002,54 €</t>
  </si>
  <si>
    <t>617,17</t>
  </si>
  <si>
    <t>1040 x 327 x 220 mm</t>
  </si>
  <si>
    <t>30/45 dB(A)</t>
  </si>
  <si>
    <t>507,55</t>
  </si>
  <si>
    <t>1 348,86 €</t>
  </si>
  <si>
    <t>59 dB(A)</t>
  </si>
  <si>
    <t>828,11</t>
  </si>
  <si>
    <t>Cenník príslušenstva:                                                                                                                                                        Cena bez DPH</t>
  </si>
  <si>
    <t>Wi-Fi Adaptér pre ovláda</t>
  </si>
  <si>
    <t>e klimatizácie c</t>
  </si>
  <si>
    <t>ez smart zaria</t>
  </si>
  <si>
    <t>denie</t>
  </si>
  <si>
    <t>- Kúrenie do -15°C</t>
  </si>
  <si>
    <t>- Automatický režim</t>
  </si>
  <si>
    <t>- Inteligentný defrost</t>
  </si>
  <si>
    <t>- Detekcia úniku chladiva</t>
  </si>
  <si>
    <t>- Follow Me funkcia</t>
  </si>
  <si>
    <t>- Soft Štart</t>
  </si>
  <si>
    <t>- Detekcia zobrazovanie chýb</t>
  </si>
  <si>
    <t>Cenník klimatizácií VIVAX 2024                                                                                                                                               Strana 10</t>
  </si>
  <si>
    <t>Samočistenie                                                                 Studený katalytický filter</t>
  </si>
  <si>
    <t>Po vypnutí klimatizácie vnútorná jednotka
pokračuje v prevádzke, suší a čistí zvyšný kondenzát, čím chráni zdravie.</t>
  </si>
  <si>
    <t>Odstraňuje nebezpečné plyny a nepríjemné zápachy. Katalytický filter má za úlohu rozkladať benzén,
čpavok a iné nebezpečné látky, ktoré sa môžu uvoľňovať do ovzdušia napríklad z nových kobercov, nábytku a pod.</t>
  </si>
  <si>
    <t>Temperovanie 8°C
S funkciou HEAT +8°C dokážete váš domov
udržať v temperovacej teplote 8°C, vďaka čomu predídete škodám spôsobeným mrazivým počasím.</t>
  </si>
  <si>
    <t>216,74</t>
  </si>
  <si>
    <t>353,62</t>
  </si>
  <si>
    <t>21/41 dB(A)</t>
  </si>
  <si>
    <t>226,14</t>
  </si>
  <si>
    <t>368,96</t>
  </si>
  <si>
    <t>359,16</t>
  </si>
  <si>
    <t>586,02</t>
  </si>
  <si>
    <t>489,88</t>
  </si>
  <si>
    <t>1 302,38 €</t>
  </si>
  <si>
    <t>799,3</t>
  </si>
  <si>
    <t>* recyklačný poplatok je započítaný v</t>
  </si>
  <si>
    <t>ena za SPLIT bez D</t>
  </si>
  <si>
    <t>PH"</t>
  </si>
  <si>
    <t>- Chladivo R32                                           - Samočistenie               - Chladenie do -15°C            - Pamäť posledného režimu
- Nočný mód                                              - Digitálny dislej             - Kúrenie do -15°C               - Pamäť polohy lamely
- Režim úspory energie                               - Časovač                      - 3D DC Inverter                  - Automatický režim
- Prachový filter                                         - Inteligentný defrost      - Núdzová funkcia                - Turbo režim
- Auto Swing                                              - Soft Štart                    - Follow me funkcia             - Katalytický filter</t>
  </si>
  <si>
    <t>Cenník klimatizácií VIVAX 2024                                                                                                                                                 Strana 11</t>
  </si>
  <si>
    <t>MultiSplit</t>
  </si>
  <si>
    <t>Vnútorné nástenné jednotky R+ DESIGN</t>
  </si>
  <si>
    <t>Váha</t>
  </si>
  <si>
    <t>Jedn. cena bez DPH (bez RP)</t>
  </si>
  <si>
    <t>Cena za jednotku bez DPH
(vrátane RP)</t>
  </si>
  <si>
    <t>8,6 kg</t>
  </si>
  <si>
    <t>275,48</t>
  </si>
  <si>
    <t>308,05</t>
  </si>
  <si>
    <t>286,9</t>
  </si>
  <si>
    <t>333,76</t>
  </si>
  <si>
    <t>10,9 kg</t>
  </si>
  <si>
    <t>406,28</t>
  </si>
  <si>
    <t>464,82</t>
  </si>
  <si>
    <t>Cenník príslušenstva pre nástenné jednotky:                                                                                                    Cena bez DPH</t>
  </si>
  <si>
    <t>Wi-Fi Adaptér pre ovládanie kli</t>
  </si>
  <si>
    <t>ma</t>
  </si>
  <si>
    <t>tizácie cez sma</t>
  </si>
  <si>
    <t>rt zariadenie</t>
  </si>
  <si>
    <t>Vnútorné nástenné jednotky M-DESIGN</t>
  </si>
  <si>
    <t>2,0 / 2,3kW</t>
  </si>
  <si>
    <t>7,5 kg</t>
  </si>
  <si>
    <t>214,36</t>
  </si>
  <si>
    <t>Cenník klimatizácií VIVAX 2024                                                                                                                                              Strana 12</t>
  </si>
  <si>
    <t>570 x 570 x 260 mm</t>
  </si>
  <si>
    <t>29/38 dB(A)</t>
  </si>
  <si>
    <t>14,5 kg</t>
  </si>
  <si>
    <t>570 x 570 x 245 mm</t>
  </si>
  <si>
    <t>32/42 dB(A)</t>
  </si>
  <si>
    <t>16,1 kg</t>
  </si>
  <si>
    <t>5,2 / 6,5kW</t>
  </si>
  <si>
    <t>32/44 dB(A)</t>
  </si>
  <si>
    <t>16,2 kg</t>
  </si>
  <si>
    <t>* súčasťou kazetovej jednotky je dekoračný panel, nástenný káblový ovládač a diaľkový ovládač
* rozmer a váha je uvedená bez dekoračného panelu</t>
  </si>
  <si>
    <t>e kazetovej klimatizácie VIVAX CC</t>
  </si>
  <si>
    <t>30 € bez DPH</t>
  </si>
  <si>
    <t>794 x 206 x 621 mm</t>
  </si>
  <si>
    <t>27/37 dB(A)</t>
  </si>
  <si>
    <t>14,9 kg</t>
  </si>
  <si>
    <t>793 x 200 x 621 mm</t>
  </si>
  <si>
    <t>4,9 / 4,9kW</t>
  </si>
  <si>
    <t>32/41 dB(A)</t>
  </si>
  <si>
    <t>* súčasťou parapetnej jednotky je diaľkový infra ovládač</t>
  </si>
  <si>
    <t>e parapetnej klimatizácie VIVAX CT</t>
  </si>
  <si>
    <t>700 x 506 x 200 mm</t>
  </si>
  <si>
    <t>31/35 dB(A)</t>
  </si>
  <si>
    <t>16,6 kg</t>
  </si>
  <si>
    <t>700 x 750 x 245 mm</t>
  </si>
  <si>
    <t>31/37 dB(A)</t>
  </si>
  <si>
    <t>24,4 kg</t>
  </si>
  <si>
    <t>* súčasťou kanálovej jednotky je nástenný káblový ovládač a diaľkový ovládač</t>
  </si>
  <si>
    <t>e kanálovej klimatizácie VIVAX DT</t>
  </si>
  <si>
    <t>98 € bez DPH</t>
  </si>
  <si>
    <t>   Vnútorné podstropné jednotky                                        </t>
  </si>
  <si>
    <t>1068 x 235 x 675 mm</t>
  </si>
  <si>
    <t>24/44 dB(A)</t>
  </si>
  <si>
    <t>28,0 kg</t>
  </si>
  <si>
    <t>* súčasťou podstropnej jednotky je nástenný káblový ovládač a diaľkový ovládač</t>
  </si>
  <si>
    <t>e podstropnej klimatizácie VIVAX CF</t>
  </si>
  <si>
    <t>Počet Vnútorných jednotiek</t>
  </si>
  <si>
    <t>4,1 / 4,3kW</t>
  </si>
  <si>
    <t>800 x 554 x 333 mm</t>
  </si>
  <si>
    <t>Max 54dB(A)</t>
  </si>
  <si>
    <t>1 102,75 €</t>
  </si>
  <si>
    <t>6,1 / 6,1kW</t>
  </si>
  <si>
    <t>Max 56dB(A)</t>
  </si>
  <si>
    <t>1 224,68 €</t>
  </si>
  <si>
    <t>7,9 / 8,2kW</t>
  </si>
  <si>
    <t>1 447,14 €</t>
  </si>
  <si>
    <t>8,2 / 8,2kW</t>
  </si>
  <si>
    <t>946 x 810 x 410 mm</t>
  </si>
  <si>
    <t>Max 58dB(A)</t>
  </si>
  <si>
    <t>1 739,69 €</t>
  </si>
  <si>
    <t>10,5 / 10,5kW</t>
  </si>
  <si>
    <t>Max 59dB(A)</t>
  </si>
  <si>
    <t>2 265,94 €</t>
  </si>
  <si>
    <t>12,1 / 12,1kW</t>
  </si>
  <si>
    <t>Max 60dB(A)</t>
  </si>
  <si>
    <t>2 460,90 €</t>
  </si>
  <si>
    <t>Cenník klimatizácií VIVAX 2024                                                                                                                                              Strana 13</t>
  </si>
  <si>
    <t>ACP-CC ACP-DT</t>
  </si>
  <si>
    <t>570 x 245 x 570 mm</t>
  </si>
  <si>
    <t>26/42 dB(A)</t>
  </si>
  <si>
    <t>510,6</t>
  </si>
  <si>
    <t>1 241,25 €</t>
  </si>
  <si>
    <t>60 dB(A)</t>
  </si>
  <si>
    <t>659,55</t>
  </si>
  <si>
    <t>647 x 50 x 647 mm</t>
  </si>
  <si>
    <t>64</t>
  </si>
  <si>
    <t>25/44 dB(A)</t>
  </si>
  <si>
    <t>558</t>
  </si>
  <si>
    <t>1 546,49 €</t>
  </si>
  <si>
    <t>63 dB(A)</t>
  </si>
  <si>
    <t>913,14</t>
  </si>
  <si>
    <t>68,25</t>
  </si>
  <si>
    <t>7,0 / 7,6kW</t>
  </si>
  <si>
    <t>830 x 205 x 830 mm</t>
  </si>
  <si>
    <t>27/46 dB(A)</t>
  </si>
  <si>
    <t>640,12</t>
  </si>
  <si>
    <t>2 055,84 €</t>
  </si>
  <si>
    <t>67 dB(A)</t>
  </si>
  <si>
    <t>1 320,42 €</t>
  </si>
  <si>
    <t>950 x 55 x 950 mm</t>
  </si>
  <si>
    <t>79</t>
  </si>
  <si>
    <t>10,5 / 11,1kW</t>
  </si>
  <si>
    <t>830 x 245 x 830 mm</t>
  </si>
  <si>
    <t>39/50 dB(A)</t>
  </si>
  <si>
    <t>1 016,42 €</t>
  </si>
  <si>
    <t>3 057,42 €</t>
  </si>
  <si>
    <t>70 dB(A)</t>
  </si>
  <si>
    <t>1 941,20 €</t>
  </si>
  <si>
    <t>83,5</t>
  </si>
  <si>
    <t>14,0 / 16,1kW</t>
  </si>
  <si>
    <t>830 x 287 x 830 mm</t>
  </si>
  <si>
    <t>38/51 dB(A)</t>
  </si>
  <si>
    <t>1 352,40 €</t>
  </si>
  <si>
    <t>3 922,36 €</t>
  </si>
  <si>
    <t>952 x 1333 x 415 mm</t>
  </si>
  <si>
    <t>73 dB(A)</t>
  </si>
  <si>
    <t>2 455,94 €</t>
  </si>
  <si>
    <t>92,32</t>
  </si>
  <si>
    <t>15,2 / 18,1kW</t>
  </si>
  <si>
    <t>40/53 dB(A)</t>
  </si>
  <si>
    <t>1 483,04 €</t>
  </si>
  <si>
    <t>4 218,25 €</t>
  </si>
  <si>
    <t>2 618,39 €</t>
  </si>
  <si>
    <t>94,6</t>
  </si>
  <si>
    <t>* recyklačný poplatok je započítaný v "Cena za SPLIT bez DPH"
* v cene klimatizácie je infra diaľkové ovládanie a nástenné káblové ovládanie</t>
  </si>
  <si>
    <t>  Kanálové klimatizácie                                                  </t>
  </si>
  <si>
    <t>700 x 200 x 506 mm</t>
  </si>
  <si>
    <t>635,08</t>
  </si>
  <si>
    <t>1 301,73 €</t>
  </si>
  <si>
    <t>5,2 / 6,0kW</t>
  </si>
  <si>
    <t>700 x 245 x 750 mm</t>
  </si>
  <si>
    <t>31/36 dB(A)</t>
  </si>
  <si>
    <t>796,99</t>
  </si>
  <si>
    <t>1 720,33 €</t>
  </si>
  <si>
    <t>7,0 / 8,0kW</t>
  </si>
  <si>
    <t>1000 x 245 x 750 mm</t>
  </si>
  <si>
    <t>31/34 dB(A)</t>
  </si>
  <si>
    <t>875,93</t>
  </si>
  <si>
    <t>2 210,65 €</t>
  </si>
  <si>
    <t>62 dB(A)</t>
  </si>
  <si>
    <t>10,5 / 11,7kW</t>
  </si>
  <si>
    <t>1200 x 245 x 750 mm</t>
  </si>
  <si>
    <t>34/40 dB(A)</t>
  </si>
  <si>
    <t>1 108,97 €</t>
  </si>
  <si>
    <t>3 072,57 €</t>
  </si>
  <si>
    <t>65 dB(A)</t>
  </si>
  <si>
    <t>39/44 dB(A)</t>
  </si>
  <si>
    <t>1 452,54 €</t>
  </si>
  <si>
    <t>3 936,28 €</t>
  </si>
  <si>
    <t>66 dB(A)</t>
  </si>
  <si>
    <t>1200 x 300 x 750mm</t>
  </si>
  <si>
    <t>42/44 dB(A)</t>
  </si>
  <si>
    <t>1 625,64 €</t>
  </si>
  <si>
    <t>4 272,65 €</t>
  </si>
  <si>
    <t>* recyklačný poplatok je započítaný v "Cena za SPLIT bez DPH"                             * v cene klimatizácie je infra diaľkové ovládanie a nástenné káblové ovládanie</t>
  </si>
  <si>
    <t>Cenník klimatizácií VIVAX 2024                                                                                                                                               Strana 14</t>
  </si>
  <si>
    <t>ACP-CF ACP-CT</t>
  </si>
  <si>
    <t>704,41</t>
  </si>
  <si>
    <t>1 627,75 €</t>
  </si>
  <si>
    <t>32/49 dB(A)</t>
  </si>
  <si>
    <t>789,27</t>
  </si>
  <si>
    <t>2 125,99 €</t>
  </si>
  <si>
    <t>1650 x 235 x 675 mm</t>
  </si>
  <si>
    <t>39/51 dB(A)</t>
  </si>
  <si>
    <t>1 161,04 €</t>
  </si>
  <si>
    <t>3 124,64 €</t>
  </si>
  <si>
    <t>36/53 dB(A)</t>
  </si>
  <si>
    <t>1 445,59 €</t>
  </si>
  <si>
    <t>3 929,33 €</t>
  </si>
  <si>
    <t>15,8 / 18,1kW</t>
  </si>
  <si>
    <t>38/54 dB(A)</t>
  </si>
  <si>
    <t>1 562,16 €</t>
  </si>
  <si>
    <t>4 208,87 €</t>
  </si>
  <si>
    <t>794 x 621 x 200 mm</t>
  </si>
  <si>
    <t>448,96</t>
  </si>
  <si>
    <t>449,46</t>
  </si>
  <si>
    <t>793 x 621 x 200 mm</t>
  </si>
  <si>
    <t>34/42 dB(A)</t>
  </si>
  <si>
    <t>482,82</t>
  </si>
  <si>
    <t>1 149,47 €</t>
  </si>
  <si>
    <t>5,0 / 4,9kW</t>
  </si>
  <si>
    <t>36/45 dB(A)</t>
  </si>
  <si>
    <t>585,74</t>
  </si>
  <si>
    <t>1 505,98 €</t>
  </si>
  <si>
    <t>* recyklačný poplatok je započítaný v "Cena za SPLIT bez DPH"
* v cene klimatizácie je infra diaľkové ovládanie</t>
  </si>
  <si>
    <t>Cenník príslušenstva pre nástenné jednotky:                                                                                                       Cena bez DPH</t>
  </si>
  <si>
    <t>klimatizácie pa</t>
  </si>
  <si>
    <t>rapetnej klima</t>
  </si>
  <si>
    <t>tizácie CT</t>
  </si>
  <si>
    <t>Cenník klimatizácií VIVAX 2024                                                                                                                                                 Strana 15</t>
  </si>
  <si>
    <t>VIVAX HPS</t>
  </si>
  <si>
    <t>Splitové tepelné čerpadlá VIVAX – vonkajšie jednotky</t>
  </si>
  <si>
    <t>220-240V</t>
  </si>
  <si>
    <t>Typ zariadenia</t>
  </si>
  <si>
    <t>Výkon</t>
  </si>
  <si>
    <t>Pripojiteľný hydrobox
(nie je v cene von. Jednotky)</t>
  </si>
  <si>
    <t>Chladivo</t>
  </si>
  <si>
    <t>Energ. Trieda Pri 35°C</t>
  </si>
  <si>
    <t>Energ. Trieda Pri 55°C</t>
  </si>
  <si>
    <t>RP*</t>
  </si>
  <si>
    <t>Cena za von. Jednotku bez DPH Bez RP</t>
  </si>
  <si>
    <t>4,0 kW</t>
  </si>
  <si>
    <t>HPS-42HM65 ......</t>
  </si>
  <si>
    <t>A+++</t>
  </si>
  <si>
    <t>A++</t>
  </si>
  <si>
    <t>1 837,85 €</t>
  </si>
  <si>
    <t>6,5 kW</t>
  </si>
  <si>
    <t>1 974,89 €</t>
  </si>
  <si>
    <t>8,4 kW</t>
  </si>
  <si>
    <t>HPS-84HM100 ......</t>
  </si>
  <si>
    <t>2 109,49 €</t>
  </si>
  <si>
    <t>10,0 kW</t>
  </si>
  <si>
    <t>2 315,05 €</t>
  </si>
  <si>
    <t>* RP - recyklačný poplatok, nie je započítaný v "Cena za von. jednotku bez DPH"</t>
  </si>
  <si>
    <t>380-415V</t>
  </si>
  <si>
    <t>12,0 kW</t>
  </si>
  <si>
    <t>HPS-120HM155 ......</t>
  </si>
  <si>
    <t>3 541,10 €</t>
  </si>
  <si>
    <t>14,0 kW</t>
  </si>
  <si>
    <t>3 675,69 €</t>
  </si>
  <si>
    <t>16,0 kW</t>
  </si>
  <si>
    <t>3 812,74 €</t>
  </si>
  <si>
    <t xml:space="preserve">* RP - recyklačný poplatok, nie je započítaný v "Cena za von. jednotku bez DPH"
</t>
  </si>
  <si>
    <t>Cenník klimatizácií VIVAX 2024                                                                                                                                              Strana 16</t>
  </si>
  <si>
    <t>Hydrobox 220-240V – BEZ ŠPIRÁLY</t>
  </si>
  <si>
    <t>Výkon špirály</t>
  </si>
  <si>
    <t>El. Napájanie</t>
  </si>
  <si>
    <t>Objem zásobníka</t>
  </si>
  <si>
    <t>Cena za vnútornú Jednotku bez DPH Bez RP</t>
  </si>
  <si>
    <t>bez špirály</t>
  </si>
  <si>
    <t>220V</t>
  </si>
  <si>
    <t>bez zásobníka</t>
  </si>
  <si>
    <t>2 586,69 €</t>
  </si>
  <si>
    <t>2 723,73 €</t>
  </si>
  <si>
    <t>* RP - recyklačný poplatok, nie je započítaný v "Cena za von. jednotku bez DPH"
Hydrobox 220-240V – 3kW ŠPIRÁLA</t>
  </si>
  <si>
    <t>3kW</t>
  </si>
  <si>
    <t>* RP - recyklačný poplatok, nie je započítaný v "Cena za von. jednotku bez DPH"
Hydrobox 380-415V – 9kW ŠPIRÁLA</t>
  </si>
  <si>
    <t>9kW</t>
  </si>
  <si>
    <t>400V</t>
  </si>
  <si>
    <t>2 858,33 €</t>
  </si>
  <si>
    <t>2 995,37 €</t>
  </si>
  <si>
    <t>* RP - recyklačný poplatok, nie je započítaný v "Cena za von. jednotku bez DPH"
Hydrobox 220-240V – 3kW ŠPIRÁLA so zabudovaným zásobníkom</t>
  </si>
  <si>
    <t>190 litrov</t>
  </si>
  <si>
    <t>4 991,00 €</t>
  </si>
  <si>
    <t>241 litrov</t>
  </si>
  <si>
    <t>5 246,30 €</t>
  </si>
  <si>
    <t>5 759,20 €</t>
  </si>
  <si>
    <t>Cenník klimatizácií VIVAX 2024                                                                                                                                             Strana 17</t>
  </si>
  <si>
    <t>VIVAX HPM</t>
  </si>
  <si>
    <t>Cena za jednotku bez DPH bez RP</t>
  </si>
  <si>
    <t>220 – 240 V</t>
  </si>
  <si>
    <t>3 726,74 €</t>
  </si>
  <si>
    <t>3 992,25 €</t>
  </si>
  <si>
    <t>4 257,76 €</t>
  </si>
  <si>
    <t>4 525,66 €</t>
  </si>
  <si>
    <t>380 – 415 V</t>
  </si>
  <si>
    <t>5 855,62 €</t>
  </si>
  <si>
    <t>6 255,08 €</t>
  </si>
  <si>
    <t>15,5 kW</t>
  </si>
  <si>
    <t>6 654,54 €</t>
  </si>
  <si>
    <t>18,0 kW</t>
  </si>
  <si>
    <t>8 917,38 €</t>
  </si>
  <si>
    <t>22,0 kW</t>
  </si>
  <si>
    <t>9 316,84 €</t>
  </si>
  <si>
    <t>26,0 kW</t>
  </si>
  <si>
    <t>9 448,40 €</t>
  </si>
  <si>
    <t>30,0 kW</t>
  </si>
  <si>
    <t>9 847,86 €</t>
  </si>
  <si>
    <t>4 391,71 €</t>
  </si>
  <si>
    <t>4 791,18 €</t>
  </si>
  <si>
    <t>5 056,69 €</t>
  </si>
  <si>
    <t>6 389,03 €</t>
  </si>
  <si>
    <t>7 319,52 €</t>
  </si>
  <si>
    <t>* RP - recyklačný poplatok, nie je započítaný v "Cena za jednotku bez DPH"</t>
  </si>
  <si>
    <t>Príslušenstvo:</t>
  </si>
  <si>
    <t>Odporúčaná veľkosť bazéna s krytom bazéna</t>
  </si>
  <si>
    <t>15 °C AT</t>
  </si>
  <si>
    <t>20 °C AT</t>
  </si>
  <si>
    <t>25 °C AT</t>
  </si>
  <si>
    <t>7,0 kW</t>
  </si>
  <si>
    <t>21 m3</t>
  </si>
  <si>
    <t>31,5 m3</t>
  </si>
  <si>
    <t>52,5 m3</t>
  </si>
  <si>
    <t>1 955,00 €</t>
  </si>
  <si>
    <t>9,0 kW</t>
  </si>
  <si>
    <t>27 m3</t>
  </si>
  <si>
    <t>40,5 m3</t>
  </si>
  <si>
    <t>67,5 m3</t>
  </si>
  <si>
    <t>2 070,00 €</t>
  </si>
  <si>
    <t>36 m3</t>
  </si>
  <si>
    <t>54 m3</t>
  </si>
  <si>
    <t>90 m3</t>
  </si>
  <si>
    <t>2 185,00 €</t>
  </si>
  <si>
    <t>* RP - recyklačný poplatok, nie je započítaný v "Cena za jednotku bez DPH" – cena recyklačného poplatku je 13,08 € / ks</t>
  </si>
  <si>
    <t>Cenník klimatizácií VIVAX 2024                                                                                                                                            Strana 18</t>
  </si>
  <si>
    <t>Chyby a technické zmeny vyhradené.</t>
  </si>
  <si>
    <t>SERVIS ( týždeň: PO-NE)</t>
  </si>
  <si>
    <t>SPLIT ( nastenná + vonkajšia )</t>
  </si>
  <si>
    <t>URGENT SERVIS - 48h</t>
  </si>
  <si>
    <t>Základný servis</t>
  </si>
  <si>
    <t>Základný servis  sobota</t>
  </si>
  <si>
    <t>Základný servis  sviatky</t>
  </si>
  <si>
    <t>Základný servis MULTISPLIT</t>
  </si>
  <si>
    <t>2+1</t>
  </si>
  <si>
    <t>3+1</t>
  </si>
  <si>
    <t>4+1</t>
  </si>
  <si>
    <t>Sazdba na km</t>
  </si>
  <si>
    <t>Do 10 - 20 km od BA</t>
  </si>
  <si>
    <t>Nad 20 km od BA</t>
  </si>
  <si>
    <t>Ine jednotky</t>
  </si>
  <si>
    <t>KS vnútorná jednotka</t>
  </si>
  <si>
    <t>Kazetová</t>
  </si>
  <si>
    <t>Parapetná</t>
  </si>
  <si>
    <t>Podstropná</t>
  </si>
  <si>
    <t>Kanálová</t>
  </si>
  <si>
    <t>EXTRA</t>
  </si>
  <si>
    <t>Diagnostika</t>
  </si>
  <si>
    <t>Čistenie kondenzu prefuknutím</t>
  </si>
  <si>
    <t>Čistenie kondenzu prešpáraním</t>
  </si>
  <si>
    <t>Oprava odvodu kondzenzu</t>
  </si>
  <si>
    <t>Vylez na strechu normálny</t>
  </si>
  <si>
    <t>Výlez na šikmú strechu</t>
  </si>
  <si>
    <t>Plnenie chladivom</t>
  </si>
  <si>
    <t>Chladivo po 0,5kg</t>
  </si>
  <si>
    <t>Výmena súčiastky</t>
  </si>
  <si>
    <t>Montaž štandard 3 m</t>
  </si>
  <si>
    <t>3m</t>
  </si>
  <si>
    <t>Výspravka SDK</t>
  </si>
  <si>
    <t>Výspravka SDK + maľovanie - 1 H</t>
  </si>
  <si>
    <t>Príplatok za montáž vlastnej klimatizácie !!!!</t>
  </si>
  <si>
    <t>Betónové kocky ???</t>
  </si>
  <si>
    <t>Nahodenie 1 vnutornej jednotky do
predpripravy</t>
  </si>
  <si>
    <t>Hotová predpríprava, len nahodenie jednotiek
1+1</t>
  </si>
  <si>
    <t>Vonkajsia do predpripravy 3 vnútorné</t>
  </si>
  <si>
    <t>Úprava rozvodov</t>
  </si>
  <si>
    <t>Výnos klim a naradia bez vytahu</t>
  </si>
  <si>
    <t>Tlaková súška</t>
  </si>
  <si>
    <t>Doplnenie chladiva</t>
  </si>
  <si>
    <t>1 kg chladiva R410</t>
  </si>
  <si>
    <t>1 kg chladivaR32</t>
  </si>
  <si>
    <t>Vákuovanie</t>
  </si>
  <si>
    <t>Odsávanie</t>
  </si>
  <si>
    <t>Oprava úniku chladiva (vypustiť chladivo, výmena servisného ventilu, vákuovanie, napúšťanie chladiva, regulácia klimatizácie)</t>
  </si>
  <si>
    <t>Zvarenim opraveny unik do 16mm</t>
  </si>
  <si>
    <t>Izolácia Cu potrubia 1m</t>
  </si>
  <si>
    <t>Hĺbkový / Náročný servis 45m + na 1 jednotku</t>
  </si>
  <si>
    <t>Sekacie práce - zasekanie trasy do muriva 1m.
nie betón</t>
  </si>
  <si>
    <t>Sekacie prace - beton/železobeton - cena za 1m</t>
  </si>
  <si>
    <t>Prieraz cez stenu z betónu</t>
  </si>
  <si>
    <t>Prieraz cez stenu z tehly alebo z YTONGU :
Sekanie tehla 1 meter</t>
  </si>
  <si>
    <t>Prieraz cez stenu (kameň) - domy v Starom
meste v BA</t>
  </si>
  <si>
    <t>Prestup cez rovnu strechu aj so zaizolovanim</t>
  </si>
  <si>
    <t>SUPER URGENT - 24h</t>
  </si>
  <si>
    <t>Cenník príslušenstva -  platné od 14.02.2024</t>
  </si>
  <si>
    <t>Cu potrubie -  duálne</t>
  </si>
  <si>
    <t>Cena za meter
bez DPH</t>
  </si>
  <si>
    <t>Cena za balenie
bez DPH</t>
  </si>
  <si>
    <t>Cu potrubie BI-POLAR  1/4x0,8 + 3/Sx0,8 ISOCLIMA (IT) /  25 metrov</t>
  </si>
  <si>
    <t>4,45</t>
  </si>
  <si>
    <t>Cu potrubie BI-POLAR  1/4x0,8 + 1/2x0,8 ISOCLIMA (IT) /  25 metrov</t>
  </si>
  <si>
    <t>5,35</t>
  </si>
  <si>
    <t>Cu potrubie BI-POLAR  3/Sx0,8 + 5/Sxl,0 ISOCLIMA (IT) /  25 metrov</t>
  </si>
  <si>
    <t>7,79</t>
  </si>
  <si>
    <t>BI-POLAR / ISOPOLAR 99,9% Copper pipes, EN12735-1, Class 1, Euroclass BLS2D0, Biela farba, vhodné pre R407, R410 a R32, polytylenová izolácia.</t>
  </si>
  <si>
    <t>Konzola s lištou</t>
  </si>
  <si>
    <t>Počet kusov v
kartóne</t>
  </si>
  <si>
    <t>Konzola s lištou HL420, dÍžka nohy 420 mm, RAL9016, nosnosť 100kg</t>
  </si>
  <si>
    <t>6</t>
  </si>
  <si>
    <t>Konzola s lištou HL450, dÍžka nohy 450 mm, RAL9016, nosnosť 100kg</t>
  </si>
  <si>
    <t>Konzola s lištou HL550, dÍžka nohy 550 mm, RAL9016, nosnosť 150kg</t>
  </si>
  <si>
    <t>Konzola sklopná</t>
  </si>
  <si>
    <t>Konzola sklopná SU450, dÍžka nohy 450 mm, RAL9016, nosnosť 120kg</t>
  </si>
  <si>
    <t>Konzola sklopná SU550, dÍžka nohy 550 mm, RAL9016, nosnosť 200kg</t>
  </si>
  <si>
    <t>Silentbloky -  sada 4x</t>
  </si>
  <si>
    <t>Rozmer</t>
  </si>
  <si>
    <t>Antivivbračná sada silentblokov AG35 -  pre 2,5kW, 3,5kW a 5,0kW</t>
  </si>
  <si>
    <t>26x40 /  M8</t>
  </si>
  <si>
    <t>Antivivbračná sada silentblokov AG45 -  pre 7,0kW a viac</t>
  </si>
  <si>
    <t>35x45 /  M8</t>
  </si>
  <si>
    <t>Podstavec gumený</t>
  </si>
  <si>
    <t>DÍžka</t>
  </si>
  <si>
    <t>Gumený podstavec 450x160x90 -  2 ks (1 pár)</t>
  </si>
  <si>
    <t>450mm</t>
  </si>
  <si>
    <t>Gumený podstavec 600x160x90 -  2 ks (1 pár)</t>
  </si>
  <si>
    <t>600mm</t>
  </si>
  <si>
    <t>Gumený podstavec 1000x160x90 -  2 ks (1 pár)</t>
  </si>
  <si>
    <t>1000 mm</t>
  </si>
  <si>
    <t>Podstavec plastový</t>
  </si>
  <si>
    <t>Plastový podstavec 90x80 dlžka 350- 2 ks (1 pár)</t>
  </si>
  <si>
    <t>350mm</t>
  </si>
  <si>
    <t>Plastový podstavec 90x80 dlžka 450 -  2 ks (1 pár)</t>
  </si>
  <si>
    <t>Ukončovací kryt plastového podstavcu 90x80 -  kus</t>
  </si>
  <si>
    <t>Inštalačná podomietková krabica</t>
  </si>
  <si>
    <t>Označenie</t>
  </si>
  <si>
    <t>Cena za kus
bez DPH</t>
  </si>
  <si>
    <t>Inštalačná podomietková krabica  455x100x65</t>
  </si>
  <si>
    <t>EC90201</t>
  </si>
  <si>
    <t>Doprava zdarma pri nákupe nad 100 € bez DPH                                                                                  Strana 1 /  2</t>
  </si>
  <si>
    <t>Kondenzačná  hadica</t>
  </si>
  <si>
    <t>Hadica pre  odvod kondenzátu priemer 16 mm, dlžka 30 metrov</t>
  </si>
  <si>
    <t>0,533</t>
  </si>
  <si>
    <t>Hadica pre odvod kondenzátu priemer 6 mm, dlžka 50 metrov</t>
  </si>
  <si>
    <t>0,45</t>
  </si>
  <si>
    <t>Čerpadlo Kondenzátu</t>
  </si>
  <si>
    <t>Systém</t>
  </si>
  <si>
    <t>Čerpadlo Kondenzátu APF16 -  16 I/hod, max 10 m -  do 30.000 BTU</t>
  </si>
  <si>
    <t>Plavákové</t>
  </si>
  <si>
    <t>Čerpadlo Kondenzátu APF32 -  32 I/hod, max 10 m -  do 36.000 BTU</t>
  </si>
  <si>
    <t>Tankové čerpadlo P180 -  180 I/hod, vhodné ako zberné čerpadlo</t>
  </si>
  <si>
    <t>Zváranie</t>
  </si>
  <si>
    <t>Zváracia súprava TurboSet 90</t>
  </si>
  <si>
    <t>Náhradný plyn MAXYGAS 350 g pre TurboSet</t>
  </si>
  <si>
    <t>Náhradný kyslík OXYGEN 950 ml pre TurboSet</t>
  </si>
  <si>
    <t>Príslušenstvo pre úniku chladiva</t>
  </si>
  <si>
    <t>LEAK STOP zastavovač úniku 24ml pre 0,5kg chladiva</t>
  </si>
  <si>
    <t>Sprej pre detekciu úniku chladiva 400ml</t>
  </si>
  <si>
    <t>Žľabový systém</t>
  </si>
  <si>
    <t>Cena za ks/mt
bez DPH</t>
  </si>
  <si>
    <t>prechod stenou</t>
  </si>
  <si>
    <t>Žľab PVC  60x45, čistá biela, (PURE WHITE), fóliovaný</t>
  </si>
  <si>
    <t>EC900604SW</t>
  </si>
  <si>
    <t>2,00 € /  meter</t>
  </si>
  <si>
    <t xml:space="preserve">Prechod Do steny
Spojka
Roh plochý
Roh vnútorný
Roh vonkajší
Odbočka
</t>
  </si>
  <si>
    <t>Prechod stenou 60x45, čistá biela, (PURE WHITE)</t>
  </si>
  <si>
    <t>EC980604SW</t>
  </si>
  <si>
    <t>Prechod do steny (C) 60x45, čistá biela, (PURE WHITE)</t>
  </si>
  <si>
    <t>EC970604SW</t>
  </si>
  <si>
    <t>Spojka 60x45, čistá biela, (PURE WHITE)</t>
  </si>
  <si>
    <t>EC940604SW</t>
  </si>
  <si>
    <t>Roh plochý 60x45 , čistá biela, (PURE WHITE)</t>
  </si>
  <si>
    <t>EC930604SW</t>
  </si>
  <si>
    <t>Roh vnútorný 60x45, čistá biela, (PURE WHITE)</t>
  </si>
  <si>
    <t>EC910604SW</t>
  </si>
  <si>
    <t>Roh vonkajší 60x45, čistá biela, (PURE WHITE)</t>
  </si>
  <si>
    <t>EC920604SW</t>
  </si>
  <si>
    <t>Odbočka T-kus 60x45, čistá biela, (PURE WHITE)</t>
  </si>
  <si>
    <t>EC950604SW</t>
  </si>
  <si>
    <t>Žľab PVC  80x60, čistá biela, (PURE WHITE), fóliovaný</t>
  </si>
  <si>
    <t>EC9008060W</t>
  </si>
  <si>
    <t>3,00 €/meter</t>
  </si>
  <si>
    <t>Prechod stenou 80x60, čistá biela, (PURE WHITE)</t>
  </si>
  <si>
    <t>EC9808060W</t>
  </si>
  <si>
    <t>Prechod do steny (C) 80x60, čistá biela, (PURE WHITE)</t>
  </si>
  <si>
    <t>EC9708060W</t>
  </si>
  <si>
    <t>Spojka 80x60, čistá biela, (PURE WHITE)</t>
  </si>
  <si>
    <t>EC9408060W</t>
  </si>
  <si>
    <t>Roh plochý 80x60, čistá biela, (PURE WHITE)</t>
  </si>
  <si>
    <t>EC9308060W</t>
  </si>
  <si>
    <t>Roh vnútorný 80x60, čistá biela, (PURE WHITE)</t>
  </si>
  <si>
    <t>EC9108060W</t>
  </si>
  <si>
    <t>Roh vonkajší 80x60, čistá biela, (PURE WHITE)</t>
  </si>
  <si>
    <t>EC9208060W</t>
  </si>
  <si>
    <t>Odbočka T-kus 80x60, čistá biela, (PURE WHITE)</t>
  </si>
  <si>
    <t>EC9508060W</t>
  </si>
  <si>
    <t>Doprava zdarma pri nákupe nad 100 € bez DPH                                                                                  Strana 2 /  2</t>
  </si>
  <si>
    <t>cenník rezidenčných klimatizácií 2024</t>
  </si>
  <si>
    <t>AIR  CONDITIONING</t>
  </si>
  <si>
    <t>CENNÍK KLIMATIZAČNEJ TECHNIKY PRE SR</t>
  </si>
  <si>
    <t>Platnosť od: 24.04.2024</t>
  </si>
  <si>
    <t>KLIMATIZÁCIE</t>
  </si>
  <si>
    <t>MODEL</t>
  </si>
  <si>
    <t>Výkon Chladenie /
/ Kúrenie</t>
  </si>
  <si>
    <t>Typ chladiva</t>
  </si>
  <si>
    <t>Akustický tlak (Vnút.
jednotky)</t>
  </si>
  <si>
    <t>Rozmery (Vnútorná jednotka)</t>
  </si>
  <si>
    <t>Akustický tlak (Vonkajšia
jednotka)</t>
  </si>
  <si>
    <t>Rozmery
(Vonkajšia jednotka)</t>
  </si>
  <si>
    <t>Kategória elektrozariadení</t>
  </si>
  <si>
    <t>Recyklačný poplatok (Zahrnutý v
cene)</t>
  </si>
  <si>
    <t>DEALERSKÁ
CENA €</t>
  </si>
  <si>
    <t>PREDAJNÁ CENA €</t>
  </si>
  <si>
    <t>dB (A)</t>
  </si>
  <si>
    <t>Š × V × H (mm) /
/ Hmotnosť (kg)</t>
  </si>
  <si>
    <t>**</t>
  </si>
  <si>
    <t>BEZ DPH</t>
  </si>
  <si>
    <t>S DPH</t>
  </si>
  <si>
    <t>DELENÉ JEDNOTKY</t>
  </si>
  <si>
    <t>SPECTRUM PLUS DC INVERTER SÉRIA  -  DVOJSTUPŇOVÝ KOMPRESOR, WIFI VO VÝBAVE, BIELE PREVEDENIE</t>
  </si>
  <si>
    <t>ASH-09BIS2/W</t>
  </si>
  <si>
    <t>2,7 / 3,5</t>
  </si>
  <si>
    <t>18-43</t>
  </si>
  <si>
    <t>996×301×225 / 13,0</t>
  </si>
  <si>
    <t>899×596×378 / 44,5</t>
  </si>
  <si>
    <t>4.02 / 1.06 / 5.01</t>
  </si>
  <si>
    <t>1 399</t>
  </si>
  <si>
    <t>1 678</t>
  </si>
  <si>
    <t>ASH-13BIS2/W</t>
  </si>
  <si>
    <t>3,6 / 4,2</t>
  </si>
  <si>
    <t>21-46</t>
  </si>
  <si>
    <t>996×301×225 / 13,5</t>
  </si>
  <si>
    <t>899×596×378 / 45,5</t>
  </si>
  <si>
    <t>1 482</t>
  </si>
  <si>
    <t>1 779</t>
  </si>
  <si>
    <t>ASH-18BIS2/W</t>
  </si>
  <si>
    <t>5,3 / 5,6</t>
  </si>
  <si>
    <t>33-48</t>
  </si>
  <si>
    <t>1101×327×249 / 16,5</t>
  </si>
  <si>
    <t>1003×790×427 / 62,5</t>
  </si>
  <si>
    <t>1 858</t>
  </si>
  <si>
    <t>2 230</t>
  </si>
  <si>
    <t>ASH-24BIS2/W</t>
  </si>
  <si>
    <t>7,1 / 7,1</t>
  </si>
  <si>
    <t>35-50</t>
  </si>
  <si>
    <t>1003×790×427 / 65,0</t>
  </si>
  <si>
    <t>1 959</t>
  </si>
  <si>
    <t>2 351</t>
  </si>
  <si>
    <t>TERREL SÉRIA SET INDOOR + OUTDOOR, WHITE PANEL – WIFI VO VÝBAVE</t>
  </si>
  <si>
    <t>SIH-09BITW</t>
  </si>
  <si>
    <t>2,7 / 3,0</t>
  </si>
  <si>
    <t>25-38</t>
  </si>
  <si>
    <t>889 × 294 × 212  /11</t>
  </si>
  <si>
    <t>4.02 / 5.01</t>
  </si>
  <si>
    <t>SOH-09BIT</t>
  </si>
  <si>
    <t>732 × 555 × 320  / 23,5</t>
  </si>
  <si>
    <t>1.06</t>
  </si>
  <si>
    <t>SIH-13BITW</t>
  </si>
  <si>
    <t>3,5 / 3,8</t>
  </si>
  <si>
    <t>25-42</t>
  </si>
  <si>
    <t>SOH-13BIT</t>
  </si>
  <si>
    <t>732 × 555 × 330  /24,5</t>
  </si>
  <si>
    <t>SIH-18BIT2W</t>
  </si>
  <si>
    <t>21-47</t>
  </si>
  <si>
    <t>1013 x 307 x 221/ 13,5</t>
  </si>
  <si>
    <t>SOH-18BIT2</t>
  </si>
  <si>
    <t>958 x 660 x 402/ 40,5</t>
  </si>
  <si>
    <t>1 080</t>
  </si>
  <si>
    <t>1 317</t>
  </si>
  <si>
    <t>1 580</t>
  </si>
  <si>
    <t>SIH-24BIT2W</t>
  </si>
  <si>
    <t>7,1 / 7,8</t>
  </si>
  <si>
    <t>27-50</t>
  </si>
  <si>
    <t>1122 × 329 × 247/ 16,5</t>
  </si>
  <si>
    <t>SOH-24BIT2</t>
  </si>
  <si>
    <t>958 x 660 x 402/ 41,5</t>
  </si>
  <si>
    <t>1 075</t>
  </si>
  <si>
    <t>1 290</t>
  </si>
  <si>
    <t>1 567</t>
  </si>
  <si>
    <t>1 880</t>
  </si>
  <si>
    <t>TERREL COLOR SÉRIA SET INDOOR + OUTDOOR, x options:  S = Silver, B = Black, C = Champagne – WIFI VO VÝBAVE</t>
  </si>
  <si>
    <t>SIH-09BITx</t>
  </si>
  <si>
    <t>SIH-13BITx</t>
  </si>
  <si>
    <t>SIH-18BIT2x</t>
  </si>
  <si>
    <t>SIH-24BIT2x</t>
  </si>
  <si>
    <t>MARVIN SÉRIA SET INDOOR + OUTDOOR, WHITE PANEL - WIFI VO VÝBAVE</t>
  </si>
  <si>
    <t>SIH-09BIMW</t>
  </si>
  <si>
    <t>19-39</t>
  </si>
  <si>
    <t>837x293x200 / 9,5</t>
  </si>
  <si>
    <t>732x555x330 / 25,0</t>
  </si>
  <si>
    <t>1 071</t>
  </si>
  <si>
    <t>SIH-12BIMW</t>
  </si>
  <si>
    <t>25-41</t>
  </si>
  <si>
    <t>732x555x330 / 26,0</t>
  </si>
  <si>
    <t>1 141</t>
  </si>
  <si>
    <t>SIH-18BIMW</t>
  </si>
  <si>
    <t>5,3 / 5,3</t>
  </si>
  <si>
    <t>23-48</t>
  </si>
  <si>
    <t>993×311×222 / 12,5</t>
  </si>
  <si>
    <t>802×555×350 / 31,5</t>
  </si>
  <si>
    <t>1 007</t>
  </si>
  <si>
    <t>1 208</t>
  </si>
  <si>
    <t>1 451</t>
  </si>
  <si>
    <t>1 741</t>
  </si>
  <si>
    <t>SIH-24BIMW</t>
  </si>
  <si>
    <t>7,1 / 7,3</t>
  </si>
  <si>
    <t>993×311×222 / 13,0</t>
  </si>
  <si>
    <t>958×660×402 / 45,0</t>
  </si>
  <si>
    <t>1 190</t>
  </si>
  <si>
    <t>1 428</t>
  </si>
  <si>
    <t>1 029</t>
  </si>
  <si>
    <t>1 725</t>
  </si>
  <si>
    <t>2 070</t>
  </si>
  <si>
    <t>1 / 8</t>
  </si>
  <si>
    <t>MARVIN COLOR SÉRIA SET INDOOR + OUTDOOR, x options:  S = Silver, C = Champagne, N = Navy – WIFI VO VÝBAVE</t>
  </si>
  <si>
    <t>1 028</t>
  </si>
  <si>
    <t>SIH-12BIMx</t>
  </si>
  <si>
    <t>1 097</t>
  </si>
  <si>
    <t>SIH-18BIMx</t>
  </si>
  <si>
    <t>1 404</t>
  </si>
  <si>
    <t>1 684</t>
  </si>
  <si>
    <t>SIH-24BIMx</t>
  </si>
  <si>
    <t>1 670</t>
  </si>
  <si>
    <t>2 004</t>
  </si>
  <si>
    <t>KEYON SÉRIA SET INDOOR + OUTDOOR – WIFI VO VÝBAVE</t>
  </si>
  <si>
    <t>SIH-09BIK</t>
  </si>
  <si>
    <t>2,7 / 2,8</t>
  </si>
  <si>
    <t>23-40</t>
  </si>
  <si>
    <t>770×251×190 / 8,5</t>
  </si>
  <si>
    <t>4.01 / 5.01</t>
  </si>
  <si>
    <t>SOH-09BIK2</t>
  </si>
  <si>
    <t>732×550×330 / 25,0</t>
  </si>
  <si>
    <t>SIH-12BIK</t>
  </si>
  <si>
    <t>3,2 / 3,4</t>
  </si>
  <si>
    <t>23-41</t>
  </si>
  <si>
    <t>849×289×215 / 10,5</t>
  </si>
  <si>
    <t>SOH-12BIK2</t>
  </si>
  <si>
    <t>SIH-18BIK</t>
  </si>
  <si>
    <t>4,6 / 5,2</t>
  </si>
  <si>
    <t>31-44</t>
  </si>
  <si>
    <t>972x300x225 / 13,5</t>
  </si>
  <si>
    <t>4.02/ 5.01</t>
  </si>
  <si>
    <t>SOH-18BIK</t>
  </si>
  <si>
    <t>732x550x330 / 26,5</t>
  </si>
  <si>
    <t>1 042</t>
  </si>
  <si>
    <t>1 250</t>
  </si>
  <si>
    <t>SIH-24BIK</t>
  </si>
  <si>
    <t>6,2 / 6,5</t>
  </si>
  <si>
    <t>34-48</t>
  </si>
  <si>
    <t>1081 × 325 × 248  /16,5</t>
  </si>
  <si>
    <t>SOH-24BIK</t>
  </si>
  <si>
    <t>873x555x376 / 36,5</t>
  </si>
  <si>
    <t>1 142</t>
  </si>
  <si>
    <t>1 380</t>
  </si>
  <si>
    <t>1 656</t>
  </si>
  <si>
    <t>SKY SÉRIA SET INDOOR + OUTDOOR - WIFI VO VÝBAVE</t>
  </si>
  <si>
    <t>SIM-09BS-WF</t>
  </si>
  <si>
    <t>2,6 / 2,9</t>
  </si>
  <si>
    <t>20-37</t>
  </si>
  <si>
    <t>726×210×291 / 8,0</t>
  </si>
  <si>
    <t>SOM-09BS-LH</t>
  </si>
  <si>
    <t>720×270×495 / 23,5</t>
  </si>
  <si>
    <t>SIM-12BS-WF</t>
  </si>
  <si>
    <t>21-37</t>
  </si>
  <si>
    <t>802×200×295 / 8,7</t>
  </si>
  <si>
    <t>SOM-12BS-LH</t>
  </si>
  <si>
    <t>720×270×495 / 23,7</t>
  </si>
  <si>
    <t>SIM-18BS-WF</t>
  </si>
  <si>
    <t>20-41</t>
  </si>
  <si>
    <t>971×228×321 / 11,2</t>
  </si>
  <si>
    <t>SOM-18BS-LH</t>
  </si>
  <si>
    <t>805×330×554 / 33,5</t>
  </si>
  <si>
    <t>SIM-24BS-WF</t>
  </si>
  <si>
    <t>7,0 / 7,3</t>
  </si>
  <si>
    <t>1083×244×336 / 13,6</t>
  </si>
  <si>
    <t>SOM-24BS-LH</t>
  </si>
  <si>
    <t>890×342×673 / 43,9</t>
  </si>
  <si>
    <t>1 147</t>
  </si>
  <si>
    <t>1 376</t>
  </si>
  <si>
    <t>2 / 8</t>
  </si>
  <si>
    <t>SKY2 SÉRIA SET INDOOR + OUTDOOR - WIFI VO VÝBAVE</t>
  </si>
  <si>
    <t>SIM-09BS2</t>
  </si>
  <si>
    <t>2,7 / 3,6</t>
  </si>
  <si>
    <t>20-40</t>
  </si>
  <si>
    <t>726x210x291 / 8,0</t>
  </si>
  <si>
    <t>SOM-09BS2</t>
  </si>
  <si>
    <t>720×495×270 / 21,0</t>
  </si>
  <si>
    <t>SIM-12BS2</t>
  </si>
  <si>
    <t>3,2 / 3,6</t>
  </si>
  <si>
    <t>835×295×208 / 8,2</t>
  </si>
  <si>
    <t>SOM-12BS2</t>
  </si>
  <si>
    <t>SIM-18BS2</t>
  </si>
  <si>
    <t>5,3 / 5,7</t>
  </si>
  <si>
    <t>21-41</t>
  </si>
  <si>
    <t>969×320×241 / 11,2</t>
  </si>
  <si>
    <t>SOM-18BS2</t>
  </si>
  <si>
    <t>805×554×330 / 33,5</t>
  </si>
  <si>
    <t>1 181</t>
  </si>
  <si>
    <t>SIM-24BS2</t>
  </si>
  <si>
    <t>7,0 / 7,5</t>
  </si>
  <si>
    <t>1083×336×244 / 13,6</t>
  </si>
  <si>
    <t>SOM-24BS2</t>
  </si>
  <si>
    <t>890×673×342 / 43,9</t>
  </si>
  <si>
    <t>1 305</t>
  </si>
  <si>
    <t>1 566</t>
  </si>
  <si>
    <t>SIH-09BIR</t>
  </si>
  <si>
    <t>773 x 250 x 185 / 8,0</t>
  </si>
  <si>
    <t>SOH-09BIR2</t>
  </si>
  <si>
    <t>732 x 550 x 330 / 25</t>
  </si>
  <si>
    <t>SIH-12BIR</t>
  </si>
  <si>
    <t>26-41</t>
  </si>
  <si>
    <t>SOH-12BIR2</t>
  </si>
  <si>
    <t>SIH-18BIR</t>
  </si>
  <si>
    <t>970×300×225 / 13,5</t>
  </si>
  <si>
    <t>SOH-18BIR</t>
  </si>
  <si>
    <t>732×555×330 / 26,5</t>
  </si>
  <si>
    <t>SIH-24BIR</t>
  </si>
  <si>
    <t>26-48</t>
  </si>
  <si>
    <t>970×300×225 / 13,0</t>
  </si>
  <si>
    <t>SOH-24BIR</t>
  </si>
  <si>
    <t>873×555×376 / 36,5</t>
  </si>
  <si>
    <t>CONSOL SÉRIA – WIFI VO VÝBAVE</t>
  </si>
  <si>
    <t>ASP-09BI</t>
  </si>
  <si>
    <t>2,7 / 2,9</t>
  </si>
  <si>
    <t>23-39</t>
  </si>
  <si>
    <t>700×215×600 / 15,5</t>
  </si>
  <si>
    <t>782×540×320 / 27,5</t>
  </si>
  <si>
    <t>1 074</t>
  </si>
  <si>
    <t>1 289</t>
  </si>
  <si>
    <t>ASP-12BI</t>
  </si>
  <si>
    <t>848×596×320 / 30,5</t>
  </si>
  <si>
    <t>1 187</t>
  </si>
  <si>
    <t>1 425</t>
  </si>
  <si>
    <t>ASP-18BI</t>
  </si>
  <si>
    <t>5,2 / 5,2</t>
  </si>
  <si>
    <t>31-47</t>
  </si>
  <si>
    <t>955×700×396 / 46</t>
  </si>
  <si>
    <t>1 478</t>
  </si>
  <si>
    <t>1 773</t>
  </si>
  <si>
    <t>MULTISPLITOVÉ ZOSTAVY</t>
  </si>
  <si>
    <t>MV-E14BI2</t>
  </si>
  <si>
    <t>4,1 / 4,4</t>
  </si>
  <si>
    <t>745x300x550 / 30,0</t>
  </si>
  <si>
    <t>1 017</t>
  </si>
  <si>
    <t>1 220</t>
  </si>
  <si>
    <t>MV-E18BI2</t>
  </si>
  <si>
    <t>745x300x550 / 32,0</t>
  </si>
  <si>
    <t>1 285</t>
  </si>
  <si>
    <t>MV-E21BI2</t>
  </si>
  <si>
    <t>6,1 / 6,5</t>
  </si>
  <si>
    <t>964x402x660 / 47,5</t>
  </si>
  <si>
    <t>1 322</t>
  </si>
  <si>
    <t>1 586</t>
  </si>
  <si>
    <t>MV-E24BI2</t>
  </si>
  <si>
    <t>7,1 / 8,6</t>
  </si>
  <si>
    <t>1 556</t>
  </si>
  <si>
    <t>1 868</t>
  </si>
  <si>
    <t>MV-E28BI2</t>
  </si>
  <si>
    <t>8,0 / 9,5</t>
  </si>
  <si>
    <t>964x402x660 / 51,0</t>
  </si>
  <si>
    <t>1 701</t>
  </si>
  <si>
    <t>2 041</t>
  </si>
  <si>
    <t>MV-E36BI2</t>
  </si>
  <si>
    <t>10,6 / 12,0</t>
  </si>
  <si>
    <t>1020×826x427 / 72,0</t>
  </si>
  <si>
    <t>2 391</t>
  </si>
  <si>
    <t>2 869</t>
  </si>
  <si>
    <t>MV-E42BI2</t>
  </si>
  <si>
    <t>12,1 / 13,0</t>
  </si>
  <si>
    <t>1020×826x427 / 73,0</t>
  </si>
  <si>
    <t>2 714</t>
  </si>
  <si>
    <t>3 257</t>
  </si>
  <si>
    <t>WALL MOUNTED INDOOR TERREL WHITE – WIFI VO VÝBAVE</t>
  </si>
  <si>
    <t>SIH-24BITW</t>
  </si>
  <si>
    <t>7,0 / 7,4</t>
  </si>
  <si>
    <t>1122 × 329 × 247  /17,5</t>
  </si>
  <si>
    <t>3 / 8</t>
  </si>
  <si>
    <t>WALL MOUNTED INDOOR TERREL COLOR x: B = Black, S = Silver, C = Champagne – WIFI VO VÝBAVE</t>
  </si>
  <si>
    <t>WALL MOUNTED INDOOR MARVIN WHITE - WIFI VO VÝBAVE</t>
  </si>
  <si>
    <t>WALL MOUNTED INDOOR MARVIN COLOR x: S = Silver, N = Navy, C = Champagne - WIFI VO VÝBAVE</t>
  </si>
  <si>
    <t>WALL MOUNTED INDOOR  KEYON – WIFI VO VÝBAVE (*SIH-07BIK nemá wifi vo výbave)</t>
  </si>
  <si>
    <t>SIH-07BIK*</t>
  </si>
  <si>
    <t>2,2 / 2,4</t>
  </si>
  <si>
    <t>22-39</t>
  </si>
  <si>
    <t>696x251x190 /7,5</t>
  </si>
  <si>
    <t>WALL MOUNTED INDOOR RAY</t>
  </si>
  <si>
    <t>MULTI VARIABLE SÉRIA - KONZOLOVÉ JEDNOTKY</t>
  </si>
  <si>
    <t>MV-P09BI</t>
  </si>
  <si>
    <t>700x600x215 / 15,5</t>
  </si>
  <si>
    <t>MV-P12BI</t>
  </si>
  <si>
    <t>MV-P18BI</t>
  </si>
  <si>
    <t>5,2 / 5,3</t>
  </si>
  <si>
    <t>MULTI VARIABLE SÉRIA – PODSTROPNO-PARAPETNÉ JEDNOTKY</t>
  </si>
  <si>
    <t>MV-F09BI</t>
  </si>
  <si>
    <t>2,6 / 2,7</t>
  </si>
  <si>
    <t>26-38</t>
  </si>
  <si>
    <t>870x665x235 / 25,0</t>
  </si>
  <si>
    <t>4.03 / 5.01</t>
  </si>
  <si>
    <t>MV-F12BI</t>
  </si>
  <si>
    <t>3,5 / 4,0</t>
  </si>
  <si>
    <t>MV-F18BI</t>
  </si>
  <si>
    <t>4,5 / 5,0</t>
  </si>
  <si>
    <t>870x665x235 / 25,5</t>
  </si>
  <si>
    <t>MV-F24BI</t>
  </si>
  <si>
    <t>7,1 / 8,0</t>
  </si>
  <si>
    <t>1200x665x235 / 33,0</t>
  </si>
  <si>
    <t>MULTI VARIABLE SÉRIA – KAZETOVÉ JEDNOTKY</t>
  </si>
  <si>
    <t>MV-C12BI2</t>
  </si>
  <si>
    <t>28-41</t>
  </si>
  <si>
    <t>570x570x265 / 17</t>
  </si>
  <si>
    <t>panel 620x47,5x620 / 3,0</t>
  </si>
  <si>
    <t>MV-C18BI2</t>
  </si>
  <si>
    <t>5,0 / 5,5</t>
  </si>
  <si>
    <t>28-43</t>
  </si>
  <si>
    <t>MV-C24BI2</t>
  </si>
  <si>
    <t>7,0 / 8,0</t>
  </si>
  <si>
    <t>37-46</t>
  </si>
  <si>
    <t>840x840x240 / 29</t>
  </si>
  <si>
    <t>panel 950x52x950 / 6,0</t>
  </si>
  <si>
    <t>1 117</t>
  </si>
  <si>
    <t>4 / 8</t>
  </si>
  <si>
    <t>CENNÍK KLIMATIZAČNEJ TECHNIKY PRE SR
Platnosť od: 24.04.2024</t>
  </si>
  <si>
    <t>MULTI VARIABLE SÉRIA – KANÁLOVÉ JEDNOTKY</t>
  </si>
  <si>
    <t>MV-D09BI2</t>
  </si>
  <si>
    <t>37-47</t>
  </si>
  <si>
    <t>710×450×200 / 18,5</t>
  </si>
  <si>
    <t>MV-D12BI2</t>
  </si>
  <si>
    <t>42-51</t>
  </si>
  <si>
    <t>710×450×200 / 19,0</t>
  </si>
  <si>
    <t>MV-D18BI2</t>
  </si>
  <si>
    <t>40-51</t>
  </si>
  <si>
    <t>1010×450×200 / 25,0</t>
  </si>
  <si>
    <t>MV-D24BI2</t>
  </si>
  <si>
    <t>51-61</t>
  </si>
  <si>
    <t>900x655x260 /  31,0</t>
  </si>
  <si>
    <t>MULTI VARIABLE SÉRIA - VYSOKOTLAKOVÉ KANÁLOVÉ JEDNOTKY</t>
  </si>
  <si>
    <t>MV-D09BIP</t>
  </si>
  <si>
    <t>34-41</t>
  </si>
  <si>
    <t>710×200×450 / 18,5</t>
  </si>
  <si>
    <t>MV-D12BIP</t>
  </si>
  <si>
    <t>32-39</t>
  </si>
  <si>
    <t>710×200×450 / 19,0</t>
  </si>
  <si>
    <t>MV-D18BIP</t>
  </si>
  <si>
    <t>1010×200×450 / 25,0</t>
  </si>
  <si>
    <t>MV-D24BIP</t>
  </si>
  <si>
    <t>36-45</t>
  </si>
  <si>
    <t>900×260×655 / 31,0</t>
  </si>
  <si>
    <t>UNI SPLIT VONKAJŠIE JEDNOTKY ASGE-XXBI2</t>
  </si>
  <si>
    <t>ASGE-12BI2</t>
  </si>
  <si>
    <t>675×285×553 / 24,5</t>
  </si>
  <si>
    <t>1 144</t>
  </si>
  <si>
    <t>ASGE-18BI2</t>
  </si>
  <si>
    <t>745×300×555 / 30,5</t>
  </si>
  <si>
    <t>1 026</t>
  </si>
  <si>
    <t>1 231</t>
  </si>
  <si>
    <t>ASGE-24BI2</t>
  </si>
  <si>
    <t>889×340×660 / 41,5</t>
  </si>
  <si>
    <t>1 338</t>
  </si>
  <si>
    <t>1 606</t>
  </si>
  <si>
    <t>ASGE-30BI2</t>
  </si>
  <si>
    <t>8,5 / 8,8</t>
  </si>
  <si>
    <t>889×660×340 / 46,0</t>
  </si>
  <si>
    <t>1 903</t>
  </si>
  <si>
    <t>ASGE-36BI2</t>
  </si>
  <si>
    <t>10,5 / 11,5</t>
  </si>
  <si>
    <t>940×370×820 / 65,0</t>
  </si>
  <si>
    <t>1 353</t>
  </si>
  <si>
    <t>2 247</t>
  </si>
  <si>
    <t>2 696</t>
  </si>
  <si>
    <t>ASGE-36BI2-3</t>
  </si>
  <si>
    <t>940×370×820 / 75,0</t>
  </si>
  <si>
    <t>1 479</t>
  </si>
  <si>
    <t>2 456</t>
  </si>
  <si>
    <t>2 947</t>
  </si>
  <si>
    <t>ASGE-42BI2-3</t>
  </si>
  <si>
    <t>12,1 / 13,5</t>
  </si>
  <si>
    <t>940×370×820 / 76,0</t>
  </si>
  <si>
    <t>1 623</t>
  </si>
  <si>
    <t>3 235</t>
  </si>
  <si>
    <t>ASGE-48BI2-3</t>
  </si>
  <si>
    <t>13,4 / 15,5</t>
  </si>
  <si>
    <t>940×370×820 / 81,0</t>
  </si>
  <si>
    <t>1 887</t>
  </si>
  <si>
    <t>3 133</t>
  </si>
  <si>
    <t>3 760</t>
  </si>
  <si>
    <t>ASGE-60BI2-3</t>
  </si>
  <si>
    <t>16,0 / 17,0</t>
  </si>
  <si>
    <t>990×960×370 / 94,0</t>
  </si>
  <si>
    <t>2 080</t>
  </si>
  <si>
    <t>3 454</t>
  </si>
  <si>
    <t>4 144</t>
  </si>
  <si>
    <t>KAZETOVÉ JEDNOTKY</t>
  </si>
  <si>
    <t>UNI SPLIT SÉRIA - KAZETOVÉ JEDNOTKY (POTREBNÉ KOMBINOVAŤ S KONDENZAČNÝMI JEDNOTKAMI ASGE-XXBI2)</t>
  </si>
  <si>
    <t>ASC-12BI2</t>
  </si>
  <si>
    <t>29-35</t>
  </si>
  <si>
    <t>570×260×570 / 16,5</t>
  </si>
  <si>
    <t>panel 620×47,5×620 / 4,5</t>
  </si>
  <si>
    <t>ASC-18BI2</t>
  </si>
  <si>
    <t>5,3 / 5,8</t>
  </si>
  <si>
    <t>31-35</t>
  </si>
  <si>
    <t>ASC-24BI2</t>
  </si>
  <si>
    <t>34-38</t>
  </si>
  <si>
    <t>840×200×840 / 21,0</t>
  </si>
  <si>
    <t>panel 950×52×950 / 9,5</t>
  </si>
  <si>
    <t>1 001</t>
  </si>
  <si>
    <t>1 201</t>
  </si>
  <si>
    <t>ASC-30BI2</t>
  </si>
  <si>
    <t>34-47</t>
  </si>
  <si>
    <t>panel 950×52×950 / 6,0</t>
  </si>
  <si>
    <t>1 006</t>
  </si>
  <si>
    <t>1 207</t>
  </si>
  <si>
    <t>ASC-36BI2</t>
  </si>
  <si>
    <t>38-41</t>
  </si>
  <si>
    <t>840×240×840 / 23,0</t>
  </si>
  <si>
    <t>1 103</t>
  </si>
  <si>
    <t>1 324</t>
  </si>
  <si>
    <t>ASC-42BI2</t>
  </si>
  <si>
    <t>39-46</t>
  </si>
  <si>
    <t>1 198</t>
  </si>
  <si>
    <t>1 437</t>
  </si>
  <si>
    <t>ASC-48BI2</t>
  </si>
  <si>
    <t>41-50</t>
  </si>
  <si>
    <t>840×290×840 / 25,0</t>
  </si>
  <si>
    <t>1 325</t>
  </si>
  <si>
    <t>1 589</t>
  </si>
  <si>
    <t>ASC-60BI2</t>
  </si>
  <si>
    <t>14,5 / 17,0</t>
  </si>
  <si>
    <t>44-52</t>
  </si>
  <si>
    <t>840×290×840 / 26,0</t>
  </si>
  <si>
    <t>1 330</t>
  </si>
  <si>
    <t>1 596</t>
  </si>
  <si>
    <t>PODSTROPNO-PARAPETNÉ JEDNOTKY</t>
  </si>
  <si>
    <t>UNI SPLIT SÉRIA - PODSTROPNO-PARAPETNÉ JEDNOTKY (POTREBNÉ KOMBINOVAŤ S KONDENZAČNÝMI JEDNOTKAMI ASGE-XXBI2)</t>
  </si>
  <si>
    <t>ASF-12BI2</t>
  </si>
  <si>
    <t>24-34</t>
  </si>
  <si>
    <t>870×665×235 / 24,0</t>
  </si>
  <si>
    <t>ASF-18BI2</t>
  </si>
  <si>
    <t>36-40</t>
  </si>
  <si>
    <t>870×665×235 / 25,0</t>
  </si>
  <si>
    <t>ASF-24BI2</t>
  </si>
  <si>
    <t>7,1 / 7,7</t>
  </si>
  <si>
    <t>35-39</t>
  </si>
  <si>
    <t>1200×665×235 / 31,0</t>
  </si>
  <si>
    <t>1 016</t>
  </si>
  <si>
    <t>ASF-30BI2</t>
  </si>
  <si>
    <t>1200×665×235 / 32,0</t>
  </si>
  <si>
    <t>1 049</t>
  </si>
  <si>
    <t>ASF-36BI2</t>
  </si>
  <si>
    <t>10,0 / 11,5</t>
  </si>
  <si>
    <t>43-46</t>
  </si>
  <si>
    <t>ASF-42BI2</t>
  </si>
  <si>
    <t>38-43</t>
  </si>
  <si>
    <t>1570×665×235 / 39,5</t>
  </si>
  <si>
    <t>1 066</t>
  </si>
  <si>
    <t>1 279</t>
  </si>
  <si>
    <t>ASF-48BI2</t>
  </si>
  <si>
    <t>43-51</t>
  </si>
  <si>
    <t>1570x665x235 / 42,0</t>
  </si>
  <si>
    <t>1 268</t>
  </si>
  <si>
    <t>1 521</t>
  </si>
  <si>
    <t>ASF-60BI2</t>
  </si>
  <si>
    <t>44-53</t>
  </si>
  <si>
    <t>1570×665×235 / 42,0</t>
  </si>
  <si>
    <t>1 298</t>
  </si>
  <si>
    <t>1 557</t>
  </si>
  <si>
    <t>5 / 8</t>
  </si>
  <si>
    <t>KANÁLOVÉ JEDNOTKY</t>
  </si>
  <si>
    <t>UNI SPLIT SÉRIA - KANÁLOVÉ JEDNOTKY (POTREBNÉ KOMBINOVAŤ S KONDENZAČNÝMI JEDNOTKAMI ASGE-XXBI2)</t>
  </si>
  <si>
    <t>ASD-12BI2</t>
  </si>
  <si>
    <t>30-33</t>
  </si>
  <si>
    <t>700×450×200 / 18,0</t>
  </si>
  <si>
    <t>ASD-18BI2</t>
  </si>
  <si>
    <t>1000×450×200 / 24,0</t>
  </si>
  <si>
    <t>ASD-24BI2</t>
  </si>
  <si>
    <t>900×655×260 / 29,5</t>
  </si>
  <si>
    <t>1 067</t>
  </si>
  <si>
    <t>ASD-30BI2</t>
  </si>
  <si>
    <t>37-43</t>
  </si>
  <si>
    <t>900×260×655 / 29,5</t>
  </si>
  <si>
    <t>1 112</t>
  </si>
  <si>
    <t>ASD-36BI2</t>
  </si>
  <si>
    <t>36-38</t>
  </si>
  <si>
    <t>1340×655×260 / 43,0</t>
  </si>
  <si>
    <t>1 024</t>
  </si>
  <si>
    <t>1 229</t>
  </si>
  <si>
    <t>ASD-42BI2</t>
  </si>
  <si>
    <t>40-42</t>
  </si>
  <si>
    <t>1 243</t>
  </si>
  <si>
    <t>1 492</t>
  </si>
  <si>
    <t>ASD-48BI2</t>
  </si>
  <si>
    <t>1400x700x300 / 52,0</t>
  </si>
  <si>
    <t>1 401</t>
  </si>
  <si>
    <t>1 682</t>
  </si>
  <si>
    <t>ASD-60BI2</t>
  </si>
  <si>
    <t>40-46</t>
  </si>
  <si>
    <t>1400×300×700 / 55,0</t>
  </si>
  <si>
    <t>1 427</t>
  </si>
  <si>
    <t>1 713</t>
  </si>
  <si>
    <t>NÁSTENNÉ JEDNOTKY</t>
  </si>
  <si>
    <t>UNI SPLIT SÉRIA – NÁSTENNÉ JEDNOTKY (POTREBNÉ KOMBINOVAŤ S KONDENZAČNÝMI JEDNOTKAMI ASGE-XXBI)</t>
  </si>
  <si>
    <t>ASH-24BIH</t>
  </si>
  <si>
    <t>40-45</t>
  </si>
  <si>
    <t>1078 × 325 × 246 / 15,0</t>
  </si>
  <si>
    <t>HIGH STATIC PRESSURE – KANÁLOVÁ DELENÁ KLIMATIZÁCIA – SET</t>
  </si>
  <si>
    <t>ASDH-96AI</t>
  </si>
  <si>
    <t>28,0/31,5</t>
  </si>
  <si>
    <t>R410A</t>
  </si>
  <si>
    <t>49-52</t>
  </si>
  <si>
    <t>1470×512×775 / 83,0</t>
  </si>
  <si>
    <t>1120×1558×528 / 148,0</t>
  </si>
  <si>
    <t>4 651</t>
  </si>
  <si>
    <t>7 477</t>
  </si>
  <si>
    <t>8 972</t>
  </si>
  <si>
    <t>TOWER SÉRIA – WIFI VO VÝBAVE</t>
  </si>
  <si>
    <t>AST-24BI2</t>
  </si>
  <si>
    <t>7,2/ 7,9</t>
  </si>
  <si>
    <t>35-45</t>
  </si>
  <si>
    <t>507×1770×320 / 38,0</t>
  </si>
  <si>
    <t>958×660×402 / 43,0</t>
  </si>
  <si>
    <t>4.03 / 1.06 / 5.01</t>
  </si>
  <si>
    <t>2 014</t>
  </si>
  <si>
    <t>2 417</t>
  </si>
  <si>
    <t>AST-48BI2</t>
  </si>
  <si>
    <t>12,3 / 12,6</t>
  </si>
  <si>
    <t>48-53</t>
  </si>
  <si>
    <t>1882x587x394 / 55</t>
  </si>
  <si>
    <t>587×1882×394 / 53,0</t>
  </si>
  <si>
    <t>2 026</t>
  </si>
  <si>
    <t>3 377</t>
  </si>
  <si>
    <t>4 053</t>
  </si>
  <si>
    <t>OKENNÁ KLIMATIZÁCIA</t>
  </si>
  <si>
    <t>ASW-09BI</t>
  </si>
  <si>
    <t>2,7 / *</t>
  </si>
  <si>
    <t>46-50</t>
  </si>
  <si>
    <t>560x375x710 / 43,0</t>
  </si>
  <si>
    <t>52-56</t>
  </si>
  <si>
    <t>1.06 / 5.01</t>
  </si>
  <si>
    <t>ASW-12BI</t>
  </si>
  <si>
    <t>3,7 / *</t>
  </si>
  <si>
    <t>660x428x700 / 50,0</t>
  </si>
  <si>
    <t>54-58</t>
  </si>
  <si>
    <t>MONOBLOCK SÉRIA</t>
  </si>
  <si>
    <t>ASM-12PI</t>
  </si>
  <si>
    <t>3,5 / 2,9</t>
  </si>
  <si>
    <t>R290</t>
  </si>
  <si>
    <t>39-47</t>
  </si>
  <si>
    <t>1000x585x205/43,5</t>
  </si>
  <si>
    <t>1 134</t>
  </si>
  <si>
    <t>1 616</t>
  </si>
  <si>
    <t>1 940</t>
  </si>
  <si>
    <t>STREŠNÉ KLIMATIZÁCIE PRE KARAVANY A OBYTNÉ VOZY</t>
  </si>
  <si>
    <t>ASV-25BS</t>
  </si>
  <si>
    <t>2.6 / 2.4</t>
  </si>
  <si>
    <t>43-54</t>
  </si>
  <si>
    <t>610x485x49 / 2,7</t>
  </si>
  <si>
    <t>1077x720x283 / 35</t>
  </si>
  <si>
    <t>4.01 / 1.06 / 5.01</t>
  </si>
  <si>
    <t>1 014</t>
  </si>
  <si>
    <t>1 446</t>
  </si>
  <si>
    <t>1 735</t>
  </si>
  <si>
    <t>ASV-35BS</t>
  </si>
  <si>
    <t>3.6 / 3.4</t>
  </si>
  <si>
    <t>1 143</t>
  </si>
  <si>
    <t>1 641</t>
  </si>
  <si>
    <t>1 969</t>
  </si>
  <si>
    <t>LODNÉ KLIMATIZÁCIE</t>
  </si>
  <si>
    <t>ASB-05A</t>
  </si>
  <si>
    <t>1,1 / 1,4</t>
  </si>
  <si>
    <t>285×408×295 / 25,5</t>
  </si>
  <si>
    <t>1 416</t>
  </si>
  <si>
    <t>1 700</t>
  </si>
  <si>
    <t>ASB-09A</t>
  </si>
  <si>
    <t>2,1 / 2,2</t>
  </si>
  <si>
    <t>380×408×310 / 28,0</t>
  </si>
  <si>
    <t>1 881</t>
  </si>
  <si>
    <t>ASB-12A</t>
  </si>
  <si>
    <t>3,1 / 3,2</t>
  </si>
  <si>
    <t>380×420×330 / 33,0</t>
  </si>
  <si>
    <t>1 130</t>
  </si>
  <si>
    <t>1 605</t>
  </si>
  <si>
    <t>1 926</t>
  </si>
  <si>
    <t>ASB-16A</t>
  </si>
  <si>
    <t>3,2 / 4,0</t>
  </si>
  <si>
    <t>450×465×330 / 37,5</t>
  </si>
  <si>
    <t>1 218</t>
  </si>
  <si>
    <t>1 730</t>
  </si>
  <si>
    <t>2 077</t>
  </si>
  <si>
    <t>ASB-24A</t>
  </si>
  <si>
    <t>6,4 / 6,65</t>
  </si>
  <si>
    <t>595×529×386 / 60,5</t>
  </si>
  <si>
    <t>2 047</t>
  </si>
  <si>
    <t>2 908</t>
  </si>
  <si>
    <t>3 490</t>
  </si>
  <si>
    <t>6 / 8</t>
  </si>
  <si>
    <t>MOBILNÉ KLIMATIZÁCIE</t>
  </si>
  <si>
    <t>AMC-11P</t>
  </si>
  <si>
    <t>3,0 / 3,0</t>
  </si>
  <si>
    <t>52-62</t>
  </si>
  <si>
    <t>300x778x505 / 28,5</t>
  </si>
  <si>
    <t>1.01 / 5.01</t>
  </si>
  <si>
    <t>AMC-14P</t>
  </si>
  <si>
    <t>4,0 / 4,0</t>
  </si>
  <si>
    <t>54-63</t>
  </si>
  <si>
    <t>300x778x505 / 30,6</t>
  </si>
  <si>
    <t>ODVLHČOVAČ</t>
  </si>
  <si>
    <t>Výkon
odvlhčenia</t>
  </si>
  <si>
    <t>Hlučnosť
jednotky</t>
  </si>
  <si>
    <t>Napätie /
/ Frekvencia</t>
  </si>
  <si>
    <t>Kód elektroodpadu</t>
  </si>
  <si>
    <t>Recyklačný
poplatok (Zahrnutý v cene)</t>
  </si>
  <si>
    <t>l / den</t>
  </si>
  <si>
    <t>V / Hz</t>
  </si>
  <si>
    <t>Vnútorná /
Vonkajšia jednotka</t>
  </si>
  <si>
    <t>Vn. / Von. j.
BEZ DPH</t>
  </si>
  <si>
    <t>MOBILNÉ ODVLHČOVAČE VZDUCHU</t>
  </si>
  <si>
    <t>CFO-18P</t>
  </si>
  <si>
    <t>16</t>
  </si>
  <si>
    <t>41-43</t>
  </si>
  <si>
    <t>305x490x192 / 10,7</t>
  </si>
  <si>
    <t>220-240/50</t>
  </si>
  <si>
    <t>1.05</t>
  </si>
  <si>
    <t>CFO-20P</t>
  </si>
  <si>
    <t>20</t>
  </si>
  <si>
    <t>41-47</t>
  </si>
  <si>
    <t>340x580x230 / 15,5</t>
  </si>
  <si>
    <t>CFO-40P</t>
  </si>
  <si>
    <t>40</t>
  </si>
  <si>
    <t>42-48</t>
  </si>
  <si>
    <t>396x625x286 / 22,5</t>
  </si>
  <si>
    <t>ČISTIČKY VZDUCHU</t>
  </si>
  <si>
    <t>SP-45AN</t>
  </si>
  <si>
    <t>Viacnásobná filtrácia vzduchu, generátor záporných iónov, automatická detekcia kvality vzduchu, tichý/automatický/turbo režim, časovač 1/2/4/8 hod., určené pre plochu 10-45 m2</t>
  </si>
  <si>
    <t>SP-75UV</t>
  </si>
  <si>
    <t>Viacnásobná filtrácia a čistenie vzduchu, UV technológia pre dezinfekciu, HEPA filter triedy 13, aktívny uhlíkový filter, rýchlosť čistenia vzduchu 600 m3 za hodinu, generátor záporných iónov, automatická detekcia a indikácia kvality vzduchu, tri rýchlosti ventilátora, turbo/smart/sleep režim, určené pre plochu 10-75m2</t>
  </si>
  <si>
    <t>PRÍSLUŠENSTVO</t>
  </si>
  <si>
    <t>SCMI-03S</t>
  </si>
  <si>
    <t>Riadiaci modul pre striedanie prevádzky jednotiek a stráženie teploty, pre nástenné splitové jednotky R32, MULTI VARIABLE a UNI SPLIT série</t>
  </si>
  <si>
    <t>5.01</t>
  </si>
  <si>
    <t>SCMI-01.5</t>
  </si>
  <si>
    <t>Riadiaci modul pre striedanie prevádzky 2 jednotiek a sledovanie teploty, pre nástenné splitové jednotky R32, MULTI VARIAB</t>
  </si>
  <si>
    <t>SWM-03</t>
  </si>
  <si>
    <t>Wifi modul pre vnútorné jednotky zo série UNI SPLIT</t>
  </si>
  <si>
    <t>SWM-04</t>
  </si>
  <si>
    <t>Wifi modul pre nástenné jednotky R32 a CONSOLE sériu R32</t>
  </si>
  <si>
    <t>SWM-05</t>
  </si>
  <si>
    <t>Wi-Fi modul pre sériu UNI SPLIT 2</t>
  </si>
  <si>
    <t>SWC-02</t>
  </si>
  <si>
    <t>Nástenný ovládač pre nástenné (SIH + SOH), konzolové a multi variabilné klimatizácie</t>
  </si>
  <si>
    <t>SWC-03</t>
  </si>
  <si>
    <t>Nástenný ovládač s týždenným časovačom pre sériu UNI SPLIT</t>
  </si>
  <si>
    <t>SWC-04</t>
  </si>
  <si>
    <t>Nástenný ovládač s WIFI split, multi-split série, vyžaduje kábel + SC-H01 alebo SC-CDF</t>
  </si>
  <si>
    <t>SWC-03U</t>
  </si>
  <si>
    <t>Nástenný ovládač s týždenným časovačom pre sériu UNI SPLIT – upgrade</t>
  </si>
  <si>
    <t>SWC-05W</t>
  </si>
  <si>
    <t>Nástenný ovládač pre sériu UNI SPLIT 2</t>
  </si>
  <si>
    <t>SWC-07</t>
  </si>
  <si>
    <t>SAI-01</t>
  </si>
  <si>
    <t>Diagnostické zariadenie pre splitové nástenné a konzolové delené klimatizácie</t>
  </si>
  <si>
    <t>SC-CDF</t>
  </si>
  <si>
    <t>Kábel pre prepojenie kanálových, kazetových alebo podstropno-parapetných jednotiek zo série MULTI VARIABLE s nástennými ovládačmi XK19 alebo SWC-02</t>
  </si>
  <si>
    <t>SC-H01</t>
  </si>
  <si>
    <t>Kábel pre prepojenie R32 nástenných jednotiek alebo MULTI VARIABLE nástenných alebo konzolových jednotiek alebo split konzolových jednotiek s nástennými ovladáčmi XK19 alebo SWC-02</t>
  </si>
  <si>
    <t>SCC-36</t>
  </si>
  <si>
    <t>Centrálny ovládač až pre 36 vnútorných jednotiek</t>
  </si>
  <si>
    <t>SCC-36K</t>
  </si>
  <si>
    <t>Kábel pre SCC-36. Potrebné pri pripojovaní k MULTI VARIABLE, R32 nástenným alebo split konzolovým jednotkám. Objednávajte v množstve 2N-1 (kde N je počet vnútorných jednotiek)</t>
  </si>
  <si>
    <t>SDT-ASH</t>
  </si>
  <si>
    <t>Diagnostické zariadenie pre nástenné delené klimatizácie</t>
  </si>
  <si>
    <t>SDT-MV</t>
  </si>
  <si>
    <t>Diagnostické zariadenie pre Multi Splitové klimatizácie</t>
  </si>
  <si>
    <t>SDT-RAC</t>
  </si>
  <si>
    <t>Diadnostické zariadenie pre nástenné jednotky SIH, MULTI VARIABLE sérii a UNI SPLIT 2 sérii</t>
  </si>
  <si>
    <t>7 / 8</t>
  </si>
  <si>
    <t>SBG-01</t>
  </si>
  <si>
    <t>Bacnet brána pre pripojenie rezidenčných klimatizácií SINCLAIR k systému nadradenému riadeniu pomocou BACNET
protokolu. Brána umožňuje zapojenie až 255 vnútorných jednotiek.</t>
  </si>
  <si>
    <t>SMG-01</t>
  </si>
  <si>
    <t>MODBUS rozhranie pre vnútorné jednotky UNI SPLIT série (riadiaci software nie je súčasťou balenia) ďalej musí byť použitý pre všetky vnútorné jednotky UNI SPLIT série pri pripojenie k centrálnemu ovládaču SCC-36</t>
  </si>
  <si>
    <t>SMR-03V</t>
  </si>
  <si>
    <t>Konektor ku dverovému kontaktu</t>
  </si>
  <si>
    <t>FMD-01</t>
  </si>
  <si>
    <t>Riadenie otáčok ventilátora pre vnútorné jednotky UNI SPLIT série – v kombinácii s SCMI-01.4 okrem jednotiek ASH-24BIH,
ASH-36BIH, ASD-48BI a ASD-60BI.</t>
  </si>
  <si>
    <t>G2S</t>
  </si>
  <si>
    <t>GSM infra ovládanie</t>
  </si>
  <si>
    <t>G2S-T</t>
  </si>
  <si>
    <t>GSM modul, sledovanie prekročenia až 2 limitných teplôt</t>
  </si>
  <si>
    <t>K-1</t>
  </si>
  <si>
    <t>Konzola uni-sada pre klimatizácie 900x500mm/ max 90kg, antivibračný set, pozink + lak</t>
  </si>
  <si>
    <t>K-2</t>
  </si>
  <si>
    <t>Konzola uni-sada pre klimatizácie, rozmery ramena 400x650x55 mm, nosnosť max 2x 70kg, pozink + lak</t>
  </si>
  <si>
    <t>AK-15A</t>
  </si>
  <si>
    <t>Sada pre použitie mobilnej klimatizácie AMC-11AN*, AMC-14AN* mimo chladené / vykurované priestory</t>
  </si>
  <si>
    <t>AMC-WK</t>
  </si>
  <si>
    <t>Nástenný set pre ukotvenie hadice odvodu teplého vzuchu pred otvorom v stene. K použitiu pre mobilné klimatizácie AMC-
11P, AMC-14P, AMC-11AN*, AMC-14AN* a AMC-15A.</t>
  </si>
  <si>
    <t>WK-400A</t>
  </si>
  <si>
    <t>Okenný set WK-400A je určený pre všetky lokálne klimatizátory SINCLAIR, pre inštalácie do pootvoreného okna, zabraňuje vstupu teplého vzduchu späť do miestnosti, fixuje hadicu pre odvod teplého vzduchu, celková dĺžka 400mm, pás suchého
zipsu k prichyteniu</t>
  </si>
  <si>
    <t>ASV-PA</t>
  </si>
  <si>
    <t>Plastový adaptér pre strešné klimatizácie. Inštaluje sa medzi vnútornú časť strechy a vonkajšiu jednotku klimatizácie. Vyplňuje rozdiel medzi existujúcim otvorom 400 x 400 mm v streche (po strešnom okne) a odporúčaným otvorom pre montáž 356 x 356 mm.</t>
  </si>
  <si>
    <t>SAF-OPWA4</t>
  </si>
  <si>
    <t>Aktívny uhlíkový filter pre všetky nástenné a konzolové jednotky, okrem modelov ASH-09/12AIE2, KITE série</t>
  </si>
  <si>
    <t>SAF-OPWB4</t>
  </si>
  <si>
    <t>Biologický filter pre všetky nástenné a konzolové jednotky, okrem modelov ASH-09/12AIE2, KITE série</t>
  </si>
  <si>
    <t>SAF-OPWC4</t>
  </si>
  <si>
    <t>Katechínový filter pre všetky nástenné a konzolové jednotky, okrem modelov ASH-09/12AIE2, KITE série</t>
  </si>
  <si>
    <t>SAF-OPWK4</t>
  </si>
  <si>
    <t>Katalytický filter pre všetky nástenné a konzolové jednotky, okrem modelov ASH-09/12AIE2, KITE série</t>
  </si>
  <si>
    <t>SAF-OPWM4</t>
  </si>
  <si>
    <t>Filter proti roztočom pre všetky nástenné a konzolové jednotky, okrem modelov ASH-09/12AIE2, KITE sére</t>
  </si>
  <si>
    <t>SAF-OPWP4</t>
  </si>
  <si>
    <t>Fotokatalytický filter pre všetky nástenné a konzolové jednotky, okrem modelov ASH-09/12AIE2, KITE série</t>
  </si>
  <si>
    <t>SAF-OPWS4</t>
  </si>
  <si>
    <t>Filter s iónmi striebra určený pre všetky nástenné a konz. jednotky, okrem modelov ASH-09/12AIE2, KITE série</t>
  </si>
  <si>
    <t>SPF-300</t>
  </si>
  <si>
    <t>Filter k čističke vzduchu SP-300A</t>
  </si>
  <si>
    <t>SPDF-240</t>
  </si>
  <si>
    <t>Sada prachových filtrov (plastový, LTC katalytický, HEPA / HIMOP, elektrostatický, uhlíkový) k čističke vzduchu SP-240A</t>
  </si>
  <si>
    <t>SPWF-240</t>
  </si>
  <si>
    <t>Sada filtrov pre zvlhčovanie (vanička, vodný filter, dezinfekcia) k čističke vzduchu SP-240A</t>
  </si>
  <si>
    <t>SPF-75</t>
  </si>
  <si>
    <t>Filter pre čističku vzduchu SP-75UV (prachový, HEPA 13, uhlíkový filter)</t>
  </si>
  <si>
    <t>SPF-45N</t>
  </si>
  <si>
    <t>Sada filtrov pre čističku vzduchu SP-45A/SP-45AN (prachový, HEPA 13, uhlíkový filter)</t>
  </si>
  <si>
    <t>Uvedené ceny platia pre odber tovaru od dodávateľa.
Do uvedených cien je započítaný recyklačný príspevok, t.j. náklady na spätný odber, spracovanie, využitie a odstránenie odpadového elektrozariadenia podľa § 32 odst. 4 písm. c zákona č. 79/2015 Z. z. o odpadoch.
Na takto označené výrobky sa nevzťahujú žiadne ďalšie zľavy.</t>
  </si>
  <si>
    <t>Ohľadne dostupnosti sa prosím obráťte na vášho obchodného zástupcu.
** V kategórii elektozariadení je započítaná vonkajšia jednotka, vnútorná jednotka a diaľkový ovládač.</t>
  </si>
  <si>
    <t>Zmena cien vyhradená.</t>
  </si>
  <si>
    <t>8 / 8</t>
  </si>
  <si>
    <t>CENNÍK TEPELNÝCH ČERPADIEL PRE SR</t>
  </si>
  <si>
    <t>Platnosť od: 01.01.2025</t>
  </si>
  <si>
    <t>TEPELNÉ ČERPADLO</t>
  </si>
  <si>
    <t>Výkon chladiaci / vykurovací</t>
  </si>
  <si>
    <t>Rozmery vnútornej jednotky</t>
  </si>
  <si>
    <t>Akustický tlak vonkajšej
jednotky</t>
  </si>
  <si>
    <t>Rozmery vonkajšej
jednotky</t>
  </si>
  <si>
    <t>DEALERSKÁ CENA EUR</t>
  </si>
  <si>
    <t>PREDAJNÁ CENA EUR</t>
  </si>
  <si>
    <t>S-THERM ONTARIO SPLIT - Vnútorná jednotka HYDROBOX</t>
  </si>
  <si>
    <t>GSH-40IRB</t>
  </si>
  <si>
    <t>3.8 / 4.0</t>
  </si>
  <si>
    <t>460 x 860 x 318 (62)</t>
  </si>
  <si>
    <t>1 559</t>
  </si>
  <si>
    <t>1 918</t>
  </si>
  <si>
    <t>GSH-40ERB</t>
  </si>
  <si>
    <t>975 x 702 x 396 / 55</t>
  </si>
  <si>
    <t>1 297</t>
  </si>
  <si>
    <t>1 714</t>
  </si>
  <si>
    <t>2 856</t>
  </si>
  <si>
    <t>3 514</t>
  </si>
  <si>
    <t>GSH-60IRB</t>
  </si>
  <si>
    <t>5.8 / 6.0</t>
  </si>
  <si>
    <t>1 614</t>
  </si>
  <si>
    <t>1 985</t>
  </si>
  <si>
    <t>GSH-60ERB</t>
  </si>
  <si>
    <t>1 343</t>
  </si>
  <si>
    <t>1 652</t>
  </si>
  <si>
    <t>1 774</t>
  </si>
  <si>
    <t>2 957</t>
  </si>
  <si>
    <t>3 637</t>
  </si>
  <si>
    <t>GSH-80IRB</t>
  </si>
  <si>
    <t>7.0 / 8.0</t>
  </si>
  <si>
    <t>1 477</t>
  </si>
  <si>
    <t>2 461</t>
  </si>
  <si>
    <t>3 027</t>
  </si>
  <si>
    <t>GSH-80ERB</t>
  </si>
  <si>
    <t>982 x 787 x 427 / 82</t>
  </si>
  <si>
    <t>1 023</t>
  </si>
  <si>
    <t>1 706</t>
  </si>
  <si>
    <t>2 098</t>
  </si>
  <si>
    <t>2 500</t>
  </si>
  <si>
    <t>4 167</t>
  </si>
  <si>
    <t>5 125</t>
  </si>
  <si>
    <t>GSH-100IRB</t>
  </si>
  <si>
    <t>8.5 / 9.5</t>
  </si>
  <si>
    <t>GSH-100ERB</t>
  </si>
  <si>
    <t>1 111</t>
  </si>
  <si>
    <t>1 852</t>
  </si>
  <si>
    <t>2 278</t>
  </si>
  <si>
    <t>2 588</t>
  </si>
  <si>
    <t>4 313</t>
  </si>
  <si>
    <t>5 305</t>
  </si>
  <si>
    <t>GSH-40IRBC</t>
  </si>
  <si>
    <t>GSH-40ERB2</t>
  </si>
  <si>
    <t>3.9 / 4.0</t>
  </si>
  <si>
    <t>1 310</t>
  </si>
  <si>
    <t>1 611</t>
  </si>
  <si>
    <t>1 800</t>
  </si>
  <si>
    <t>3 529</t>
  </si>
  <si>
    <t>GSH-60IRBC</t>
  </si>
  <si>
    <t>GSH-60ERB2</t>
  </si>
  <si>
    <t>1 460</t>
  </si>
  <si>
    <t>1 795</t>
  </si>
  <si>
    <t>1 844</t>
  </si>
  <si>
    <t>3 074</t>
  </si>
  <si>
    <t>3 780</t>
  </si>
  <si>
    <t>GSH-80IRBC</t>
  </si>
  <si>
    <t>GSH-80ERB2</t>
  </si>
  <si>
    <t>7.7 / 8.0</t>
  </si>
  <si>
    <t>982 x 787 x 427 / 55</t>
  </si>
  <si>
    <t>1 058</t>
  </si>
  <si>
    <t>1 764</t>
  </si>
  <si>
    <t>2 170</t>
  </si>
  <si>
    <t>2 535</t>
  </si>
  <si>
    <t>4 225</t>
  </si>
  <si>
    <t>5 197</t>
  </si>
  <si>
    <t>1 / 7</t>
  </si>
  <si>
    <t>CENNÍK TEPELNÝCH ČERPADIEL PRE SR
Platnosť od: 01.01.2025</t>
  </si>
  <si>
    <t>GSH-100IRBC</t>
  </si>
  <si>
    <t>GSH-100ERB2</t>
  </si>
  <si>
    <t>9.35 / 10.0</t>
  </si>
  <si>
    <t>1 853</t>
  </si>
  <si>
    <t>2 279</t>
  </si>
  <si>
    <t>2 589</t>
  </si>
  <si>
    <t>4 314</t>
  </si>
  <si>
    <t>5 306</t>
  </si>
  <si>
    <t>GSH-80IRB-3 / GSH-80IRBC-3*</t>
  </si>
  <si>
    <t>8.5 / 8.0</t>
  </si>
  <si>
    <t>2 471</t>
  </si>
  <si>
    <t>3 039</t>
  </si>
  <si>
    <t>GSH-80ERB-3</t>
  </si>
  <si>
    <t>982 x 787 x 395 / 88</t>
  </si>
  <si>
    <t>2 540</t>
  </si>
  <si>
    <t>4 235</t>
  </si>
  <si>
    <t>5 209</t>
  </si>
  <si>
    <t>GSH-100IRB-3 / GSH-100IRBC-3*</t>
  </si>
  <si>
    <t>10.0 / 10.0</t>
  </si>
  <si>
    <t>460 x 860 x 318 / (62)</t>
  </si>
  <si>
    <t>1 485</t>
  </si>
  <si>
    <t>2 476</t>
  </si>
  <si>
    <t>3 045</t>
  </si>
  <si>
    <t>GSH-100ERB-3</t>
  </si>
  <si>
    <t>2 597</t>
  </si>
  <si>
    <t>4 329</t>
  </si>
  <si>
    <t>5 324</t>
  </si>
  <si>
    <t>GSH-120IRB-3 / GSH-120IRBC-3*</t>
  </si>
  <si>
    <t>11.0 / 12.0</t>
  </si>
  <si>
    <t>1 500</t>
  </si>
  <si>
    <t>3 075</t>
  </si>
  <si>
    <t>GSH-120ERB-3</t>
  </si>
  <si>
    <t>940 x 820 x 460 / 110</t>
  </si>
  <si>
    <t>1 131</t>
  </si>
  <si>
    <t>1 886</t>
  </si>
  <si>
    <t>2 320</t>
  </si>
  <si>
    <t>2 631</t>
  </si>
  <si>
    <t>4 386</t>
  </si>
  <si>
    <t>5 395</t>
  </si>
  <si>
    <t>GSH-140IRB-3 / GSH-140IRBC-3*</t>
  </si>
  <si>
    <t>12.6 / 14.0</t>
  </si>
  <si>
    <t>GSH-140ERB-3</t>
  </si>
  <si>
    <t>1 997</t>
  </si>
  <si>
    <t>2 457</t>
  </si>
  <si>
    <t>2 698</t>
  </si>
  <si>
    <t>4 497</t>
  </si>
  <si>
    <t>5 532</t>
  </si>
  <si>
    <t>GSH-160IRB-3 / GSH-160IRBC-3*</t>
  </si>
  <si>
    <t>13.0 / 15.5</t>
  </si>
  <si>
    <t>GSH-160ERB-3</t>
  </si>
  <si>
    <t>2 013</t>
  </si>
  <si>
    <t>2 708</t>
  </si>
  <si>
    <t>4 513</t>
  </si>
  <si>
    <t>5 551</t>
  </si>
  <si>
    <t>2 / 7</t>
  </si>
  <si>
    <t>S-THERM ONTARIO SPLIT – Vnútorná jednotka ALL-IN-ONE s integrovaným zásobníkom TUV 185 litrov</t>
  </si>
  <si>
    <t>GSH-40TRB2 / GSH-40TRBC2*</t>
  </si>
  <si>
    <t>650 x 1800 x 600 / 195</t>
  </si>
  <si>
    <t>2 096</t>
  </si>
  <si>
    <t>3 493</t>
  </si>
  <si>
    <t>4 296</t>
  </si>
  <si>
    <t>2 960</t>
  </si>
  <si>
    <t>4 803</t>
  </si>
  <si>
    <t>5 907</t>
  </si>
  <si>
    <t>GSH-60TRB2 / GSH-60TRBC2*</t>
  </si>
  <si>
    <t>2 103</t>
  </si>
  <si>
    <t>3 506</t>
  </si>
  <si>
    <t>4 312</t>
  </si>
  <si>
    <t>2 979</t>
  </si>
  <si>
    <t>4 966</t>
  </si>
  <si>
    <t>6 107</t>
  </si>
  <si>
    <t>GSH-80TRB2 / GSH-80TRBC2*</t>
  </si>
  <si>
    <t>1 954</t>
  </si>
  <si>
    <t>4 006</t>
  </si>
  <si>
    <t>3 012</t>
  </si>
  <si>
    <t>5 021</t>
  </si>
  <si>
    <t>6 176</t>
  </si>
  <si>
    <t>GSH-100TRB2 / GSH-100TRBC2*</t>
  </si>
  <si>
    <t>1 962</t>
  </si>
  <si>
    <t>3 270</t>
  </si>
  <si>
    <t>4 022</t>
  </si>
  <si>
    <t>5 123</t>
  </si>
  <si>
    <t>6 301</t>
  </si>
  <si>
    <t>GSH-80TRB2-3 / GSH-80TRBC2-3*</t>
  </si>
  <si>
    <t>1 965</t>
  </si>
  <si>
    <t>3 275</t>
  </si>
  <si>
    <t>4 028</t>
  </si>
  <si>
    <t>3 023</t>
  </si>
  <si>
    <t>5 039</t>
  </si>
  <si>
    <t>6 198</t>
  </si>
  <si>
    <t>GSH-100TRB2-3 / GSH-100TRBC2-3*</t>
  </si>
  <si>
    <t>2 046</t>
  </si>
  <si>
    <t>3 409</t>
  </si>
  <si>
    <t>4 194</t>
  </si>
  <si>
    <t>3 158</t>
  </si>
  <si>
    <t>5 262</t>
  </si>
  <si>
    <t>6 473</t>
  </si>
  <si>
    <t>GSH-120TRB2-3 / GSH-120TRBC2-3*</t>
  </si>
  <si>
    <t>2 954</t>
  </si>
  <si>
    <t>4 923</t>
  </si>
  <si>
    <t>6 055</t>
  </si>
  <si>
    <t>4 085</t>
  </si>
  <si>
    <t>6 809</t>
  </si>
  <si>
    <t>8 375</t>
  </si>
  <si>
    <t>3 / 7</t>
  </si>
  <si>
    <t>GSH-140TRB2-3 / GSH-140TRBC2-3*</t>
  </si>
  <si>
    <t>4 152</t>
  </si>
  <si>
    <t>6 920</t>
  </si>
  <si>
    <t>8 512</t>
  </si>
  <si>
    <t>GSH-160TRB2-3 / GSH-160TRBC2-3*</t>
  </si>
  <si>
    <t>4 162</t>
  </si>
  <si>
    <t>6 936</t>
  </si>
  <si>
    <t>8 531</t>
  </si>
  <si>
    <t>Jednotky štandardne obsahujú obehové čerpadlo značky WILO. Jednotky s koncovým označením "C" sú vybavené obehovým čerpadlom SHINHOO.</t>
  </si>
  <si>
    <t>S-THERM ONTARIO MONOBLOK – Kompaktná vonkajšia jednotka</t>
  </si>
  <si>
    <t>SMH-40IRB</t>
  </si>
  <si>
    <t>3,8 / 4,0</t>
  </si>
  <si>
    <t>1150×345×758 / 96</t>
  </si>
  <si>
    <t>1 602</t>
  </si>
  <si>
    <t>2 671</t>
  </si>
  <si>
    <t>3 285</t>
  </si>
  <si>
    <t>SMH-60IRB</t>
  </si>
  <si>
    <t>5,8 / 6,0</t>
  </si>
  <si>
    <t>1 622</t>
  </si>
  <si>
    <t>2 703</t>
  </si>
  <si>
    <t>3 324</t>
  </si>
  <si>
    <t>SMH-80IRB</t>
  </si>
  <si>
    <t>6.8 / 7.5</t>
  </si>
  <si>
    <t>1 782</t>
  </si>
  <si>
    <t>2 971</t>
  </si>
  <si>
    <t>3 654</t>
  </si>
  <si>
    <t>SMH-100IRB2</t>
  </si>
  <si>
    <t>8.8 / 10.0</t>
  </si>
  <si>
    <t>1200×460×878 / 151</t>
  </si>
  <si>
    <t>2 252</t>
  </si>
  <si>
    <t>3 753</t>
  </si>
  <si>
    <t>4 616</t>
  </si>
  <si>
    <t>SMH-100IRB2-3</t>
  </si>
  <si>
    <t>2 342</t>
  </si>
  <si>
    <t>3 903</t>
  </si>
  <si>
    <t>4 800</t>
  </si>
  <si>
    <t>SMH-120IRB2-3</t>
  </si>
  <si>
    <t>3-PHASE</t>
  </si>
  <si>
    <t>2 472</t>
  </si>
  <si>
    <t>4 120</t>
  </si>
  <si>
    <t>5 068</t>
  </si>
  <si>
    <t>SMH-140IRB2-3</t>
  </si>
  <si>
    <t>12.5 / 14.0</t>
  </si>
  <si>
    <t>2 603</t>
  </si>
  <si>
    <t>4 337</t>
  </si>
  <si>
    <t>5 335</t>
  </si>
  <si>
    <t>SMH-160IRB2-3</t>
  </si>
  <si>
    <t>14,5 / 15,5</t>
  </si>
  <si>
    <t>2 713</t>
  </si>
  <si>
    <t>4 522</t>
  </si>
  <si>
    <t>5 562</t>
  </si>
  <si>
    <t>S-THERM YUKON SPLIT - Vnútorná jednotka HYDROBOX</t>
  </si>
  <si>
    <t>MSH-60IB/3</t>
  </si>
  <si>
    <t>6.55 / 6.2</t>
  </si>
  <si>
    <t>420 x 790 x 270 / (37)</t>
  </si>
  <si>
    <t>1 358</t>
  </si>
  <si>
    <t>2 264</t>
  </si>
  <si>
    <t>2 785</t>
  </si>
  <si>
    <t>MSH-60EB</t>
  </si>
  <si>
    <t>1008 x 712 x 426 / 58</t>
  </si>
  <si>
    <t>1 604</t>
  </si>
  <si>
    <t>1 973</t>
  </si>
  <si>
    <t>3 868</t>
  </si>
  <si>
    <t>4 758</t>
  </si>
  <si>
    <t>MSH-100IB-3/9</t>
  </si>
  <si>
    <t>1 737</t>
  </si>
  <si>
    <t>2 895</t>
  </si>
  <si>
    <t>3 561</t>
  </si>
  <si>
    <t>MSH-80EB</t>
  </si>
  <si>
    <t>8.4 / 8.3</t>
  </si>
  <si>
    <t>1118 x 865 x 523 / 75</t>
  </si>
  <si>
    <t>1 245</t>
  </si>
  <si>
    <t>2 075</t>
  </si>
  <si>
    <t>2 553</t>
  </si>
  <si>
    <t>2 982</t>
  </si>
  <si>
    <t>4 970</t>
  </si>
  <si>
    <t>6 114</t>
  </si>
  <si>
    <t>MSH-100EB</t>
  </si>
  <si>
    <t>1 308</t>
  </si>
  <si>
    <t>2 180</t>
  </si>
  <si>
    <t>2 681</t>
  </si>
  <si>
    <t>5 075</t>
  </si>
  <si>
    <t>6 242</t>
  </si>
  <si>
    <t>4 / 7</t>
  </si>
  <si>
    <t>MSH-160IB-3/9</t>
  </si>
  <si>
    <t>14.2 / 16.0</t>
  </si>
  <si>
    <t>1 765</t>
  </si>
  <si>
    <t>2 941</t>
  </si>
  <si>
    <t>3 617</t>
  </si>
  <si>
    <t>MSH-120EB-3</t>
  </si>
  <si>
    <t>12.0 / 12.1</t>
  </si>
  <si>
    <t>1118 x 865 x 523 / 112</t>
  </si>
  <si>
    <t>1 810</t>
  </si>
  <si>
    <t>3 020</t>
  </si>
  <si>
    <t>3 715</t>
  </si>
  <si>
    <t>3 575</t>
  </si>
  <si>
    <t>5 961</t>
  </si>
  <si>
    <t>7 332</t>
  </si>
  <si>
    <t>MSH-140EB-3</t>
  </si>
  <si>
    <t>13.5 / 14.5</t>
  </si>
  <si>
    <t>1 851</t>
  </si>
  <si>
    <t>3 087</t>
  </si>
  <si>
    <t>3 797</t>
  </si>
  <si>
    <t>3 616</t>
  </si>
  <si>
    <t>6 028</t>
  </si>
  <si>
    <t>7 414</t>
  </si>
  <si>
    <t>MSH-160EB-3</t>
  </si>
  <si>
    <t>3 135</t>
  </si>
  <si>
    <t>3 856</t>
  </si>
  <si>
    <t>3 645</t>
  </si>
  <si>
    <t>6 076</t>
  </si>
  <si>
    <t>7 473</t>
  </si>
  <si>
    <t>S-THERM YUKON SPLIT - Vnútorná jednotka ALL-IN-ONE s integrovaným zásobník TUV o objeme 190 a 240 litrov</t>
  </si>
  <si>
    <t>MSH-190TB/3</t>
  </si>
  <si>
    <t>600 x 1683 x 600 / 140</t>
  </si>
  <si>
    <t>2 490</t>
  </si>
  <si>
    <t>4 158</t>
  </si>
  <si>
    <t>5 114</t>
  </si>
  <si>
    <t>3 452</t>
  </si>
  <si>
    <t>5 762</t>
  </si>
  <si>
    <t>7 087</t>
  </si>
  <si>
    <t>MSH-190TB-3/9</t>
  </si>
  <si>
    <t>2 764</t>
  </si>
  <si>
    <t>4 584</t>
  </si>
  <si>
    <t>5 638</t>
  </si>
  <si>
    <t>4 009</t>
  </si>
  <si>
    <t>6 659</t>
  </si>
  <si>
    <t>8 191</t>
  </si>
  <si>
    <t>4 072</t>
  </si>
  <si>
    <t>6 764</t>
  </si>
  <si>
    <t>8 319</t>
  </si>
  <si>
    <t>MSH-240TB-3/9</t>
  </si>
  <si>
    <t>600 x 1943 x 600 / 159</t>
  </si>
  <si>
    <t>3 475</t>
  </si>
  <si>
    <t>5 791</t>
  </si>
  <si>
    <t>7 123</t>
  </si>
  <si>
    <t>5 285</t>
  </si>
  <si>
    <t>8 811</t>
  </si>
  <si>
    <t>10 838</t>
  </si>
  <si>
    <t>5 / 7</t>
  </si>
  <si>
    <t>5 326</t>
  </si>
  <si>
    <t>8 878</t>
  </si>
  <si>
    <t>10 920</t>
  </si>
  <si>
    <t>5 355</t>
  </si>
  <si>
    <t>8 926</t>
  </si>
  <si>
    <t>10 979</t>
  </si>
  <si>
    <t>S-THERM YUKON MONOBLOK - Kompaktná vonkajšia jednotka</t>
  </si>
  <si>
    <t>SMHM-60B/3</t>
  </si>
  <si>
    <t>6.5 / 6.35</t>
  </si>
  <si>
    <t>1295 x 718 x 429 / 86</t>
  </si>
  <si>
    <t>1 998</t>
  </si>
  <si>
    <t>3 179</t>
  </si>
  <si>
    <t>3 911</t>
  </si>
  <si>
    <t>SMHM-80B/3</t>
  </si>
  <si>
    <t>8.3 / 8.4</t>
  </si>
  <si>
    <t>1385 x 865 x 526 / 105</t>
  </si>
  <si>
    <t>2 097</t>
  </si>
  <si>
    <t>3 495</t>
  </si>
  <si>
    <t>4 299</t>
  </si>
  <si>
    <t>SMHM-100B/3</t>
  </si>
  <si>
    <t>9.9 / 10.0</t>
  </si>
  <si>
    <t>2 755</t>
  </si>
  <si>
    <t>4 591</t>
  </si>
  <si>
    <t>5 647</t>
  </si>
  <si>
    <t>SMHM-120B-3/9</t>
  </si>
  <si>
    <t>1385 x 865 x 526 / 144</t>
  </si>
  <si>
    <t>2 998</t>
  </si>
  <si>
    <t>4 848</t>
  </si>
  <si>
    <t>5 962</t>
  </si>
  <si>
    <t>SMHM-140B-3/9</t>
  </si>
  <si>
    <t>3 062</t>
  </si>
  <si>
    <t>5 103</t>
  </si>
  <si>
    <t>6 277</t>
  </si>
  <si>
    <t>SMHM-160B-3/9</t>
  </si>
  <si>
    <t>14.2 / 15.9</t>
  </si>
  <si>
    <t>3 192</t>
  </si>
  <si>
    <t>5 320</t>
  </si>
  <si>
    <t>6 544</t>
  </si>
  <si>
    <t>SMHM-180B-3</t>
  </si>
  <si>
    <t>17.0 / 18.0</t>
  </si>
  <si>
    <t>1558 x 1129 x 528 / 177</t>
  </si>
  <si>
    <t>4 951</t>
  </si>
  <si>
    <t>8 295</t>
  </si>
  <si>
    <t>10 203</t>
  </si>
  <si>
    <t>SMHM-220B-3</t>
  </si>
  <si>
    <t>21.0 / 22.0</t>
  </si>
  <si>
    <t>5 072</t>
  </si>
  <si>
    <t>8 497</t>
  </si>
  <si>
    <t>10 452</t>
  </si>
  <si>
    <t>SMHM-260B-3</t>
  </si>
  <si>
    <t>26.0 / 26.0</t>
  </si>
  <si>
    <t>5 156</t>
  </si>
  <si>
    <t>8 637</t>
  </si>
  <si>
    <t>10 624</t>
  </si>
  <si>
    <t>SMHM-300B-3</t>
  </si>
  <si>
    <t>30.0 / 30.1</t>
  </si>
  <si>
    <t>5 251</t>
  </si>
  <si>
    <t>8 797</t>
  </si>
  <si>
    <t>10 820</t>
  </si>
  <si>
    <t>SMHM-650B-3</t>
  </si>
  <si>
    <t>57.0 / 64.0</t>
  </si>
  <si>
    <t>2000x960x1770 / 440</t>
  </si>
  <si>
    <t>11 713</t>
  </si>
  <si>
    <t>19 521</t>
  </si>
  <si>
    <t>24 011</t>
  </si>
  <si>
    <t>SMHM-750B-3</t>
  </si>
  <si>
    <t>70.0 / 77.0</t>
  </si>
  <si>
    <t>12 048</t>
  </si>
  <si>
    <t>20 198</t>
  </si>
  <si>
    <t>24 843</t>
  </si>
  <si>
    <t>SMHM-1100B-3</t>
  </si>
  <si>
    <t>100.0 / 112.0</t>
  </si>
  <si>
    <t>2220x1135x2300 / 670</t>
  </si>
  <si>
    <t>20 181</t>
  </si>
  <si>
    <t>33 440</t>
  </si>
  <si>
    <t>41 131</t>
  </si>
  <si>
    <t>SMHM-1400B-3</t>
  </si>
  <si>
    <t>130.0 / 142.0</t>
  </si>
  <si>
    <t>21 775</t>
  </si>
  <si>
    <t>36 292</t>
  </si>
  <si>
    <t>44 639</t>
  </si>
  <si>
    <t>SMHM-650BH-3</t>
  </si>
  <si>
    <t>56.68 / 64.65</t>
  </si>
  <si>
    <t>2000x960x1770 / 475</t>
  </si>
  <si>
    <t>14 578</t>
  </si>
  <si>
    <t>24 297</t>
  </si>
  <si>
    <t>29 885</t>
  </si>
  <si>
    <t>SMHM-750BH-3</t>
  </si>
  <si>
    <t>69.29 / 77.7</t>
  </si>
  <si>
    <t>15 252</t>
  </si>
  <si>
    <t>25 569</t>
  </si>
  <si>
    <t>31 450</t>
  </si>
  <si>
    <t>SMHM-1100BH-3</t>
  </si>
  <si>
    <t>99.33 / 113.14</t>
  </si>
  <si>
    <t>2220x1135x2300 / 746</t>
  </si>
  <si>
    <t>23 912</t>
  </si>
  <si>
    <t>40 092</t>
  </si>
  <si>
    <t>49 313</t>
  </si>
  <si>
    <t>SMHM-1400BH-3</t>
  </si>
  <si>
    <t>129.29 / 142.94</t>
  </si>
  <si>
    <t>25 253</t>
  </si>
  <si>
    <t>42 341</t>
  </si>
  <si>
    <t>52 079</t>
  </si>
  <si>
    <t>6 / 7</t>
  </si>
  <si>
    <t>OHRIEVAČE TEPLEJ VODY</t>
  </si>
  <si>
    <t>MONOBLOKOVÝ OHRIEVAČ TEPLEJ VODY S MOŽNOSŤOU PRIPOJENIA NA SOLÁRNY SYSTÉM</t>
  </si>
  <si>
    <t>SWH-190IRE2</t>
  </si>
  <si>
    <t>* / 1,62</t>
  </si>
  <si>
    <t>R134A</t>
  </si>
  <si>
    <t>Ø 610 x 1830 / 142</t>
  </si>
  <si>
    <t>Combo s dvomi kanálmi IN-OUT, smalt</t>
  </si>
  <si>
    <t>Objem nádrže 176 l El. ohrievač 1,5 kW</t>
  </si>
  <si>
    <t>1 756</t>
  </si>
  <si>
    <t>2 160</t>
  </si>
  <si>
    <t>SWH-300IRE2</t>
  </si>
  <si>
    <t>* / 2,30</t>
  </si>
  <si>
    <t>Ø 700 x 1930 / 163</t>
  </si>
  <si>
    <t>Objem nádrže 284 l El. ohrievač 1,5 kW</t>
  </si>
  <si>
    <t>2 011</t>
  </si>
  <si>
    <t>2 474</t>
  </si>
  <si>
    <t>SWH-190IRES2</t>
  </si>
  <si>
    <t>Objem nádrže 168 l, El. ohrievač 1,5 kW, solar výmenník</t>
  </si>
  <si>
    <t>1 499</t>
  </si>
  <si>
    <t>1 879</t>
  </si>
  <si>
    <t>2 311</t>
  </si>
  <si>
    <t>SWH-300IRES2</t>
  </si>
  <si>
    <t>Objem nádrže 272 l, El. ohrievač 1,5 kW, solar výmenník</t>
  </si>
  <si>
    <t>1 702</t>
  </si>
  <si>
    <t>2 133</t>
  </si>
  <si>
    <t>2 624</t>
  </si>
  <si>
    <t>DELENÝ OHRIEVAČ TEPLEJ VODY</t>
  </si>
  <si>
    <t>SWH-35ERA2</t>
  </si>
  <si>
    <t>- / 3,5</t>
  </si>
  <si>
    <t>842x320x591 / 44,5</t>
  </si>
  <si>
    <t>1 031</t>
  </si>
  <si>
    <t>SWH-200DE</t>
  </si>
  <si>
    <t>1 119</t>
  </si>
  <si>
    <t>1 302</t>
  </si>
  <si>
    <t>1 748</t>
  </si>
  <si>
    <t>2 150</t>
  </si>
  <si>
    <t>AKUMULAČNÉ ZÁSOBNÍKY A OHRIEVAČE TUV – PRÍSLUŠENSTVO</t>
  </si>
  <si>
    <t>AKU ST 50 S</t>
  </si>
  <si>
    <t>58 l</t>
  </si>
  <si>
    <t>akumulačná nádrž, oceľ</t>
  </si>
  <si>
    <t>Ø 470x800 / 23</t>
  </si>
  <si>
    <t>AKU ST 150 S</t>
  </si>
  <si>
    <t>150 l</t>
  </si>
  <si>
    <t>Ø 595x1080 / 39</t>
  </si>
  <si>
    <t>AKU ST 300 S</t>
  </si>
  <si>
    <t>284 l</t>
  </si>
  <si>
    <t>Ø 480x1830 / 61</t>
  </si>
  <si>
    <t>1 215</t>
  </si>
  <si>
    <t>ST-300DS</t>
  </si>
  <si>
    <t>270 l</t>
  </si>
  <si>
    <t>ohrievač TUV, oceľ</t>
  </si>
  <si>
    <t>Ø 580x1540 / 54</t>
  </si>
  <si>
    <t>1 212</t>
  </si>
  <si>
    <t>1 491</t>
  </si>
  <si>
    <t>ST-250DE</t>
  </si>
  <si>
    <t>234 l</t>
  </si>
  <si>
    <t>ohrievač TUV, smalt</t>
  </si>
  <si>
    <t>Ø 584 x 1537 / 119</t>
  </si>
  <si>
    <t>1 068</t>
  </si>
  <si>
    <t>ST-300DE</t>
  </si>
  <si>
    <t>286 l</t>
  </si>
  <si>
    <t>Ø 670 x 1558 / 133</t>
  </si>
  <si>
    <t>1 214</t>
  </si>
  <si>
    <t>ST-500DE</t>
  </si>
  <si>
    <t>469 l</t>
  </si>
  <si>
    <t>Ø 700 x 1914 / 223</t>
  </si>
  <si>
    <t>2 308</t>
  </si>
  <si>
    <t>2 839</t>
  </si>
  <si>
    <t>ST-500AF</t>
  </si>
  <si>
    <t>500 l</t>
  </si>
  <si>
    <t>akumulačná nádrž, možnosť pripojiť FRESH SET</t>
  </si>
  <si>
    <t>Ø 700 x 1890 / 105</t>
  </si>
  <si>
    <t>1 408</t>
  </si>
  <si>
    <t>1 732</t>
  </si>
  <si>
    <t>TJ 6/4" 3,3 kW</t>
  </si>
  <si>
    <t>Vykurovacie teleso s reguláciou pre ST-300DE</t>
  </si>
  <si>
    <t>EH-SMH</t>
  </si>
  <si>
    <t>Bivalentný zdroj pre SMH, 3/9 kW, 3-PHASE</t>
  </si>
  <si>
    <t>Uvedené ceny platia pre odber tovaru u dodávateľa.</t>
  </si>
  <si>
    <t>Tepelné čerpadlá a monoblokové jednotky s označením xx-xx-3 sú v 3 fázovom prevedení.</t>
  </si>
  <si>
    <t>Takto označené položky sú zaradené do programu Zelená domácnostiam. Na zariadenia označené * sa dotácie nevzťahujú.</t>
  </si>
  <si>
    <t>Na takto označené výrobky sa nevzťahujú žiadne ďalšie zľavy.</t>
  </si>
  <si>
    <t>Ohľadne dostupnosti sa prosím obráťte na vášho obchodného zástupcu.</t>
  </si>
  <si>
    <t>7 / 7</t>
  </si>
  <si>
    <t>CP-112-24-833</t>
  </si>
  <si>
    <t>GT Labs s.r.o. IČO 53100972 DIČ 2121276179IČ DPHSK2121276179 ,                               podľa §4,
registrácia od 5.11.2022 Sídlo GT LABS, s.r.o. Za mlynom 2 831 07 Bratislava - mestská časť Vajnory</t>
  </si>
  <si>
    <t>421 902 730 391</t>
  </si>
  <si>
    <t>rokos@rokosba.sk</t>
  </si>
  <si>
    <t>Salvomír Nožička</t>
  </si>
  <si>
    <t>Hradská 8006/7, 82107 Bratislava</t>
  </si>
  <si>
    <t>421 902 383 121</t>
  </si>
  <si>
    <t>Merná
jednotka</t>
  </si>
  <si>
    <t>SINCLAIR MARVIN SIH-09BIMx + SOH-09BIM nástenná klimatizácia</t>
  </si>
  <si>
    <t>6 430,90 €</t>
  </si>
  <si>
    <t>Montáž klimatizácie do predprípravy</t>
  </si>
  <si>
    <t>Montáž klimatizácie na šikmej streche</t>
  </si>
  <si>
    <t>Výnos klimatizácie a naradia bez vytahu</t>
  </si>
  <si>
    <t>Žľab 80x60 mm + tvarovky</t>
  </si>
  <si>
    <t>Prechod cez strechu zo zaizlovaním</t>
  </si>
  <si>
    <t>Obchodná zľava</t>
  </si>
  <si>
    <t>1 211,49 €</t>
  </si>
  <si>
    <t>Spolu bez DPH                                                                                                       6 430,90 €</t>
  </si>
  <si>
    <t>Spolu s DPH                                                                                                            7 717,08 €</t>
  </si>
  <si>
    <t>Materiálová záruka 24 mesiacov od dodávky a za podmienky použitia originálnych náhradných dielov v prípade potreby. Záruka sa nevzťahuje na
spotrebné náhradné diely.</t>
  </si>
  <si>
    <t>Vykonávanie pravidelných servisných prehliadok min 1x ročne autorizovanou servisnou firmou. Tieto prehliadky nie sú súčasťou CP, ale je to
samostatne platená činnosť, ktorú si musí investor zabezpečiť na vlastné náklady.</t>
  </si>
  <si>
    <t>E.D.T. spol. s r.o., Galvaniho 4324/8, 821 04 Bratislava, Slovensko,
IČO: 35 731 761, DIČ: 2020 251 343, IČ DPH: SK 2020 251 343</t>
  </si>
  <si>
    <t>Salvomír Nožička                                                                                       0                                                 0</t>
  </si>
  <si>
    <t>Mgr. Martin Holík                                                                                        0                                    421 902 383 121</t>
  </si>
  <si>
    <t>20. 2. 2025</t>
  </si>
  <si>
    <t>#ODKAZ!</t>
  </si>
  <si>
    <t>Odovzdávajúci subjekt:</t>
  </si>
  <si>
    <t>Preberajúci subjekt:                                                                             Spoločnosť Čínska reštaurácia, s.r.o.</t>
  </si>
  <si>
    <t>5x DJ35_W_COMFORT_3,5kW_ODU</t>
  </si>
  <si>
    <t>1</t>
  </si>
  <si>
    <t>Týmto hore uvedená firma prehlasuje, že prevzatý tovar/služby bol dodaný nepoškodený v plnom rozsahu v súlade s vystavenou objednávkou.</t>
  </si>
  <si>
    <t>V Bratislave, dňa:</t>
  </si>
  <si>
    <t>MATERIÁL BEIJER ANMIMA</t>
  </si>
  <si>
    <t>Žľab 110x75 mm + tvarovky</t>
  </si>
  <si>
    <t>9. 2. 2024</t>
  </si>
  <si>
    <t>23. 4. 2024</t>
  </si>
  <si>
    <t>26. 10. 2023</t>
  </si>
  <si>
    <t>8. 11. 2023</t>
  </si>
  <si>
    <t>21. 8. 2023</t>
  </si>
  <si>
    <t>26. 7. 2023</t>
  </si>
  <si>
    <t>18. 7. 2023</t>
  </si>
  <si>
    <t>15. 1. 2024</t>
  </si>
  <si>
    <t>https://www.aktaon.com/vodic-cysy-3x4-0-h</t>
  </si>
  <si>
    <t>https://www.aktaon.com/vodic-cysy-3x6-0-h</t>
  </si>
  <si>
    <t>https://www.aktaon.com/vodic-cysy-5x2-5-h</t>
  </si>
  <si>
    <t>26. 9. 2023</t>
  </si>
  <si>
    <t>17. 4. 2023</t>
  </si>
  <si>
    <t>4. 12. 2023</t>
  </si>
  <si>
    <t>6. 11. 2023</t>
  </si>
  <si>
    <t>19. 4. 2023</t>
  </si>
  <si>
    <t>https://www.elektro-sychra.sk/istic-lte-20c-1</t>
  </si>
  <si>
    <t>https://www.elektro-sychra.sk/oez-lte-25c-1-</t>
  </si>
  <si>
    <t>https://www.elektro-sychra.sk/istic-ltn-32c-1</t>
  </si>
  <si>
    <t>https://www.elektro-sychra.sk/istic-lte-16c-3</t>
  </si>
  <si>
    <t>24. 10. 2023</t>
  </si>
  <si>
    <t>9. 11. 2023</t>
  </si>
  <si>
    <t>14. 6. 2024</t>
  </si>
  <si>
    <t>13. 2. 2024</t>
  </si>
  <si>
    <t>05vv-f-p16515 05vv-f-p16516 05vv-f-p16529</t>
  </si>
  <si>
    <t>MATERIÁL POWERING</t>
  </si>
  <si>
    <t>Žľab 65x50 mm + tvarovky</t>
  </si>
  <si>
    <t>Žľab 90x65 mm + tvarovky</t>
  </si>
  <si>
    <t>Čerpadlo na odvod kondenzátu Tecnoslim</t>
  </si>
  <si>
    <t>Refnet pre TWIN</t>
  </si>
  <si>
    <t>0,5</t>
  </si>
  <si>
    <t>HISENSE</t>
  </si>
  <si>
    <t>KLIMATIZÁCIE RESIDENTIAL</t>
  </si>
  <si>
    <t>Hisense Easy CA35 Qch=3,5 kW vnútorná nástenná + vonkajšia</t>
  </si>
  <si>
    <t>Hisense Comfort DJ25 Qch=2,6 kW vnútorná nástenná + vonkajšia</t>
  </si>
  <si>
    <t>Hisense Comfort DJ35 Qch=3,5 kW vnútorná nástenná + vonkajšia</t>
  </si>
  <si>
    <t>Hisense Comfort DJ50 Qch=5,0 kW vnútorná nástenná + vonkajšia</t>
  </si>
  <si>
    <t>1 320,00 €</t>
  </si>
  <si>
    <t>Hisense Comfort DJ70 Qch=7,0 kW vnútorná nástenná + vonkajšia</t>
  </si>
  <si>
    <t>1 602,00 €</t>
  </si>
  <si>
    <t>Hisense Energy Pro Plus QG25 Qch=2,5 kW vnútorná nástenná + vonkajšia</t>
  </si>
  <si>
    <t>1 282,00 €</t>
  </si>
  <si>
    <t>Hisense Energy Pro Plus QG35 Qch=3,5 kW vnútorná nástenná + vonkajšia</t>
  </si>
  <si>
    <t>1 397,00 €</t>
  </si>
  <si>
    <t>Hisense New Energy KA50 Qch=5,0 kW vnútorná nástenná + vonkajšia</t>
  </si>
  <si>
    <t>1 520,00 €</t>
  </si>
  <si>
    <t>Hisense New Energy KA70 Qch=7,0 kW vnútorná nástenná + vonkajšia</t>
  </si>
  <si>
    <t>1 848,00 €</t>
  </si>
  <si>
    <t>Hisense Energy Pro X QH25 Qch=2,5 kW vnútorná nástenná biela + vonkajšia</t>
  </si>
  <si>
    <t>1 377,00 €</t>
  </si>
  <si>
    <t>Hisense Energy Pro X QH35 Qch=3,5 kW vnútorná nástenná biela + vonkajšia</t>
  </si>
  <si>
    <t>1 490,00 €</t>
  </si>
  <si>
    <t>Hisense Energy Pro X QH25 Qch=2,5 kW vnútorná nástenná čierna + vonkajšia</t>
  </si>
  <si>
    <t>1 400,00 €</t>
  </si>
  <si>
    <t>Hisense Energy Pro X QH35 Qch=3,5 kW vnútorná nástenná čierna + vonkajšia</t>
  </si>
  <si>
    <t>1 518,00 €</t>
  </si>
  <si>
    <t>AUX Qsmart PLUS 5,4 kW vnútorná nástenná + vonkajšia jednotka</t>
  </si>
  <si>
    <t>1 280,00 €</t>
  </si>
  <si>
    <t>MULTISPLIT</t>
  </si>
  <si>
    <t>MULTISPLIT VONKAJŠIE JEDN.</t>
  </si>
  <si>
    <t>Hisense DUAL 2AMW42 Qch=4,1 kW vonkajšia</t>
  </si>
  <si>
    <t>1 155,00 €</t>
  </si>
  <si>
    <t>Hisense DUAL 2AMW52 Qch=5,0 kW vonkajšia</t>
  </si>
  <si>
    <t>1 275,00 €</t>
  </si>
  <si>
    <t>Hisense TRIAL 3AMW62 Qch=6,3 kW vonkajšia</t>
  </si>
  <si>
    <t>1 680,00 €</t>
  </si>
  <si>
    <t>Hisense TRIAL 3AMW72 Qch=7,0 kW vonkajšia</t>
  </si>
  <si>
    <t>1 783,00 €</t>
  </si>
  <si>
    <t>Hisense QUADRI 4AMW81 Qch=8,0 kW vonkajšia</t>
  </si>
  <si>
    <t>2 103,00 €</t>
  </si>
  <si>
    <t>Hisense QUADRI 4AMW105 Qch=10,0 kW vonkajšia</t>
  </si>
  <si>
    <t>2 146,00 €</t>
  </si>
  <si>
    <t>Hisense PENTA 5AMW105 Qch=10,5 kW vonkajšia</t>
  </si>
  <si>
    <t>2 496,00 €</t>
  </si>
  <si>
    <t>Hisense PENTA 5AMW125 Qch=12,5 kW vonkajšia</t>
  </si>
  <si>
    <t>2 755,00 €</t>
  </si>
  <si>
    <t>MULTISPLIT VNÚTORNÉ JEDN.</t>
  </si>
  <si>
    <t>Hisense Comfort DJ20 Qch=2,0 kW vnútorná nástenná</t>
  </si>
  <si>
    <t>Hisense Comfort DJ25 Qch=2,6 kW vnútorná nástenná</t>
  </si>
  <si>
    <t>Hisense Comfort DJ35 Qch=3,5 kW vnútorná nástenná</t>
  </si>
  <si>
    <t>Hisense Comfort DJ50 Qch=5,0 kW vnútorná nástenná</t>
  </si>
  <si>
    <t>Hisense Comfort DJ70 Qch=7,0 kW vnútorná nástenná</t>
  </si>
  <si>
    <t>Hisense Energy Pro Plus QG25 Qch=2,6 kW vnútorná nástenná</t>
  </si>
  <si>
    <t>Hisense Energy Pro Plus QG35 Qch=3,5 kW vnútorná nástenná</t>
  </si>
  <si>
    <t>Hisense New Energy KA50 Qch=5,0 kW vnútorná nástenná</t>
  </si>
  <si>
    <t>Hisense New Energy KA70 Qch=7,0 kW vnútorná nástenná</t>
  </si>
  <si>
    <t>Hisense Energy Pro X QH25 Qch=2,5 kW vnútorná nástenná čierna</t>
  </si>
  <si>
    <t>Hisense Energy Pro X QH35 Qch=3,5 kW vnútorná nástenná čierna</t>
  </si>
  <si>
    <t>Hisense Energy Pro X QH25 Qch=2,5 kW vnútorná nástenná biela</t>
  </si>
  <si>
    <t>Hisense Energy Pro X QH35 Qch=3,5 kW vnútorná nástenná biela</t>
  </si>
  <si>
    <t>Hisense ACT26 Qch=2,6 kW vnútorná kazetová</t>
  </si>
  <si>
    <t>Hisense ACT35 Qch=3,5 kW vnútorná kazetová</t>
  </si>
  <si>
    <t>Hisense ACT52 Qch=5,0 kW vnútorná kazetová</t>
  </si>
  <si>
    <t>Hisense ADT26 Qch=2,6 kW vnútorná kanálová</t>
  </si>
  <si>
    <t>Hisense ADT35 Qch=3,5 kW vnútorná kanálová</t>
  </si>
  <si>
    <t>Hisense ADT52 Qch=5,0 kW vnútorná kanálová</t>
  </si>
  <si>
    <t>Hisense AKT26 Qch=2,6 kW vnútorná konzolová</t>
  </si>
  <si>
    <t>Hisense AKT35 Qch=3,5 kW vnútorná konzolová</t>
  </si>
  <si>
    <t>Hisense AKT52 Qch=4,9 kW vnútorná konzolová</t>
  </si>
  <si>
    <t>KLIMATIZÁCIE LIGHT COMMERCIAL</t>
  </si>
  <si>
    <t>KAZETOVÉ</t>
  </si>
  <si>
    <t>Hisense ACT26 Qch=2,6 kW vnútorná kazetová + vonkajšia</t>
  </si>
  <si>
    <t>1 536,00 €</t>
  </si>
  <si>
    <t>Hisense ACT35 Qch=3,5 kW vnútorná kazetová + vonkajšia</t>
  </si>
  <si>
    <t>1 617,00 €</t>
  </si>
  <si>
    <t>Hisense ACT52 Qch=5,0 kW vnútorná kazetová + vonkajšia</t>
  </si>
  <si>
    <t>1 914,00 €</t>
  </si>
  <si>
    <t>Hisense AUC71 Qch=7,0 kW vnútorná kazetová + vonkajšia</t>
  </si>
  <si>
    <t>2 372,00 €</t>
  </si>
  <si>
    <t>Hisense AUC105 Qch=10,0 kW vnútorná kazetová + vonkajšia</t>
  </si>
  <si>
    <t>3 068,00 €</t>
  </si>
  <si>
    <t>Hisense AUC125 Qch=12,1 kW vnútorná kazetová + vonkajšia</t>
  </si>
  <si>
    <t>3 801,00 €</t>
  </si>
  <si>
    <t>Hisense AUC140 Qch=13,5 kW vnútorná kazetová + vonkajšia</t>
  </si>
  <si>
    <t>4 165,00 €</t>
  </si>
  <si>
    <t>Hisense AUC175 Qch=17,2 kW vnútorná kazetová + vonkajšia</t>
  </si>
  <si>
    <t>4 496,00 €</t>
  </si>
  <si>
    <t>KANÁLOVÉ</t>
  </si>
  <si>
    <t>Hisense ADT26 Qch=2,6 kW vnútorná kanálová + vonkajšia</t>
  </si>
  <si>
    <t>1 366,00 €</t>
  </si>
  <si>
    <t>Hisense ADT35 Qch=3,5 kW vnútorná kanálová + vonkajšia</t>
  </si>
  <si>
    <t>1 432,00 €</t>
  </si>
  <si>
    <t>Hisense ADT52 Qch=5,0 kW vnútorná kanálová + vonkajšia</t>
  </si>
  <si>
    <t>1 775,00 €</t>
  </si>
  <si>
    <t>Hisense AUD71 Qch=7,0 kW vnútorná kanálová + vonkajšia</t>
  </si>
  <si>
    <t>2 352,00 €</t>
  </si>
  <si>
    <t>Hisense AUD105 Qch=10,0 kW vnútorná kanálová + vonkajšia</t>
  </si>
  <si>
    <t>3 232,00 €</t>
  </si>
  <si>
    <t>Hisense AUD125 Qch=12,1 kW vnútorná kanálová + vonkajšia</t>
  </si>
  <si>
    <t>3 921,00 €</t>
  </si>
  <si>
    <t>Hisense AUD140 Qch=13,5 kW vnútorná kanálová + vonkajšia</t>
  </si>
  <si>
    <t>4 253,00 €</t>
  </si>
  <si>
    <t>Hisense AUD175 Qch=17,5 kW vnútorná kanálová + vonkajšia</t>
  </si>
  <si>
    <t>4 549,00 €</t>
  </si>
  <si>
    <t>Hisense AUD200 Qch=19,0 kW vnútorná kanálová + vonkajšia</t>
  </si>
  <si>
    <t>6 650,00 €</t>
  </si>
  <si>
    <t>6 900,00 €</t>
  </si>
  <si>
    <t>PARAPETNÉ/PODSTROPNÉ</t>
  </si>
  <si>
    <t>2 368,00 €</t>
  </si>
  <si>
    <t>3 169,00 €</t>
  </si>
  <si>
    <t>3 876,00 €</t>
  </si>
  <si>
    <t>4 290,00 €</t>
  </si>
  <si>
    <t>4 559,00 €</t>
  </si>
  <si>
    <t>KONZOLOVÉ</t>
  </si>
  <si>
    <t>1 373,00 €</t>
  </si>
  <si>
    <t>1 452,00 €</t>
  </si>
  <si>
    <t>1 855,00 €</t>
  </si>
  <si>
    <t>TEPELNÉ ČERPADLÁ</t>
  </si>
  <si>
    <t>2 107,00 €</t>
  </si>
  <si>
    <t>2 310,00 €</t>
  </si>
  <si>
    <t>2 538,00 €</t>
  </si>
  <si>
    <t>3 198,00 €</t>
  </si>
  <si>
    <t>3 350,00 €</t>
  </si>
  <si>
    <t>3 502,00 €</t>
  </si>
  <si>
    <t>3 629,00 €</t>
  </si>
  <si>
    <t>2 893,00 €</t>
  </si>
  <si>
    <t>3 426,00 €</t>
  </si>
  <si>
    <t>3 705,00 €</t>
  </si>
  <si>
    <t>3 858,00 €</t>
  </si>
  <si>
    <t>4 010,00 €</t>
  </si>
  <si>
    <t>4 162,00 €</t>
  </si>
  <si>
    <t>5 190,00 €</t>
  </si>
  <si>
    <t>5 254,00 €</t>
  </si>
  <si>
    <t>5 330,00 €</t>
  </si>
  <si>
    <t>5 711,00 €</t>
  </si>
  <si>
    <t>5 837,00 €</t>
  </si>
  <si>
    <t>5 990,00 €</t>
  </si>
  <si>
    <t>6 142,00 €</t>
  </si>
  <si>
    <t>4 797,00 €</t>
  </si>
  <si>
    <t>5 101,00 €</t>
  </si>
  <si>
    <t>6 243,00 €</t>
  </si>
  <si>
    <t>6 624,00 €</t>
  </si>
  <si>
    <t>6 980,00 €</t>
  </si>
  <si>
    <t>7 360,00 €</t>
  </si>
  <si>
    <t>0,55</t>
  </si>
  <si>
    <t>0,52</t>
  </si>
  <si>
    <t>421 910 907 037</t>
  </si>
  <si>
    <t>421 905 621 661</t>
  </si>
  <si>
    <t>421 911 907 027</t>
  </si>
  <si>
    <t>421 915 678 958</t>
  </si>
  <si>
    <t>421 911 292 442</t>
  </si>
  <si>
    <t>421 905 618 689</t>
  </si>
  <si>
    <t>421 905 322 793</t>
  </si>
  <si>
    <t>421 918 704 637</t>
  </si>
  <si>
    <t>Jaroslav Žilavý</t>
  </si>
  <si>
    <t>421 905 550 033</t>
  </si>
  <si>
    <t>421 910 835 203</t>
  </si>
  <si>
    <t>421 904 919 663</t>
  </si>
  <si>
    <t>421 907 844 094</t>
  </si>
  <si>
    <t>421 903 244 640</t>
  </si>
  <si>
    <t>421 918 852 137</t>
  </si>
  <si>
    <t>421 917 444 004</t>
  </si>
  <si>
    <t>421 918 987 821</t>
  </si>
  <si>
    <t>421 914 108 897</t>
  </si>
  <si>
    <t>421 905 705 769</t>
  </si>
  <si>
    <t>421 903 421 846</t>
  </si>
  <si>
    <t>421 903 265 554</t>
  </si>
  <si>
    <t>421 903 760 874</t>
  </si>
  <si>
    <t>421 455 240 521</t>
  </si>
  <si>
    <t>33 620 030 711</t>
  </si>
  <si>
    <t>421 911 067 482</t>
  </si>
  <si>
    <t>BOCK SR s.r.o.</t>
  </si>
  <si>
    <t>421 907 707 347</t>
  </si>
  <si>
    <t>Cestné stavby Liptovský Mikuláš spol. s</t>
  </si>
  <si>
    <t>421 903 400 636</t>
  </si>
  <si>
    <t>CRH Slovensko  a.s.</t>
  </si>
  <si>
    <t>421 903 844 588</t>
  </si>
  <si>
    <t>421 903 269 324</t>
  </si>
  <si>
    <t>421 903 554 622</t>
  </si>
  <si>
    <t>421 903 554 676</t>
  </si>
  <si>
    <t>421 902 463 365</t>
  </si>
  <si>
    <t>421 517 724 344</t>
  </si>
  <si>
    <t>421 902 700 628</t>
  </si>
  <si>
    <t>421 911 889 147</t>
  </si>
  <si>
    <t>421 918 826 517</t>
  </si>
  <si>
    <t>DSSI International LLC organizačná zlož</t>
  </si>
  <si>
    <t>421 915 992 414</t>
  </si>
  <si>
    <t>421 905 965 444</t>
  </si>
  <si>
    <t>421 911 407 985</t>
  </si>
  <si>
    <t>421 907 247 006</t>
  </si>
  <si>
    <t>421 907 733 561</t>
  </si>
  <si>
    <t>421 911 266 032</t>
  </si>
  <si>
    <t>421 905 464 098</t>
  </si>
  <si>
    <t>Foxconn Slovakia spol.s.r.o.</t>
  </si>
  <si>
    <t>421 905 617 812</t>
  </si>
  <si>
    <t>421 908 518 133</t>
  </si>
  <si>
    <t>421 948 466 580</t>
  </si>
  <si>
    <t>Golden Shine trading s. r. o.</t>
  </si>
  <si>
    <t>421 911 122 659</t>
  </si>
  <si>
    <t>Ing. Jakub Kučerík</t>
  </si>
  <si>
    <t>421 948 719 840</t>
  </si>
  <si>
    <t>421 905 451 733</t>
  </si>
  <si>
    <t>421 911 514 778</t>
  </si>
  <si>
    <t>Inštitút VS MV SR</t>
  </si>
  <si>
    <t>421 917 834 401</t>
  </si>
  <si>
    <t>421 918 915 869</t>
  </si>
  <si>
    <t>421 903 907 152</t>
  </si>
  <si>
    <t>421 905 872 466</t>
  </si>
  <si>
    <t>J&amp;L Construction s.r.o</t>
  </si>
  <si>
    <t>LEYUAN, s.r.o.</t>
  </si>
  <si>
    <t>421 907 921 027</t>
  </si>
  <si>
    <t>J &amp; T REAL ESTATE, a.s.</t>
  </si>
  <si>
    <t>421 904 301 077</t>
  </si>
  <si>
    <t>421 911 707 031</t>
  </si>
  <si>
    <t>421 910 919 686</t>
  </si>
  <si>
    <t>421 911 707 047</t>
  </si>
  <si>
    <t>421 905 409 187</t>
  </si>
  <si>
    <t>421 905 990 195</t>
  </si>
  <si>
    <t>421 905 924 038</t>
  </si>
  <si>
    <t>421 903 237 100</t>
  </si>
  <si>
    <t>421 914 338 450</t>
  </si>
  <si>
    <t>421 903 205 169</t>
  </si>
  <si>
    <t>421 903 766 149</t>
  </si>
  <si>
    <t>421 903 788 100</t>
  </si>
  <si>
    <t>421 905 706 665</t>
  </si>
  <si>
    <t>Luboš Kovár</t>
  </si>
  <si>
    <t>421 948 902 972</t>
  </si>
  <si>
    <t>421 903 448 623</t>
  </si>
  <si>
    <t>421 903 985 958</t>
  </si>
  <si>
    <t>421 556 148 509</t>
  </si>
  <si>
    <t>421 911 801 450</t>
  </si>
  <si>
    <t>421 908 710 539</t>
  </si>
  <si>
    <t>421 918 424 050</t>
  </si>
  <si>
    <t>Motor Car Bratislava spol. s r.o.</t>
  </si>
  <si>
    <t>421 918 766 265</t>
  </si>
  <si>
    <t>421 907 245 641</t>
  </si>
  <si>
    <t>421 918 424 322</t>
  </si>
  <si>
    <t>421 903 726 925</t>
  </si>
  <si>
    <t>421 908 449 581</t>
  </si>
  <si>
    <t>421 905 724 096</t>
  </si>
  <si>
    <t>421 915 720 059</t>
  </si>
  <si>
    <t>421 918 720 388</t>
  </si>
  <si>
    <t>421 220 902 788</t>
  </si>
  <si>
    <t>421 915 365 743</t>
  </si>
  <si>
    <t>421 915 811 819</t>
  </si>
  <si>
    <t>421 915 811 806</t>
  </si>
  <si>
    <t>Peter Lajčok</t>
  </si>
  <si>
    <t>421 915 811 821</t>
  </si>
  <si>
    <t>421 918 110 142</t>
  </si>
  <si>
    <t>421 903 726 621</t>
  </si>
  <si>
    <t>421 903 720 164</t>
  </si>
  <si>
    <t>421 903 465 034</t>
  </si>
  <si>
    <t>421 903 701 100</t>
  </si>
  <si>
    <t>421 905 012 740</t>
  </si>
  <si>
    <t>421 905 012 570</t>
  </si>
  <si>
    <t>421 905 601 718</t>
  </si>
  <si>
    <t>421 918 622 223</t>
  </si>
  <si>
    <t>POBA servis a.s.</t>
  </si>
  <si>
    <t>421 904 825 108</t>
  </si>
  <si>
    <t>421 904 530 591</t>
  </si>
  <si>
    <t>421 911 822 236</t>
  </si>
  <si>
    <t>421 903 457 272</t>
  </si>
  <si>
    <t>421 911 028 909</t>
  </si>
  <si>
    <t>421 911 307 365</t>
  </si>
  <si>
    <t>421 905 944 689</t>
  </si>
  <si>
    <t>421 948 799 669</t>
  </si>
  <si>
    <t>421 948 177 989</t>
  </si>
  <si>
    <t>421 910 663 548</t>
  </si>
  <si>
    <t>Richard Sebera</t>
  </si>
  <si>
    <t>421 944 070 944</t>
  </si>
  <si>
    <t>421 903 463 641</t>
  </si>
  <si>
    <t>421 908 528 201</t>
  </si>
  <si>
    <t>421 903 902 105</t>
  </si>
  <si>
    <t>421 948 584 491</t>
  </si>
  <si>
    <t>421 905 299 401</t>
  </si>
  <si>
    <t>Slovenská revízna a servisná spoločnosť</t>
  </si>
  <si>
    <t>421 910 638 638</t>
  </si>
  <si>
    <t>421 910 444 506</t>
  </si>
  <si>
    <t>Sociálna poisťovňa</t>
  </si>
  <si>
    <t>Július Sasko</t>
  </si>
  <si>
    <t>421 915 710 048</t>
  </si>
  <si>
    <t>421 908 674 166</t>
  </si>
  <si>
    <t>421 918 669 151</t>
  </si>
  <si>
    <t>Samsung Electronics Europe logistic B.V</t>
  </si>
  <si>
    <t>421 907 287 397</t>
  </si>
  <si>
    <t>421 911 831 595</t>
  </si>
  <si>
    <t>Ing. Jana Jurková</t>
  </si>
  <si>
    <t>421 901 710 055</t>
  </si>
  <si>
    <t>421 911 046 113</t>
  </si>
  <si>
    <t>420 724 058 286</t>
  </si>
  <si>
    <t>Ing. Katarína Michaligová</t>
  </si>
  <si>
    <t>421 918 117 195</t>
  </si>
  <si>
    <t>421 905 934 969</t>
  </si>
  <si>
    <t>421 914 323 070</t>
  </si>
  <si>
    <t>421 911 965 217</t>
  </si>
  <si>
    <t>421 903 221 036</t>
  </si>
  <si>
    <t>421 903 714 517</t>
  </si>
  <si>
    <t>421 903 280 394</t>
  </si>
  <si>
    <t>421 902 185 945</t>
  </si>
  <si>
    <t>421 903 288 561</t>
  </si>
  <si>
    <t>421 905 818 363</t>
  </si>
  <si>
    <t>421 911 106 996</t>
  </si>
  <si>
    <t>Univerzita Tomáše Bati ve Zlíně</t>
  </si>
  <si>
    <t>420 606 777 208</t>
  </si>
  <si>
    <t>420 606 777 241</t>
  </si>
  <si>
    <t>420 602 777 178</t>
  </si>
  <si>
    <t>Varga František</t>
  </si>
  <si>
    <t>421 903 245 906</t>
  </si>
  <si>
    <t>421 911 620 352</t>
  </si>
  <si>
    <t>420 605 234 634</t>
  </si>
  <si>
    <t>421 327 700 288</t>
  </si>
  <si>
    <t>421 903 930 093</t>
  </si>
  <si>
    <t>421 905 348 584</t>
  </si>
  <si>
    <t>Vysoká škola výtvarných umení v Bratis</t>
  </si>
  <si>
    <t>421 949 471 021</t>
  </si>
  <si>
    <t>421 903 800 477</t>
  </si>
  <si>
    <t>421 908 651 835</t>
  </si>
  <si>
    <t>421 917 287 657</t>
  </si>
  <si>
    <t>421 915 718 318</t>
  </si>
  <si>
    <t>Jánošíková 2773/4A Nové Mesto nad</t>
  </si>
  <si>
    <t>Nová Rožňavská 134/A, 831 04
Bratislava, Slovensko</t>
  </si>
  <si>
    <t>Ul. 1. mája 724, 031 01 Liptovský Mik</t>
  </si>
  <si>
    <t>andrej.galbicka@sk.crh.com</t>
  </si>
  <si>
    <t>Priemyselná 1, 031 01 Liptovský Mik</t>
  </si>
  <si>
    <t>u</t>
  </si>
  <si>
    <t>Nadbrežna 5/8 Moravany</t>
  </si>
  <si>
    <t>Dvořákovo nábrežie 10 811 02 Bratis</t>
  </si>
  <si>
    <t>Kremelská 77, 84110 Bratislava, Deví</t>
  </si>
  <si>
    <t>Žltá 4, 851 07 Bratislava</t>
  </si>
  <si>
    <t>Primaciálne námestie 1, 814 99 Brati</t>
  </si>
  <si>
    <t>Rozmarínova 35 ,Bratislava</t>
  </si>
  <si>
    <t>Dulovo nám. - Páričkova 29, 821 08 B</t>
  </si>
  <si>
    <t>Ul. 29. augusta, 813 63 Bratislava</t>
  </si>
  <si>
    <t>Miestneho priemyslu1085,Námestov</t>
  </si>
  <si>
    <t>Suvorovova 4343/5A, 902 01 Pezinok</t>
  </si>
  <si>
    <t>Kpt. Weinholda 34, Zemianske Kosto</t>
  </si>
  <si>
    <t>ľ</t>
  </si>
  <si>
    <t>Chlumeckého 2 , 82012 Bratislava21</t>
  </si>
  <si>
    <t>Piešťanská 1202/44 , Nové mesto na</t>
  </si>
  <si>
    <t>Zvolenská cesta 14605/50, 974 05 Ba</t>
  </si>
  <si>
    <t>SPP Kompresorová stanica 3,919 33</t>
  </si>
  <si>
    <t>T
T</t>
  </si>
  <si>
    <t>uláš</t>
  </si>
  <si>
    <t>láš</t>
  </si>
  <si>
    <t>správa serverovní na Rožnavske</t>
  </si>
  <si>
    <t>j</t>
  </si>
  <si>
    <t>Vedúci servisnej skupiny TZB</t>
  </si>
  <si>
    <t>lava</t>
  </si>
  <si>
    <t>n</t>
  </si>
  <si>
    <t>ratislava</t>
  </si>
  <si>
    <t>any</t>
  </si>
  <si>
    <t>d Váhom</t>
  </si>
  <si>
    <t>nská Bystrica - Kráľová                  
 rakovice                                           rakovice</t>
  </si>
  <si>
    <t>MITSUBISHI</t>
  </si>
  <si>
    <t>1 228,00 €</t>
  </si>
  <si>
    <t>1 237,00 €</t>
  </si>
  <si>
    <t>1 304,00 €</t>
  </si>
  <si>
    <t>1 502,00 €</t>
  </si>
  <si>
    <t>1 590,00 €</t>
  </si>
  <si>
    <t>1 704,00 €</t>
  </si>
  <si>
    <t>1 929,00 €</t>
  </si>
  <si>
    <t>2 369,00 €</t>
  </si>
  <si>
    <t>1 547,00 €</t>
  </si>
  <si>
    <t>1 842,00 €</t>
  </si>
  <si>
    <t>2 021,00 €</t>
  </si>
  <si>
    <t>2 215,00 €</t>
  </si>
  <si>
    <t>1 576,00 €</t>
  </si>
  <si>
    <t>1 853,00 €</t>
  </si>
  <si>
    <t>1 895,00 €</t>
  </si>
  <si>
    <t>2 081,00 €</t>
  </si>
  <si>
    <t>2 264,00 €</t>
  </si>
  <si>
    <t>2 163,00 €</t>
  </si>
  <si>
    <t>2 659,00 €</t>
  </si>
  <si>
    <t>3 077,00 €</t>
  </si>
  <si>
    <t>3 375,00 €</t>
  </si>
  <si>
    <t>2 044,00 €</t>
  </si>
  <si>
    <t>2 491,00 €</t>
  </si>
  <si>
    <t>2 859,00 €</t>
  </si>
  <si>
    <t>3 156,00 €</t>
  </si>
  <si>
    <t>TOSHIBA</t>
  </si>
  <si>
    <t>1 210,00 €</t>
  </si>
  <si>
    <t>1 305,00 €</t>
  </si>
  <si>
    <t>1 415,00 €</t>
  </si>
  <si>
    <t>1 840,00 €</t>
  </si>
  <si>
    <t>2 195,00 €</t>
  </si>
  <si>
    <t>2 670,00 €</t>
  </si>
  <si>
    <t>1 450,00 €</t>
  </si>
  <si>
    <t>1 510,00 €</t>
  </si>
  <si>
    <t>1 755,00 €</t>
  </si>
  <si>
    <t>2 065,00 €</t>
  </si>
  <si>
    <t>2 375,00 €</t>
  </si>
  <si>
    <t>2 725,00 €</t>
  </si>
  <si>
    <t>3 165,00 €</t>
  </si>
  <si>
    <t>1 690,00 €</t>
  </si>
  <si>
    <t>1 735,00 €</t>
  </si>
  <si>
    <t>1 990,00 €</t>
  </si>
  <si>
    <t>2 360,00 €</t>
  </si>
  <si>
    <t>2 745,00 €</t>
  </si>
  <si>
    <t>3 140,00 €</t>
  </si>
  <si>
    <t>3 670,00 €</t>
  </si>
  <si>
    <t>1 605,00 €</t>
  </si>
  <si>
    <t>1 650,00 €</t>
  </si>
  <si>
    <t>1 900,00 €</t>
  </si>
  <si>
    <t>2 240,00 €</t>
  </si>
  <si>
    <t>2 610,00 €</t>
  </si>
  <si>
    <t>2 990,00 €</t>
  </si>
  <si>
    <t>3 480,00 €</t>
  </si>
  <si>
    <t>1 835,00 €</t>
  </si>
  <si>
    <t>2 115,00 €</t>
  </si>
  <si>
    <t>2 455,00 €</t>
  </si>
  <si>
    <t>2 200,00 €</t>
  </si>
  <si>
    <t>2 425,00 €</t>
  </si>
  <si>
    <t>3 090,00 €</t>
  </si>
  <si>
    <t>PANASONIC</t>
  </si>
  <si>
    <t>Panasonic BZ25 Qch=2,5 kW vnútorná nástenná + vonkajšia</t>
  </si>
  <si>
    <t>Panasonic BZ35 Qch=3,3 kW vnútorná nástenná + vonkajšia</t>
  </si>
  <si>
    <t>Panasonic BZ50 Qch=5,0 kW vnútorná nástenná + vonkajšia</t>
  </si>
  <si>
    <t>Panasonic BZ60 Qch=6,0 kW vnútorná nástenná + vonkajšia</t>
  </si>
  <si>
    <t>Panasonic TZ20 Qch=2,0 kW vnútorná nástenná + vonkajšia</t>
  </si>
  <si>
    <t>Panasonic TZ25 Qch=2,5 kW vnútorná nástenná + vonkajšia</t>
  </si>
  <si>
    <t>Panasonic TZ35 Qch=3,5 kW vnútorná nástenná + vonkajšia</t>
  </si>
  <si>
    <t>Panasonic TZ42 Qch=4,2 kW vnútorná nástenná + vonkajšia</t>
  </si>
  <si>
    <t>Panasonic TZ50 Qch=5,0 kW vnútorná nástenná + vonkajšia</t>
  </si>
  <si>
    <t>Panasonic TZ60 Qch=6,0 kW vnútorná nástenná + vonkajšia</t>
  </si>
  <si>
    <t>Panasonic TZ71 Qch=7,1 kW vnútorná nástenná + vonkajšia</t>
  </si>
  <si>
    <t>Panasonic Etherea XZ20 Qch=2,05 kW vnútorná nástenná grafitová sivá + vonkajšia</t>
  </si>
  <si>
    <t>Panasonic Etherea XZ25 Qch=2,5 kW vnútorná nástenná grafitová sivá + vonkajšia</t>
  </si>
  <si>
    <t>Panasonic Etherea XZ35 Qch=3,5 kW vnútorná nástenná grafitová sivá + vonkajšia</t>
  </si>
  <si>
    <t>Panasonic Etherea XZ42 Qch=4,2 kW vnútorná nástenná grafitová sivá + vonkajšia</t>
  </si>
  <si>
    <t>Panasonic Etherea XZ20 Qch=2,05 kW vnútorná nástenná strieborná + vonkajšia</t>
  </si>
  <si>
    <t>Panasonic Etherea XZ25 Qch=2,5 kW vnútorná nástenná strieborná + vonkajšia</t>
  </si>
  <si>
    <t>Panasonic Etherea XZ35 Qch=3,5 kW vnútorná nástenná strieborná + vonkajšia</t>
  </si>
  <si>
    <t>Panasonic Etherea XZ50 Qch=5,0 kW vnútorná nástenná strieborná + vonkajšia</t>
  </si>
  <si>
    <t>Panasonic Etherea XZ20 Qch=2,05 kW vnútorná nástenná matná biela + vonkajšia</t>
  </si>
  <si>
    <t>Panasonic Etherea XZ25 Qch=2,5 kW vnútorná nástenná matná biela + vonkajšia</t>
  </si>
  <si>
    <t>Panasonic Etherea XZ35 Qch=3,5 kW vnútorná nástenná matná biela + vonkajšia</t>
  </si>
  <si>
    <t>Panasonic Etherea XZ42 Qch=4,2 kW vnútorná nástenná matná biela + vonkajšia</t>
  </si>
  <si>
    <t>LG Pro W09TE (W09TE.NEU + W09TE.UEU) SPLIT</t>
  </si>
  <si>
    <t>LG vonkajšia jednotkaMU2R15.U1 5,3 kW</t>
  </si>
  <si>
    <t>LG Standard Plus nástenná jednotka MJ09PC.NSJ</t>
  </si>
  <si>
    <t>Klimavex</t>
  </si>
  <si>
    <t>1 459,00 €</t>
  </si>
  <si>
    <t>1 647,00 €</t>
  </si>
  <si>
    <t>1 050,00 €</t>
  </si>
  <si>
    <t>1 192,00 €</t>
  </si>
  <si>
    <t>1 526,00 €</t>
  </si>
  <si>
    <t>1 660,00 €</t>
  </si>
  <si>
    <t>1 994,00 €</t>
  </si>
  <si>
    <t>2 330,00 €</t>
  </si>
  <si>
    <t>1 371,00 €</t>
  </si>
  <si>
    <t>1 513,00 €</t>
  </si>
  <si>
    <t>1 683,00 €</t>
  </si>
  <si>
    <t>1 975,00 €</t>
  </si>
  <si>
    <t>1 348,00 €</t>
  </si>
  <si>
    <t>1 487,00 €</t>
  </si>
  <si>
    <t>1 656,00 €</t>
  </si>
  <si>
    <t>2 114,00 €</t>
  </si>
  <si>
    <t>1 331,00 €</t>
  </si>
  <si>
    <t>1 466,00 €</t>
  </si>
  <si>
    <t>1 630,00 €</t>
  </si>
  <si>
    <t>1 886,00 €</t>
  </si>
  <si>
    <t>TEPELNÉ ČERPADLO SPLIT NA VYKUROVANIE A CHLADENIE
ESTIA All-in-One S2 11 kW
Prednosti
Integrovaný 210 litrový zásobník z nehrdzavejúcej ocele Energetická účinnosť A+++
Prevádzkový rozsah až do vonkajšej teploty -25 °C
Prevádzka bez podporného kúrenia až po normalizovanú vonkajšiu teplotu</t>
  </si>
  <si>
    <t>R32 Tepelné čerpadlá vzduch/voda v dizajne Split s integrovaným zásobníkom teplej vody na zaistenie prívodnej teploty do
+65 °C, vo výkonovom rozsahu od 4 do 14 kW, na prípravu teplej alebo studenej vody. Kombinácia vonkajšej jednotky a vnútornej jednotky "všetko v jednom" slúži na zásobovanie všetkých použitých zariadení, ako sú jednotky fancoil, radiátory alebo podlahové vykurovanie.</t>
  </si>
  <si>
    <t>Atraktívne a úsporné
Integrovaný zásobník skapacitou 210litrov Maximálna energetická účinnosť (A+++) Stupeň účinnosti COP až 5,20
Nízke investičné, inštalačné a prevádzkové náklady Mimoriadne vysoká účinnosť vprevádzke čiastočného zaťaženia
Regulačný rozsah kompresora od 10 do 100% Vhodné na monovalentné vykurovanie
Na vykurovanie a prípravu úžitkovej vody
Spoľahlivé vykurovanie pri vonkajšej teplote do -25°C (8, 11, 14 kW)
Ovládanie Master/Slave až pre 8systémov ESTIA Maximálna kvalita „Navrhnuté vJaponsku avyrobené vEurópe“
Šetrenie zdrojov
Invertorová regulácia minimalizuje spotrebu prúdu Predplnené chladivo R32 snízkou hodnotou GWP Vzduch ako zdroj energie vo vykurovacej prevádzke Tichý prevádzkový režim „Night Operation“
Jednoduchý výber, inštalácia auvedenie do prevádzky
Inštalačná plocha pre vnútornú jednotku len 60×67cm Kompaktné atiché vonkajšie jednotky Single Fan
Malé množstvo chladiva pod hranicou zanedbateľnosti EN378
Nástroj na spúšťanie DynaKit umožňujúci jednoduché
uvedenie do prevádzky spoužitím vopred vytvorenej konfigurácie</t>
  </si>
  <si>
    <t>Pohodlné ovládanie
Ovládač integrovaný vo vnútornej jednotke "všetko v jednom"
Možnosť voliteľného doplnkového diaľkového ovládania Prehľadná obsluha s chránenými ikonami
2-zónová regulácia teploty smožnosťou výberu (8, 11, 14 kW)
1-zónová regulácia teploty (4a 6kW)
Automatický reštart po výpadku elektrického prúdu Voliteľné WiFi ovládanie pomocou aplikácie vsmartfóne Týždenný časovač
Funkcia ochrany proti mrazu Boost horúcej vody
Funkcia Night set-back
Program podlahového vykurovania
Technické údaje
Hybridná invertorová technológia na jednosmerný prúd Rotačný kompresor sdvojitým piestom
Liquid-Injection (8a 11kW) Dĺžka rozvodov do 30 m
Prívodná teplota vykurovania do +65°C (8, 11, 14 kW) 6-stupňové vodné čerpadlo triedy A
Digitálne funkcie vstupu/výstupu dodávané sériovo Integrovaná technológia Smart Grid
Široký výber možností ovládania: Modbus, KNX, 0–10V,
WiFi</t>
  </si>
  <si>
    <t>ESTIA All-in-One S2 11 kW / SADA</t>
  </si>
  <si>
    <t>vonkajšia jednotka</t>
  </si>
  <si>
    <t>HWT-1101H8W-E</t>
  </si>
  <si>
    <t>Vykurovací výkon @ A+7/W+35 (nom.) Elektrický príkon @ A+7/W+35 (nom.) Stupeň účinnosti COP @ A+7/W+35 (nom.) Vykurovací výkon @ A+2/W+35 (max.) Elektrický príkon @ A+2/W+35 (max.) Stupeň účinnosti COP @ A+2/W+35 (max.) Energetická trieda
Sezónna energetická účinnosť ETAs – stredné klimatické pásmo, W+35/W+55 Sezónna účinnosť SCOP – stredné klimatické pásmo, W+35/W+55
Chladiaci výkon @ A+35/W+7 (nom.) Elektrický príkon @ A+35/W+7 (nom.) Stupeň účinnosti EER @ A+35/W+7 (nom.) Typ kompresora
Napájanie napätím Prevádzkový prúd ( max.)
Spotreba elektrickej energie (nom.) Spotreba elektrickej energie (max.) Rozbehový prúd
Odporúčaný typ prívodu Odporúčané poistky Komunikačné vedenie
Prevádzkový rozsah vonkajšej teploty (min. – max.) Prevádzkový rozsah vonkajšej teploty (min. – max.) Ø vedenia kvapaliny
Ø vedenia nasávaného plynu Dĺžka vedení (min.)
Dĺžka vedení (max.) Prevýšenie (max.)
Hladina akustického výkonu (ERP)
Hladina akustického výkonu (max.) /Vykurovací výkon Hladina akustického výkonu (max.)
Hladina akustického tlaku (Rated, 1m) Hladina akustického tlaku (Rated, 1m)
Hladina akustického výkonu (nočný režim) /Vykurovací výkon Hladina akustického výkonu (nočný režim)
Hladina akustického tlaku (nočný režim, @ 1m) Hladina akustického tlaku (nočný režim, @ 1m) Chladiaci prostriedok
Predplnené množstvo chladiaceho prostriedku Ekvivalent CO2
Vopred naplnený do Rozmery (VxŠxH)
Hmotnosť</t>
  </si>
  <si>
    <t>W/W</t>
  </si>
  <si>
    <t>%</t>
  </si>
  <si>
    <t>179 / 138</t>
  </si>
  <si>
    <t>4,56 / 3,52</t>
  </si>
  <si>
    <t>Twin-Rotary w/inj</t>
  </si>
  <si>
    <t>380-415/3+N/50</t>
  </si>
  <si>
    <t>A</t>
  </si>
  <si>
    <t>3x 13</t>
  </si>
  <si>
    <t>3x 3,63</t>
  </si>
  <si>
    <t>3x 13,00</t>
  </si>
  <si>
    <t>Softstart</t>
  </si>
  <si>
    <t>H07RN-F 5G2,5</t>
  </si>
  <si>
    <t>3x 16</t>
  </si>
  <si>
    <t>°C</t>
  </si>
  <si>
    <t>-25 / +25</t>
  </si>
  <si>
    <t>+10 / +43</t>
  </si>
  <si>
    <t>6,3 (1/4)</t>
  </si>
  <si>
    <t>dB(A) /kW</t>
  </si>
  <si>
    <t>72 /15,50</t>
  </si>
  <si>
    <t>61 /8,28</t>
  </si>
  <si>
    <t>t</t>
  </si>
  <si>
    <t>1050 x 1010 x 370</t>
  </si>
  <si>
    <t>chladenie         vykurovanie</t>
  </si>
  <si>
    <t>Vnútorná jednotka</t>
  </si>
  <si>
    <t>HWT-1102S21MT9W-E</t>
  </si>
  <si>
    <t>Prívodná teplota (min. – max.) Prívodná teplota (min. – max.) Kompatibilné vonkajšie jednotky Zóny s možnosťou ovládania Záložný ohrievač, prípojka
Záložný ohrievač, odporúčané poistky Vodné čerpadlo
Prietok vody ( min.) Prietok vody (nom.)
Vodné čerpadlo, elektrický príkon (max.) Vodné čerpadlo, energetická trieda Vodné čerpadlo, dopravná výška (max.) Expanzná nádoba
Prípojka vody (vstup/výstup)
Hladina akustického tlaku (low/med/high) Hladina akustického tlaku (low/med/high) Hladina akustického výkonu
Hladina akustického výkonu Rozmery (VxŠxH)
Hmotnosť</t>
  </si>
  <si>
    <t>20/65</t>
  </si>
  <si>
    <t>7/25</t>
  </si>
  <si>
    <t>801/1101</t>
  </si>
  <si>
    <t>Ph+N</t>
  </si>
  <si>
    <t>Variable speed centrifugal pump</t>
  </si>
  <si>
    <t>EEI</t>
  </si>
  <si>
    <t>l</t>
  </si>
  <si>
    <t>Palce</t>
  </si>
  <si>
    <t>3/4</t>
  </si>
  <si>
    <t>1700 x 595 x 670</t>
  </si>
  <si>
    <t>chladenie         vykurovanie
Podmienky merania pre tento výrobok nájdete na stránke https://www.toshiba-aircondition.com/sk/podmienky-merania.html</t>
  </si>
  <si>
    <t>TOSHIBA ES</t>
  </si>
  <si>
    <t>TIA</t>
  </si>
  <si>
    <t>TEPELNÉ ČERPADLO VZDUCH-VODA
Cenník</t>
  </si>
  <si>
    <t>PREHĽAD PRODUKTOV ESTIA</t>
  </si>
  <si>
    <t>Vykurovací výkon (kW)
ESTIA
All-in-One
1-zónová</t>
  </si>
  <si>
    <t>4
1-fázové vyhotovenie
Strana 5</t>
  </si>
  <si>
    <t>6
1-fázové vyhotovenie
Strana 7</t>
  </si>
  <si>
    <t>ESTIA
All-in-One
2-zónová</t>
  </si>
  <si>
    <t>ESTIA
Vnútorná jednotka hydrobox – Compact 1- / 2-zónová</t>
  </si>
  <si>
    <t>1-fázové vyhotovenie
Strana 4</t>
  </si>
  <si>
    <t>ESTIA
Vnútorná jednotka hydrobox – Standard 1- / 2-zónová
ESTIA
Vnútorná jednotka hydrobox – Hi Power 1- / 2-zónová</t>
  </si>
  <si>
    <t>R410A
R410A</t>
  </si>
  <si>
    <t>Platnosť cenníka: 1. apríl 2023 až 31. marec 2024
Platia Všeobecné obchodné podmienky firmy AIR-COND International GmbH.
Zmeny sú vyhradené! Všetky údaje a typové označenia, ako aj obrázky sú uvedené s výhradou zmien, tlačových a typografických chýb. Podrobné informácie o výrobkoch sú uvedené na online kartách údajov na našej webovej stránke: www.toshiba-aircondition.com. Technický podklad pre predaj.</t>
  </si>
  <si>
    <t>8
1-fázové / 3-fázové* vyhotovenie
Strana 9
1-fázové / 3-fázové* vyhotovenie
Strana 9
1-fázové / 3-fázové* vyhotovenie
Strana 8</t>
  </si>
  <si>
    <t>11
1-fázové / 3-fázové* vyhotovenie
Strana 11
1-fázové / 3-fázové* vyhotovenie
Strana 11
1-fázové / 3-fázové* vyhotovenie
Strana 10
3-fázové vyhotovenie
Strana 10
3-fázové vyhotovenie
Strana 10</t>
  </si>
  <si>
    <t>14
1-fázové* / 3-fázové* vyhotovenie
Strana 13
1-fázové* / 3-fázové* vyhotovenie
Strana 13
1-fázové* / 3-fázové* vyhotovenie
Strana 12
1-fázové / 3-fázové vyhotovenie
Strana 12
3-fázové vyhotovenie
Strana 12</t>
  </si>
  <si>
    <t>16
3-fázové vyhotovenie
Strana 14</t>
  </si>
  <si>
    <t>* k dispozícii už čoskoro</t>
  </si>
  <si>
    <t>ESTIA 4 KW
ESTIA 4 kW
Vnútorná jednotka hydrobox</t>
  </si>
  <si>
    <t>ŠPECIÁLNE NAVRHNUTÁ PRE REKONŠTRUKCIE – jednoduchá výmena Určená pre staršie systémy, ako sú existujúce radiátory</t>
  </si>
  <si>
    <t>Energetická trieda
A+++</t>
  </si>
  <si>
    <t>Prevádzkový rozsah
-25 až +43°C</t>
  </si>
  <si>
    <t>Prívodná teplota vykurovania
až +55°C</t>
  </si>
  <si>
    <t>závisí od modelu</t>
  </si>
  <si>
    <t>Možnosti kombinovania
Vonkajšia a vnútorná jednotka</t>
  </si>
  <si>
    <t>Vnútorná jednotka hydrobox Compact</t>
  </si>
  <si>
    <t>1-fázové vyhotovenie
VONKAJŠIA JEDNOTKA                                                                                                                           HWT-401HW-E</t>
  </si>
  <si>
    <t>Vykurovací výkon @ A+7/W+35 (nom.)</t>
  </si>
  <si>
    <t>Chladiaci výkon @ A+35/W+7 (nom.)</t>
  </si>
  <si>
    <t>Rozsah vykurovacieho výkonu @A+7/W+35 (min. – max.)</t>
  </si>
  <si>
    <t>0,79 - 7,25</t>
  </si>
  <si>
    <t>Hladina akustického výkonu</t>
  </si>
  <si>
    <t>Hladina akustického výkonu (nočný režim)</t>
  </si>
  <si>
    <t>Stupeň účinnosti COP @ A+7/W+35 (nom.)</t>
  </si>
  <si>
    <t>Stupeň účinnosti EER @ A+35/W+7 (nom.)</t>
  </si>
  <si>
    <t>Energetická trieda</t>
  </si>
  <si>
    <t>Ročný pracovný čas</t>
  </si>
  <si>
    <t>Prevádzkový rozsah vonkajšej teploty (min. – max.)</t>
  </si>
  <si>
    <t>Napájanie napätím vonkajšej jednotky</t>
  </si>
  <si>
    <t>220-230/1/50</t>
  </si>
  <si>
    <t>Odporúčané poistky</t>
  </si>
  <si>
    <t>Chladiaci prostriedok</t>
  </si>
  <si>
    <t>Rozmery (VxŠxH)</t>
  </si>
  <si>
    <t>630 x 800 x 300</t>
  </si>
  <si>
    <t>€</t>
  </si>
  <si>
    <t>2.090,-</t>
  </si>
  <si>
    <t>VNÚTORNÁ JEDNOTKA</t>
  </si>
  <si>
    <t>HWT- 601XWHM3W-E</t>
  </si>
  <si>
    <t>HWT- 601XWHT6W-E</t>
  </si>
  <si>
    <t>Prívodná teplota (min. – max.)</t>
  </si>
  <si>
    <t>20/55</t>
  </si>
  <si>
    <t>Záložný ohrievač, výkon</t>
  </si>
  <si>
    <t>Prietok vody ( min.)</t>
  </si>
  <si>
    <t>0,66</t>
  </si>
  <si>
    <t>Vodné čerpadlo, dopravná výška (max.)</t>
  </si>
  <si>
    <t>7,2</t>
  </si>
  <si>
    <t>720 x 450 x 235</t>
  </si>
  <si>
    <t>3.915,-</t>
  </si>
  <si>
    <t>4.080,-</t>
  </si>
  <si>
    <t>ESTIA 4 KW
ESTIA 4 kW
All-in-One so zásobníkom teplej vody</t>
  </si>
  <si>
    <t>ŠPECIÁLNE NAVRHNUTÁ PRE NOVOSTAVBY – kompaktné zariadenie, ktoré šetrí miesto Určená pre moderné systémy, ako je podlahové, stenové alebo stropné kúrenie</t>
  </si>
  <si>
    <t>Možnosti kombinovania Vonkajšia a vnútorná jednotka</t>
  </si>
  <si>
    <t>All-in-One</t>
  </si>
  <si>
    <t>dB(A)         /</t>
  </si>
  <si>
    <t>59 / 60</t>
  </si>
  <si>
    <t>HWT- 602S21SM3W-E</t>
  </si>
  <si>
    <t>1-zónová</t>
  </si>
  <si>
    <t>HWT- 602S21ST6W-E</t>
  </si>
  <si>
    <t>Objem nádrže</t>
  </si>
  <si>
    <t>210</t>
  </si>
  <si>
    <t>40 / 40</t>
  </si>
  <si>
    <t>9.260,-</t>
  </si>
  <si>
    <t>9.325,-</t>
  </si>
  <si>
    <t>ESTIA 6 KW
ESTIA 6 kW
Vnútorná jednotka hydrobox</t>
  </si>
  <si>
    <t>1-fázové vyhotovenie
VONKAJŠIA JEDNOTKA                                                                                                                           HWT-601HW-E</t>
  </si>
  <si>
    <t>0,80 - 7,25</t>
  </si>
  <si>
    <t>62 / 61</t>
  </si>
  <si>
    <t>2.325,-</t>
  </si>
  <si>
    <t>725 x 450 x 235</t>
  </si>
  <si>
    <t>ESTIA 6 KW
ESTIA 6 kW
All-in-One so zásobníkom teplej vody</t>
  </si>
  <si>
    <t>ESTIA 8 KW
ESTIA 8 kW
Vnútorná jednotka hydrobox</t>
  </si>
  <si>
    <t>Prívodná teplota vykurovania
až +65°C</t>
  </si>
  <si>
    <t>Vnútorná jednotka hydrobox Compact                          Vnútorná jednotka hydrobox Compact</t>
  </si>
  <si>
    <t>VONKAJŠIA JEDNOTKA</t>
  </si>
  <si>
    <t>1-fázové vyhotovenie
HWT-801HW-E</t>
  </si>
  <si>
    <t>3-fázové vyhotovenie
HWT-801H8W-E</t>
  </si>
  <si>
    <t>1,01 - 11,90</t>
  </si>
  <si>
    <t>63 / 62</t>
  </si>
  <si>
    <t>61 / 61</t>
  </si>
  <si>
    <t>4.090,-</t>
  </si>
  <si>
    <t>5.550,-</t>
  </si>
  <si>
    <t>HWT- 1101XWHT6W-E</t>
  </si>
  <si>
    <t>HWT- 1101XWHT9W-E</t>
  </si>
  <si>
    <t>9</t>
  </si>
  <si>
    <t>0,78</t>
  </si>
  <si>
    <t>4.620,-</t>
  </si>
  <si>
    <t>4.850,-</t>
  </si>
  <si>
    <t>ESTIA 8 KW</t>
  </si>
  <si>
    <t>ESTIA 8 kW
All-in-One so zásobníkom teplej vody</t>
  </si>
  <si>
    <t>-One</t>
  </si>
  <si>
    <t>All-in                                                                        All-in-One</t>
  </si>
  <si>
    <t>1-zónová
HWT- 1102S21ST9W-E</t>
  </si>
  <si>
    <t>2-zónová
HWT- 1102S21MT9W-E</t>
  </si>
  <si>
    <t>45 / 45</t>
  </si>
  <si>
    <t>9.455,-</t>
  </si>
  <si>
    <t>10.620,-</t>
  </si>
  <si>
    <t>ESTIA 11 KW
ESTIA 11 kW
Vnútorná jednotka hydrobox</t>
  </si>
  <si>
    <t>Energetická trieda
A++  / A+++</t>
  </si>
  <si>
    <t>Vnútorná jednotka hydrobox
Standard</t>
  </si>
  <si>
    <t>Vnútorná jednotka hydrobox Hi Power</t>
  </si>
  <si>
    <t>1-fázové vyhotovenie
HWT-1101HW-E</t>
  </si>
  <si>
    <t>3-fázové vyhotovenie
HWT-1101H8W-E</t>
  </si>
  <si>
    <t>3-fázové vyhotovenie
HWS-1105H8-E</t>
  </si>
  <si>
    <t>3-fázové vyhotovenie
HWS-P1105H8R-E</t>
  </si>
  <si>
    <t>11</t>
  </si>
  <si>
    <t>8</t>
  </si>
  <si>
    <t>1,01 - 13,24</t>
  </si>
  <si>
    <t>2,69 - 14,73</t>
  </si>
  <si>
    <t>2,21 - 18,00</t>
  </si>
  <si>
    <t>64 / 62</t>
  </si>
  <si>
    <t>64 / 66</t>
  </si>
  <si>
    <t>62</t>
  </si>
  <si>
    <t>4,6</t>
  </si>
  <si>
    <t>2,8</t>
  </si>
  <si>
    <t>4,3</t>
  </si>
  <si>
    <t>-20 / +43</t>
  </si>
  <si>
    <t>-25 / +43</t>
  </si>
  <si>
    <t>+15 / +43</t>
  </si>
  <si>
    <t>3 x 16</t>
  </si>
  <si>
    <t>1340 x 900 x 320</t>
  </si>
  <si>
    <t>4.580,-</t>
  </si>
  <si>
    <t>6.790,-</t>
  </si>
  <si>
    <t>4.540,-</t>
  </si>
  <si>
    <t>5.795,-</t>
  </si>
  <si>
    <t>HWS- 1405XWHT9-E</t>
  </si>
  <si>
    <t>HWS- P1105XWHT6-E</t>
  </si>
  <si>
    <t>HWS- P1105XWHT9-E</t>
  </si>
  <si>
    <t>20/60</t>
  </si>
  <si>
    <t>43 / 43</t>
  </si>
  <si>
    <t>725 x 450 x
235</t>
  </si>
  <si>
    <t>925 x 525 x
355</t>
  </si>
  <si>
    <t>5.735,-</t>
  </si>
  <si>
    <t>5.615,-</t>
  </si>
  <si>
    <t>ESTIA 11 KW
ESTIA 11 kW
All-in-One so zásobníkom teplej vody</t>
  </si>
  <si>
    <t>Možnosti kombinovania Vonkajšia a vnútorná jednotka
All-in</t>
  </si>
  <si>
    <t>R32
All-in-One</t>
  </si>
  <si>
    <t>ESTIA 14 KW
ESTIA 14 kW
Vnútorná jednotka hydrobox
ŠPECIÁLNE NAVRHNUTÁ PRE REKONŠTRUKCIE – jednoduchá výmena Určená pre staršie systémy, ako sú existujúce radiátory</t>
  </si>
  <si>
    <t>R32
Vnútorná       Vnútorná</t>
  </si>
  <si>
    <t>jednotka hydrobox Compact</t>
  </si>
  <si>
    <t>Vnútorná jednotka hydrobox Standard</t>
  </si>
  <si>
    <t>1-fázové vyhotovenie
HWT-1401HW-E</t>
  </si>
  <si>
    <t>3-fázové vyhotovenie
HWT-1401H8W-E</t>
  </si>
  <si>
    <t>1-fázové vyhotovenie
HWS-1405H-E</t>
  </si>
  <si>
    <t>3-fázové vyhotovenie
HWS-1405H8-E</t>
  </si>
  <si>
    <t>3-fázové vyhotovenie
HWS-P1405H8R-E</t>
  </si>
  <si>
    <t>2,92 - 16,74</t>
  </si>
  <si>
    <t>2,48 - 14,81</t>
  </si>
  <si>
    <t>2,21 - 21,10</t>
  </si>
  <si>
    <t>70 / 70</t>
  </si>
  <si>
    <t>62 / 63</t>
  </si>
  <si>
    <t>68 / 68</t>
  </si>
  <si>
    <t>220-230/1/
50</t>
  </si>
  <si>
    <t>380-415/3+N/
50</t>
  </si>
  <si>
    <t>1050 x 1010 x
370</t>
  </si>
  <si>
    <t>5.800,-</t>
  </si>
  <si>
    <t>7.380,-</t>
  </si>
  <si>
    <t>4.780,-</t>
  </si>
  <si>
    <t>4.980,-</t>
  </si>
  <si>
    <t>6.090,-</t>
  </si>
  <si>
    <t>HWT- 1401XWHT9W-E</t>
  </si>
  <si>
    <t>HWS- 1405XWHT6-E</t>
  </si>
  <si>
    <t>5.450,-</t>
  </si>
  <si>
    <t>ESTIA 14 KW
ESTIA 14 kW
All-in-One so zásobníkom teplej vody</t>
  </si>
  <si>
    <t>All-in-One                                                                 All-in-One</t>
  </si>
  <si>
    <t>1-zónová
HWT- 1402S21ST9W-E</t>
  </si>
  <si>
    <t>2-zónová
HWT- 1402S21MT9W-E</t>
  </si>
  <si>
    <t>- / -</t>
  </si>
  <si>
    <t>9.990,-</t>
  </si>
  <si>
    <t>11.100,-</t>
  </si>
  <si>
    <t>ESTIA 16 KW
ESTIA 16 kW
Vnútorná jednotka hydrobox</t>
  </si>
  <si>
    <t>Energetická trieda
A++</t>
  </si>
  <si>
    <t>Prevádzkový rozsah
-20 až +43°C</t>
  </si>
  <si>
    <t>3-fázové vyhotovenie
VONKAJŠIA JEDNOTKA                                                                                                                           HWS-1605H8-E</t>
  </si>
  <si>
    <t>2,52 - 17,43</t>
  </si>
  <si>
    <t>69 / 69</t>
  </si>
  <si>
    <t>5.980,-</t>
  </si>
  <si>
    <t>VNÚTORNÁ JEDNOTKA                                                                                                                                  HWS-
1405XWHT9-E</t>
  </si>
  <si>
    <t>925 x 525 x 355</t>
  </si>
  <si>
    <t>Gishamer Maschinenbau GmbH Friedburg, Hasenbichler Kälte- und Klimatechnik</t>
  </si>
  <si>
    <t>PRÍSLUŠENSTVO
ESTIA R32</t>
  </si>
  <si>
    <t>TYP/POPIS                                                                                                                                                                               CENA €</t>
  </si>
  <si>
    <t>215,-</t>
  </si>
  <si>
    <t>HWS-AMSU51-E
Externá ovládacia jednotka (s káblovým pripojením)</t>
  </si>
  <si>
    <t>360,-</t>
  </si>
  <si>
    <t>HWS-IFAIP01U-E
Rozhranie 0 – 10 V na externé ovládanie prostredníctvom signálov 0 – 10 V</t>
  </si>
  <si>
    <t>190,-</t>
  </si>
  <si>
    <t>HWS-IWF0010UP-E
ESTIA R32 WiFi Adapter</t>
  </si>
  <si>
    <t>76,-</t>
  </si>
  <si>
    <t>95612037
Snímač teploty pre zásobník teplej vody od iného dodávateľa</t>
  </si>
  <si>
    <t>740,-</t>
  </si>
  <si>
    <t>BMS-IFKX0AWR-E
Rozhranie KNX®, napojenie na systém správy budov, skupinové riadenie až 8 jednotiek</t>
  </si>
  <si>
    <t>670,-</t>
  </si>
  <si>
    <t>BMS-IFMB0UEW-E
Rozhranie Modbus, napojenie na systém správy budov, skupinové riadenie až 8 jednotiek</t>
  </si>
  <si>
    <t>PRÍSLUŠENSTVO
ESTIA R410A</t>
  </si>
  <si>
    <t>245,-</t>
  </si>
  <si>
    <t>HWS-AMS54E
Externá ovládacia jednotka (s káblovým pripojením)</t>
  </si>
  <si>
    <t>195,-</t>
  </si>
  <si>
    <t>TCB-PCIN3E
Povoľovací signál pre externý tepelný ohrievač a výstup poruchového hlásenia alebo výstup prevádzkového hlásenia kompresora a prevádzkového hlásenia odm</t>
  </si>
  <si>
    <t>150,-</t>
  </si>
  <si>
    <t>TCB-PCMO3E
Vstup pre externý priestorový termostat alebo vstup pre núdzové vypnutie alebo externé zapnutie/vypnutie</t>
  </si>
  <si>
    <t>90,-</t>
  </si>
  <si>
    <t>VK320M0AIRCO01
Náhradný prietokový snímač pre veľkosti 8, 11, 14</t>
  </si>
  <si>
    <t>135,-</t>
  </si>
  <si>
    <t>VK320M0AIRCO02
Náhradný prietokový snímač pre veľkosť 4</t>
  </si>
  <si>
    <t>Rodinný dom v Podersdorfe, Robert Müllner GmbH - Kälte Klima Installateur
Rodinný dom v Bad Vöslau, Technology Systems</t>
  </si>
  <si>
    <t>Rodinný dom, Manfred Schmelzer GmbH Kälte-Klima Service
Rodinný dom, Hasenbichler Kälte- und Klimatechnik</t>
  </si>
  <si>
    <t>Poradíme vám osobne
VÁŠ CERTIFIKOVANÝ TOSHIBA PARTNER
Obchodný partner TOSHIBA:</t>
  </si>
  <si>
    <t>Spoločnosť   TOSHIBA   je   hrdá   na svoju  sieť  kvalifikovaných  odborníkov z  odboru  chladiacej  a  klimatizačnej techniky.  S  klimatizačným  systémom TOSHIBA    získate    nielen    najlepšiu kvalitu  produktu,  ale  aj  profesionálne poradenstvo,   plánovanie,   inštaláciu a servis. Stavte na dokonalú klímu od
odborníka!</t>
  </si>
  <si>
    <t>Od malých až po veľké
S  aplikáciami  pre  domáce  použitie  a priemyselné použitie pokrýva TOSHIBA celé    spektrum.    Pre    podrobnejšie informácie    sa    obráťte    na    svojho obchodného partnera TOSHIBA alebo navštívte našu webovú stránku.</t>
  </si>
  <si>
    <t>Hľadáte ešte viac informácií?
Navštívte našu webovú stránku!
Viac informácií o produktoch TOSHIBA a distribútoroch nájdete priamo na našej webovej stránke: www.toshiba-aircondition.com</t>
  </si>
  <si>
    <t>Chyby  v  tlači  a  sadzbe  sú  vyhradené.  SK  /  Cenník  ESTIA  /  03.2023.  Za  obsah  je  zodpovedná  spoločnosť:  AIR-COND  International  GmbH, Haushamer  Straße  2,  AT-8054  Graz-Seiersberg,  Austria,  tel.:  +43  316  8089,  office@air-cond.com.  Fotografie:  Adobe  Stock,  Getty  Images, Alexander Wieselthaler, BERNHARD R. MOSER Photography GmbH, TOSHIBA Carrier Corporation, AIR-COND.</t>
  </si>
  <si>
    <t>APPENDIX R32
VERZE 1.0</t>
  </si>
  <si>
    <t>Příručka pro tepelné čerpadlo vzduch-voda ESTIA</t>
  </si>
  <si>
    <t>ESTIA R410A a R32
Přehled</t>
  </si>
  <si>
    <t>P jmen. (kW)                     4                     6</t>
  </si>
  <si>
    <t>ESTIA R32</t>
  </si>
  <si>
    <t>1 fáze</t>
  </si>
  <si>
    <t>1 fáz</t>
  </si>
  <si>
    <t>ALL-IN-ONE</t>
  </si>
  <si>
    <t>Split Hydrobox
ESTIA R410A
Série 5 Standard</t>
  </si>
  <si>
    <t>R32
R32</t>
  </si>
  <si>
    <t>ESTIA R410A                                                        1 fáz</t>
  </si>
  <si>
    <t>Série 5</t>
  </si>
  <si>
    <t>3 fáz</t>
  </si>
  <si>
    <t>HiPower</t>
  </si>
  <si>
    <t>LI = Kompresor se vstřikováním kapaliny</t>
  </si>
  <si>
    <t>e LI</t>
  </si>
  <si>
    <t>1 fáze LI</t>
  </si>
  <si>
    <t>3 fáze</t>
  </si>
  <si>
    <t>1 fáze /
3 fáze</t>
  </si>
  <si>
    <t>e /            1 fáze /
e              3 fáze</t>
  </si>
  <si>
    <t>ESTIA R32
Nová řada s chladivem R32 – Made in Europe</t>
  </si>
  <si>
    <t>4 kW                         6 kW                                 8 kW                        11 kW</t>
  </si>
  <si>
    <t>            
Hydrobox               AIO                                           Hydrobox               AIO
6 kW                                            6 kW              11 kW                                            11 kW</t>
  </si>
  <si>
    <t>3 kW / 6 kW</t>
  </si>
  <si>
    <t>6 kW / 9 kW</t>
  </si>
  <si>
    <t>1 zóna
2 zóny</t>
  </si>
  <si>
    <t>ESTIA R32
Typy a modely</t>
  </si>
  <si>
    <t>Venkovní jednotka</t>
  </si>
  <si>
    <t>P jmen. (h) kW</t>
  </si>
  <si>
    <t>El. připojení</t>
  </si>
  <si>
    <t>HWT-401HW-E</t>
  </si>
  <si>
    <t>4</t>
  </si>
  <si>
    <t>HWT-601HW-E</t>
  </si>
  <si>
    <t>HWT-801HW-E</t>
  </si>
  <si>
    <t>HWT-1101HW-E</t>
  </si>
  <si>
    <t>11,2</t>
  </si>
  <si>
    <t>Standard Hydrobox</t>
  </si>
  <si>
    <t>Záložní elektrické topení / počet zón</t>
  </si>
  <si>
    <t>Vhodné pro:</t>
  </si>
  <si>
    <t>HWT-601XWHM3W-E</t>
  </si>
  <si>
    <t>3 kW / 2 zóny</t>
  </si>
  <si>
    <t>HWT-401, 601</t>
  </si>
  <si>
    <t>HWT-601XWHT6W-E</t>
  </si>
  <si>
    <t>6 kW / 2 zóny</t>
  </si>
  <si>
    <t>HWT-1101XWHT6W-E</t>
  </si>
  <si>
    <t>HWT-801, 1101</t>
  </si>
  <si>
    <t>HWT-1101XWHT9W-E</t>
  </si>
  <si>
    <t>9 kW / 2 zóny</t>
  </si>
  <si>
    <t>AIO – All In One</t>
  </si>
  <si>
    <t>HWT-601F21SM3W-E</t>
  </si>
  <si>
    <t>3 kW / 1 zóna</t>
  </si>
  <si>
    <t>HWT-601F21ST6W-E</t>
  </si>
  <si>
    <t>6 kW / 1 zóna</t>
  </si>
  <si>
    <t>HWT-1101F21ST6W-E</t>
  </si>
  <si>
    <t>HWT-1101F21MT6W-E</t>
  </si>
  <si>
    <t>HWT-1101F21ST9W-E</t>
  </si>
  <si>
    <t>9 kW / 1 zóna</t>
  </si>
  <si>
    <t>HWT-1101F21MT9W-E</t>
  </si>
  <si>
    <t>APPENDIX R32
PŘÍRUČKA PRO TEPELNÉ ČERPADLO VZDUCH-VODA ESTIA
Verze 1.0 / CZ
Souhrn nejdůležitějších údajů z originálních příruček společnosti TOSHIBA.
Vydavatel:
AIR-COND International GmbH
Haushamer Straße 2, 8054 Graz-Seiersberg   © Dubna 2022
Za chyby tisku neneseme žádnou zodpovědnost.
Přetisk je povolen pouze s výslovným souhlasem vydavatele!
Tento souhrn v žádném případě nenahrazuje originální technické příručky společnosti TOSHIBA!</t>
  </si>
  <si>
    <t>DIMENZOVÁNÍ TOPNÉHO/CHLADICÍHO VÝKONU                                                                                                        10
PŘÍKLADY SCHÉMAT HYDRAULICKÉHO ZAPOJENÍ                                                                                                     26
SCHÉMATA ELEKTRICKÉHO ZAPOJENÍ                                                                                                                     37
ROZVODY CHLADIVA                                                                                                                                             39
AKUSTICKÉ ÚDAJE                                                                                                                                               40</t>
  </si>
  <si>
    <t>--      -
.f-</t>
  </si>
  <si>
    <t>PŘEHLED DIMENZOVÁNÍ</t>
  </si>
  <si>
    <t>HWT-401HW-E                                                                                                                                                     10
TOPNÝ VÝKON                                                                                                                                                                             10 CHLADICÍ VÝKON                                                                                                                                                                   12 HWT-601HW-E                                                                                                                                                     14
TOPNÝ VÝKON                                                                                                                                                                       14 CHLADICÍ VÝKON                                                                                                                                                                   16 HWT-801H(R)W-E                                                                                                                                                18
TOPNÝ VÝKON                                                                                                                                                                       18 CHLADICÍ VÝKON                                                                                                                                                                   20 HWT-1101H(R)W-E                                                                                                                                          22
TOPNÝ VÝKON                                                                                                                                                                       22
CHLADICÍ VÝKON                                                                                                                                                                   24</t>
  </si>
  <si>
    <t>HWT-401HW-E – JMENOVITÝ TOPNÝ VÝKON</t>
  </si>
  <si>
    <t>Venkovní jednotka HWT-401HW-E Hydrobox HWT-601XWH**W-E
All-in-One HWT-601F21S**W-E</t>
  </si>
  <si>
    <t>Jmenovitý topný výkon a jmenovitý příkon</t>
  </si>
  <si>
    <t>Jmenovité podmínky TNV = 35 °C
dT = 5 °C</t>
  </si>
  <si>
    <t>Příkon</t>
  </si>
  <si>
    <t>Topný faktor (COP)</t>
  </si>
  <si>
    <t>Jmenovitý průtok</t>
  </si>
  <si>
    <t>l/min</t>
  </si>
  <si>
    <t>▪ Topný výkon a příkon při maximálních otáčkách kompresoru
▪ Příkon bez oběhového čerpadla
▪ Topný výkon a příkon se měří podle normy EN 14511</t>
  </si>
  <si>
    <t>TO:       Venkovní teplota (TK °C) při RV 85 % TNV:      Teplota na výstupu (°C)
dT:        Rozdíl teplot (°C)
teplota na výstupu – teplota vratné vody</t>
  </si>
  <si>
    <t>10 I TOSHIBA</t>
  </si>
  <si>
    <t>Maximální topný výkon a příkon
HWT-401HW-E</t>
  </si>
  <si>
    <t>Výkon (kW)</t>
  </si>
  <si>
    <t>TNV (°C)</t>
  </si>
  <si>
    <t>30</t>
  </si>
  <si>
    <t>35</t>
  </si>
  <si>
    <t>TO (°C)</t>
  </si>
  <si>
    <t>-20</t>
  </si>
  <si>
    <t>3,22</t>
  </si>
  <si>
    <t>3,1</t>
  </si>
  <si>
    <t>2,98</t>
  </si>
  <si>
    <t>--</t>
  </si>
  <si>
    <t>-15</t>
  </si>
  <si>
    <t>3,91</t>
  </si>
  <si>
    <t>3,73</t>
  </si>
  <si>
    <t>3,55</t>
  </si>
  <si>
    <t>-10</t>
  </si>
  <si>
    <t>4,57</t>
  </si>
  <si>
    <t>4,4</t>
  </si>
  <si>
    <t>4,23</t>
  </si>
  <si>
    <t>-7</t>
  </si>
  <si>
    <t>4,96</t>
  </si>
  <si>
    <t>4,8</t>
  </si>
  <si>
    <t>4,64</t>
  </si>
  <si>
    <t>-2</t>
  </si>
  <si>
    <t>5,89</t>
  </si>
  <si>
    <t>5,7</t>
  </si>
  <si>
    <t>5,51</t>
  </si>
  <si>
    <t>2</t>
  </si>
  <si>
    <t>6,64</t>
  </si>
  <si>
    <t>6,42</t>
  </si>
  <si>
    <t>6,21</t>
  </si>
  <si>
    <t>7</t>
  </si>
  <si>
    <t>7,39</t>
  </si>
  <si>
    <t>7,25</t>
  </si>
  <si>
    <t>7,11</t>
  </si>
  <si>
    <t>10</t>
  </si>
  <si>
    <t>8,11</t>
  </si>
  <si>
    <t>7,95</t>
  </si>
  <si>
    <t>7,8</t>
  </si>
  <si>
    <t>12</t>
  </si>
  <si>
    <t>8,53</t>
  </si>
  <si>
    <t>8,42</t>
  </si>
  <si>
    <t>8,26</t>
  </si>
  <si>
    <t>15</t>
  </si>
  <si>
    <t>8,76</t>
  </si>
  <si>
    <t>8,63</t>
  </si>
  <si>
    <t>8,47</t>
  </si>
  <si>
    <t>9,13</t>
  </si>
  <si>
    <t>8,98</t>
  </si>
  <si>
    <t>8,83</t>
  </si>
  <si>
    <t>Příkon (kW)</t>
  </si>
  <si>
    <t>1,22</t>
  </si>
  <si>
    <t>1,32</t>
  </si>
  <si>
    <t>1,42</t>
  </si>
  <si>
    <t>1,41</t>
  </si>
  <si>
    <t>1,51</t>
  </si>
  <si>
    <t>1,38</t>
  </si>
  <si>
    <t>1,46</t>
  </si>
  <si>
    <t>1,56</t>
  </si>
  <si>
    <t>1,37</t>
  </si>
  <si>
    <t>1,49</t>
  </si>
  <si>
    <t>1,61</t>
  </si>
  <si>
    <t>1,65</t>
  </si>
  <si>
    <t>1,52</t>
  </si>
  <si>
    <t>1,68</t>
  </si>
  <si>
    <t>1,33</t>
  </si>
  <si>
    <t>1,66</t>
  </si>
  <si>
    <t>1,31</t>
  </si>
  <si>
    <t>1,48</t>
  </si>
  <si>
    <t>1,67</t>
  </si>
  <si>
    <t>2,64</t>
  </si>
  <si>
    <t>2,35</t>
  </si>
  <si>
    <t>2,1</t>
  </si>
  <si>
    <t>2,97</t>
  </si>
  <si>
    <t>2,65</t>
  </si>
  <si>
    <t>2,36</t>
  </si>
  <si>
    <t>3,3</t>
  </si>
  <si>
    <t>3,01</t>
  </si>
  <si>
    <t>2,71</t>
  </si>
  <si>
    <t>3,62</t>
  </si>
  <si>
    <t>2,88</t>
  </si>
  <si>
    <t>4,31</t>
  </si>
  <si>
    <t>3,78</t>
  </si>
  <si>
    <t>3,35</t>
  </si>
  <si>
    <t>4,86</t>
  </si>
  <si>
    <t>4,22</t>
  </si>
  <si>
    <t>3,7</t>
  </si>
  <si>
    <t>5,58</t>
  </si>
  <si>
    <t>4,87</t>
  </si>
  <si>
    <t>6,19</t>
  </si>
  <si>
    <t>5,36</t>
  </si>
  <si>
    <t>4,7</t>
  </si>
  <si>
    <t>6,51</t>
  </si>
  <si>
    <t>5,69</t>
  </si>
  <si>
    <t>4,97</t>
  </si>
  <si>
    <t>6,68</t>
  </si>
  <si>
    <t>5,83</t>
  </si>
  <si>
    <t>5,1</t>
  </si>
  <si>
    <t>6,97</t>
  </si>
  <si>
    <t>6,07</t>
  </si>
  <si>
    <t>▪ Topný výkon a příkon při maximálním topném výkonu
▪ Topný výkon a příkon při maximálních otáčkách kompresoru
▪ Příkon bez oběhového čerpadla
▪ Topný výkon a příkon se měří podle normy EN 14511
TO:       Venkovní teplota (TK °C) TNV:      Teplota na výstupu (°C)
TOSHIBA I 11</t>
  </si>
  <si>
    <t>HWT-401HW-E – JMENOVITÝ CHLADICÍ VÝKON</t>
  </si>
  <si>
    <t>Jmenovitý chladicí výkon a jmenovitý příkon</t>
  </si>
  <si>
    <t>Jmenovité podmínky TNV = 7°C
dT = 5 °C</t>
  </si>
  <si>
    <t>EER</t>
  </si>
  <si>
    <t>▪ Jmenovitý chladicí výkon a jmenovitý příkon platí pro jmenovité otáčky kompresoru
▪ Příkon bez oběhového čerpadla
▪ Chladicí výkon a příkon se měří podle normy EN 14511</t>
  </si>
  <si>
    <t>TO:       Venkovní teplota (TK °C) TNV:      Teplota na výstupu (°C) dT:        Rozdíl teplot (°C)
teplota vratné vody – teplota na výstupu</t>
  </si>
  <si>
    <t>12 I TOSHIBA</t>
  </si>
  <si>
    <t>Chladicí výkon a příkon
HWT-401HW-E</t>
  </si>
  <si>
    <t>13</t>
  </si>
  <si>
    <t>6,24</t>
  </si>
  <si>
    <t>27</t>
  </si>
  <si>
    <t>5,98</t>
  </si>
  <si>
    <t>5,87</t>
  </si>
  <si>
    <t>5,16</t>
  </si>
  <si>
    <t>43</t>
  </si>
  <si>
    <t>4,84</t>
  </si>
  <si>
    <t>1,18</t>
  </si>
  <si>
    <t>1,3</t>
  </si>
  <si>
    <t>1,35</t>
  </si>
  <si>
    <t>1,43</t>
  </si>
  <si>
    <t>1,57</t>
  </si>
  <si>
    <t>5,29</t>
  </si>
  <si>
    <t>4,61</t>
  </si>
  <si>
    <t>4,36</t>
  </si>
  <si>
    <t>3,98</t>
  </si>
  <si>
    <t>3,29</t>
  </si>
  <si>
    <t>2,93</t>
  </si>
  <si>
    <t>▪ Chladicí výkon a příkon při maximálních otáčkách kompresoru
▪ Příkon bez oběhového čerpadla
▪ Chladicí výkon a příkon se měří podle normy EN 14511
TO:       Venkovní teplota (TK °C) TNV:      Teplota na výstupu (°C)</t>
  </si>
  <si>
    <t>TOSHIBA I 13</t>
  </si>
  <si>
    <t>HWT-601HW-E – JMENOVITÝ TOPNÝ VÝKON</t>
  </si>
  <si>
    <t>Venkovní jednotka HWT-601HW-E Hydrobox HWT-601XWH**W-E
All-in-One HWT-601F21S**W-E</t>
  </si>
  <si>
    <t>TO:       Venkovní teplota (TK °C) TNV:      Teplota na výstupu (°C) dT:        Rozdíl teplot (°C)
teplota na výstupu – teplota vratné vody</t>
  </si>
  <si>
    <t>14 I TOSHIBA</t>
  </si>
  <si>
    <t>Maximální topný výkon a příkon HWT-601HW-E</t>
  </si>
  <si>
    <t>4,13</t>
  </si>
  <si>
    <t>4,03</t>
  </si>
  <si>
    <t>3,93</t>
  </si>
  <si>
    <t>5,11</t>
  </si>
  <si>
    <t>4,75</t>
  </si>
  <si>
    <t>4,39</t>
  </si>
  <si>
    <t>5,79</t>
  </si>
  <si>
    <t>5,57</t>
  </si>
  <si>
    <t>6,06</t>
  </si>
  <si>
    <t>5,93</t>
  </si>
  <si>
    <t>1,58</t>
  </si>
  <si>
    <t>1,73</t>
  </si>
  <si>
    <t>1,88</t>
  </si>
  <si>
    <t>1,77</t>
  </si>
  <si>
    <t>1,79</t>
  </si>
  <si>
    <t>1,82</t>
  </si>
  <si>
    <t>1,81</t>
  </si>
  <si>
    <t>1,89</t>
  </si>
  <si>
    <t>1,99</t>
  </si>
  <si>
    <t>1,95</t>
  </si>
  <si>
    <t>2,61</t>
  </si>
  <si>
    <t>2,33</t>
  </si>
  <si>
    <t>2,09</t>
  </si>
  <si>
    <t>2,9</t>
  </si>
  <si>
    <t>2,42</t>
  </si>
  <si>
    <t>3,2</t>
  </si>
  <si>
    <t>2,94</t>
  </si>
  <si>
    <t>2,69</t>
  </si>
  <si>
    <t>3,45</t>
  </si>
  <si>
    <t>3,12</t>
  </si>
  <si>
    <t>2,83</t>
  </si>
  <si>
    <t>▪ Topný výkon a příkon při maximálním topném výkonu
▪ Topný výkon a příkon při maximálních otáčkách kompresoru
▪ Příkon bez oběhového čerpadla
▪ Topný výkon a příkon se měří podle normy EN 14511
TO:       Venkovní teplota (TK °C) TNV:      Teplota na výstupu (°C)
TOSHIBA I 15</t>
  </si>
  <si>
    <t>HWT-601HW-E – JMENOVITÝ CHLADICÍ VÝKON</t>
  </si>
  <si>
    <t>16 I TOSHIBA</t>
  </si>
  <si>
    <t>Chladicí výkon a příkon
HWT-601HW-E</t>
  </si>
  <si>
    <t>6,63</t>
  </si>
  <si>
    <t>6,57</t>
  </si>
  <si>
    <t>6,55</t>
  </si>
  <si>
    <t>6,04</t>
  </si>
  <si>
    <t>5,75</t>
  </si>
  <si>
    <t>1,21</t>
  </si>
  <si>
    <t>1,59</t>
  </si>
  <si>
    <t>1,78</t>
  </si>
  <si>
    <t>1,94</t>
  </si>
  <si>
    <t>2,03</t>
  </si>
  <si>
    <t>5,48</t>
  </si>
  <si>
    <t>4,12</t>
  </si>
  <si>
    <t>3,66</t>
  </si>
  <si>
    <t>▪ Jmenovitý chladicí výkon a jmenovitý příkon platí pro jmenovité otáčky kompresoru
▪ Příkon bez oběhového čerpadla
▪ Chladicí výkon a příkon se měří podle normy EN 14511
TO:       Venkovní teplota (TK °C) TNV:      Teplota na výstupu (°C)</t>
  </si>
  <si>
    <t>TOSHIBA I 17</t>
  </si>
  <si>
    <t>HWT-801H(R)W-E – JMENOVITÝ TOPNÝ VÝKON</t>
  </si>
  <si>
    <t>Venkovní jednotka HWT-801H(R)W-E Hydrobox HWT-1101XWH**W-E
All-in-One HWT-1101F21S***W-E</t>
  </si>
  <si>
    <t>18 I TOSHIBA</t>
  </si>
  <si>
    <t>Maximální topný výkon a příkon HWT-801H(R)W-E</t>
  </si>
  <si>
    <t>60</t>
  </si>
  <si>
    <t>-25</t>
  </si>
  <si>
    <t>4,37</t>
  </si>
  <si>
    <t>4,51</t>
  </si>
  <si>
    <t>5,4</t>
  </si>
  <si>
    <t>5,31</t>
  </si>
  <si>
    <t>6,1</t>
  </si>
  <si>
    <t>7,6</t>
  </si>
  <si>
    <t>6,67</t>
  </si>
  <si>
    <t>8,3</t>
  </si>
  <si>
    <t>7,01</t>
  </si>
  <si>
    <t>9,35</t>
  </si>
  <si>
    <t>7,78</t>
  </si>
  <si>
    <t>10,5</t>
  </si>
  <si>
    <t>8,4</t>
  </si>
  <si>
    <t>12,39</t>
  </si>
  <si>
    <t>9,07</t>
  </si>
  <si>
    <t>13,02</t>
  </si>
  <si>
    <t>9,96</t>
  </si>
  <si>
    <t>13,44</t>
  </si>
  <si>
    <t>10,55</t>
  </si>
  <si>
    <t>13,69</t>
  </si>
  <si>
    <t>10,6</t>
  </si>
  <si>
    <t>10,69</t>
  </si>
  <si>
    <t>3,21</t>
  </si>
  <si>
    <t>2,14</t>
  </si>
  <si>
    <t>3,41</t>
  </si>
  <si>
    <t>2,3</t>
  </si>
  <si>
    <t>3,61</t>
  </si>
  <si>
    <t>2,55</t>
  </si>
  <si>
    <t>3,67</t>
  </si>
  <si>
    <t>2,7</t>
  </si>
  <si>
    <t>3,71</t>
  </si>
  <si>
    <t>2,48</t>
  </si>
  <si>
    <t>2,57</t>
  </si>
  <si>
    <t>3,53</t>
  </si>
  <si>
    <t>2,41</t>
  </si>
  <si>
    <t>3,51</t>
  </si>
  <si>
    <t>3,52</t>
  </si>
  <si>
    <t>3,49</t>
  </si>
  <si>
    <t>2,2</t>
  </si>
  <si>
    <t>1,4</t>
  </si>
  <si>
    <t>2,52</t>
  </si>
  <si>
    <t>1,69</t>
  </si>
  <si>
    <t>3,07</t>
  </si>
  <si>
    <t>2,16</t>
  </si>
  <si>
    <t>4,08</t>
  </si>
  <si>
    <t>2,38</t>
  </si>
  <si>
    <t>5,14</t>
  </si>
  <si>
    <t>2,58</t>
  </si>
  <si>
    <t>5,39</t>
  </si>
  <si>
    <t>5,55</t>
  </si>
  <si>
    <t>3</t>
  </si>
  <si>
    <t>5,66</t>
  </si>
  <si>
    <t>3,03</t>
  </si>
  <si>
    <t>5,84</t>
  </si>
  <si>
    <t>▪ Topný výkon a příkon při maximálním topném výkonu
▪ Topný výkon a příkon při maximálních otáčkách kompresoru
▪ Příkon bez oběhového čerpadla
▪ Topný výkon a příkon se měří podle normy EN 14511 TO:       Venkovní teplota (TK °C)
TNV:      Teplota na výstupu (°C)</t>
  </si>
  <si>
    <t>TOSHIBA I 19</t>
  </si>
  <si>
    <t>HWT-801H(R)W-E – JMENOVITÝ CHLADICÍ VÝKON</t>
  </si>
  <si>
    <t>▪ Chladicí výkon a příkon při maximálních otáčkách kompresoru
▪ Příkon bez oběhového čerpadla
▪ Chladicí výkon a příkon se měří podle normy EN 14511</t>
  </si>
  <si>
    <t>20 I TOSHIBA</t>
  </si>
  <si>
    <t>Chladicí výkon a příkon
HWT-801H(R)W-E</t>
  </si>
  <si>
    <t>8,97</t>
  </si>
  <si>
    <t>8,49</t>
  </si>
  <si>
    <t>8,28</t>
  </si>
  <si>
    <t>7,94</t>
  </si>
  <si>
    <t>6,43</t>
  </si>
  <si>
    <t>2,25</t>
  </si>
  <si>
    <t>2,5</t>
  </si>
  <si>
    <t>5,07</t>
  </si>
  <si>
    <t>4,26</t>
  </si>
  <si>
    <t>3,96</t>
  </si>
  <si>
    <t>2,43</t>
  </si>
  <si>
    <t>TOSHIBA I 21</t>
  </si>
  <si>
    <t>HWT-1101H(R)W-E – JMENOVITÝ TOPNÝ VÝKON</t>
  </si>
  <si>
    <t>Venkovní jednotka HWT-1101H(R)W-E Hydrobox HWT-1101XWH**W-E
All-in-One HWT-1101F21S***W-E</t>
  </si>
  <si>
    <t>22 I TOSHIBA</t>
  </si>
  <si>
    <t>Maximální topný výkon a příkon HWT-1101H(R)W-E</t>
  </si>
  <si>
    <t>5,12</t>
  </si>
  <si>
    <t>5,06</t>
  </si>
  <si>
    <t>7,3</t>
  </si>
  <si>
    <t>8,7</t>
  </si>
  <si>
    <t>9,56</t>
  </si>
  <si>
    <t>10,65</t>
  </si>
  <si>
    <t>11,95</t>
  </si>
  <si>
    <t>14,01</t>
  </si>
  <si>
    <t>9,05</t>
  </si>
  <si>
    <t>14,62</t>
  </si>
  <si>
    <t>9,8</t>
  </si>
  <si>
    <t>15,03</t>
  </si>
  <si>
    <t>10,31</t>
  </si>
  <si>
    <t>15,3</t>
  </si>
  <si>
    <t>10,42</t>
  </si>
  <si>
    <t>15,76</t>
  </si>
  <si>
    <t>10,61</t>
  </si>
  <si>
    <t>2,32</t>
  </si>
  <si>
    <t>3,63</t>
  </si>
  <si>
    <t>2,85</t>
  </si>
  <si>
    <t>3,17</t>
  </si>
  <si>
    <t>3,05</t>
  </si>
  <si>
    <t>3,16</t>
  </si>
  <si>
    <t>3,58</t>
  </si>
  <si>
    <t>3,02</t>
  </si>
  <si>
    <t>3,43</t>
  </si>
  <si>
    <t>3,42</t>
  </si>
  <si>
    <t>2,99</t>
  </si>
  <si>
    <t>2,21</t>
  </si>
  <si>
    <t>1,39</t>
  </si>
  <si>
    <t>1,54</t>
  </si>
  <si>
    <t>2,56</t>
  </si>
  <si>
    <t>2,74</t>
  </si>
  <si>
    <t>2,86</t>
  </si>
  <si>
    <t>4,62</t>
  </si>
  <si>
    <t>2,53</t>
  </si>
  <si>
    <t>2,81</t>
  </si>
  <si>
    <t>5</t>
  </si>
  <si>
    <t>3,04</t>
  </si>
  <si>
    <t>5,27</t>
  </si>
  <si>
    <t>3,11</t>
  </si>
  <si>
    <t>TOSHIBA I 23</t>
  </si>
  <si>
    <t>HWT-1101H(R)W-E – JMENOVITÝ CHLADICÍ VÝKON</t>
  </si>
  <si>
    <t>24 I TOSHIBA</t>
  </si>
  <si>
    <t>Chladicí výkon a příkon
HWT-1101H(R)W-E</t>
  </si>
  <si>
    <t>9,47</t>
  </si>
  <si>
    <t>9,37</t>
  </si>
  <si>
    <t>9,32</t>
  </si>
  <si>
    <t>9,25</t>
  </si>
  <si>
    <t>7,49</t>
  </si>
  <si>
    <t>1,83</t>
  </si>
  <si>
    <t>2,37</t>
  </si>
  <si>
    <t>2,77</t>
  </si>
  <si>
    <t>5,17</t>
  </si>
  <si>
    <t>3,59</t>
  </si>
  <si>
    <t>TOSHIBA I 25</t>
  </si>
  <si>
    <t>Fuse box
'ť ,14., ,13  i:             </t>
  </si>
  <si>
    <t>LI_J  LI                 1                                                                               7
1     1       1        I
•                                    1
1                   1</t>
  </si>
  <si>
    <t>f       •                                     </t>
  </si>
  <si>
    <t>1         1           I</t>
  </si>
  <si>
    <t>':1</t>
  </si>
  <si>
    <t>L_J
'1</t>
  </si>
  <si>
    <t>I'                                ':</t>
  </si>
  <si>
    <t>7·        ••                 •.</t>
  </si>
  <si>
    <t>:''                                       ,j"®·</t>
  </si>
  <si>
    <t>-"ri     ''</t>
  </si>
  <si>
    <t>    rv:'l</t>
  </si>
  <si>
    <t>'''</t>
  </si>
  <si>
    <t>.          .         ''</t>
  </si>
  <si>
    <t>o---• '   •.</t>
  </si>
  <si>
    <t>, '                               o·.      ,   '</t>
  </si>
  <si>
    <t>,  ,''</t>
  </si>
  <si>
    <t>L                                                                                  '              '                                                            '  '
L                                                                                 .              '                                                        '  '
       -_-_-_--_-------               •      c                    ::11</t>
  </si>
  <si>
    <t>Zone valve cooling
t      3-Way valve</t>
  </si>
  <si>
    <t>o    pump
l:«I         stop valve</t>
  </si>
  <si>
    <t>Hot water boiler</t>
  </si>
  <si>
    <t>cccccccccccc---J,        l                                                                                           ":
----
Heating 1
1</t>
  </si>
  <si>
    <t>d           Check valve Overflow valve
I&gt;&lt;        Pressure reducer
*    Backflow preventer Safety valve</t>
  </si>
  <si>
    <t>balancing valve
@-           Thermometer
®-        Manometer Flushing nozzle
u    Magnetite filter</t>
  </si>
  <si>
    <t>L
200
300</t>
  </si>
  <si>
    <t>Register m'</t>
  </si>
  <si>
    <t>1             L,
1
1
1
1
1
1
1
1
1
1
1
1</t>
  </si>
  <si>
    <t>+       Test facility Supply cooling Return cooling
Potable water warm
Potable water circulation</t>
  </si>
  <si>
    <t>Control line Supply heating Return heating Potable water cold Drain
SCHEMATIC   1.0 ESTIA</t>
  </si>
  <si>
    <t>:-­       1</t>
  </si>
  <si>
    <t>c;;A</t>
  </si>
  <si>
    <t>1 hea r.gcurcuit3-Wayvalve
hotwatert:&gt;oilerwith3-wayvalve</t>
  </si>
  <si>
    <t>,ľ '
,:,,,_</t>
  </si>
  <si>
    <t>úr.r-
-ÁL</t>
  </si>
  <si>
    <t>Company signature System start up:</t>
  </si>
  <si>
    <t>Name:                    Date:</t>
  </si>
  <si>
    <t>,,,,_,,,,,,,,,,,,</t>
  </si>
  <si>
    <t>!E  u·</t>
  </si>
  <si>
    <t>T   -Hl   A</t>
  </si>
  <si>
    <t>Exemplary system scheme for integrating an ESTIA air/ water heat pump.
Planning and installation of the system in accordance with national standards and guidelines.</t>
  </si>
  <si>
    <t>'!   li</t>
  </si>
  <si>
    <t>-                ,</t>
  </si>
  <si>
    <t>o      '     '      '          '                                                                                        '
'                                                  '</t>
  </si>
  <si>
    <t>•                       '                               .      '                    -</t>
  </si>
  <si>
    <t>''                                •
:                                                                 l</t>
  </si>
  <si>
    <t>•                                  '                                   ''''
.                :                                                            :  :</t>
  </si>
  <si>
    <t>o    pump</t>
  </si>
  <si>
    <t>L                _                                                                                                                                             Zone valve cooling</t>
  </si>
  <si>
    <t>L'1</t>
  </si>
  <si>
    <t>--------          --_-_-_-_-_-_-_-</t>
  </si>
  <si>
    <t>balancing valve
®-        Thermometer
®-        Manometer</t>
  </si>
  <si>
    <t>_, f                     </t>
  </si>
  <si>
    <t>-                                               "</t>
  </si>
  <si>
    <t>d           Check valve Overflow valve
(&gt;,            Pressure reducer</t>
  </si>
  <si>
    <t>,-                    R           Coollog                                                                             Heating 1</t>
  </si>
  <si>
    <t>*    Backflow preventer</t>
  </si>
  <si>
    <t>Flushing nozzle</t>
  </si>
  <si>
    <t>Hot water boiler
,         .,,,.,.</t>
  </si>
  <si>
    <t>: i
,  ,          ,</t>
  </si>
  <si>
    <t>'""</t>
  </si>
  <si>
    <t>X       éf,</t>
  </si>
  <si>
    <t>Safety valve
+      Test facility</t>
  </si>
  <si>
    <t>o.     Magnetite filter
Control line</t>
  </si>
  <si>
    <t>3200                                             : :
:-­                        _J
Ii:
1/:</t>
  </si>
  <si>
    <t>Supply cooling Return cooling Potable water warm
Potable water circulation
A                   </t>
  </si>
  <si>
    <t>Supply heating Return heating Potable water cold Drain
SCHEMATIC   1.1 ESTIA
1heatingcurcuit3-Wayvalve hotwaterboilerwith3-wayvalve
1coolingcircuitwithoverflowandcociingstopvalve</t>
  </si>
  <si>
    <t>IHNMW
::4::::::::::,.,,,.,</t>
  </si>
  <si>
    <t>r                                                       Company signature
System start up:</t>
  </si>
  <si>
    <t>Name:</t>
  </si>
  <si>
    <t>Date:</t>
  </si>
  <si>
    <t>Exemplary system scheme far integrating an ESTIA air/ water heat pump.
Planning and installation of the system in accordance with national standards and guidelines.</t>
  </si>
  <si>
    <t>Fuse box
15  14    13
I      I
1     1      1
•</t>
  </si>
  <si>
    <t>,                                ,
l:1 1
1
1
1</t>
  </si>
  <si>
    <t>f       •                                    </t>
  </si>
  <si>
    <t>1
1
L     _    _J</t>
  </si>
  <si>
    <t>F„Pl.             'Pl                        :      7rv</t>
  </si>
  <si>
    <t>.                   i1</t>
  </si>
  <si>
    <t>,     • u     </t>
  </si>
  <si>
    <t>:•   ·:1ľ"l•l•</t>
  </si>
  <si>
    <t>L
L
--                                    --</t>
  </si>
  <si>
    <t>----</t>
  </si>
  <si>
    <t>·                  1                                                                          1   1'  •
o.           1                                                                           11
L                                                                                                   L     L
'                                                       '  '
'                       '1   1</t>
  </si>
  <si>
    <t>Zone valve cooling
t      3-Way valve
c:::::r       Check valve</t>
  </si>
  <si>
    <t>o    pump
txx:l         stop valve
balancing valve</t>
  </si>
  <si>
    <t>O                                L      L
1
Register m'   1   1</t>
  </si>
  <si>
    <t>C</t>
  </si>
  <si>
    <t>SMLlS&gt;'</t>
  </si>
  <si>
    <t>Safety valve</t>
  </si>
  <si>
    <t>Q</t>
  </si>
  <si>
    <t>Magnetite filter</t>
  </si>
  <si>
    <t>.5 5</t>
  </si>
  <si>
    <t>,1.</t>
  </si>
  <si>
    <t>Test facility</t>
  </si>
  <si>
    <t>Control line</t>
  </si>
  <si>
    <t>"                                       ''''
-r;.                      !tt</t>
  </si>
  <si>
    <t>.,,,,,,,,,,T   ,,,,,,,,,,,.
r;w•''''""t
1     ť
.g                 §1</t>
  </si>
  <si>
    <t>!'::-!=
ol!'  (1)
-
(1)w
-        -a                          X
::E  2  ·5</t>
  </si>
  <si>
    <t>Supply cooling Return cooling Potable water warm
Potable water circulation</t>
  </si>
  <si>
    <t>Supply heating Return heating Potable water cold Drain
SCHEMATIC  2.0 ESTIA
1heatingcurcuit3-Wayvalve ho1waterboilerwith3-wayvawe</t>
  </si>
  <si>
    <t>I /:
1::</t>
  </si>
  <si>
    <t>"''::::,}'Vi</t>
  </si>
  <si>
    <t>,,,,,,,_.                      ..,,,,,..,
,,,.                          .,,.
::::                         &amp;,txx:1
..,,,&amp;,,,,,,,,,,.,</t>
  </si>
  <si>
    <t>Company signature System stari up:
!E  u·</t>
  </si>
  <si>
    <t>Name:                      Date:
T   -Hl   A</t>
  </si>
  <si>
    <t>Fuse box
15  14    13
n      r7        r7</t>
  </si>
  <si>
    <t>r                                                                                                               7
l
11</t>
  </si>
  <si>
    <t>'ť LI&gt;  Ld        i
.
1
1
1</t>
  </si>
  <si>
    <t>r' :</t>
  </si>
  <si>
    <t>1
L    _     J</t>
  </si>
  <si>
    <t>,,"'-    "'                        7rv</t>
  </si>
  <si>
    <t>.                   11                                           1 •   ..,           :•·:1ľ"L••l</t>
  </si>
  <si>
    <t>·                  1                                                                     1   1'  •
1                                                                     1   1</t>
  </si>
  <si>
    <t>L                                                                                                        1                                                              1   1
[_                                                                                                             1                                                                1
i-=--=--=--=--=-        J      -r                                             ":</t>
  </si>
  <si>
    <t>Zone valve cooling
t      3-Way valve
d           Check valve Overflow valve
I&gt;&lt;        Pressure reducer</t>
  </si>
  <si>
    <t>o    pump
[Xx:J            stop valve balancing valve
®-        Thermometer
&amp;         Manometer</t>
  </si>
  <si>
    <t>HoLt waterb r·n1er         11   11
'""                           1  1                         '</t>
  </si>
  <si>
    <t>-   -   -   -</t>
  </si>
  <si>
    <t>f     '                                                 -   -   -   -  -   -     ----
&amp;1   "   ""1</t>
  </si>
  <si>
    <t>*    Backflow preventer Safety valve</t>
  </si>
  <si>
    <t>Flushing nozzle
o.     Magnetite filter</t>
  </si>
  <si>
    <t>-©</t>
  </si>
  <si>
    <t>,oo</t>
  </si>
  <si>
    <t>Register m'    1 1
1  1
'   1</t>
  </si>
  <si>
    <t>:;;;;;;;;;;::1;;;;;;;;;;;;:
rnw-,,.,,,,, ,,,,·---,rn
1</t>
  </si>
  <si>
    <t>i          Test facility Supply cooling Return cooling
Potable water warm
Potable water circulation</t>
  </si>
  <si>
    <t>Control line Supply heating Return heating Potable water cold Drain
SCHEMATIC  2.1</t>
  </si>
  <si>
    <t>ACooling</t>
  </si>
  <si>
    <t>:t     --                              1    L</t>
  </si>
  <si>
    <t>1heabngcurcuit3-Wayvalve
hotwalerboilerwith3-wayvalve
1 cooling circuit w h  overflow and COOing stop vatva</t>
  </si>
  <si>
    <t>•  ::      M/,;,  ,+-
,,:,,,,,_,;,,,',/,_',,,,,-,,,</t>
  </si>
  <si>
    <t>,4,,,,,,,t,.</t>
  </si>
  <si>
    <t>Company signature
System start up:</t>
  </si>
  <si>
    <t>,,,.,,,</t>
  </si>
  <si>
    <t>T    -Hl   A</t>
  </si>
  <si>
    <t>Fuse box</t>
  </si>
  <si>
    <t>r                                  7</t>
  </si>
  <si>
    <t>15   14    13         l1
I      I
1       1       1              1
.                                           1
1
1</t>
  </si>
  <si>
    <t>{        .
F'  :</t>
  </si>
  <si>
    <t>1
L    _    _J   1</t>
  </si>
  <si>
    <t>,.....    "'                        7rv</t>
  </si>
  <si>
    <t>·                 11</t>
  </si>
  <si>
    <t>1 • u    </t>
  </si>
  <si>
    <t>:••  :1ľ1l':.l••</t>
  </si>
  <si>
    <t>·                       1                                                                                         1    1
o.             1                                                                                          11
L                                                                                 '               L                                                                                                                                                                     L      L
L                                                                                                '                                                       '  '
--                                    --                                                                                                                                                  ''
--------   ---                                                    L                                                                                           L      L
• -=--=--=--=------ :ji, - T--------      ---                                                            Ji
--</t>
  </si>
  <si>
    <t>Zone valve cooling
t     3-Way valve
Check valve Overflow valve
...</t>
  </si>
  <si>
    <t>o    pump
txx:I         stop valve balancing valve
@-           Thermometer</t>
  </si>
  <si>
    <t>H'otwaterbo·'1"'    ,,,,1</t>
  </si>
  <si>
    <t>_JJ                     '                                                                                                                             "</t>
  </si>
  <si>
    <t>l&gt;4        Pressure reducer
Backflow preventer</t>
  </si>
  <si>
    <t>®-        Manometer
t&gt;4       Flushing nozzle</t>
  </si>
  <si>
    <t>1,,1                            1,.                                          f                                                                           "'"'"''        -·
'1
,,,,,,,,,,,-r:  ,,,,,,,,,,,,
-                  t
1
1
.,
------r-clk                                                           .,
,,,                                 ::                      
.,
,</t>
  </si>
  <si>
    <t>Safety valve
i         Test facility Supply cooling Return cooling
Potable water warm Potable water circulation
Company signature System stari up:
rE  u·</t>
  </si>
  <si>
    <t>Q       Magnetite filter
Control line Supply heating Return heating Potable water cold Drain
SCHEMATIC  3.0
ESTIA
l11i:!:l'l':B:iciuwrcu=1ii  w., """
1 COOi IEP!JJh  !} 1 stopvalve
Name:                      Date:
T    -Hl   A</t>
  </si>
  <si>
    <t>=     Register m'</t>
  </si>
  <si>
    <t>r
- :</t>
  </si>
  <si>
    <t> </t>
  </si>
  <si>
    <t>;-;---
1  /:
1::
-:         ,.,,
/::,,::    ;;;;;;</t>
  </si>
  <si>
    <t>l"'''""'"'"'"
1    ť
8.                    §1
,,,,;,,,,,1,,,..                                                             ',Ih
•;;
,,.                          .,,
,,,,.                                 ..,,,,,,
,_,,.                                                                  ·•;:h
,,., ,,,,,,
.,,,,:,,,:,</t>
  </si>
  <si>
    <t>,•,;;,;,;,,,Ih,</t>
  </si>
  <si>
    <t>Exemplary system scheme for integrating an ESTIA air/ water heat pump.
Planning and installation of the system in accordance with national standarcls and guidelines.</t>
  </si>
  <si>
    <t>Fuse box          r-                                                                                                 7</t>
  </si>
  <si>
    <t>•       15  14    13
::     :)           l
1
1      1      1</t>
  </si>
  <si>
    <t>ll1
:
1</t>
  </si>
  <si>
    <t>1                                                                                                                                                                    7rb</t>
  </si>
  <si>
    <t>L    _   _J</t>
  </si>
  <si>
    <t> 1   'u                  •</t>
  </si>
  <si>
    <t>iIľ.L •.</t>
  </si>
  <si>
    <t>L-    L  _                                                         .lo"11'17D • 'f'/,1,;l ,!           L
--    ---ft  -];
,-_::--------                  11                 :qi------------
I                1</t>
  </si>
  <si>
    <t>1
1
1
1                                              Zone valve cooling
1                                                                                              3-Way valve
1
1                                                           d           Check valve
Overflow valve
I&gt;&lt;        Pressure reducer</t>
  </si>
  <si>
    <t>o    pump
[Xx:J            stop valve balancing valve
®-        Thermometer
@-           Manometer</t>
  </si>
  <si>
    <t>Hotwaterboiler
L 200
300</t>
  </si>
  <si>
    <t>:         -----
1
1  1
1   1
1'1   1</t>
  </si>
  <si>
    <t>_::-_::-_::-_::-}_JIJ</t>
  </si>
  <si>
    <t>ii;;::::::::,T,:::::'.: 11;
11</t>
  </si>
  <si>
    <t>*    Backflow preventer Safety valve
-1-               Test facility Supply cooling Return cooling
Potable water warm
Potable water circulation</t>
  </si>
  <si>
    <t>Flushing nozzle
o.     Magnetite filter Control line
Supply heating Return heating Potable water cold Drain
SCHEMATIC  3.1 ESTIA</t>
  </si>
  <si>
    <t>L,
-©</t>
  </si>
  <si>
    <t>1    ľ
',,,,,,,,,,,,,,,</t>
  </si>
  <si>
    <t>,</t>
  </si>
  <si>
    <t>,.,:,,:,,:,:,,:,,:,
,,.,.,,</t>
  </si>
  <si>
    <t>:rt:  --   --
· --: br.:+-
:,,:,,,_,,,,,,,,,_,,,/,,,7,,_,",,,'_,,,,,,-,,,,,,,,</t>
  </si>
  <si>
    <t>11                            ,
,:,</t>
  </si>
  <si>
    <t>Company signature
49          System stari up:
!E  u·</t>
  </si>
  <si>
    <t>1heatingcurcuit3-Wayvalve 1heatingcurcuitunoontrolled
hotwatert:&gt;oilerwith3-wayvalve
1 coolingcircuitwithoverflowandcooHngstopval\lti
Name:                      Date:
T   -Hl   A</t>
  </si>
  <si>
    <t>Fuse box
•ij1y5  14    13</t>
  </si>
  <si>
    <t>r                                  7
ll1</t>
  </si>
  <si>
    <t>{   .               </t>
  </si>
  <si>
    <t>1      1       1
,</t>
  </si>
  <si>
    <t>1
1
1
1
1
L    _    _, 1</t>
  </si>
  <si>
    <t>,.....          "'</t>
  </si>
  <si>
    <t>7?'v</t>
  </si>
  <si>
    <t>·                  11</t>
  </si>
  <si>
    <t>1 • u                   :•• :1ľ"1l:l..</t>
  </si>
  <si>
    <t>·                      1                                                                                         1    1    ••</t>
  </si>
  <si>
    <t>L
L
                  -_--_-_-_-_----</t>
  </si>
  <si>
    <t>o.                          1                                                                                          11
•             '                                                            '  '
•                '--   -   -                                               :</t>
  </si>
  <si>
    <t>Zone valve cooling
t      3-Way valve
d           Check valve</t>
  </si>
  <si>
    <t>o    pump
l:«I         stop valve
balancing valve</t>
  </si>
  <si>
    <t>C   _::-_::-_::-_::-_:-:-</t>
  </si>
  <si>
    <t>-            J   -</t>
  </si>
  <si>
    <t>1-,--------  ----------- --  J  Ji</t>
  </si>
  <si>
    <t>Overflow valve
I&gt;&lt;        Pressure reducer</t>
  </si>
  <si>
    <t>@-           Thermometer
®-        Manometer</t>
  </si>
  <si>
    <t>1..-</t>
  </si>
  <si>
    <t>*    Backflow preventer Safety valve
+       Test facility</t>
  </si>
  <si>
    <t>Flushing nozzle
u    Magnetite filter Control line</t>
  </si>
  <si>
    <t>,,,,,,,,,,,'T'  ,,,,,,,,,,,,
rw•''''""t</t>
  </si>
  <si>
    <t>Supply heating Return heating Potable water cold Drain
SCHEMATIC  4.0</t>
  </si>
  <si>
    <t>Additionalheatgenerator TCB-PCNl3E Modul</t>
  </si>
  <si>
    <t>r:-:---</t>
  </si>
  <si>
    <t>1
1                       §1
,,.                             .</t>
  </si>
  <si>
    <t>:il    --</t>
  </si>
  <si>
    <t>,  8,,.                       ..,,,,,,,</t>
  </si>
  <si>
    <t>•         -r&amp;</t>
  </si>
  <si>
    <t>,,,.                          .,,,,,,
,,,.                          .,,,
"'·                          ·,:,,::                      </t>
  </si>
  <si>
    <t>Company signature</t>
  </si>
  <si>
    <t>""::::,,'m-1</t>
  </si>
  <si>
    <t>,,.,:,,,.::
,,,,,,,,,,,,,,,,,</t>
  </si>
  <si>
    <t>T   -Hl   A</t>
  </si>
  <si>
    <t>•Bi 1y5 :1:4    13</t>
  </si>
  <si>
    <t>lll:1</t>
  </si>
  <si>
    <t>1
1      1      1           1</t>
  </si>
  <si>
    <t>1   'u                         •</t>
  </si>
  <si>
    <t>iIľ.L •.
1</t>
  </si>
  <si>
    <t>1    1
l               1      1</t>
  </si>
  <si>
    <t>o;
1715
..w J9       .-:</t>
  </si>
  <si>
    <t>1     1
1    1
1    1
1     1
L                          1</t>
  </si>
  <si>
    <t>o    pump
[Xx:J            stop valve</t>
  </si>
  <si>
    <t>L _  ---_-_-_-_-_-_-_-_-_-_-_-_-_-_-_--- J:-  --    --
'          ­
!
1                                               L,
ii;;::::::::,T,:::::'.: 11;
11
11                            ,
,:,</t>
  </si>
  <si>
    <t>balancing valve
®-        Thermometer
@-           Manometer Flushing nozzle
o.     Magnetite filter
Control line Supply heating Return heating Potable water cold Drain
SCHEMATIC  4.1 ESTIA
1heatingcurcuit3-Wayvalve 1heatingcurcuitunoontrolled buffertankandbivalentheatgenerator hotwatert:&gt;oilerwith3-wayvalve
1 coolingcircuitwithoverflowandcooHngstopval\lti
Name:                     Date:
T   -Hl   A</t>
  </si>
  <si>
    <t>L</t>
  </si>
  <si>
    <t>:rt
·</t>
  </si>
  <si>
    <t>:  --   --
--: br.:+
:,,:,,,_,,,,,,,,,_,,,/,,,7,,_,",,,'_,,,,,,,-,,,,</t>
  </si>
  <si>
    <t>-
,,,</t>
  </si>
  <si>
    <t>ACooling
Additionalheatgenerator TCB-PCNI3E Modul</t>
  </si>
  <si>
    <t>i ľ - -    -  -=--l</t>
  </si>
  <si>
    <t>-   -   -   -   -   -   -   -   -_-_-_-_-_-_-_-_-_-_-_-_-_-_-_-_-_-_-_:l-'_-.7:- -I-  -  -'■-  -  -  -   .i  l'</t>
  </si>
  <si>
    <t>u  B
11 ,II  I11 ,,i'1,1</t>
  </si>
  <si>
    <t>r----_-_-_-_- _-_-_-_-  -  -  -  -  -  -  -                                                    ,.-
-</t>
  </si>
  <si>
    <t>'I       .</t>
  </si>
  <si>
    <t>;(J
..·.</t>
  </si>
  <si>
    <t>11  III   ll      1}111</t>
  </si>
  <si>
    <t>•·            •</t>
  </si>
  <si>
    <t>·l:.</t>
  </si>
  <si>
    <t>_._</t>
  </si>
  <si>
    <t>11 IL  -=.
Li-,---
- ©</t>
  </si>
  <si>
    <t>rn•          "                                           -               ..    Zoern,,ecoohag</t>
  </si>
  <si>
    <t>m•-</t>
  </si>
  <si>
    <t>1  1                              c,;"="'=,',''                                fi'-=:·:: =       • i;r</t>
  </si>
  <si>
    <t>3-Way,a,,e</t>
  </si>
  <si>
    <t>Hot water   iler     1</t>
  </si>
  <si>
    <t>í,---_                           ;
-u.-</t>
  </si>
  <si>
    <t>---•J      ----  , ",   '                     ''-
-   -           l ",:;;;;;;;;;;::ff;::;;;;;;;;;;;,',',,""'í•''.(.,,,",,,,                                                                        •</t>
  </si>
  <si>
    <t>,c&gt;, l   C0h,e,eck='",a'"•e
t-&gt;&lt;i        Pres'"'" '"'""'
*    Backflow preventer Safety valve
+       Test facility Supply cooling</t>
  </si>
  <si>
    <t>txx:I         stop valve balancing valve
@-           Thermometer
®-        Manometer Flushing nozzle
u    Magnetite filter
Control line
Supply heating</t>
  </si>
  <si>
    <t>C!
-</t>
  </si>
  <si>
    <t>Liter
200
300
r</t>
  </si>
  <si>
    <t>{    1sterm1</t>
  </si>
  <si>
    <t>AddiUonalheatgenerator TCB-PCN13E Modul
_J</t>
  </si>
  <si>
    <t>,,,                         ,,,
11    ľ</t>
  </si>
  <si>
    <t>Return cooling Potable water warm
Potable water circulation
-o</t>
  </si>
  <si>
    <t>Return heating Potable water cold Drain
SCHEMATIC   5.0</t>
  </si>
  <si>
    <t>_   _J 1
t
;.....</t>
  </si>
  <si>
    <t>,,,.i!!,,,,,,,,                          .-,,,¼!,,,  ,=,
,,,,,,,,,,,,,,                        .,.,,,,,,</t>
  </si>
  <si>
    <t>refrigerant pipes HWT-60: 1216mm HWT-110: 1616mm
fi                              TB01: 4x1-,5-2                                                                                                                                                                                                                                                                          71
1
1
Heating- or cooling curcuit 1   Heating- or cooling curcuit 2                                               •      . ..... \c:==:::J)                                          1
uncontrolled                                         3-Way valve                                                                            (re_,       1
\    1
1
1
ie
&lt;ll                                                           @-                     @-                      @-                     @-                                                                                                       ,J 
'C
C
&lt;ll
·ie-                     II           II           II           II</t>
  </si>
  <si>
    <t>a.r-7
F 1</t>
  </si>
  <si>
    <t>&lt;l-4</t>
  </si>
  <si>
    <t>T         I              tx&gt;:lj  :.J    T</t>
  </si>
  <si>
    <t>Zone valve cooling</t>
  </si>
  <si>
    <t>pump</t>
  </si>
  <si>
    <t>t      3-Way valve</t>
  </si>
  <si>
    <t>stop valve</t>
  </si>
  <si>
    <t>d           Check valve</t>
  </si>
  <si>
    <t>balancing valve</t>
  </si>
  <si>
    <t>Connection potable water piping: compression  fitting min. 022</t>
  </si>
  <si>
    <t>:            i
1                                               r</t>
  </si>
  <si>
    <t>Overflow valve</t>
  </si>
  <si>
    <t>@-           Thermometer</t>
  </si>
  <si>
    <t>(&gt;,            Pressure reducer</t>
  </si>
  <si>
    <t>®-        Manometer</t>
  </si>
  <si>
    <t>1
1        'X'
I11ľ   F·I      ,</t>
  </si>
  <si>
    <t>o.     Magnetite filter</t>
  </si>
  <si>
    <t>@-</t>
  </si>
  <si>
    <t>@-
&amp;
+-</t>
  </si>
  <si>
    <t>n           -            X
igo          Connection supply/return piping:
i              compression fitting min. 022</t>
  </si>
  <si>
    <t>.j.            Test facility</t>
  </si>
  <si>
    <t>Supply cooling</t>
  </si>
  <si>
    <t>Supply heating</t>
  </si>
  <si>
    <t>Return cooling</t>
  </si>
  <si>
    <t>Return heating</t>
  </si>
  <si>
    <t>Potable water warm</t>
  </si>
  <si>
    <t>Potable water cold</t>
  </si>
  <si>
    <t>Potable water circulation</t>
  </si>
  <si>
    <t>Drain</t>
  </si>
  <si>
    <t>II                                    7  drain connection</t>
  </si>
  <si>
    <t>SCHEMATIC  6.0 ESTIA ALL-IN-ONE</t>
  </si>
  <si>
    <t>1 heating or cooling curcuit uncontrolled 1 heating or cooling curcuit 3-Way valve</t>
  </si>
  <si>
    <t>System start up:</t>
  </si>
  <si>
    <t>-u-                   '</t>
  </si>
  <si>
    <t>(ŕ;.
heating circuit 1
uncontrolled
ie
OJ                                                    ®-               ®-
'C
C
OJ</t>
  </si>
  <si>
    <t>refrigerant pipes</t>
  </si>
  <si>
    <t>,-           .•.•... ',c:::::::::Jl
(((',··•   \
.        :
:...J</t>
  </si>
  <si>
    <t>HWT-60: 1216mm</t>
  </si>
  <si>
    <t>HWT-110: 1616mm</t>
  </si>
  <si>
    <t>;0</t>
  </si>
  <si>
    <t>TB01: 4x1,52</t>
  </si>
  <si>
    <t>·ie-                   R           R
ar. -7
Connection potable water piping:        : FJ
compression fitting min. 022    =          1                                            =
1          t:xxlj    qil q
n   i        qil                                 
®-      ®­                                      i            -,               .i
&amp;                                                   Connection supply/return piping:
R     i            7  drain connection</t>
  </si>
  <si>
    <t>3-Way valve</t>
  </si>
  <si>
    <t>l:«I</t>
  </si>
  <si>
    <t>d</t>
  </si>
  <si>
    <t>Check valve</t>
  </si>
  <si>
    <t>®-</t>
  </si>
  <si>
    <t>Thermometer</t>
  </si>
  <si>
    <t>I&gt;&lt;</t>
  </si>
  <si>
    <t>Pressure reducer</t>
  </si>
  <si>
    <t>&amp;</t>
  </si>
  <si>
    <t>Manometer</t>
  </si>
  <si>
    <t>+</t>
  </si>
  <si>
    <t>SCHEMATIC   7.0</t>
  </si>
  <si>
    <t>ESTIA ALL-IN-ONE</t>
  </si>
  <si>
    <t>1 heating curcuit uncontrolled</t>
  </si>
  <si>
    <t>System stari up:</t>
  </si>
  <si>
    <t>Exemplary system scheme forintegrating an ESTIA air/ water heat pump.
Planning and installation of the system in accordance with national standards and guidelines.</t>
  </si>
  <si>
    <t>L
-r---- PNE        r-      r------------------------
-     -- -- --F16    n  lí nif6 -
I                                                                                      1                                      Ti   III           Ti   I   í
1
lj                           L_ I_JC-_J
i1-                                         11       1
1!*25                                 1!        1!         N
1.     _J                                        1·         1!    í     PL                                                                                                                                                                                                                 -,7
7  !          r-  as,cai,oa  --                    7              1!        1I   1!                                                                                               i 1
-.:{-   i--  -íl""f rl,-f·';'T½a'-·:  k.a..'-,;_:.,1f",1r    l                                 1    1
Í       2zooe
í     L1NPE                 123PE       7     1í123PE                   LNPE              PE       12mí 127í 3471     1                    1                                         i 1
power supply          connection         1       •  1   Terminal TB01       Terminal TB03        1    Term1nal TB02     11 Terminal CN20 11 Tenninal CN2011                   F                                                                                                                                    i
IJI       HP-Hydco          Backopheate,        L': ;       LTW-seasoj       LTFl-seaso,JIJI                     I   seaso,                                     1                       300L
1               HP 230V            HP - Hydra                                    _         Connection          Power supply               Power supply Hydra &amp;          Hot Water                   2.Zone           _                              TFI                 U  H                                                                                                                                       1
1                                                                      1                                                                                                                     ! 1
r,::::   ::ľ I                      Iii                                                                     í   -   -   -   -   -   -  J     -    +--      2Pomp            1                                                                           '.:','.;::"'"'
1        1F            7Lm':j              Iit!!         f           --                 --                 --                  7ii   --  -+      1              j--                   ! 1
13-way valv;;-1        "5! ,c1,,,,,0,
1        &gt;-.1   r,J.         •            .r,Jr                    1i       1       -       -       -      -lr           -                                      Mi,iag ,al,e                                       I      HT-  DHW     I      mm.5m'                         !1
1                                                                                   1,     Hydrobox,              ,                                                  I     L   A                J                        '"•=••'J
1                                              l   l       I,       Back    eater  ,                       11       1                       1            -    -    -                                       ,::;,    !11
1                                                                                                          v
l                    l  I                                                                         ii                    11  -l,--------1              -_10          t
.Líl1         1=..                      í   .;"ti 7 í ±. o    7 í  !-H.  7-    1                                                    '"'"'"'""""'
1
-...;.--=,---------'-                                    !:I                                                             1 2 PE                     8  9  10                    8  9  10                         1·'=
1                                                                                   I=.                           lfo1l  Q     I  Te i ;leCN23  I I   Ter , :i2cN22 I   I   Te:,    CN23 I                   I
L_      -  -  -  J II  i  :·  -;    .,    2.Zone                     2.Zone                  HT - DHW                     i-i
2.Pump                M1xingvatve              3-wayvalve                     1
L  -    _JL  -    _J L  -    _J
sl   \:IAľ ,...•f!! 8!!§-'                                                                                        Ie
*   Dimensioning of fuse protection    111                                    í    -H- 7              111
and supply line according to the</t>
  </si>
  <si>
    <t>current regulations of the local    1!                                                         1   coo:::op7
I         i    l
power supply company                                                                                     Remote  oatrole,                                     !1       valve
1J1  m m                             ma,    12m                   m m                   Lm-a,  12mJ                  lr    1-   c:_®E   _J
1lrerminal CN2zl        Írerminal CN2"'íl       lrerminal CN2-;7       ITermmal CN2'"il       r   !-t-   71-                             --
§     1  ''  Pot-Free  ·"   1   1••   Pot-Free  -    1    1  ''  Pot-Free "     1   1  '· Pot-Free  .    1   1      3  4                   El
1           compressor-              Defrost output                Ho! water                 Alarm output 11    '"    11
11  lokal         1 1          1  1          1  1              2-way valve          1
operating output                  lokal                  operatmg output                  lokal                   Terminal CN23
1    lb60      J
2 3                               4 6                             1 3                    force stop cooling
L                  J         L                     J         L                     J         L    _
Uerminal Terminal Terminal Terminal Terminal Terminal Terminal Terminal Terminal Terminal Terminal TerminaU    </t>
  </si>
  <si>
    <t>WIRING DIAGRAM 230V
Hydrobox with Backupheater 3 kW</t>
  </si>
  <si>
    <t>Exemplary system diagram far the integration of an ESTIA air/water heat pump. Planning and installation of the plant according to national standards and guidelines.</t>
  </si>
  <si>
    <t>l  I                                                                                                        Tecm aa TB04fo,I                                  l  I</t>
  </si>
  <si>
    <t>-r----</t>
  </si>
  <si>
    <t>L1 L2 L3
N   E         r-  r------------------------</t>
  </si>
  <si>
    <t>P
11                         --       --       ---;1-             1;;·--
1   j                              F16A    1- 1ír  l  6
11                              1              1,11     1, í
1i                      L _lf C-_J 1
;            j'2sJ                                   ii      iIí    -- _-   -   -    -    -    -    -    -   -    -    -   -    -    -    -   -    -_ l
1</t>
  </si>
  <si>
    <t>_       :                            i- --r7    ,. ,•:1f   ,-  --l"a1Te:i:1Telonioa  1re,                                      7</t>
  </si>
  <si>
    <t>1    r
r-   ;,aíl         I
34           11
ninal CN20111                      1
.Zone           _                              TFI</t>
  </si>
  <si>
    <t>2.Zone</t>
  </si>
  <si>
    <t>UFH</t>
  </si>
  <si>
    <t>L1NPE                 123PE
power supply          conneciion
1               HP 230V            HP - Hydro</t>
  </si>
  <si>
    <t>123PE         L1L2L3NPE               1  N°PE       12m                   12
_       TerminalConnection:so1      TerminalsupplyPower    TB03              PowerTerm1nalsupplyTB02Hydra &amp;       TerminalWaterHot     CN20        Ten2
!1                                           LT        ,JľFl-s osoJ, iii       Iseoso,               1</t>
  </si>
  <si>
    <t>1                                                                1</t>
  </si>
  <si>
    <t>I  HP•Hydco    Back,pheate,   L': ;</t>
  </si>
  <si>
    <t>TW-seoso      e</t>
  </si>
  <si>
    <t>300L</t>
  </si>
  <si>
    <t>.                Em,
1</t>
  </si>
  <si>
    <t>1       1)1                       r   -=----=- -=---    -=---     -_±-     2P,mp     1                  _           '.:','.;:.""'"'
1</t>
  </si>
  <si>
    <t>3-wayvalv</t>
  </si>
  <si>
    <t>"fr</t>
  </si>
  <si>
    <t>1-.;                    </t>
  </si>
  <si>
    <t>ii                  ..          1             1</t>
  </si>
  <si>
    <t>-;-1h'!  ,rn,,,,e,</t>
  </si>
  <si>
    <t>1                                                                1       1!1 :flil ydr bo lilr         1!         1   -   -   -   -lf-1  -L      VM„mg,al,ej              I  HT-DjHW     I mm.5m'</t>
  </si>
  <si>
    <t>1                                                    'j</t>
  </si>
  <si>
    <t>1        11,</t>
  </si>
  <si>
    <t>Ba  \" :  te,  I,        1           1</t>
  </si>
  <si>
    <t>I!             -    -    -                                    Th•=••'"J':,</t>
  </si>
  <si>
    <t>1                                                 (Ôrll       Iii</t>
  </si>
  <si>
    <t>ii                    11--l,                         1         -_10</t>
  </si>
  <si>
    <t>---=r------•LH1         11
1                                                                                        I</t>
  </si>
  <si>
    <t>r□1! O</t>
  </si>
  <si>
    <t>1  flJ 71    ft: 7 1,llio7     11                                                         cOiode,hea&lt;e,
I Tem,ioalCN23II Te,mmalCN22I I Te,mioalCN23I     1 1</t>
  </si>
  <si>
    <t>L_      -   -   -</t>
  </si>
  <si>
    <t>J      Il</t>
  </si>
  <si>
    <t>lb:::Jl               2.Pump                M1xmgvalve              3-wayvatve                     1"§</t>
  </si>
  <si>
    <t>*    Dimensioning of fuse protection</t>
  </si>
  <si>
    <t>1!1</t>
  </si>
  <si>
    <t>0
\:bď   ""   j!  _,</t>
  </si>
  <si>
    <t>and supply line according to the current regulations of the local power supply company</t>
  </si>
  <si>
    <t>1                                       í H- 7             1
II·!i-i                                       ITe,mioa2Tl.B04fo,I            l --I    r1 - -co.ohngs7top</t>
  </si>
  <si>
    <t>WIRING DIAGRAM 230V</t>
  </si>
  <si>
    <t>valve</t>
  </si>
  <si>
    <t>111  m m       m m       m m    Lm-a,12mJ
f"'rerminal CN2"i7       ľ"rerminal CN2"i7       ľ'rerminal CN2"i7       ľ"rermmal CN2"i7</t>
  </si>
  <si>
    <t>1 lHr</t>
  </si>
  <si>
    <t>--Jjl-
71-                             --</t>
  </si>
  <si>
    <t>Hydrobox with Backupheater  6 / 9  kW</t>
  </si>
  <si>
    <t>,E,,.1   ''  Pot•Free,   ...  1    1   '·   Pot•Free  --  1   1  ''  Pot·Free  '"   1   1, ,     Pot•Free--   1             3 4                   El</t>
  </si>
  <si>
    <t>1           compressor-</t>
  </si>
  <si>
    <t>Defrost output</t>
  </si>
  <si>
    <t>Hot water</t>
  </si>
  <si>
    <t>Alarm output 11    '.'     11,".</t>
  </si>
  <si>
    <t>!E  u· T              A</t>
  </si>
  <si>
    <t>Rozvod chladiva jednotek ESTIA R32
Nový hydrobox určený pro zavěšení na stěnu
ESTIA R32:
Základní náplň chladiva: 401/601 = 0,9 kg
801/1101 = 1,25 kg</t>
  </si>
  <si>
    <t>ROZVODY CHLADIVA</t>
  </si>
  <si>
    <t>ESTIA R32:
Dodatečná náplň chladiva 401/601  = 20 g/m
801/1101  = 25 g/m</t>
  </si>
  <si>
    <t xml:space="preserve">Instalace zařízení ESTIA smí provádět pouze kvalifikovaní inženýři v souladu se všemi místními a státními předpisy </t>
  </si>
  <si>
    <t>TOSHIBA I 39</t>
  </si>
  <si>
    <t>AKUSTICKÉ ÚDAJE</t>
  </si>
  <si>
    <t>Specifikace jednotek ESTIA R32 – akustické hladiny</t>
  </si>
  <si>
    <t>Fyzické údaje ve volném poli</t>
  </si>
  <si>
    <t>Venkovní jednotka                                            HWT-</t>
  </si>
  <si>
    <t>401HW-E</t>
  </si>
  <si>
    <t>601HW-E</t>
  </si>
  <si>
    <t>801HW-E</t>
  </si>
  <si>
    <t>1101HW-E</t>
  </si>
  <si>
    <t>Hladina akustického tlaku (jmen.) top./chl.         dB(A) ve vzd. 1 m (1)</t>
  </si>
  <si>
    <t>45/46</t>
  </si>
  <si>
    <t>46/46</t>
  </si>
  <si>
    <t>51/50</t>
  </si>
  <si>
    <t>51/51</t>
  </si>
  <si>
    <t>Hladina akustického tlaku (tichý režim) top./      dB(A) chl. ve vzd. 1 m (1)</t>
  </si>
  <si>
    <t>40/41</t>
  </si>
  <si>
    <t>42/41</t>
  </si>
  <si>
    <t>46/47</t>
  </si>
  <si>
    <t>49/47</t>
  </si>
  <si>
    <t>Hladina akustického tlaku (jmen ) top /chl  ve vzd         dB(A) 5m (2)</t>
  </si>
  <si>
    <t>37/38</t>
  </si>
  <si>
    <t>40/39</t>
  </si>
  <si>
    <t>41/40</t>
  </si>
  <si>
    <t>42/40</t>
  </si>
  <si>
    <t>Hladina akustického tlaku (tichý režim) top./      dB(A) chl. ve vzd. 5m (2)</t>
  </si>
  <si>
    <t>32/33</t>
  </si>
  <si>
    <t>36/35</t>
  </si>
  <si>
    <t>36/37</t>
  </si>
  <si>
    <t>40/38</t>
  </si>
  <si>
    <t>Hladina akustického výkonu (max ) top /chl                 dB(A)</t>
  </si>
  <si>
    <t>65/–</t>
  </si>
  <si>
    <t>Hladina akustického výkonu (jmen.) top./chl.      dB(A)</t>
  </si>
  <si>
    <t>59/60</t>
  </si>
  <si>
    <t>62/61</t>
  </si>
  <si>
    <t>63/62</t>
  </si>
  <si>
    <t>64/62</t>
  </si>
  <si>
    <t>Hladina akustického výkonu (tichý režim)          dB(A) top./chl.</t>
  </si>
  <si>
    <t>54/55</t>
  </si>
  <si>
    <t>58/57</t>
  </si>
  <si>
    <t>58/59</t>
  </si>
  <si>
    <t>62/60</t>
  </si>
  <si>
    <t>(1) Hladina akustického tlaku podle normy EN 12102 ve vzdálenosti 1 m, činitel šíření zvuku Q = 2, polokoule
(2) Hladina akustického tlaku podle normy EN 12102 ve vzdálenosti 5 m, činitel šíření zvuku Q = 2, polokoule</t>
  </si>
  <si>
    <t>TVV = 7 °C</t>
  </si>
  <si>
    <t>4 kW</t>
  </si>
  <si>
    <t>6 kW</t>
  </si>
  <si>
    <t>8 kW</t>
  </si>
  <si>
    <t>11 kW</t>
  </si>
  <si>
    <t xml:space="preserve">Jmen </t>
  </si>
  <si>
    <t>Topný výkon</t>
  </si>
  <si>
    <t>Hladina akustického tlaku</t>
  </si>
  <si>
    <t>Tichý režim</t>
  </si>
  <si>
    <t>4,29</t>
  </si>
  <si>
    <t xml:space="preserve">vs  jmen </t>
  </si>
  <si>
    <t>0,72</t>
  </si>
  <si>
    <t>58</t>
  </si>
  <si>
    <t> 5</t>
  </si>
  <si>
    <t> 4</t>
  </si>
  <si>
    <t> 2</t>
  </si>
  <si>
    <t>40 I TOSHIBA</t>
  </si>
  <si>
    <t>PODSADA PRO TEPELNÉ ČERPADLO VZDUCH-VODA TOSHIBA ESTIA</t>
  </si>
  <si>
    <t xml:space="preserve"> .</t>
  </si>
  <si>
    <t xml:space="preserve"> .   . 4</t>
  </si>
  <si>
    <t>INFORMACE O MEMBRÁNOVÉ EXPANZNÍ NÁDRŽI .   .   .   .   .   .   .   .   .   .</t>
  </si>
  <si>
    <t xml:space="preserve"> .   . 5</t>
  </si>
  <si>
    <t>PŘIPOJENÍ 3CESTNÉHO VENTILU   .   .   .   .   .   .   .   .   .   .   .   .   .   .   .   .   .   .</t>
  </si>
  <si>
    <t xml:space="preserve"> .   . 6</t>
  </si>
  <si>
    <t>FUNKČNÍ KÓDY (SPUŠTĚNÍ A KONFIGURACE)  .   .   .   .   .   .   .   .   .   .   .   .</t>
  </si>
  <si>
    <t xml:space="preserve"> .   . 8</t>
  </si>
  <si>
    <t>PŘIPOJENÍ EXTERNÍHO TOPNÉHO SYSTÉMU (BIVALENTNÍ TOPENÍ)</t>
  </si>
  <si>
    <t xml:space="preserve"> . 10</t>
  </si>
  <si>
    <t>DÁLKOVÝ OVLADAČ   .   .   .   .   .   .   .   .   .   .   .   .   .   .   .   .</t>
  </si>
  <si>
    <t xml:space="preserve"> . 11</t>
  </si>
  <si>
    <t>FUNKČNÍ KÓDY    .   .   .   .   .   .   .   .   .   .   .   .   .   .   .   .   .   .</t>
  </si>
  <si>
    <t xml:space="preserve"> . 15</t>
  </si>
  <si>
    <t>PROGRAM SUŠENÍ PODLAHOVÝM TOPENÍM    .   .   .</t>
  </si>
  <si>
    <t xml:space="preserve"> . 21</t>
  </si>
  <si>
    <t>TEST PROVOZU POMOCÍ SPÍNAČE NA DESCE PCB</t>
  </si>
  <si>
    <t xml:space="preserve"> . 22</t>
  </si>
  <si>
    <t>MONITOROVÁNÍ   .   .   .   .   .   .   .   .   .   .   .   .   .   .   .   .   .   .</t>
  </si>
  <si>
    <t xml:space="preserve"> . 23</t>
  </si>
  <si>
    <t>UMÍSTĚNÍ SENZORŮ  .   .   .   .   .   .   .   .   .   .   .   .   .   .   .   .</t>
  </si>
  <si>
    <t xml:space="preserve"> . 24</t>
  </si>
  <si>
    <t>VOLITELNÉ VSTUPY NA HYDROBOXU   .   .   .   .   .   .   .</t>
  </si>
  <si>
    <t xml:space="preserve"> . 26</t>
  </si>
  <si>
    <t>OVLÁDÁNÍ HYDROBOXU  .   .   .   .   .   .   .   .   .   .   .   .   .   .</t>
  </si>
  <si>
    <t xml:space="preserve"> . 27</t>
  </si>
  <si>
    <t>ROZHRANÍ 0–10 V [HWS-IFAIP01U-E]    .   .   .   .   .   .</t>
  </si>
  <si>
    <t xml:space="preserve"> . 28</t>
  </si>
  <si>
    <t>PŘÍMÁ REGULACE VÝKONU   .   .   .   .   .   .   .   .   .   .   .   .</t>
  </si>
  <si>
    <t xml:space="preserve"> . 29</t>
  </si>
  <si>
    <t>RESET HLAVNÍ DESKY  .   .   .   .   .   .   .   .   .   .   .   .   .   .   .</t>
  </si>
  <si>
    <t xml:space="preserve"> . 30</t>
  </si>
  <si>
    <t>KABELOVÉ PROPOJENÍ DÁLKOVÉHO OVLADAČE   .</t>
  </si>
  <si>
    <t xml:space="preserve"> . 31</t>
  </si>
  <si>
    <t>NASTAVENÍ ČASOVAČE    .   .   .   .   .   .   .   .   .   .   .   .   .   .</t>
  </si>
  <si>
    <t xml:space="preserve"> . 32</t>
  </si>
  <si>
    <t>Q-H KŘIVKY ČERPADEL   .   .   .   .   .   .   .   .   .   .   .   .   .   .</t>
  </si>
  <si>
    <t xml:space="preserve"> . 35</t>
  </si>
  <si>
    <t>CHARAKTERISTIKA TEPLOTNÍHO SENZORU  .   .   .   .</t>
  </si>
  <si>
    <t xml:space="preserve"> . 36</t>
  </si>
  <si>
    <t>ROZMĚRY   .   .   .   .   .   .   .   .   .   .   .   .   .   .   .   .   .   .   .   .   .</t>
  </si>
  <si>
    <t xml:space="preserve"> . 37</t>
  </si>
  <si>
    <t>PŘÍZNAKY PORUCH   .   .   .   .   .   .   .   .   .   .   .   .   .   .   .   .</t>
  </si>
  <si>
    <t xml:space="preserve"> . 41</t>
  </si>
  <si>
    <t>PŘÍDAVNÉ MODULY (KNX / MODBUS)  .   .   .   .   .   .   .</t>
  </si>
  <si>
    <t xml:space="preserve"> . 49</t>
  </si>
  <si>
    <t>ELEKTRICKÉ ZAPOJENÍ PRO PŘEDBĚŽNÝ OHŘEV PŘED UVEDENÍM DO PROVOZU                                                          52</t>
  </si>
  <si>
    <t>PODSADA</t>
  </si>
  <si>
    <t>Podsada pro tepelné čerpadlo vzduch-voda TOSHIBA ESTIA s výkonem 4/6 kW
Pohled shora</t>
  </si>
  <si>
    <t>Výška podsady: 20 cm</t>
  </si>
  <si>
    <t>Rozteč
otvorů</t>
  </si>
  <si>
    <t>HWT-401HW-E HWT-601HW-E</t>
  </si>
  <si>
    <t>Rozteč otvorů</t>
  </si>
  <si>
    <t>Podsada pro tepelné čerpadlo vzduch-voda TOSHIBA ESTIA R32 s výkonem 8/11 kW</t>
  </si>
  <si>
    <t>HWT-801HW-E HWT-1101HW-E</t>
  </si>
  <si>
    <t>4 I TOSHIBA</t>
  </si>
  <si>
    <t>Podrobné rozměry najdete od strany 37.</t>
  </si>
  <si>
    <t>MEMBRÁNOVÁ EXPANZNÍ NÁDRŽ / JIŠTĚNÍ A JMENOVITÝ PROUD</t>
  </si>
  <si>
    <t>Informace o membránové expanzní nádrži
Obě vnitřní jednotky ESTIA jsou z výrobního závodu vybaveny membránovou expanzní nádrží:</t>
  </si>
  <si>
    <t>Typ vnitřní jednotky</t>
  </si>
  <si>
    <t>Objem (litr)</t>
  </si>
  <si>
    <t>Předtlak (bar)</t>
  </si>
  <si>
    <t>Hydrobox</t>
  </si>
  <si>
    <t>All In One</t>
  </si>
  <si>
    <t>Za dimenzování související s instalovaným vodním systémem odpovídá odborná instalační firma.
Celkový expanzní objem lze zjednodušeně určit následujícím způsobem.</t>
  </si>
  <si>
    <t>Objem vody</t>
  </si>
  <si>
    <t>Zvětšení objemu vody</t>
  </si>
  <si>
    <t>Typ topení</t>
  </si>
  <si>
    <t>Teplota, výst ./vrat .</t>
  </si>
  <si>
    <t>Obsah</t>
  </si>
  <si>
    <t>Teplota na výstupu</t>
  </si>
  <si>
    <t>Součinitel</t>
  </si>
  <si>
    <t>Trubkové topné těleso</t>
  </si>
  <si>
    <t>60/40 °C</t>
  </si>
  <si>
    <t>36,2 l/kW</t>
  </si>
  <si>
    <t>40 °C</t>
  </si>
  <si>
    <t>70/50 °C</t>
  </si>
  <si>
    <t>26,1 l/kW</t>
  </si>
  <si>
    <t>50 °C</t>
  </si>
  <si>
    <t>Deskové topné těleso</t>
  </si>
  <si>
    <t>14,6 l/kW</t>
  </si>
  <si>
    <t>60 °C</t>
  </si>
  <si>
    <t>11,4 l/kW</t>
  </si>
  <si>
    <t>70 °C</t>
  </si>
  <si>
    <t>Podlahové topení</t>
  </si>
  <si>
    <t>20 l/kW</t>
  </si>
  <si>
    <t>1.       Odhadněte objem vody v topném systému:
2.       Odhadněte expanzní objem:</t>
  </si>
  <si>
    <t>Expanzní objem = objem vody x součinitel zvětšení objemu vody</t>
  </si>
  <si>
    <t>Podrobné dimenzování však zohledňuje i další parametry:
-         Požadovaný objem vody v expanzní nádrži
-         Předtlak i koncový tlak expanzní nádrže
-         Jmenovitý objem expanzní nádrže</t>
  </si>
  <si>
    <t>Za účelem přesného navržení systému jsou k dispozici softwarová řešení, aplikace i příslušná odborná literatura.</t>
  </si>
  <si>
    <t>Jištění a jmenovitý proud</t>
  </si>
  <si>
    <t>Model HWT-</t>
  </si>
  <si>
    <t>801H(R)W-E</t>
  </si>
  <si>
    <t>1101H(R)W-E</t>
  </si>
  <si>
    <t>Napájení</t>
  </si>
  <si>
    <t>220–240 V ~50 Hz</t>
  </si>
  <si>
    <t>Max. provozní proud</t>
  </si>
  <si>
    <t>14,6 A</t>
  </si>
  <si>
    <t>20,3 A</t>
  </si>
  <si>
    <t>Doporučené jištění</t>
  </si>
  <si>
    <t>16 A</t>
  </si>
  <si>
    <t>25 A</t>
  </si>
  <si>
    <t>Napájecí kabel</t>
  </si>
  <si>
    <t>2 × 2,5 mm2 nebo větší
(H07 RN-F nebo 60245 IEC 66)</t>
  </si>
  <si>
    <t>Zemnicí kabel pro venkovní prostředí</t>
  </si>
  <si>
    <t>1 × 2,5 mm2 nebo větší</t>
  </si>
  <si>
    <t>Propojovací kabel hydroboxu a venk. jednotky</t>
  </si>
  <si>
    <t>4 × 1,5 mm2 nebo větší
(H07 RN-F nebo 60245 IEC 66)</t>
  </si>
  <si>
    <t>TOSHIBA I 5</t>
  </si>
  <si>
    <t>3CESTNÝ PŘEPÍNACÍ VENTIL PRO OHŘEV TEPLÉ UŽITKOVÉ VODY</t>
  </si>
  <si>
    <t>3cestný přepínací ventil pro ohřev teplé užitkové vody
Připojení 3cestného ventilu (divertor)
Požadovaná specifikace ventilu:</t>
  </si>
  <si>
    <t>NEDOPORUČENO!</t>
  </si>
  <si>
    <t>Elektrická specifikace: 230 V; 50 Hz; &lt;100 mA
•    Průměr ventilu: Přípojka A, přípojka B: ⌀ 1 1/4“
•    Vratný mechanismus: Lze použít 3 různé 3cestné ventily (divertory).
Používaný 3cestný ventil nastavte pomocí
kódu DN 6B4.</t>
  </si>
  <si>
    <t>Typ 2: SPST
kanál „A“ k teplovodnímu zásobníku
ka hyd</t>
  </si>
  <si>
    <t>Vodní jednotka (hydrobox)
CN23</t>
  </si>
  <si>
    <t>nál „AB“ k ro-boxu</t>
  </si>
  <si>
    <t>kanál „A“ uzavřen</t>
  </si>
  <si>
    <t>otevřeno</t>
  </si>
  <si>
    <t>6B4</t>
  </si>
  <si>
    <t>Typ 1</t>
  </si>
  <si>
    <t>2žilová vratná pružina</t>
  </si>
  <si>
    <t>Typ 2</t>
  </si>
  <si>
    <t>3žilový kontakt SPST</t>
  </si>
  <si>
    <t>Typ 3</t>
  </si>
  <si>
    <t>3žilový kontakt SPDT</t>
  </si>
  <si>
    <t>kanál „B“ pro vytápění nebo chlazení prostoru</t>
  </si>
  <si>
    <t>POZNÁMKA
Motor by neměl při úplně otevřené poloze běžet nepřetržitě.
•    Pomocí 3cestného přepínacího ventilu se přepíná mezi přípravou teplé vody a topením.
•    Připojte 3cestný přepínací ventil ke svorkám 8, 9 a 10 na svorkovnici CN23.
•    3cestný přepínací ventil připojte dle následujícího
obrázku:</t>
  </si>
  <si>
    <t>Typ 3: SPDT
kanál „A“ k teplovodnímu</t>
  </si>
  <si>
    <t>Doporučeno!</t>
  </si>
  <si>
    <t>Typ 1: PRUŽINOVÝ PROTITAH
kanál „A“ k teplovodnímu zásobníku
kan hy
kanál „B“ pro vytápění nebo chlazení prostoru</t>
  </si>
  <si>
    <t>ál „AB“ k dro-boxu</t>
  </si>
  <si>
    <t>kanál „A“ otevřen</t>
  </si>
  <si>
    <t>6 I TOSHIBA</t>
  </si>
  <si>
    <t>3CESTNÝ SMĚŠOVACÍ VENTIL PRO 2. ZÓNU</t>
  </si>
  <si>
    <t>3cestný směšovací ventil pro 2. zónu
Připojení 3cestného směšovacího ventilu
Požadovaná regulační specifikace:
Elektrická specifikace: 230 V; 50 Hz; &lt;100 mA
3cestný směšovací ventil je nutný k dosažení rozdílu teplot v topném systému se 2 zónami.
•    Připojte 3cestný směšovací ventil ke svorkám 8, 9 a 10 na svorkovnici CN22 (pro směšovací ventil typu 1) nebo ke svorkám 7, 8 a 9 na svorkovnici CN22 (pro směšovací ventil typu 2).
•    3cestný směšovací ventil připojte dle následujících obrázků:
Typ 1: SPDT</t>
  </si>
  <si>
    <t>Elektrické zapojení
(elektrický ohřívač zásobníku teplé vody)
•    Elektrický ohřívač integrovaný
v zásobníku teplé vody vyžaduje vlastní připojení k hydroboxu.
•    Ohřívač zásobníku teplé vody připojte následujícím způsobem:
Fáze: svorka L na svorkovnici 02
Nulový vodič: svorka N na svorkovnici 02 Uzemnění: zemnicí svorka na svorkovnici 02
•    Ohřívač zásobníku teplé vody připojte k hydroboxu následujícím způsobem: Fázový vodič na zásobníku teplé vody: svorka 1 na svorkovnici 03
Nulový vodič na zásobníku teplé vody: svorka 2 na svorkovnici 03
Zemnicí vodič na zásobníku teplé vody: zemnicí svorka na svorkovnici 03</t>
  </si>
  <si>
    <t>Proudový chránič</t>
  </si>
  <si>
    <t>VSTUPNÍ napětí 220-240 V ~</t>
  </si>
  <si>
    <t>2
1</t>
  </si>
  <si>
    <t>50 Hz</t>
  </si>
  <si>
    <t>N</t>
  </si>
  <si>
    <t>Teplovodní zásobník</t>
  </si>
  <si>
    <t>Svorkovnice 02</t>
  </si>
  <si>
    <t>kanál „B“ ZAHRAŽEN
Typ 2: SPST
kanál „A“ k vytápění Zóny 2
kanál „AB“ k hydro-boxu
kanál „B“ ZAHRAŽEN</t>
  </si>
  <si>
    <t>Elektrické zapojení
(teplotní senzor ásobníku teplé vody)
•   Teplotní senzor zásobníku teplé vody připojte dle níže uvedeného obrázku ke svorkám 1 a 2 na svorkovnici CN20 v hydroboxu.
•   Zajistěte, aby byl propojovací kabel mezi hydroboxem a zásobníkem teplé vody na obou koncích uzemněn pomocí stíněného kabelu.</t>
  </si>
  <si>
    <t>Vodní jednotka (hydrobox)
CN22</t>
  </si>
  <si>
    <t>TOSHIBA I 7</t>
  </si>
  <si>
    <t>FUNKČNÍ KÓDY</t>
  </si>
  <si>
    <t>Spuštění a konfigurace
Chcete-li změnit kódy DN-Code hydroboxu, vyberte v podnabídce „Nastavení“ položku
„Kódy DN-Code pro hydrobox“.
Zadejte následující počáteční nastavení i ostatní nastavené hodnoty:</t>
  </si>
  <si>
    <t>Nastavení kódů DN-Code hydroboxu</t>
  </si>
  <si>
    <t>Místo uložení Číslo funkčního kódu</t>
  </si>
  <si>
    <t>*HB = paměť EEPROM hydroboxu
*RC = dálkový ovladač</t>
  </si>
  <si>
    <t>Popis funkčního kódu</t>
  </si>
  <si>
    <t>HB*</t>
  </si>
  <si>
    <t>RC*</t>
  </si>
  <si>
    <t>Rozsah</t>
  </si>
  <si>
    <t>Předběžné nastavení</t>
  </si>
  <si>
    <t>Doplňkové informace</t>
  </si>
  <si>
    <t>Nastavení systému (náhrada DPSW)</t>
  </si>
  <si>
    <t>Používá se k aktivaci výstupu externího topení
0 = výstup externíhotopení je deaktivovaný
1 = výstup externího topení je aktivovaný</t>
  </si>
  <si>
    <t>6B0</t>
  </si>
  <si>
    <t>0–1</t>
  </si>
  <si>
    <t>Pouze u bivalentních topných systémů</t>
  </si>
  <si>
    <t>Připojení externího topného systému
0 = připojení za 3cestným ventilem
1 = připojení před 3cestným ventilem</t>
  </si>
  <si>
    <t>6B1</t>
  </si>
  <si>
    <t>Pouze pro bivalentní topný systém (olej, plyn atd.) Vysvětlení ve schématech na následující straně</t>
  </si>
  <si>
    <t>V případě připojení externího teplovodního termostatu
0 = externí teplovodní termostat není připojen
1 = externí teplovodní termostat je připojen</t>
  </si>
  <si>
    <t>6B2</t>
  </si>
  <si>
    <t>Použití externího teplovodního termostatu (senzor TTW není nutný)</t>
  </si>
  <si>
    <t>V případě použití externího pokojového termostatu
0 = externí pokojový termostat není připojen
1 = externí pokojový termostat je připojen</t>
  </si>
  <si>
    <t>6B3</t>
  </si>
  <si>
    <t>Pouze při použití externího pokojového termostatu</t>
  </si>
  <si>
    <t>Používá se k určení typu 3cestného regulačního ventilu používaného v rámci systému
0 = 2žilový ventil s vratnou pružinou nebo 3žilový ventil SPST
1 = 3žilový ventil SPDT</t>
  </si>
  <si>
    <t>Upřednostňován je ventil SPDT</t>
  </si>
  <si>
    <t>Synchronizace čerpadla P2
0 = nepřetržitý provoz čerpadla 2
1 = čerpadlo 2 běží paralelně s čerpadlem 1</t>
  </si>
  <si>
    <t>6B5</t>
  </si>
  <si>
    <t>OFF: při nastavení 5B na hodnotu 3 zůstanou
u bivalentních topných systémů čerpadlo P2 i regulace směšovacího ventilu aktivní
ON: během přípravy teplé vody se čerpadlo P2 vypne</t>
  </si>
  <si>
    <t>Používá se v případech, kdy je v rámci systému připojen zásobník TUV
0 = zásobník teplé užitkové vody je připojen
1 = zásobník teplé užitkové vody není připojen</t>
  </si>
  <si>
    <t>6B8</t>
  </si>
  <si>
    <t>Slouží k aktivaci provozu zóny 1
0 = zóna 1 je aktivována
1 = zóna 1 je deaktivována</t>
  </si>
  <si>
    <t>6B9</t>
  </si>
  <si>
    <t>Musí být nastaveno do polohy ON, pokud se tepelné čerpadlo používá pouze pro přípravu teplé užitkové vody.</t>
  </si>
  <si>
    <t>Slouží k aktivaci provozu zóny 2
0 = zóna 2 je deaktivována
1 = zóna 2 je aktivována</t>
  </si>
  <si>
    <t>6BA</t>
  </si>
  <si>
    <t>Např. při použití radiátorů a podlahového topení</t>
  </si>
  <si>
    <t>Provoz čerpadla P1 pro topení
0 = čerpadlo P1 běží nepřetržitě
1 = při venkovní teplotě vyšší než 20 °C se čerpadlo P1 vypne</t>
  </si>
  <si>
    <t>6D0</t>
  </si>
  <si>
    <t>ON = při venkovní teplotě vyšší než 20 °C se čerpadlo vypne.
Pomocí kódu DN-Code 9E můžete teplotu změnit!</t>
  </si>
  <si>
    <t>Čerpadlo P1 pracuje se standardním výkonem, pokud je termostat dlouhodobě vypnutý.
0 = není v provozu
1 = standardní výkon</t>
  </si>
  <si>
    <t>6D1</t>
  </si>
  <si>
    <t>Používá se k aktivaci záložního elektrického topení hydroboxu
0 = záložní elektrické topení je aktivováno
1 = záložní elektrické topení je deaktivováno</t>
  </si>
  <si>
    <t>6D2</t>
  </si>
  <si>
    <t>Záložní elektrické topení v hydroboxu: Připojení ke konektoru TB03
Výkon 3,6 kW nebo 9 kW</t>
  </si>
  <si>
    <t>Slouží k aktivaci elektrického topení v zásobníku teplé užitkové vody
0 = elektrické topné tyče v zásobníku teplé užitkové vody jsou aktivovány
1 = elektrické topné tyče v zásobníku teplé užitkové vody jsou deaktivovány</t>
  </si>
  <si>
    <t>6D3</t>
  </si>
  <si>
    <t>Připojení ke konektoru TB02
Mělo by být stále nastaveno do polohy OFF</t>
  </si>
  <si>
    <t>Slouží k aktivaci externího posílení topení
0 = výstup režimu externího posílení topení je aktivován
1 = výstup režimu externího posílení topení je deaktivován</t>
  </si>
  <si>
    <t>6D4</t>
  </si>
  <si>
    <t>Při poklesu venkovní teploty pod -20 °C se aktivuje kontakt na přípojce CN23 / 5+6 (230 V / 1 A)!</t>
  </si>
  <si>
    <t>Používá se k aktivaci automatického restartu po výpadku proudu
0 = automatický restart je deaktivován
1 = automatický restart je aktivován</t>
  </si>
  <si>
    <t>Provoz čerpadla P1 pro teplou vodu
0 = čerpadlo P1 běží jen během přípravy teplé vody
1 = čerpadlo P1 běží nepřetržitě</t>
  </si>
  <si>
    <t>5A</t>
  </si>
  <si>
    <t>Synchronizuje chod čerpadla 1 s venkovní jednotkou během přípravy teplé vody</t>
  </si>
  <si>
    <t>8 I TOSHIBA</t>
  </si>
  <si>
    <t>Uživatelsky definované možnosti pro I/P7 /8 (SN21):
0: I/P 7 = vstup pro nucené zastavení; I/P 8 =žádný
1: I/P 7 = vstup pro TEMPO 1; I/P 8 = žádný
2: I/P 7 = vstup pro TEMPO 2; I/P 8 = žádný 3: I/P 7 = nucené vypnutí záložního topení
I/P 8 = externí vypnutí záložního topení
4: I/P 7 = vstup pro chytrou síť SMART Grid 1 I/P 8 = vstup pro chytrou síť SMART Grid 2</t>
  </si>
  <si>
    <t>B6</t>
  </si>
  <si>
    <t>0–4</t>
  </si>
  <si>
    <t>Nastavení typu hyd- roboxu</t>
  </si>
  <si>
    <t>Nastavení typu hydroboxu:
70 = nástěnný hydrobox
71 = hydrobox ALL-IN-ONE</t>
  </si>
  <si>
    <t>70 nebo 71</t>
  </si>
  <si>
    <t>Závisí na hydroboxu</t>
  </si>
  <si>
    <t>Nastavení výkonu hydroboxu</t>
  </si>
  <si>
    <t>Výkon vodního výměníku tepla: 0010 = 401 / 601
0015 = 801 / 1101</t>
  </si>
  <si>
    <t>0010 nebo 0015</t>
  </si>
  <si>
    <t>Nastavení typu venkovní jednotky</t>
  </si>
  <si>
    <t>Nastavení typu venkovní jednotky
0 = 401 / 601
1 = 801 / 1101
2, 3 = žádný</t>
  </si>
  <si>
    <t>6BD</t>
  </si>
  <si>
    <t>0–3</t>
  </si>
  <si>
    <t>Závisí na typu</t>
  </si>
  <si>
    <t>Adresování</t>
  </si>
  <si>
    <t>Adresa chladicího okruhu</t>
  </si>
  <si>
    <t>1–128</t>
  </si>
  <si>
    <t>žádná</t>
  </si>
  <si>
    <t>Adresa vnitřní jednotky</t>
  </si>
  <si>
    <t>Adresa skupiny
0 = individuální (bez ovládání skupiny)
1 = hlavní jednotka
2 = podřízená jednotka</t>
  </si>
  <si>
    <t>0–2</t>
  </si>
  <si>
    <t>Centrální adresa</t>
  </si>
  <si>
    <t>Používá se při ovládání jednotky ESTIA prostřednictvím centrálního řízení.</t>
  </si>
  <si>
    <t>SG Ready</t>
  </si>
  <si>
    <t>Zvýšení teploty v režimu nuceného zapnutí
„Forced ON“ (řízení SG Ready)</t>
  </si>
  <si>
    <t>AC</t>
  </si>
  <si>
    <t>0–10</t>
  </si>
  <si>
    <t>SG Ready – nucený provoz regulace topení
0 = topný výkon je povolen
1 = topný výkon není povolen</t>
  </si>
  <si>
    <t>6CE</t>
  </si>
  <si>
    <t>Spotřeba energie</t>
  </si>
  <si>
    <t>Používá se funkce spotřeby energie
0 = vypnuto
1 = zapnuto</t>
  </si>
  <si>
    <t>1B</t>
  </si>
  <si>
    <t>TOSHIBA I 9</t>
  </si>
  <si>
    <t>Připojení externího topného systému (bivalentní topení)
6B1 = 0 = připojení za 3cestným ventilem</t>
  </si>
  <si>
    <t>Olejový hořák</t>
  </si>
  <si>
    <t>6B1 = 1 = připojení před 3cestným ventilem</t>
  </si>
  <si>
    <t>FUNKČNÍ TLAČÍTKA DÁLKOVÉHO OVLADAČE</t>
  </si>
  <si>
    <t>Názvy a funkce dílů
Tlačítka</t>
  </si>
  <si>
    <t>5
8                                              6
4                                              1
7
3         2
1 Tlačítko [        Zap./vyp.]
2 Tlačítko [        ]</t>
  </si>
  <si>
    <t>Na hlavní obrazovce: Slouží k regulaci teploty.
Na obrazovce nabídky nebo jakékoli jiné obrazovce: Slouží k výběru bodu nabídky nebo zapnutí/vypnutí dané funkce, případně k posouvání kurzoru atd.
3 Tlačítko [        ]
Na hlavní obrazovce: Slouží k regulaci teploty.
Na obrazovce nabídky nebo jakékoli jiné obrazovce: Slouží k výběru bodu nabídky nebo zapnutí/vypnutí dané funkce, případně k posouvání kurzoru atd.
4 Tlačítko [       Nabídka]
Na hlavní obrazovce: Otevře obrazovku nabídky.
Na ostatních obrazovkách: Fixuje nebo kopíruje nastavení hodnoty parametru.
5 Tlačítko [     ]
Na hlavní obrazovce: Výběr režimu topení nebo chlazení.
Na ostatních obrazovkách: Funkce se liší podle jednotlivých obrazovek.
6 Tlačítko [     ]
Na hlavní obrazovce: Výběr režimu topení nebo chlazení.
Na ostatních obrazovkách: Funkce se liší podle jednotlivých obrazovek.
7 Tlačítko [       Zpět]
Přepne zpět na předchozí obrazovku atd.
8 Tlačítko [      Režim]
Na hlavní obrazovce: Můžete vybrat režim, jehož teplotu chcete změnit.
Na ostatních obrazovkách: Resetuje nastavení hodnoty parametru.</t>
  </si>
  <si>
    <t>TOSHIBA I 11</t>
  </si>
  <si>
    <t>DISPLEJ DÁLKOVÉHO OVLADAČE</t>
  </si>
  <si>
    <t>Význam ukazatelů na hlavní obrazovce</t>
  </si>
  <si>
    <t>Ukazatel</t>
  </si>
  <si>
    <t>ZÓNA1</t>
  </si>
  <si>
    <t>Svítí, když je systém připojený k podlahovému topení nebo topnému tělesu (je-li podlahové topení nebo topné těleso v rámci systému k dispozici).</t>
  </si>
  <si>
    <t>ZÓNA2</t>
  </si>
  <si>
    <t>Svítí, když je regulována druhá teplota (v závislosti na systému se nemusí ukazatel rozsvítit).</t>
  </si>
  <si>
    <t>OHŘEV TUV</t>
  </si>
  <si>
    <t>Svítí, když je připojený systém přívodu teplé vody (je-li přívod teplé vody v rámci systému k dispozici).</t>
  </si>
  <si>
    <t>Barevné značení svítí při provozním režimu, u něhož má dojít ke změně teploty.</t>
  </si>
  <si>
    <t>TOPENÍ/CHLAZENÍ</t>
  </si>
  <si>
    <t>Svítí, když kompresor pracuje v režimu topení nebo chlazení.</t>
  </si>
  <si>
    <t>Svítí, když je elektrický ohřívač uvnitř hydroboxu během topení napájen proudem.</t>
  </si>
  <si>
    <t>Svítí, když kompresor pracuje v provozním režimu ohřevu teplé užitkové vody.</t>
  </si>
  <si>
    <t>Svítí, když je požadavek na elektrický dohřev během režimu ohřevu TUV.</t>
  </si>
  <si>
    <t>Svítí, když je vybráno topení.</t>
  </si>
  <si>
    <t>Svítí, když je vybráno chlazení.</t>
  </si>
  <si>
    <t>Svítí, když je vybrán režim ohřevu teplé užitkové vody.</t>
  </si>
  <si>
    <t>Svítí, když je aktivováno interní čerpadlo (čerpadlo 1) nebo doplňkové čerpadlo (čerpadlo 2).</t>
  </si>
  <si>
    <t>Svítí také ve chvíli, když provoz tepelného čerpadla podporuje pomocný bojler nebo externí doplňkové topení.</t>
  </si>
  <si>
    <t>/</t>
  </si>
  <si>
    <t>Svítí při režimu regulace teploty vody / teploty v místnosti.</t>
  </si>
  <si>
    <t>Svítí při automatickém režimu.</t>
  </si>
  <si>
    <t>Svítí, když se časový program nebo podlahové topení nastaví na hodnotu „Zapnuto“.</t>
  </si>
  <si>
    <t>Svítí, když je režim nočního útlumu nastavený na hodnotu „Zapnuto“ a je vybráno topení nebo chlazení.</t>
  </si>
  <si>
    <t>Svítí, když je skutečně v provozu režim nízké hlučnosti.</t>
  </si>
  <si>
    <t>Svítí, když je skutečně v provozu podpora přípravy teplé užitkové vody.</t>
  </si>
  <si>
    <t>Svítí, když je program na ochranu proti legionelle nastavený na hodnotu „Zapnuto“ a je vybrán režim ohřevu TUV.</t>
  </si>
  <si>
    <t>Svítí, když je právě v provozu režim protimrazové ochrany.</t>
  </si>
  <si>
    <t>Svítí, když je zkušební režim nebo vysoušení podlahy nastaveno na hodnotu „Zapnuto“.</t>
  </si>
  <si>
    <t>Zobrazí se, když je dálkový ovladač nastaven jako druhý dálkový ovladač.</t>
  </si>
  <si>
    <t>Svítí, když se vyskytne porucha, a zmizí, když dojde k odstranění poruchy.</t>
  </si>
  <si>
    <t>Svítí, když se vyskytne porucha. Toto číslo představuje číslo jednotky.</t>
  </si>
  <si>
    <t>Svítí, když je provoz omezen nastavením centrálního dálkového ovladače.</t>
  </si>
  <si>
    <t>Režim nabídky
(1) Stisknutím tlačítka [      ] zobrazíte obrazovku nabídky.
(2) Stisknutím tlačítka [       ] / [       ] vyberte požadovaný prvek. Vybraný prvek se zvýrazní.
(3) Stiskněte tlačítko [     ]. Objeví se obrazovka nastavení.</t>
  </si>
  <si>
    <t>Zrušení
Stisknutím tlačítka [     ] se vrátíte zpět. Displej se přepne na předchozí obrazovku.</t>
  </si>
  <si>
    <t>Podnabídka nastavení</t>
  </si>
  <si>
    <t>Hlavní obrazovka</t>
  </si>
  <si>
    <t>[       Nabídka ] + [        ] Současně stisknout (4 s)</t>
  </si>
  <si>
    <t>Kódy DN pro hydrobox (kódy DN pro dálkový ovladač)
•   Nastavení kódů DN-Code hydroboxu je k dispozici pouze u hlavního dálkového ovladače.
•   Pomocí dálkového ovladače nastavte kódy DN-Code pro různé režimy provozu.</t>
  </si>
  <si>
    <t>(1) Stisknutím tlačítka [        ] / [        ] vyberte položku „DN pro hydrobox“ (nebo „DN pro dálkový ovladač“) na obrazovce podnabídky „Nastavení“ a potom stiskněte tlačítko [     ].</t>
  </si>
  <si>
    <t>Podnabídka nastavení (2/2)</t>
  </si>
  <si>
    <t>Servisní monitorování</t>
  </si>
  <si>
    <t>DN pro hydrobox</t>
  </si>
  <si>
    <t>DN pro dálkový ovladač Reset údajů o spotřebě energie
Informace o senzorech</t>
  </si>
  <si>
    <t>Potvrdit</t>
  </si>
  <si>
    <t>Servisní monitorování
DN pro hydrobox</t>
  </si>
  <si>
    <t>DN pro dálkový ovladač</t>
  </si>
  <si>
    <t>Reset údajů o spotřebě energie
Informace o senzorech</t>
  </si>
  <si>
    <t>(2) Stisknutím tlačítka [     ] / [     ] vyberte položku „DN“ nebo „Údaje“ a následným stisknutím tlačítka [        ] / [        ] zadejte hodnotu.</t>
  </si>
  <si>
    <t>Kód
(DN)                    Údaje
0010                  0070</t>
  </si>
  <si>
    <t>Pevné</t>
  </si>
  <si>
    <t></t>
  </si>
  <si>
    <t></t>
  </si>
  <si>
    <t>Kód
(DN)                    Údaje
01                    0000</t>
  </si>
  <si>
    <t>(3) Stiskněte tlačítko [      ]. Nastavená hodnota se uloží.</t>
  </si>
  <si>
    <t>Funkční kódy</t>
  </si>
  <si>
    <t>Nastavení teplotního rozsahu</t>
  </si>
  <si>
    <t>Horní mezní teplota pro topení, zóna 1</t>
  </si>
  <si>
    <t>1A</t>
  </si>
  <si>
    <t>37–55 °C</t>
  </si>
  <si>
    <t>Při regulaci teploty v místnosti se jedná také o teplotu vypnutí</t>
  </si>
  <si>
    <t>Spodní mezní teplota pro topení, zóna 1</t>
  </si>
  <si>
    <t>20–37 °C</t>
  </si>
  <si>
    <t>Horní mezní teplota pro topení, zóna 2</t>
  </si>
  <si>
    <t>1C</t>
  </si>
  <si>
    <t>Spodní mezní teplota pro topení, zóna 2</t>
  </si>
  <si>
    <t>1D</t>
  </si>
  <si>
    <t>Min. a max. rozsah nastavení na dálkovém ovladači</t>
  </si>
  <si>
    <t>Horní mezní teplota pro chlazení</t>
  </si>
  <si>
    <t>20–30 °C</t>
  </si>
  <si>
    <t>Spodní mezní teplota pro chlazení</t>
  </si>
  <si>
    <t>7–20 °C</t>
  </si>
  <si>
    <t>Při použití systému chlazení betonového jádra je nutné teplotu omezit na +17 °C</t>
  </si>
  <si>
    <t>Horní mezní teplota pro teplou užitkovou vodu</t>
  </si>
  <si>
    <t>1E</t>
  </si>
  <si>
    <t>60–75 °C</t>
  </si>
  <si>
    <t>Spodní mezní teplota pro teplou užitkovou vodu</t>
  </si>
  <si>
    <t>1F</t>
  </si>
  <si>
    <t>40–60 °C</t>
  </si>
  <si>
    <t>Ohřev užitkové vody</t>
  </si>
  <si>
    <t>Spouštěcí teplota pro ohřev užitkové vody</t>
  </si>
  <si>
    <t>20–45 °C</t>
  </si>
  <si>
    <t>Udává, při které teplotě (měřeno na čidle TTF) se má aktivovat ohřev užitkové vody.
Mělo by být nastaveno na teplotu +42 °C!</t>
  </si>
  <si>
    <t>Teplota vypnutí Ohřev užitkové vody</t>
  </si>
  <si>
    <t>40–65 °C</t>
  </si>
  <si>
    <t>Udává, při které teplotě (měřeno na čidle TWI) se má zastavit ohřev užitkové vody.
Mělo by být nastaveno na teplotu +60°C!</t>
  </si>
  <si>
    <t>Ovládání skupiny – připojení senzoru TTW:
0 = senzor TTW je nutné připojit ke každému hydroboxu
1 = hodnota TTW přenášená z hlavní jednotky</t>
  </si>
  <si>
    <t>AB</t>
  </si>
  <si>
    <t>0 = 30 minut
1 = 60 minut
2 = 90 minut
3 = 120 minut</t>
  </si>
  <si>
    <t>Udává dobu, která musí uplynout po zapnutí tepelného čerpadla, než se aktivuje elektrická topná tyč v zásobníku teplé užitkové vody.</t>
  </si>
  <si>
    <t>Nouzový ohřev v cyklu přípravy teplé užitkové vody</t>
  </si>
  <si>
    <t>6AC</t>
  </si>
  <si>
    <t>0 = neplatné
1–50 h</t>
  </si>
  <si>
    <t>Pokud funkce přípravy teplé vody nefunguje, bude se po nastavenou dobu teplá voda ohřívat.</t>
  </si>
  <si>
    <t>Maximální provozní doba ohřevu užitkové vody</t>
  </si>
  <si>
    <t>Maximální provozní doba tepelného čerpadla pro ohřev užitkové vody (v minutách)</t>
  </si>
  <si>
    <t>1–120</t>
  </si>
  <si>
    <t>Maximální doba, po kterou se smí TČ používat k ohřevu užitkové vody
Pozor: po uplynutí 30 minut se vždy zapne také záložní elektrické topení v zásobníku TUV – pouze do série 3</t>
  </si>
  <si>
    <t>Vyrovnávání teploty teplé vody</t>
  </si>
  <si>
    <t>Priorita přepínací teploty pro topení / ohřev TUV je podřízená</t>
  </si>
  <si>
    <t>-20 až 20 °C</t>
  </si>
  <si>
    <t>Udává, od které teploty se má TUV ohřívat výhradně pomocí záložního elektrického topení v zásobníku TUV</t>
  </si>
  <si>
    <t>Počáteční teplota pro zvýšení ohřevu užitkové vody</t>
  </si>
  <si>
    <t>-20 až 10 °C</t>
  </si>
  <si>
    <t>Když venkovní teplota klesne pod nastavenou hodnotu, zvýší se teplota užitkové vody o hodnotu korekčního faktoru</t>
  </si>
  <si>
    <t>Korekční faktor pro zvýšení teploty užitkové vody</t>
  </si>
  <si>
    <t>0–15 °C</t>
  </si>
  <si>
    <t>Mělo by být nastaveno na hodnotu 0</t>
  </si>
  <si>
    <t>Režim posílení ohřevu užitkové vody</t>
  </si>
  <si>
    <t>Provozní doba (× 10 minut)</t>
  </si>
  <si>
    <t>3–18</t>
  </si>
  <si>
    <t>Udává dobu, po kterou zůstane jednotka v režimu posílení ohřevu (aktivní elektrická topná tyč
v zásobníku teplé užitkové vody) po stisknutí tlačítka
„Boost“ na dálkovém ovladači.</t>
  </si>
  <si>
    <t>Požadovaná teplota užitkové vody</t>
  </si>
  <si>
    <t>40–75 °C</t>
  </si>
  <si>
    <t>Max. teplota, které lze v režim posílení ohřevu dosáhnout</t>
  </si>
  <si>
    <t>Antibakteriální funkce (prevence proti bakteriím rodu legionella)</t>
  </si>
  <si>
    <t>Teplota</t>
  </si>
  <si>
    <t>0A</t>
  </si>
  <si>
    <t>65–80 °C</t>
  </si>
  <si>
    <t>Teplota, které se dosáhne v antibakteriálním režimu</t>
  </si>
  <si>
    <t>Zahájení cyklu (dny)</t>
  </si>
  <si>
    <t>0D</t>
  </si>
  <si>
    <t>1–10</t>
  </si>
  <si>
    <t>Cyklus opakování antibakteriálního režimu (ve dnech)</t>
  </si>
  <si>
    <t>Doba spuštění (hodina)</t>
  </si>
  <si>
    <t>0C</t>
  </si>
  <si>
    <t>0–23</t>
  </si>
  <si>
    <t>Udává hodinu, kdy se má režim spustit</t>
  </si>
  <si>
    <t>Délka cyklu (minuty)</t>
  </si>
  <si>
    <t>0B</t>
  </si>
  <si>
    <t>0–60</t>
  </si>
  <si>
    <t>Režim priority</t>
  </si>
  <si>
    <t>Přepnutí na externí topný systém</t>
  </si>
  <si>
    <t>Bivalentní bod přepnutí na olejové, plynové či jiné topení</t>
  </si>
  <si>
    <t>Výběr priority:
0 = prioritu má chlazení, užitková voda se ohřívá pomocí elektrického doplňkového topení
1 = prioritu má užitková voda, užitková voda se připravuje pomocí tepelného čerpadla</t>
  </si>
  <si>
    <t>0F</t>
  </si>
  <si>
    <t>Udává, jak se má připravovat teplá voda v režimu chlazení</t>
  </si>
  <si>
    <t>TOSHIBA I 15</t>
  </si>
  <si>
    <t>Nastavení automatické křivky pro topení</t>
  </si>
  <si>
    <t>Venkovní teplota T0 (°C)</t>
  </si>
  <si>
    <t>A1</t>
  </si>
  <si>
    <t>–</t>
  </si>
  <si>
    <t>-20 (-30) až
-15 (-20) °C</t>
  </si>
  <si>
    <t>Zóna 1:
Zóna 1+2:
Procentuální metoda
Automatická křivka v ZÓNĚ 2 reguluje 80 % (FC31) zóny 1.
Nastavení teploty vody neklesne pod 20 °C.
Zóna 2:
Metoda s pevně stanovenou teplotou
Nastavená teplota v ZÓNĚ 2 pro A‘ (°C) s venkovní teplotou T0 (°C), B‘ (°C) s teplotou T1 (°C), E‘ (°C) s teplotou 20 °C</t>
  </si>
  <si>
    <t>Venkovní teplota T1 (°C)</t>
  </si>
  <si>
    <t>-15 až 0 °C</t>
  </si>
  <si>
    <t>Venkovní teplota T3 (°C)</t>
  </si>
  <si>
    <t>2B</t>
  </si>
  <si>
    <t>Nastavení teploty A na T0 (°C) – ZÓNA 1</t>
  </si>
  <si>
    <t>2C</t>
  </si>
  <si>
    <t>20–55 °C (65 °C)</t>
  </si>
  <si>
    <t>Nastavení teploty B na T1 (°C) – ZÓNA 1</t>
  </si>
  <si>
    <t>2D</t>
  </si>
  <si>
    <t>Nastavení teploty C na T2 (°C) – ZÓNA 1</t>
  </si>
  <si>
    <t>2E</t>
  </si>
  <si>
    <t>Nastavení teploty D na T3 (°C) – ZÓNA 1</t>
  </si>
  <si>
    <t>2F</t>
  </si>
  <si>
    <t>Nastavení teploty E na 20 °C – ZÓNA 1</t>
  </si>
  <si>
    <t>20–55 °C
(65 °C)</t>
  </si>
  <si>
    <t>Poměr zóny 2 k zóně 1 – automatický režim (%)</t>
  </si>
  <si>
    <t>0–100 %</t>
  </si>
  <si>
    <t>ZÓNA 2
Nastavení teploty
0 = procentuálně (DN 31)
1 = pevně stanovená hodnota (DN A3–A5)</t>
  </si>
  <si>
    <t>A2</t>
  </si>
  <si>
    <t>Nastavení teploty A’ na T0 (°C) – ZÓNA 2</t>
  </si>
  <si>
    <t>A3</t>
  </si>
  <si>
    <t>Nastavení teploty B’ na T1 (°C) – ZÓNA 2</t>
  </si>
  <si>
    <t>A4</t>
  </si>
  <si>
    <t>Nastavení teploty E’ na 20 °C – ZÓNA 2</t>
  </si>
  <si>
    <t>A5</t>
  </si>
  <si>
    <t>Automatická křivka – změna teploty (°C)</t>
  </si>
  <si>
    <t>-5 až 5 °C</t>
  </si>
  <si>
    <t>Protimrazová ochrana</t>
  </si>
  <si>
    <t>Protimrazová ochrana
0 = neplatné
1 = platné</t>
  </si>
  <si>
    <t>3A</t>
  </si>
  <si>
    <t>Zapnutí/vypnutí protimrazové ochrany</t>
  </si>
  <si>
    <t>Požadovaná hodnota protimrazové ochrany (°C)</t>
  </si>
  <si>
    <t>3B</t>
  </si>
  <si>
    <t>10–20 °C</t>
  </si>
  <si>
    <t>Požadované teplota na výstupu v režimu protimrazové ochrany by měla být nastavena na
+20 °C</t>
  </si>
  <si>
    <t>Funkce dovolené: dny</t>
  </si>
  <si>
    <t>0–20</t>
  </si>
  <si>
    <t>Udává počet dnů, po které má režim zůstat v provozu</t>
  </si>
  <si>
    <t>Funkce dovolené: doba spuštění</t>
  </si>
  <si>
    <t>Denní doba, ve kterou se režim ukončí</t>
  </si>
  <si>
    <t>Regulace záložního elektrického topení</t>
  </si>
  <si>
    <t>Regulace elektrického topného článku směrem dolů
Tepelné čerpadlo 0 = 5 min;   1 = 10 min;
2 = 15 min; 3 = 20 min</t>
  </si>
  <si>
    <t>Regulace stupňů záložního elektrického topení směrem nahoru nebo dolů vztažená na rozdíl mezi požadovanou teplotou nastavenou na dálkovém ovladači a teplotou vody na výstupu za záložním ohřívačem (senzor THO)</t>
  </si>
  <si>
    <t>Regulace elektrického topného článku směrem nahoru
Tepelné čerpadlo 0 = 10 min; 1 = 20 min
2 = 30 min; 3 = 40 min</t>
  </si>
  <si>
    <t>Při použití akumulační nádrže nastavte na hodnotu 3</t>
  </si>
  <si>
    <t>0 = bez omezení
1 = 20 °C   3 = 10 °C   5 =  0 °C
2 = 15 °C   4 =   5 °C   6 = -5 °C</t>
  </si>
  <si>
    <t>B8</t>
  </si>
  <si>
    <t>0–6</t>
  </si>
  <si>
    <t>Udává, od které venkovní teploty se již nebude záložní elektrické topení zapínat (měřeno na senzoru TO)</t>
  </si>
  <si>
    <t>0 =   0 K    2 = 20 K   4 = 40 K
1 = 10 K    3 = 30 K</t>
  </si>
  <si>
    <t>B9</t>
  </si>
  <si>
    <t>Při kterém rozdílu teplot mezi TSC-F (požadovaná hodnota topení, např. zóna 1 +40 °C) – THO (senzor za záložním elektrickým topením např.
+10 °C) = 30 K (když je nastaveno např.
B9 = 3, zapnulo by se při teplotě THO +10 °C záložní elektrické topení s výkonem 3 kW.)</t>
  </si>
  <si>
    <t>Výkon záložního elektrického topení
0 = 3 kW
1 = 6 kW
2 = 9 kW</t>
  </si>
  <si>
    <t>6BC</t>
  </si>
  <si>
    <t>Noční útlum (nepoužívejte u FBH)</t>
  </si>
  <si>
    <t>Teplota nočního útlumu</t>
  </si>
  <si>
    <t>3–20 °C</t>
  </si>
  <si>
    <t>Udává, o kolik kelvinů se sníží teplota</t>
  </si>
  <si>
    <t>Výběr zóny: 0 = zóny 1 a 2; 1 = zóna 1</t>
  </si>
  <si>
    <t>C0–1</t>
  </si>
  <si>
    <t>Udává, ve kterých zónách má dojít ke snížení teploty</t>
  </si>
  <si>
    <t>Doba spuštění</t>
  </si>
  <si>
    <t>OE</t>
  </si>
  <si>
    <t>Udává čas, kdy má noční útlum začít</t>
  </si>
  <si>
    <t>Doba ukončení</t>
  </si>
  <si>
    <t>OF</t>
  </si>
  <si>
    <t>Udává čas, kdy má noční útlum skončit</t>
  </si>
  <si>
    <t>Regulace teploty
v místnosti pomocí druhého dálkového ovladače nebo externího pokojového termostatu</t>
  </si>
  <si>
    <t>Regulace teploty v místnosti pomocí druhého dálkového ovladače
0 = neplatné; 1 = platné</t>
  </si>
  <si>
    <t>Druhý dálkový ovladač, nastavení cílové teploty
0 = teplota vody
1 = teplota v místnosti (senzor na dálkovém ovladači)</t>
  </si>
  <si>
    <t>Chlazení, teplota v místnosti, horní mezní hodnota</t>
  </si>
  <si>
    <t>15–30</t>
  </si>
  <si>
    <t>Nastavení na dálkovém ovladači</t>
  </si>
  <si>
    <t>Chlazení, teplota v místnosti, spodní mezní hodnota</t>
  </si>
  <si>
    <t>Topení, teplota v místnosti, horní mezní hodnota</t>
  </si>
  <si>
    <t>Topení, teplota v místnosti, spodní mezní hodnota</t>
  </si>
  <si>
    <t>Počáteční teplota v režimu chlazení, buď s čidlem teploty v místnosti na dálkovém ovladači, nebo
s externím čidlem teploty v místnosti</t>
  </si>
  <si>
    <t>10–25</t>
  </si>
  <si>
    <t>Udává, s jakou teplotou vody na výstupu se tepelné čerpadlo
spouští; = 20 °C; pokud se na externím pokojovém termostatu nebo na druhém dálkovém ovladači nedosáhne požadované teploty, sníží se teplota
na výstupu každou půlhodinu o 1 °C, dokud se nedosáhne mezní teploty (FC19) nebo požadované teploty.</t>
  </si>
  <si>
    <t>Počáteční teplota v režimu topení, buď s čidlem teploty v místnosti na dálkovém ovladači, nebo s externím čidlem teploty v místnosti</t>
  </si>
  <si>
    <t>9D</t>
  </si>
  <si>
    <t>20–55 401/  601
65 801/1101</t>
  </si>
  <si>
    <t>Udává, s jakou teplotou vody na výstupu se tepelné čerpadlo
spouští; = 40 °C; pokud se na externím pokojovém termostatu nebo na druhém dálkovém ovladači (prostorovém čidle) nedosáhne požadované teploty, zvýší se teplota na výstupu každou půlhodinu o 1 °C, dokud se nedosáhne mezní teploty (FC1A) nebo požadované teploty.</t>
  </si>
  <si>
    <t>Modely HiPower se znovu spustí při teplotě vody
v zóně A (platí pouze při regulaci teploty v místnosti pomocí 2. dálkového ovladače).</t>
  </si>
  <si>
    <t>B2</t>
  </si>
  <si>
    <t>20–37</t>
  </si>
  <si>
    <t>Zóna A = režim „Thermo Off“, ale když je TWi &lt;25 °C, tepelné čerpadlo se znovu spustí, aby nevychladlo podlahové topení</t>
  </si>
  <si>
    <t>Spouštěcí teplota v režimu topení; metoda nastavení regulace prostřednictvím teploty v místnosti na dálkovém ovladači nebo teploty v místnosti na termostatu</t>
  </si>
  <si>
    <t>B5</t>
  </si>
  <si>
    <t>0 = pevně stanovená hodnota podle FC 9D
1 = vypočítaná hodnota podle automatické křivky</t>
  </si>
  <si>
    <t>Vyrovnávání teploty v místnosti:
Topení: vyrovnávací hodnota teploty v místnosti (teplota senzoru, regulační teplota, K)</t>
  </si>
  <si>
    <t>-10–10</t>
  </si>
  <si>
    <t>Upravuje nastavení naměřeného rozdílu mezi čidlem teploty v místnosti na dálkovém ovladači a skutečnou teplotou v místnosti</t>
  </si>
  <si>
    <t>Vyrovnávání teploty v místnosti:
Chlazení: vyrovnávací hodnota teploty v místnosti (teplota senzoru, regulační teplota, K)</t>
  </si>
  <si>
    <t>Výstup pro 2cestný ventil (režim chlazení)</t>
  </si>
  <si>
    <t>Přepnutí spínací logiky pro
2cestný ventil pro zastavení chlazení</t>
  </si>
  <si>
    <t>3C</t>
  </si>
  <si>
    <t>0 = výstup s napětím 230 V určený pro chlazení
1 = výstup, bez napětí během chlazení</t>
  </si>
  <si>
    <t>Řízení
3cestného regulačního ventilu</t>
  </si>
  <si>
    <t>Přepnutí spínací logiky 3cestného přepínacího ventilu / užitkové vody</t>
  </si>
  <si>
    <t>0 = napětí během přípravy teplé vody
1 = bez napětí během přípravy teplé vody</t>
  </si>
  <si>
    <t>Provozní doby směšovacího ventilu 2 zón</t>
  </si>
  <si>
    <t>Provozní doba 3cestného směšovacího ventilu (× 10 s)</t>
  </si>
  <si>
    <t>3–24</t>
  </si>
  <si>
    <t>Provozní doba motoru ventilu mezi úplným otevřením a zavřením, liší se podle výrobku. Je nutní nastavit před uvedením do provozu! Používejte pouze ventily odstupňované po 10 sekundách, např. 90 s, 100 s atd. (rozsah 30–240 s)</t>
  </si>
  <si>
    <t>Aktivace 3cestného směšovacího ventilu (min)</t>
  </si>
  <si>
    <t>1–30</t>
  </si>
  <si>
    <t>Interval, ve kterém se ventil přenastavuje (doporučené nastavení 1 min)</t>
  </si>
  <si>
    <t>Rozdíl teplot pro změnu hodnoty otevření směšovacího ventilu</t>
  </si>
  <si>
    <t>6F1</t>
  </si>
  <si>
    <t>1–3</t>
  </si>
  <si>
    <t>Maximální stupně směšovacího ventilu</t>
  </si>
  <si>
    <t>6F2</t>
  </si>
  <si>
    <t>12–60</t>
  </si>
  <si>
    <t>Synchronizace bojleru / tepelného čerpadla</t>
  </si>
  <si>
    <t>Synchronizace externího topení / tepelného čerpadla
0 = synchronizováno
1 = nesynchronizováno</t>
  </si>
  <si>
    <t>3E</t>
  </si>
  <si>
    <t>0 = TČ + příprava teplé vody
1 = pouze příprava teplé vody
2 = pouze funkce elektrických topných tyčí do 60 minut
3 = zastavení TČ + oběhového čerpadla</t>
  </si>
  <si>
    <t>5B</t>
  </si>
  <si>
    <t>Aktivace/deaktivace chybového kódu A02 (regulace vysoké teploty vratné vody):
0 = kód A02 aktivován
1 = kód A02 deaktivován</t>
  </si>
  <si>
    <t>Režim chlazení</t>
  </si>
  <si>
    <t>0 = chlazení a topení
1 = pouze topení</t>
  </si>
  <si>
    <t>Slouží k aktivaci režimu chlazení</t>
  </si>
  <si>
    <t>Ukazatel dálkového ovladače</t>
  </si>
  <si>
    <t>Časový ukazatel ve formátu 24 h nebo 12 h 0 = 24 h; 1 = 12 h</t>
  </si>
  <si>
    <t>Má-li se na dálkovém ovladači zobrazovat čas ve 24hodinovém nebo 12hodinovém formátu</t>
  </si>
  <si>
    <t>Noční provoz se sníženou hlučností</t>
  </si>
  <si>
    <t>Noční provoz se sníženou hlučností 0 = neplatné; 1 = platné</t>
  </si>
  <si>
    <t>Sníží maximální výkon TČ na 75 %, čímž dosáhne snížení hlučnosti</t>
  </si>
  <si>
    <t>Doba ukončení (hodina)</t>
  </si>
  <si>
    <t>Výstražné zvuky</t>
  </si>
  <si>
    <t>Zvuk 0 = vypnuto; 1 = zapnuto</t>
  </si>
  <si>
    <t>Má-li při poruše zaznít zvukový signál</t>
  </si>
  <si>
    <t>Regulace čerpadla 1 + 2</t>
  </si>
  <si>
    <t>0 = čerpadlo 1 se zastaví, když se v režimu ohřevu užitkové vody vypne tepelné čerpadlo a zapne se elektrická tyč v zásobníku a není aktivní žádný požadavek na topení
1 = čerpadlo 1 běží nepřetržitě</t>
  </si>
  <si>
    <t>Regulace čerpadla během ohřevu teplé užitkové vody</t>
  </si>
  <si>
    <t>Provoz čerpadla P2 v režimu chlazení:
0 = nepřetržitý provoz čerpadla P2
1 = čerpadlo P2 se zastaví v režimu chlazení</t>
  </si>
  <si>
    <t>Synchronizuje čerpadlo P1 s pokojovým termostatem:
0 = nepřetržitý provoz čerpadla P1
1 = čerpadlo P1 se synchronizuje s čidlem teploty v místnosti. Když se používá čidlo teploty
v místnosti nebo externí pokojový termostat. Čerpadlo P1 se zastaví, když je TČ v režimu
„Thermo Off“</t>
  </si>
  <si>
    <t>Je-li k dispozici prostorový termostat; regulace prostřednictvím teploty v místnosti
(používejte pouze pro radiátory, nikoli pro podlahové topení)</t>
  </si>
  <si>
    <t>Provoz čerpadla P1: Horní mezní hodnota venkovní teploty v režimu topení, čerpadlo P1 se zastaví &gt; požadovaná hodnota pro bod vypnutí</t>
  </si>
  <si>
    <t>9E</t>
  </si>
  <si>
    <t>10–30</t>
  </si>
  <si>
    <t>Udává, od které venkovní teploty se vypne tepelné čerpadlo, když kód DN-Code 6D0 = 1</t>
  </si>
  <si>
    <t>Rozd. teplota T0, když se čerpadlo P1 zastaví</t>
  </si>
  <si>
    <t>6E</t>
  </si>
  <si>
    <t>1–5</t>
  </si>
  <si>
    <t>Ve spojení s 9E, hystereze při opětovném zapnutí čerpadla 1</t>
  </si>
  <si>
    <t>0 = 100 %       3 = 70 %
1 = 90 %         4 = 60 %
2 = 80%         5 = 50%</t>
  </si>
  <si>
    <t>A0</t>
  </si>
  <si>
    <t>0–5</t>
  </si>
  <si>
    <t>Čerpadlo 1 lze regulovat pomocí 6 různých stupňů otáček</t>
  </si>
  <si>
    <t>Metoda regulace otáček čerpadla P1:
0 = pevná regulace otáček (pomocí DN A0)
1 = proměnlivá regulace otáček</t>
  </si>
  <si>
    <t>6A6</t>
  </si>
  <si>
    <t>Korekce otáček čerpadla P1 pro řízení čerpadla s proměnlivými otáčkami:
0 = max. průtok 100 %
1 = max. průtok 90 %
2 = max. průtok 75 %
3 = max. průtok 50 %</t>
  </si>
  <si>
    <t>6A7</t>
  </si>
  <si>
    <t>Regulace otáček čerpadla P2 (pevné otáčky):
0 = 100 %
1 =   80 %
2 = max. průtok 70%
3 =   60%</t>
  </si>
  <si>
    <t>6A1</t>
  </si>
  <si>
    <t>Čerpadlo P1, intervalová funkce topení
0 = nepřetržitý provoz
1 = 20 °C   3 = 10 °C   5 =  0 °C
2 = 15 °C   4 =   5 °C   6 = -5 °C</t>
  </si>
  <si>
    <t>BA</t>
  </si>
  <si>
    <t>Udává, od které venkovní teploty jednotka ESTIA v režimu „Thermo Off“ přepne čerpadlo P1 do intervalového režimu</t>
  </si>
  <si>
    <t>Čerpadlo P1, intervalová funkce chlazení
0 = nepřetržitý provoz   2 = 30 °C
1 = 35 °C                 3 = 25 °C</t>
  </si>
  <si>
    <t>BB</t>
  </si>
  <si>
    <t>Zobrazení čerpadla P2</t>
  </si>
  <si>
    <t>42</t>
  </si>
  <si>
    <t>0 = čerpadlo P2 se nebude zobrazovat na displeji
1 = čerpadlo P2 se bude zobrazovat na displeji</t>
  </si>
  <si>
    <t>Čerpadlo P1 z intervalu
0 =   5 min   2 = 15 min   4 = 25 min
1 =  10 min   3 = 20 min   5 = 30 min</t>
  </si>
  <si>
    <t>BC</t>
  </si>
  <si>
    <t>Udává dobu intervalu pro čerpadlo P1, když je jednotka ESTIA
v režimu „Thermo Off“ (doba nečinnosti čerpadla)</t>
  </si>
  <si>
    <t>Externí zapnutí/vypnutí</t>
  </si>
  <si>
    <t>Nastavení vstupního signálu při použití
I/P7 / 8 (ON21) jako nuceného zastavení systému (a DN B6 = 0)
0 = kontakty nízké &gt; vysoké zastavení systému. Restart systému pomocí dálkového ovladače
1 = kontakty vysoké &gt; nízké zastavení systému. Restart systému pomocí dálkového ovladače</t>
  </si>
  <si>
    <t>52</t>
  </si>
  <si>
    <t>Externí zapnutí/vypnutí prostřednictvím kontaktů I/P7 / 8</t>
  </si>
  <si>
    <t>Funkce prostřednictvím pulzního kontaktu (tlačítková funkce)</t>
  </si>
  <si>
    <t>Nastavení vstupního signálu při použití I/P5 / 6 (CN21):
0 = kontakty vysoké &gt; nízké zastavení systému. Kontakty nízké &gt; vysoký restart systému
Vysoký restart systému
1 = kontakty nízké &gt; vysoké zastavení systému. Kontakty nízké &gt; vysoký (dvojitý pulzní vstup) restart systému</t>
  </si>
  <si>
    <t>61</t>
  </si>
  <si>
    <t>DN = B6 = „0“</t>
  </si>
  <si>
    <t>Digitální výstupy hydroboxu</t>
  </si>
  <si>
    <t>Možnosti výstupu 1:
0 = výstup pro výstrahu
1 = výstup pro provoz kompresoru
2 = výstup pro režim odtávání
3 = výstup pro řízení zásobníku
4 = aktivní bezpečnostní nebo ochranné řízení
5 = zapnuté záložní elektrické topení
6 = zapnutý ohřívač zásobníku teplé vody
7 = spuštěný režim topení
8 = spuštěný režim chlazení
9 = spuštěný režim přípravy teplé vody</t>
  </si>
  <si>
    <t>6CA</t>
  </si>
  <si>
    <t>0–9</t>
  </si>
  <si>
    <t>Možnosti výstupu 2:
0 = výstup pro výstrahu
1 = výstup pro provoz kompresoru
2 = výstup pro režim odtávání
3 = výstup pro řízení zásobníku
4 = aktivní bezpečnostní nebo ochranné řízení
5 = zapnuté záložní elektrické topení
6 = zapnutý ohřívač zásobníku teplé vody
7 = spuštěný režim topení
8 = spuštěný režim chlazení
9 = spuštěný režim přípravy teplé vody</t>
  </si>
  <si>
    <t>6CC</t>
  </si>
  <si>
    <t>Možnosti výstupu 3:
0 = výstup pro výstrahu
1 = výstup pro provoz kompresoru
2 = výstup pro režim odtávání
3 = výstup pro řízení zásobníku
4 = aktivní bezpečnostní nebo ochranné řízení
5 = zapnuté záložní elektrické topení
6 = zapnutý ohřívač zásobníku teplé vody
7 = spuštěný režim topení
8 = spuštěný režim chlazení
9 = spuštěný režim přípravy teplé vody</t>
  </si>
  <si>
    <t>6CD</t>
  </si>
  <si>
    <t>Možnosti výstupu 4:
0 = výstup pro výstrahu
1 = výstup pro provoz kompresoru
2 = výstup pro režim odtávání
3 = výstup pro řízení zásobníku
4 = aktivní bezpečnostní nebo ochranné řízení
5 = zapnuté záložní elektrické topení
6 = zapnutý ohřívač zásobníku teplé vody
7 = spuštěný režim topení
8 = spuštěný režim chlazení
9 = spuštěný režim přípravy teplé vody</t>
  </si>
  <si>
    <t>6CB</t>
  </si>
  <si>
    <t>Rozhraní 0–10 V (volitelné)</t>
  </si>
  <si>
    <t>Typ ovládání zařízení ESTIA:
0 = standardní ovládání
1 = regulace požadované teploty (DN 681–DN 684)
2 = přímá regulace výkonu – režim HTG/CLG (AI1)
3 = přímá regulace výkonu – teplá voda (AI 2)
4 = přímá regulace výkonu – HTG/CLG (AI 1) a teplá voda (AI 2)</t>
  </si>
  <si>
    <t>Požadovaná teplota teplé vody – výběr analogového vstupu (AI)
0 = analogový vstup se nepoužívá
1 = AI 1   2 = AI 2   3 = AI 3</t>
  </si>
  <si>
    <t>Zóna 1, požadovaná teplota (HTG) – výběr analogového vstupu
0 = analogový vstup se nepoužívá
1 = AI 1   2 = AI 2   3 = AI 3</t>
  </si>
  <si>
    <t>Zóna 2, požadovaná teplota (HTG) – výběr analogového vstupu
0 = analogový vstup se nepoužívá
1 = AI 1   2 = AI 2   3 = AI 3</t>
  </si>
  <si>
    <t>Zóna 1, požadovaná teplota (CLG) – výběr analogového vstupu
0 = analogový vstup se nepoužívá
1 = AI 1   2 = AI 2   3 = AI 3</t>
  </si>
  <si>
    <t>Horní mezní hodnota požadované teploty teplé vody</t>
  </si>
  <si>
    <t>40–80</t>
  </si>
  <si>
    <t>Uvolnění požadované teploty teplé vody</t>
  </si>
  <si>
    <t>Horní mezní hodnota požadované teploty zóny 1 (HTG)</t>
  </si>
  <si>
    <t>20–55 (65)</t>
  </si>
  <si>
    <t>Uvolnění požadované teploty zóny 1 (HTG)</t>
  </si>
  <si>
    <t>68A</t>
  </si>
  <si>
    <t>Horní mezní hodnota požadované teploty zóny 2 (HTG)</t>
  </si>
  <si>
    <t>Uvolnění požadované teploty zóny 2 (HTG)</t>
  </si>
  <si>
    <t>68B</t>
  </si>
  <si>
    <t>Horní mezní hodnota požadované teploty zóny 1 (CLG)</t>
  </si>
  <si>
    <t>7–29</t>
  </si>
  <si>
    <t>Uvolnění požadované teploty zóny 1 (CLG)</t>
  </si>
  <si>
    <t>68C</t>
  </si>
  <si>
    <t>Program sušení podlahovým topením</t>
  </si>
  <si>
    <t>Nastavení vysoušení podlahy 0 = VYPNUTO   1 = ZAPNUTO</t>
  </si>
  <si>
    <t>Nastavení počáteční a koncové teploty (°C)</t>
  </si>
  <si>
    <t>20–55</t>
  </si>
  <si>
    <t>Nastavení maximální teploty (°C)</t>
  </si>
  <si>
    <t>Počet dnů pro každý krok až do maximální teploty (dny)</t>
  </si>
  <si>
    <t>1–7</t>
  </si>
  <si>
    <t>Rozdíl teplot pro každý krok až do maximální teploty (K)</t>
  </si>
  <si>
    <t>Počet dnů pro každý krok až do koncové teploty (dny)</t>
  </si>
  <si>
    <t>Rozdíl teplot pro každý krok až do koncové teploty (K)</t>
  </si>
  <si>
    <t>Počet dnů s maximální teplotou (dny)</t>
  </si>
  <si>
    <t>Schéma vysoušení podlahy</t>
  </si>
  <si>
    <t>DN:1A</t>
  </si>
  <si>
    <t>DN:19</t>
  </si>
  <si>
    <t>DN:18</t>
  </si>
  <si>
    <t>DN:17</t>
  </si>
  <si>
    <t>DN:16</t>
  </si>
  <si>
    <t>uplynulé dny</t>
  </si>
  <si>
    <t>dny celkem</t>
  </si>
  <si>
    <t>PROGRAM SUŠENÍ PODLAHOVÝM TOPENÍM</t>
  </si>
  <si>
    <t>Program sušení podlahovým topením
• Tato funkce je dostupná pouze v rámci hlavního dálkového ovladače.
• Tato funkce slouží k sušení potěru.
• Ovládání jednotky po nastavení příslušného funkčního kódu smí provádět pouze servisní personál.
• Provoz se spustí až po nastavení všech příslušných funkčních kódů.
• Dodržujte následující nastavení.
Obraťte se na pracovníky odpovědné za instalaci. Nesprávná instalace může způsobit praskliny v betonu atd.
• Po spuštění režimu pracuje zařízení následujícím způsobem:
1 Na hlavní obrazovce stiskněte současně tlačítka [       ] a [        ] na dobu minimálně 4 sekund nebo déle, abyste se dostali do bodu nabídky
„FIELD SETTING MENU“ (NABÍDKA NASTAVENÍ).</t>
  </si>
  <si>
    <t>2 Stisknutím tlačítek [        ] / [        ] vyberte položku „Program sušení podlahovým topením“ v rámci nabídky „FIELD SETTING MENU“.
Potom stiskněte tlačítko [     ] na dobu 4 sekund nebo delší.</t>
  </si>
  <si>
    <t>SERVISNÍ FUNKCE(1/2)</t>
  </si>
  <si>
    <t>Testovací provoz</t>
  </si>
  <si>
    <t>Náběh podlahového vytápění</t>
  </si>
  <si>
    <t>Nucené odtávání
Zadání informací Poruchy (historie)</t>
  </si>
  <si>
    <t>ULOŽIT</t>
  </si>
  <si>
    <t>FC:14   Nastavení počáteční a koncové teploty (20–55 °C) FC:15   Nastavení maximální teploty 20–55 °C)
FC:16   Počet dnů pro každý krok až do maximální teploty (1–7 dnů) FC:17   Rozdíl teplot pro každý krok až do maximální teploty (1–10 K) FC:18   Počet dnů pro každý krok až do koncové teploty (1–7 dnů) FC:19   Rozdíl teplot pro každý krok až do koncové teploty (1–10 K) FC:1A   Počet dnů s maximální teplotou (1–30 dnů)</t>
  </si>
  <si>
    <t>3 Stisknutím tlačítka [     ] / [     ] vyberte číslo FC nebo údaje
a následným stisknutím tlačítek [        ] / [        ] nastavte požadované hodnoty.
4 Stiskněte tlačítko [       ]. Nastavené hodnoty jsou nyní uloženy.</t>
  </si>
  <si>
    <t>Kód
(DN)                         Hodnota</t>
  </si>
  <si>
    <t>Test provozu pomocí spínače na desce PCB
Režim testu provozu
V tomto režimu lze zkontrolovat funkce 2cestného ventilu, 3cestného ventilu, směšovacího ventilu a oběhového čerpadla. Tento postup platí pouze tehdy, když jsou hydrobox i venkovní jednotka zapnuté.</t>
  </si>
  <si>
    <t>Režim testu provozu
(1) Příprava
1) Přepněte všechny dálkové ovladače pro přípravu teplé vody a topení do polohy „OFF“ (Vypnuto).
2) Vypněte hydrobox i venkovní jednotku.
3) Sejměte přední kryt hydroboxu.
4) Nastavte DIP_SW705_3 do polohy „ON“ (Zapnuto).
(2) Test provozu
1) Zapněte hydrobox i venkovní jednotku.
2) Přepněte otočný přepínač SW700 do polohy „0“ a na dobu 5 sekund nebo déle stiskněte tlačítko SW703.
3) Otáčením přepínače SW700 lze zkontrolovat každý proces.
4) Chcete-li proces ukončit, nastavte DIP_SW705_3 do polohy „OFF“ (Vypnuto).
5) Přepněte otočný přepínač SW700 do polohy „0“.</t>
  </si>
  <si>
    <t>Otočný přepínač</t>
  </si>
  <si>
    <t>Přehled obsahu</t>
  </si>
  <si>
    <t>Poznámky</t>
  </si>
  <si>
    <t>0</t>
  </si>
  <si>
    <t>Nepoužívá se</t>
  </si>
  <si>
    <t>OP.CH</t>
  </si>
  <si>
    <t>2cestný ventil</t>
  </si>
  <si>
    <t>Přibližně 2 sekundy pracuje, 3 sekundy nepracuje</t>
  </si>
  <si>
    <t>2.ON  2.OFF</t>
  </si>
  <si>
    <t>3cestný ventil</t>
  </si>
  <si>
    <t>Pracuje po dobu 4 minut (topení/chlazení) Pracuje po dobu 4 minut (příprava teplé vody)</t>
  </si>
  <si>
    <t>Displej se 7 segmenty
ON  topení, OFF  příprava teplé vody 3.ON  3.OFF</t>
  </si>
  <si>
    <t>Směšovací ventil</t>
  </si>
  <si>
    <t>Pracuje po dobu 30 sekund ve směru dopředu Pracuje po dobu 30 sekund v opačném směru</t>
  </si>
  <si>
    <t>F.ON  F.OFF</t>
  </si>
  <si>
    <t>Integrované oběhové čerpadlo</t>
  </si>
  <si>
    <t>Pracuje/nepracuje po dobu 20 sekund</t>
  </si>
  <si>
    <t>P.ON  P.OFF</t>
  </si>
  <si>
    <t>Externí oběhové čerpadlo 2</t>
  </si>
  <si>
    <t>P2.ON  P2.OFF</t>
  </si>
  <si>
    <t>Záložní elektrické topení ohřevu vody</t>
  </si>
  <si>
    <t>Po 20 sekundách opakujte topení 1, topení 2 a vypnutí OFF</t>
  </si>
  <si>
    <t>Integrované oběhové čerpadlo pracuje. H.ON  H.OFF</t>
  </si>
  <si>
    <t>Příprava teplé vody</t>
  </si>
  <si>
    <t>dH.ON  dH.OFF</t>
  </si>
  <si>
    <t>Posílení topení</t>
  </si>
  <si>
    <t>Integrované oběhové čerpadlo a externí oběhové čerpadlo pracují.
bH.ON  bH.OFF</t>
  </si>
  <si>
    <t>Zkontrolujte výstup pro výstrahu.</t>
  </si>
  <si>
    <t>Výstup na 20 sekund / bez výstupu na 20 sekund.</t>
  </si>
  <si>
    <t>01.ON  01.OFF</t>
  </si>
  <si>
    <t>B</t>
  </si>
  <si>
    <t>Zkontrolujte výkon zásobníku.</t>
  </si>
  <si>
    <t>02.ON  02.OFF</t>
  </si>
  <si>
    <t>Zkontrolujte proces odtávání.</t>
  </si>
  <si>
    <t>03.ON  03.OFF</t>
  </si>
  <si>
    <t>D</t>
  </si>
  <si>
    <t>Zkontrolujte provozní výkon.</t>
  </si>
  <si>
    <t>04.ON  04.OFF</t>
  </si>
  <si>
    <t>E</t>
  </si>
  <si>
    <t>F</t>
  </si>
  <si>
    <t>Integrované oběhové čerpadlo Nepřetržitý provoz</t>
  </si>
  <si>
    <t>Nepřetržitý provoz</t>
  </si>
  <si>
    <t>Nepřetržitý oběhového čerpadla provoz nefunguje, pokud není v hydroboxu voda. P1.ON ukazatel průtoku</t>
  </si>
  <si>
    <t>SERVISNÍ MONITOROVÁNÍ</t>
  </si>
  <si>
    <t xml:space="preserve">Podnabídka nastavení
Servisní monitorování
•    Teplota senzoru se zobrazuje na dálkovém ovladači.
•    Pomocí této funkce můžete zkontrolovat, zda je senzor správně nainstalovaný.
(1) Stisknutím tlačítka [        ] / [        ] vyberte na obrazovce podnabídky „Nastavení“ položku „Servisní monitorování“
a následně stiskněte tlačítko [     ].
(2) Stisknutím tlačítka [     ] vyberte zařízení a následným stisknutím tlačítka [     ] zobrazíte stav.
</t>
  </si>
  <si>
    <t>•    Některé senzory (teploty/tlaku) se nemusí zobrazit, protože nejsou připojené.
TOSHIBA I 23</t>
  </si>
  <si>
    <t>Údaje hydroboxu</t>
  </si>
  <si>
    <t>Popis údajů</t>
  </si>
  <si>
    <t>Zaří- zení</t>
  </si>
  <si>
    <t>Řídicí teplota (zásobník teplé vody)</t>
  </si>
  <si>
    <t>Řídicí teplota (zóna 1)</t>
  </si>
  <si>
    <t>Řídicí teplota (zóna 2)</t>
  </si>
  <si>
    <t>Teplota na senzoru dálkového ovladače</t>
  </si>
  <si>
    <t>Kondenzační teplota (TC)</t>
  </si>
  <si>
    <t>Teplota vody na vstupu (TWI)</t>
  </si>
  <si>
    <t>Teplota vody na výstupu (TWO)</t>
  </si>
  <si>
    <t>Teplota vody na výstupu pro topení (THO)</t>
  </si>
  <si>
    <t>Teplota vody na vstupu podlahového topení (TFI)</t>
  </si>
  <si>
    <t>Teplota zásobníku teplé vody (TTW)</t>
  </si>
  <si>
    <t>Poloha směšovacího ventilu</t>
  </si>
  <si>
    <t>krok</t>
  </si>
  <si>
    <t>Nízký tlak (Ps) × 100</t>
  </si>
  <si>
    <t>MPa</t>
  </si>
  <si>
    <t>Verze softwaru hydroboxu</t>
  </si>
  <si>
    <t>Údaje venkovní jednotky</t>
  </si>
  <si>
    <t>Teplota na výměníku (TE)</t>
  </si>
  <si>
    <t>Teplota venkovního vzduchu (TO)</t>
  </si>
  <si>
    <t>Teplota na výtlaku (TD)</t>
  </si>
  <si>
    <t>Teplota na sání (TS)</t>
  </si>
  <si>
    <t>Teplota výměníku (THS)</t>
  </si>
  <si>
    <t>Proud × 10</t>
  </si>
  <si>
    <t>Teplota tepelného výměníku (TL)</t>
  </si>
  <si>
    <t>Provozní frekvence kompresoru</t>
  </si>
  <si>
    <t>Hz</t>
  </si>
  <si>
    <t>Počet otáček ventilátoru venkovní jednotky (spodní nebo model s 1 ventilátorem)</t>
  </si>
  <si>
    <t>ot./min</t>
  </si>
  <si>
    <t>Počet otáček ventilátoru venkovní jednotky (horní)</t>
  </si>
  <si>
    <t>Poloha venkovního PMV × 1/10</t>
  </si>
  <si>
    <t>pls</t>
  </si>
  <si>
    <t>Tlak na výtlaku (PD) × 1/10</t>
  </si>
  <si>
    <t>kPa</t>
  </si>
  <si>
    <t>DN pro hydrobox DN pro dálkový ovladač
Reset údajů o spotřebě energie
Informace o senzorech</t>
  </si>
  <si>
    <t>Napájení mikroprocesoru – celková doba × 1/100</t>
  </si>
  <si>
    <t>h</t>
  </si>
  <si>
    <t>Zapnutý kompresor přípravy teplé užitkové vody – celková doba × 1/100</t>
  </si>
  <si>
    <t>Zapnutý kompresor chladicí vody – celková doba × 1/100</t>
  </si>
  <si>
    <t>Zapnutý kompresor topení – celková doba × 1/100</t>
  </si>
  <si>
    <t>Provoz integrovaného oběhového čerpadla – celková doba × 1/100</t>
  </si>
  <si>
    <t>Provoz ohřívače zásobníku teplé užitkové vody – celková doba × 1/100</t>
  </si>
  <si>
    <t>Provoz přídavného topení – celková doba × 1/100</t>
  </si>
  <si>
    <t>Provoz doplňkového topení – celková doba × 1/100</t>
  </si>
  <si>
    <t>1 - 1</t>
  </si>
  <si>
    <t>1 - 4</t>
  </si>
  <si>
    <t>1 - 7</t>
  </si>
  <si>
    <t>1 - 2</t>
  </si>
  <si>
    <t>1 - 5</t>
  </si>
  <si>
    <t>1 - 8</t>
  </si>
  <si>
    <t>1 - 3            1 - 6</t>
  </si>
  <si>
    <t>Kód                    Údaje
00          0024</t>
  </si>
  <si>
    <t>  Zpět</t>
  </si>
  <si>
    <t>VODNÍ OKRUH A UMÍSTĚNÍ SENZORŮ</t>
  </si>
  <si>
    <t>zone1</t>
  </si>
  <si>
    <t>Fan coil unit</t>
  </si>
  <si>
    <t>Expansion vessel set : 1bar</t>
  </si>
  <si>
    <t>Thermal protector Single operation set : 95 ± 5 °C
Overpressure preventive valve
set : 4.3bar
TWO</t>
  </si>
  <si>
    <t>Air vent valve</t>
  </si>
  <si>
    <t>THO
Thermal protector (auto)
set : 75 ± 3 °C
Manometer gage : 6bar
Water vent valve</t>
  </si>
  <si>
    <t>Circulation pump max : 10 bar</t>
  </si>
  <si>
    <t>Booster heater (local)</t>
  </si>
  <si>
    <t>Safety valve set : 3.5bar
lve
)</t>
  </si>
  <si>
    <t>Boiler (local)</t>
  </si>
  <si>
    <t>By-pass valve (locally procured)</t>
  </si>
  <si>
    <t>Motorized 3-way va (locally procured
AC230 V</t>
  </si>
  <si>
    <t>Radiator unit</t>
  </si>
  <si>
    <t>Low pressure sensor
TC</t>
  </si>
  <si>
    <t>Backup heater Ø 1 : 3 kW
Ø 3 : 6 kW
Ø 3 : 9 kW
Water heat exchanger max : 10bar</t>
  </si>
  <si>
    <t>Flow sw</t>
  </si>
  <si>
    <t>TWI</t>
  </si>
  <si>
    <t>Strainer (locally procured)
40 mesh
Drain cock for water charge (locally procured)</t>
  </si>
  <si>
    <t xml:space="preserve">2-way valve for
cooling mode (locally procured) AC230 V
</t>
  </si>
  <si>
    <t>zone2</t>
  </si>
  <si>
    <t>Motorized mixing valve (locally procured) AC230 V
Circulation pump
(locally procured)
TFI
Floor
heating</t>
  </si>
  <si>
    <t>Pressure relief
Set value : 7 bar (UK)</t>
  </si>
  <si>
    <t>Water outlet</t>
  </si>
  <si>
    <t>Relief valve(UK) 90 °C
10 bar</t>
  </si>
  <si>
    <t>Outdoor unit</t>
  </si>
  <si>
    <t>Reducing valve (UK)
3.5 bar</t>
  </si>
  <si>
    <t>Thermal cut-out
(manual reset) 82 °C (+3K/-2K)
Water inlet</t>
  </si>
  <si>
    <t>TTW</t>
  </si>
  <si>
    <t>Cylinder heater Ø 1 : 2.7 kW</t>
  </si>
  <si>
    <t>Buffer tank (locally procured)</t>
  </si>
  <si>
    <t>Hot water cylinder</t>
  </si>
  <si>
    <t>Local hot water system</t>
  </si>
  <si>
    <t>CHLADICÍ OKRUH A UMÍSTĚNÍ SENZORŮ</t>
  </si>
  <si>
    <t>Chladicí okruh a umístění senzorů
HWT-601XWHM3W-E, HWT-601XWHT6W-E HWT-401HW-E, HWT-601HW-E</t>
  </si>
  <si>
    <t>HWT-1101XWHM3W-E, HWT-1101XWHT6W-E, HWT-1101XWHT9W-E HWT-801HW-E, HWT-1101HW-E</t>
  </si>
  <si>
    <t>VOLITELNÉ VSTUPY NA HYDROBOXU</t>
  </si>
  <si>
    <t>Volitelné vstupy na hydroboxu
Toto zařízení má k dispozici osm vstupů. Dva vstupy lze vybrat pomocí DN. V níže uvedené tabulce jsou volitelné funkce vstupů a jejich základní nastavení.
Beznapěťové kontakty
5</t>
  </si>
  <si>
    <t>I/P1 a I/P2: Vstup pro pokojový termostat
•    Nastavení: DN [6B3] = 1
•    Beznapěťové kontakty
Provoz termostatu</t>
  </si>
  <si>
    <t>CN21</t>
  </si>
  <si>
    <t>Topení</t>
  </si>
  <si>
    <t>Chlazení</t>
  </si>
  <si>
    <t>Dosaženo</t>
  </si>
  <si>
    <t>Nedo- saženo</t>
  </si>
  <si>
    <t>1-5 (I/P1)</t>
  </si>
  <si>
    <t>otevřít</t>
  </si>
  <si>
    <t>zavřít</t>
  </si>
  <si>
    <t>2-5 (I/P2)</t>
  </si>
  <si>
    <t>MCC-175</t>
  </si>
  <si>
    <t>společné vedení
společné vedení
Pomocná deska plošných spojů Vodní jednotky (hydroboxu)</t>
  </si>
  <si>
    <t>I/P 4
I/P 8</t>
  </si>
  <si>
    <t>I/P 3
I/P 7
P</t>
  </si>
  <si>
    <t>I/P 1
I/P 2
I/P 5
I/P 6
tě</t>
  </si>
  <si>
    <t>I/P3: Vstup pro termostat zásobníku teplé vody
•    Tato funkce se používá, když zákazník využívá místní zásobník teplé vody.
•    Nastavení: DN [6B2] = 1
•    Beznapěťové kontakty
Otevřít: Bylo dosaženo nastavené teploty Zavřít: Nebylo dosaženo nastavené teploty
I/P4: Přepínací vstup pro režim topení/chlazení
•    Beznapěťový kontakt Otevřít: Režim topení Zavřít: Režim chlazení
I/P5: Vstup pro zapnutí/vypnutí režimu topení/ chlazení
•    Beznapěťový kontakt
Otevřít: Vypnutý režim (vypnutý dálkový ovladač) Zavřít: Zapnutý režim (zapnutý dálkový ovladač)
I/P5: Vstup pro zapnutí/vypnutí režimu přípravy teplé vody
•    Beznapěťový kontakt
Otevřít: Vypnutý režim (vypnutý dálkový ovladač) Zavřít: Zapnutý režim (zapnutý dálkový ovladač)
I/P7 I/P8: Propojení s chytrou sítí Smart Grid (SG Ready)
•    Beznapěťový kontakt
•    Režim provozu je ovládán pomocí beznapěťových kontaktů, které jsou integrované v elektroměru.
•    Nastavení: DN [B6] = 4
0: Otevřít, 1: Zavřít</t>
  </si>
  <si>
    <t>ořízeno na mís</t>
  </si>
  <si>
    <t>Vstupní body (standardní nastavení)</t>
  </si>
  <si>
    <t>I/P 1</t>
  </si>
  <si>
    <t>Vstup pro pokojový termostat topení</t>
  </si>
  <si>
    <t>I/P 2</t>
  </si>
  <si>
    <t>Vstup pro pokojový termostat chlazení</t>
  </si>
  <si>
    <t>I/P 3</t>
  </si>
  <si>
    <t>Vstup pro termostat zásobníku teplé užitkové vody</t>
  </si>
  <si>
    <t>I/P 4</t>
  </si>
  <si>
    <t>Přepínací vstup pro režim topení/chlazení</t>
  </si>
  <si>
    <t>I/P 5</t>
  </si>
  <si>
    <t>Zapnutí/vypnutí režimu topení/chlazení</t>
  </si>
  <si>
    <t>I/P 6</t>
  </si>
  <si>
    <t>Zapnutí/vypnutí režimu přípravy teplé vody</t>
  </si>
  <si>
    <t>I/P 7 (DN: B6)</t>
  </si>
  <si>
    <t>0: Vstup pro nouzové zastavení</t>
  </si>
  <si>
    <t>I/P 8 (DN: B6)</t>
  </si>
  <si>
    <t>0: Nepoužívá se</t>
  </si>
  <si>
    <t>Volitelné vstupní body (DN: B6)</t>
  </si>
  <si>
    <t>DN: B6</t>
  </si>
  <si>
    <t>Bod</t>
  </si>
  <si>
    <t>8-10</t>
  </si>
  <si>
    <t>Vstup pro nouzové zastavení</t>
  </si>
  <si>
    <t>9-10</t>
  </si>
  <si>
    <t>Vstup pro regulaci TEMPO 1</t>
  </si>
  <si>
    <t>Vstup pro regulaci TEMPO 2</t>
  </si>
  <si>
    <t>Nucené vypnutí nouzového topení</t>
  </si>
  <si>
    <t>Nucené vypnutí ohřívače zásobníku teplé vody</t>
  </si>
  <si>
    <t>Vstup pro chytrou síť Smart Grid 1</t>
  </si>
  <si>
    <t>Vstup pro chytrou síť Smart Grid 2</t>
  </si>
  <si>
    <t>I/P7</t>
  </si>
  <si>
    <t>I/P8</t>
  </si>
  <si>
    <t>Režim provozu</t>
  </si>
  <si>
    <t>Omezený provoz</t>
  </si>
  <si>
    <t>Vypnutí systému</t>
  </si>
  <si>
    <t>Běžný provoz</t>
  </si>
  <si>
    <t>Nucené zapnutí systému</t>
  </si>
  <si>
    <t>26 I TOSHIBA</t>
  </si>
  <si>
    <t>OVLÁDÁNÍ HYDROBOXU</t>
  </si>
  <si>
    <t>Ovládání hydroboxu
Provozní postup a použitelné údaje</t>
  </si>
  <si>
    <t>Regulace výstupního signálu
(Připojte propojovací kabel k přípojce CN22 na desce PCBoard (MCC-1755) v hydroboxu.)</t>
  </si>
  <si>
    <t>Doplňkové výstupy hydroboxu
Toto zařízení má k dispozici čtyři výstupní přípojky, které lze vybrat pomocí kódů DN. V tabulce 1 jsou uvedeny volitelné funkce výstupů a jejich předběžné nastavení.</t>
  </si>
  <si>
    <t>Beznapěťový kontakt – specifikace viz níže: 230 V AC; 0,5 A (maximálně)
24 V DC; 1 A (maximálně)
Minimální proud 10 mA</t>
  </si>
  <si>
    <t>O/P 1 (DN_6CA)</t>
  </si>
  <si>
    <t>Výstup pro výstrahu</t>
  </si>
  <si>
    <t>O/P 2 (DN_6CC)</t>
  </si>
  <si>
    <t>Výstup pro režim odtávání</t>
  </si>
  <si>
    <t>O/P 3 (DN_6CD)</t>
  </si>
  <si>
    <t>Výstup pro řízení bojleru</t>
  </si>
  <si>
    <t>MCC-1755</t>
  </si>
  <si>
    <t>CN22</t>
  </si>
  <si>
    <t>O/P 4 (DN_6CB)</t>
  </si>
  <si>
    <t>Výstup pro provoz kompresoru</t>
  </si>
  <si>
    <t>společné</t>
  </si>
  <si>
    <t>O/P 4</t>
  </si>
  <si>
    <t>Volitelné výstupní prvky</t>
  </si>
  <si>
    <t>O/P 3</t>
  </si>
  <si>
    <t>O/P 2</t>
  </si>
  <si>
    <t>O/P 1</t>
  </si>
  <si>
    <t>0: Výstup pro výstrahu
• Rozepnutý: žádná výstraha
• Sepnutý: výstraha</t>
  </si>
  <si>
    <t>1: Výstup pro provoz kompresoru
• Rozepnutý: kompresor se zastaví
• Sepnutý: kompresor je v provozu
2: Výstup pro režim odtávání
• Rozepnutý: jednotka není v režimu odtávání
• Sepnutý: jednotka prochází odtáváním
3: Výstup pro řízení bojleru
• Rozepnutý: Běžný provoz
• Sepnutý: Výstup pro provoz bojleru
4: Při aktivním bezpečnostním nebo ochranném řízení
(pouze bezpečnostní nebo ochranné řízení vnitřní jednotky)
• Rozepnutý: Běžný provoz
• Sepnutý: Kontrola chodu je aktivní
5: Při aktivním záložním elektrickém topení
• Rozepnutý: Záložní elektrické topení není v chodu
• Sepnutý: Záložní elektrické topení je v chodu</t>
  </si>
  <si>
    <t>6: Při aktivním ohřívači zásobníku teplé vody
• Rozepnutý: Ohřívač zásobníku teplé vody není v chodu
• Sepnutý: Ohřívač zásobníku teplé vody je v chodu
7: Výstup pro režim topení
• Rozepnutý: vypnutý režim topení
• Sepnutý: zapnutý režim topení
(Včetně tepelného čerpadla, topení a režimu „Thermo Off“, pokud nedojde k poruše.)
8: Výstup pro režim chlazení
• Rozepnutý: vypnutý režim chlazení
• Sepnutý: zapnutý režim chlazení
(Včetně tepelného čerpadla a režimu „Thermo Off“, pokud nedojde k poruše.)
9: Výstup pro přípravu teplé vody
• Rozepnutý: vypnutá příprava teplé vody
• Sepnutý: zapnutá příprava teplé vody</t>
  </si>
  <si>
    <t>TOSHIBA I 27</t>
  </si>
  <si>
    <t>ROZHRANÍ 0–10 V [HWS-IFAIP01U-E] (VOLITELNÝ DOPLNĚK)</t>
  </si>
  <si>
    <t>Rozhraní 0–10 V [HWS-IFAIP01U-E] (volitelný doplněk)
K připojení rozhraní 0–10 V
TB04 pro kabelové propojení rozhraní 0–10 V v elektrické skříni hydroboxu
•    Pro komunikační vedení použijte 2žilové nepolarizované kabely.
•    Použijte 2žilové stíněné kabely, abyste zabránili rušení.
•    V tomto případě připojte pro účely uzemnění systému oba konce stíněných kabelů a izolujte zakončení svorky.
•    Zajistěte, aby na analogové vstupní svorky nevstupovalo napětí vyšší než 10 V DC.
•    Kabel dálkového ovladače (kabel AB) lze použít k propojení max. 2 jednotek. Hlavní ovládání
spolu s druhým dálkovým ovladačem nebo rozhraním KNX nebo MODBUS nebo adaptérem WLAN nebo ovládáním 0–10 V. Například hlavní ovládání spolu s druhým dálkovým ovladačem nebo rozhraním KNX nebo MODBUS nebo adaptérem WLAN nebo ovládáním 0–10 V.</t>
  </si>
  <si>
    <t>Vodní jednotka (hydrobox)</t>
  </si>
  <si>
    <t>Svorkovnice (TB04) pro vedení dálkového ovladače Pořízeno na místě
Dvoužilový, bez polarity
Velikost: celková délka 0,5 - 2,5 mm2:  až 50 m</t>
  </si>
  <si>
    <t>Pořízeno na místě Velikost: celková délka
mm2: až 200 m</t>
  </si>
  <si>
    <t>0,5 - 1,0</t>
  </si>
  <si>
    <t>CN1</t>
  </si>
  <si>
    <t>AI 1  0-10 V (+)</t>
  </si>
  <si>
    <t>DDC
(pořízeno na místě)</t>
  </si>
  <si>
    <t>0-10 V rozhraní
Deska plošných spojů
CN5</t>
  </si>
  <si>
    <t>AI 2  0-10 V (+)</t>
  </si>
  <si>
    <t>AI 3  0-10 V (+)</t>
  </si>
  <si>
    <t>Společný (-)</t>
  </si>
  <si>
    <t>Pomocí tohoto volitelného doplňku můžete regulovat buď nastavené teploty, nebo výkon . Regulace nastavené teploty
•    Kód DN 680 je nastaven na hodnotu „1“.
•    Určete metodu zadávání pro každou nastavenou teplotu.</t>
  </si>
  <si>
    <t>DN</t>
  </si>
  <si>
    <t>Volitelná hodnota (vstup z)</t>
  </si>
  <si>
    <t>Nastavená teplota teplé vody</t>
  </si>
  <si>
    <t>0: AI se nepoužívá</t>
  </si>
  <si>
    <t>1: AI1</t>
  </si>
  <si>
    <t>2: AI 2</t>
  </si>
  <si>
    <t>3: AI 3</t>
  </si>
  <si>
    <t>Zóna 1, nastavená teplota pro topení.</t>
  </si>
  <si>
    <t>Zóna 2, nastavená teplota pro topení.</t>
  </si>
  <si>
    <t>Zóna 1, nastavená teplota pro chlazení.</t>
  </si>
  <si>
    <t>•    Přiřaďte teplotě signál 0 až 10 V a kromě toho nastavte její aktivaci.
*( ): HWT-110</t>
  </si>
  <si>
    <t>[V] 10.0   Úroveň napětí
9.2                16 (Horní mez)
15            9.0
8.6                                  8.4
14
8.0                                  7.8
13
7.4                                  7.2
12
6.8                                  6.6
11
6.2                                  6.0
10
5.6                                  5.4
9
5.0                                  4.8
8
4.4                                  4.2
7
3.8
6             3.6
3.2                                  3.0
5
2.6                                  2.4
4
2.0                                  1.8
3
1.4                                  1.2
2
0.8
1             0.6
Analogový vstup</t>
  </si>
  <si>
    <t>Volitelná hodnota</t>
  </si>
  <si>
    <t>Horní mezní hodnota nastavené teploty teplé vody (při stupni napětí 16)</t>
  </si>
  <si>
    <t>40 až 80
Standard: 65 °C</t>
  </si>
  <si>
    <t>Aktivace nastavené teploty teplé vody (hodnota při stupni napětí)</t>
  </si>
  <si>
    <t>1 až 5
Standard: 5 °C</t>
  </si>
  <si>
    <t>Horní mezní hodnota nastavené teploty zóny 1 pro topení (při stupni napětí 16)</t>
  </si>
  <si>
    <t>20 až 55 (65)
Standard: 55 °C</t>
  </si>
  <si>
    <t>Aktivace nastavené teploty zóny 1 pro topení (hodnota při stupni napětí)</t>
  </si>
  <si>
    <t>1 až 5
Standard: 3 °C</t>
  </si>
  <si>
    <t>Horní mezní hodnota nastavené teploty zóny 2 pro topení (při stupni napětí 16)</t>
  </si>
  <si>
    <t>Aktivace nastavené teploty zóny 2 pro topení (hodnota při stupni napětí)</t>
  </si>
  <si>
    <t>Horní mezní hodnota nastavené teploty zóny 1 pro chlazení (při stupni napětí 16)</t>
  </si>
  <si>
    <t>7 až 25
Standard: 20 °C</t>
  </si>
  <si>
    <t>Aktivace nastavené teploty zóny 1 pro chlazení (hodnota při stupni napětí)</t>
  </si>
  <si>
    <t>1 až 5
Standard: 1 °C</t>
  </si>
  <si>
    <t>PŘÍMÁ REGULACE VÝKONU</t>
  </si>
  <si>
    <t>Přímá regulace výkonu
•    Kód DN 680 je nastaven na hodnotu „2, 3 nebo 4“.</t>
  </si>
  <si>
    <t>DN [AI01]</t>
  </si>
  <si>
    <t>AI 1</t>
  </si>
  <si>
    <t>Regulace nastavené teploty</t>
  </si>
  <si>
    <t>Přímá regulace výkonu
provozu TČ pro režim topení/chlazení</t>
  </si>
  <si>
    <t>AI 2</t>
  </si>
  <si>
    <t>Zadání nastavení kódů DN
681 až 684</t>
  </si>
  <si>
    <t>Přímá regulace výkonu
provozu TČ pro režim přípravy teplé vody</t>
  </si>
  <si>
    <t>AI 3</t>
  </si>
  <si>
    <t>Topení/ohřev TUV
Požadovaná</t>
  </si>
  <si>
    <t>Chlazení
Požadovaná</t>
  </si>
  <si>
    <t>•    DN 680 = 2
Analogový vstup aktivujte jen pro režim topení nebo</t>
  </si>
  <si>
    <t>[V]  10.0
9.2
8.6
8.0
7.4
6.8
6.2
5.6
5.0</t>
  </si>
  <si>
    <t>kapacita</t>
  </si>
  <si>
    <t>9.0
8.4
7.8
7.2
6.6
6.0
5.4
4.8</t>
  </si>
  <si>
    <t>[V]  10.0</t>
  </si>
  <si>
    <t>7.8
7.2
6.6
6.0
5.4
4.8</t>
  </si>
  <si>
    <t>chlazení.
•    DN 680 = 3</t>
  </si>
  <si>
    <t>AI 1  0-10 V</t>
  </si>
  <si>
    <t>0-10 V rozhraní Deska plošných spojů
CN5</t>
  </si>
  <si>
    <t>stejnos. pr. (+)</t>
  </si>
  <si>
    <t>3
4</t>
  </si>
  <si>
    <t>4.4                                    4.2
3.8                                    3.6
3.2                                    3.0</t>
  </si>
  <si>
    <t>4.2
3.6
3.0</t>
  </si>
  <si>
    <t>Analogový vstup aktivujte jen pro režim přípravy teplé vody.</t>
  </si>
  <si>
    <t>2.6
2.0
0.0</t>
  </si>
  <si>
    <t>2.4
1.8
Analogový vstup</t>
  </si>
  <si>
    <t>•    DN 680 = 4
Analogový vstup aktivujte jen pro režim topení/ chlazení a režim přípravy teplé vody.
TOSHIBA I 29</t>
  </si>
  <si>
    <t>1
2</t>
  </si>
  <si>
    <t>AI 2 0-10 V
stejnos. pr. (+)</t>
  </si>
  <si>
    <t>AI 1 0-10 V stejnos. pr. (+)</t>
  </si>
  <si>
    <t>AI 2 0-10 V stejnos. pr. (+)</t>
  </si>
  <si>
    <t>RESET HLAVNÍ DESKY</t>
  </si>
  <si>
    <t>Reset hlavní desky
Následujícím způsobem provedete reset DN hydromodulu
Postup
1.   Přejděte na obrazovku nastavení DN hydroboxu.
2.   Na obrazovce nastavení DN na delší dobu stiskněte tlačítka [        ] [        ] [      ] a vyberte položku „ANO“.</t>
  </si>
  <si>
    <t>POZNÁMKA
•    Po resetu DN trvá několik minut, než se znovu objeví standardní obrazovka.
Několik minut bude ještě zobrazena první komunikační obrazovka, ale to NENÍ problém.
•    Po resetu DN je třeba potvrdit a znovu nastavit některé následující body.</t>
  </si>
  <si>
    <t>Téma</t>
  </si>
  <si>
    <t>Podrobnosti</t>
  </si>
  <si>
    <t>Předběžné nasta- vení</t>
  </si>
  <si>
    <t>Výkon vodního výměníku tepla</t>
  </si>
  <si>
    <t>0010: 601</t>
  </si>
  <si>
    <t>0015: 1101</t>
  </si>
  <si>
    <t>Používá se příprava teplé vody</t>
  </si>
  <si>
    <t>0000: Ano</t>
  </si>
  <si>
    <t>0001: Ne</t>
  </si>
  <si>
    <t>Používá se provoz ZÓNY 2</t>
  </si>
  <si>
    <t>0000: Ne</t>
  </si>
  <si>
    <t>0001: Ano</t>
  </si>
  <si>
    <t>Výkon záložního elektrického topení</t>
  </si>
  <si>
    <t>0000: 3 kW
0002: 9 kW</t>
  </si>
  <si>
    <t>0001: 6 kW</t>
  </si>
  <si>
    <t>Následujícím způsobem provedete reset DN dálkového ovladače
Postup
1.   Přejděte na obrazovku nastavení DN dálkového ovladače.
2.   Na obrazovce nastavení DN na delší dobu stiskněte tlačítka [        ] [        ] [      ] a vyberte položku „ANO“.</t>
  </si>
  <si>
    <t>30 I TOSHIBA</t>
  </si>
  <si>
    <t>KABELOVÉ PROPOJENÍ DÁLKOVÉHO OVLADAČE</t>
  </si>
  <si>
    <t>Kabelové propojení dálkového ovladače
Schéma zapojení
Svorkovnice (TB04) pro
kabelové propojení dálkového ovládání na hydroboxu
Kabeláž dálkového regulátoru (je možné obstarat místně)</t>
  </si>
  <si>
    <t>Schematické znázornění zapojení kabelů
POZNÁMKA
Svorky A a B jsou bez polarity.
Odbočka z hydroboxu</t>
  </si>
  <si>
    <t>A B</t>
  </si>
  <si>
    <t>* Svorky A a B nemají žádnou polaritu.
* Použijte kabel 0,5 mm2 až 2,0 mm2.
* Nelze použít spojovací svorku.
Požadavky na instalaci</t>
  </si>
  <si>
    <t>A         Dálkové
B         ovládání
Svorkovnice pro kabeláž dálkového ovladače</t>
  </si>
  <si>
    <t>Dálkový ovladač (hlavní)
Svorkovnice (TB04) pro kabeláž dálkového</t>
  </si>
  <si>
    <t>Dálkový ovladač (druhý)
beláž dálkového ladače (je možné starat v místě)
5 mm2 až 2,5 mm2.
B</t>
  </si>
  <si>
    <t>Ka ov ob 0,</t>
  </si>
  <si>
    <t>druhého dálkového ovladače
Instalace
Dálkové ovladače u systému se dvěma dálkovými ovladači nainstalujte následujícím způsobem.
1.   Jeden z dálkových ovladačů nastavte jako rozdělovací dálkový ovladač. (Dálkový ovladač hydroboxu
je předem nastaven jako hlavní jednotka.)
2.   Na obrazovce „Úvodní nastavení“ proveďte nastavení v části „Hlavní/vedlejší“.
•    Chcete-li tímto dálkovým ovladačem regulovat teplotu v místnosti  místo teploty vody,
nastavte kód DN „40“ hydroboxu na hodnotu „1“.</t>
  </si>
  <si>
    <t>ovladače</t>
  </si>
  <si>
    <t>Uzemnění</t>
  </si>
  <si>
    <t>TOSHIBA I 31</t>
  </si>
  <si>
    <t>NASTAVENÍ ČASOVAČE</t>
  </si>
  <si>
    <t>Nastavení časového programu
• Tato funkce je dostupná pouze pro hlavní dálkový ovladač.
• Prostřednictvím nastavení časového harmonogramu lze flexibilně nastavovat následující režimy: příprava teplé vody, topení, chlazení, příprava teplé vody a topení, příprava teplé vody a chlazení i zastavení a nastavení teploty.
• Nastavte hodiny zařízení a časový harmonogram před časovačem.</t>
  </si>
  <si>
    <t>Příprava
Nejdříve nastavte čas na dálkovém ovladači.</t>
  </si>
  <si>
    <t>1 Stisknutím tlačítek [        ] / [        ] vyberte na obrazovce
„MENU“ (Nabídka) položku „Setting“ (Nastavení) a následně stiskněte tlačítko [     ].</t>
  </si>
  <si>
    <t>MENU(2/2)</t>
  </si>
  <si>
    <t>Anti bacteria Frost protection</t>
  </si>
  <si>
    <t>Setting</t>
  </si>
  <si>
    <t>Information</t>
  </si>
  <si>
    <t>SET</t>
  </si>
  <si>
    <t>2 Stisknutím tlačítek [        ] / [        ] vyberte položku
„Schedule setting“ (Nastavení harmonogramu)
na obrazovce nastavení a následně stiskněte tlačítko [     ].</t>
  </si>
  <si>
    <t>Initial setting</t>
  </si>
  <si>
    <t>Schedule setting</t>
  </si>
  <si>
    <t>Nastavení podmínek
• Pro jeden den lze naprogramovat až 6 různých druhů chodu.</t>
  </si>
  <si>
    <t>1 Stisknutím tlačítek [        ] / [        ] vyberte položku „Condition setting“ (Nastavení podmínky) na obrazovce časového harmonogramu a následně stiskněte tlačítko [     ].</t>
  </si>
  <si>
    <t>Condition setting</t>
  </si>
  <si>
    <t>Holiday setting Key lock</t>
  </si>
  <si>
    <t>2 Stisknutím tlačítka [     ] vyberte příslušný den a následně stiskněte tlačítko [     ], abyste zadali druh chodu.</t>
  </si>
  <si>
    <t>Condition setting(1/2)</t>
  </si>
  <si>
    <t>ALL</t>
  </si>
  <si>
    <t>TU</t>
  </si>
  <si>
    <t>WED   THU   FRI</t>
  </si>
  <si>
    <t>SAT  SUN</t>
  </si>
  <si>
    <t>Mode</t>
  </si>
  <si>
    <t>Z1</t>
  </si>
  <si>
    <t>Z2</t>
  </si>
  <si>
    <t>HW</t>
  </si>
  <si>
    <t>Start</t>
  </si>
  <si>
    <t>End</t>
  </si>
  <si>
    <t xml:space="preserve">-- </t>
  </si>
  <si>
    <t xml:space="preserve">--  :  -- </t>
  </si>
  <si>
    <t>--  :  --</t>
  </si>
  <si>
    <t>COPY</t>
  </si>
  <si>
    <t>RESET</t>
  </si>
  <si>
    <t>DAY</t>
  </si>
  <si>
    <t>3 Stisknutím tlačítek [     ] / [     ] vyberte bod změny a následně stiskněte tlačítka [        ] / [        ].</t>
  </si>
  <si>
    <t>E  WED   THU</t>
  </si>
  <si>
    <t>FRI</t>
  </si>
  <si>
    <t>SAT   SUN</t>
  </si>
  <si>
    <t>HEAT</t>
  </si>
  <si>
    <t>45</t>
  </si>
  <si>
    <t>- -</t>
  </si>
  <si>
    <t>08:00</t>
  </si>
  <si>
    <t>22:00</t>
  </si>
  <si>
    <t>COOL</t>
  </si>
  <si>
    <t>23:00</t>
  </si>
  <si>
    <t>- - : - -</t>
  </si>
  <si>
    <t>18:00</t>
  </si>
  <si>
    <t>19:00</t>
  </si>
  <si>
    <t>FIX</t>
  </si>
  <si>
    <t>32 I TOSHIBA</t>
  </si>
  <si>
    <t>Nastavení časového programu</t>
  </si>
  <si>
    <t>4 Stiskněte tlačítko [       ].
5 Stisknutím tlačítka [     ] uložte výběr.
Mode:          Provozní režim (TOPENÍ, CHLAZENÍ, TČ (teplá voda)) Z1:              Teplota nastavení ZÓNY 1
Z2:              Teplota nastavení ZÓNY 2
HW:             Provozní teplota pro přípravu teplé vody Start:           Doba zahájení provozu (0:00–23:59)
End:             Doba ukončení provozu (0:00–24:00,        )
• „       “ znamená, že provoz bude pokračovat.
Je-li doba ukončení nastavena jako dřívější než doba zahájení, zobrazí se chyba.</t>
  </si>
  <si>
    <t>Schedule timer confirm?</t>
  </si>
  <si>
    <t>YES                          NO</t>
  </si>
  <si>
    <t>TOSHIBA I 33</t>
  </si>
  <si>
    <t>Nastavení času
Existují dvě metody nastavení .
Při nastavení hodnoty „24:00“ pro položku „END“ (KONEC) a „00:00“ v další den pro položku „START“ (ZAHÁJENÍ) bude pokračovat předchozí provozní stav. Nastavte u položky „KONEC“ čas, ve který chcete provoz ukončit.
Nastavíte-li pro položku „KONEC“ hodnotu „--“, bude následující den pokračovat předchozí provozní stav. Nastavte
u položky „KONEC“ čas, ve který chcete provoz ukončit. Každá doba zahájení je dostačující, pokud se nachází před dobou ukončení.</t>
  </si>
  <si>
    <t>V režimu topení od pondělního večera 21:00 hodin do úterního rána 03:00 hodin.</t>
  </si>
  <si>
    <t>Příklad konfigurace (1)</t>
  </si>
  <si>
    <t>MON</t>
  </si>
  <si>
    <t>E  WED   THU   FRI</t>
  </si>
  <si>
    <t>ALL  MON</t>
  </si>
  <si>
    <t>TUE</t>
  </si>
  <si>
    <t>W</t>
  </si>
  <si>
    <t>ED   THU   FRI</t>
  </si>
  <si>
    <t>Mode HEAT</t>
  </si>
  <si>
    <t>Z1
55</t>
  </si>
  <si>
    <t>Z2
45</t>
  </si>
  <si>
    <t xml:space="preserve">HW
-- </t>
  </si>
  <si>
    <t>Start
21:00</t>
  </si>
  <si>
    <t>00:00</t>
  </si>
  <si>
    <t>03:00</t>
  </si>
  <si>
    <t>Příklad konfigurace (2)</t>
  </si>
  <si>
    <t>02:30</t>
  </si>
  <si>
    <t>*1</t>
  </si>
  <si>
    <t>Příklad konfigurace (3) (celodenní)</t>
  </si>
  <si>
    <t>MON  TUE  WED  THU   FRI  SAT   SUN</t>
  </si>
  <si>
    <t>21:00</t>
  </si>
  <si>
    <t>Příklad konfigurace (4) (celodenní)</t>
  </si>
  <si>
    <t>*1: V tomto příkladu je doba zahájení přípustná od 00:00 do 02:59 hodin.
34 I TOSHIBA</t>
  </si>
  <si>
    <t>Q-H KŘIVKY ČERPADEL</t>
  </si>
  <si>
    <t>Q-H křivky čerpadel
HWT-601XWHM3W-E HWT-601XWHT6W-E</t>
  </si>
  <si>
    <t>Vlastnosti hydraulického tepelného výměníku (6 kW) QH Minimální průtok
10
9                                                                                 Vodní jednotka (hydrobox)
Mimo rozsah                          Zátěž vakuového       (montáž na stěnu)
8                                                        čerpadla 100 %        Vlastnosti Q-H (230 V)
7
6
5
80%
4
3
60%
2
1
0
0              5             10            15            20            25            30            35            40
Průtok [l/min]</t>
  </si>
  <si>
    <t>HWT-1101XWHM3W-E HWT-1101XWHT6W-E HWT-1101XWHT9W-E</t>
  </si>
  <si>
    <t>Vlastnosti hydraulického tepelného výměníku (11 kW) QH Minimální průtok
10
9         Mimo rozsah                        Zátěž vakuového      Vodní jednotka (hydrobox)
(montáž na stěnu)
8                                                       čerpadla 100 %       Vlastnosti Q-H (230 V)
7
6
5                                                       80%
4
3
2                                                  60%
1
0
0              5            10            15            20            25            30            35            40
Průtok [l/min]</t>
  </si>
  <si>
    <t>TOSHIBA I 35</t>
  </si>
  <si>
    <t>CHARAKTERISTIKA TEPLOTNÍCH SENZORŮ</t>
  </si>
  <si>
    <t>Charakteristika teplotních senzorů</t>
  </si>
  <si>
    <t>Senzory TC, TWI, TWO, TFI, TTW, TS, TO                                                                             Senzory TD, TL
Typická hodnota                                                                                          Typická hodnota</t>
  </si>
  <si>
    <t>Teplota (°C)</t>
  </si>
  <si>
    <t>Hodnota odporu (kΩ)</t>
  </si>
  <si>
    <t>Minimální</t>
  </si>
  <si>
    <t>Standard</t>
  </si>
  <si>
    <t>Maximální</t>
  </si>
  <si>
    <t>55,73</t>
  </si>
  <si>
    <t>33,8</t>
  </si>
  <si>
    <t>20,35</t>
  </si>
  <si>
    <t>12,59</t>
  </si>
  <si>
    <t>25</t>
  </si>
  <si>
    <t>7,99</t>
  </si>
  <si>
    <t>5,192</t>
  </si>
  <si>
    <t>50</t>
  </si>
  <si>
    <t>3,451</t>
  </si>
  <si>
    <t>2,343</t>
  </si>
  <si>
    <t>70</t>
  </si>
  <si>
    <t>1,623</t>
  </si>
  <si>
    <t>80</t>
  </si>
  <si>
    <t>1,146</t>
  </si>
  <si>
    <t>90</t>
  </si>
  <si>
    <t>0,8237</t>
  </si>
  <si>
    <t>100</t>
  </si>
  <si>
    <t>0,6023</t>
  </si>
  <si>
    <t>TC, TWI, TWO, TFI, TTW, TE, TS, TO sensors</t>
  </si>
  <si>
    <t>60
50
40
30
20
10</t>
  </si>
  <si>
    <t>0
200</t>
  </si>
  <si>
    <t>-10          0</t>
  </si>
  <si>
    <t>10         20         30         40         50         60         70         80         90        100
Temperature (°C)
TD, TL sensors
20</t>
  </si>
  <si>
    <t>150                                                                                                                                           15</t>
  </si>
  <si>
    <t>100                                                                                                                                           10</t>
  </si>
  <si>
    <t>50                                                                                                                                           5</t>
  </si>
  <si>
    <t>0                                                                                                                                           0
0          10         20         30         40         50         60         70         80         90        100
Temperature (°C)</t>
  </si>
  <si>
    <t>* Jelikož je senzor TH (teplotní senzor výměníku venkovní jednotky) vestavěný v řídicí desce venkovní jednotky, nelze hodnotu odporu změřit.</t>
  </si>
  <si>
    <t>36 I TOSHIBA</t>
  </si>
  <si>
    <t>CL</t>
  </si>
  <si>
    <t>2-Drain hole (Ø20 × 88 long hole)</t>
  </si>
  <si>
    <t>371
Air inlet port</t>
  </si>
  <si>
    <t>Drain hole (Ø38)
B legs</t>
  </si>
  <si>
    <t>Air inlet port</t>
  </si>
  <si>
    <t>Air outlet port
600</t>
  </si>
  <si>
    <t>A legs                      45
61</t>
  </si>
  <si>
    <t>Details of B legs</t>
  </si>
  <si>
    <t>M ounting bolt hole (Ø11 × 17 long hole)</t>
  </si>
  <si>
    <t>(Anchor bolt pitch)</t>
  </si>
  <si>
    <t>300                                                                              800                                                          26</t>
  </si>
  <si>
    <t>Refrigerant pipe connecting port   Ø6.4
(Liquid side)</t>
  </si>
  <si>
    <t>Refrigerant pipe connecting port
(G as side)</t>
  </si>
  <si>
    <t>Ø12.7</t>
  </si>
  <si>
    <t>300
535</t>
  </si>
  <si>
    <t>(Unit: mm)</t>
  </si>
  <si>
    <t>ROZMĚRY (V MM)</t>
  </si>
  <si>
    <t>Note</t>
  </si>
  <si>
    <t>Ø38 Knockout hole</t>
  </si>
  <si>
    <t>4-Drain hole (36 × 85)</t>
  </si>
  <si>
    <t>438
Air inlet
port</t>
  </si>
  <si>
    <t>CL
215     80</t>
  </si>
  <si>
    <t>69
Air outlet port</t>
  </si>
  <si>
    <t>A legs</t>
  </si>
  <si>
    <t>Drain hole (Ø20 × 88 long hole)</t>
  </si>
  <si>
    <t>M ounting bolt hole (Ø12 × 17 long hole)</t>
  </si>
  <si>
    <t>12
M ounting bolt hole
(Ø12 × 28 U-shape hole)</t>
  </si>
  <si>
    <t>445</t>
  </si>
  <si>
    <t>83                                   55
620</t>
  </si>
  <si>
    <t>  Details of A legs </t>
  </si>
  <si>
    <t>  Details of B legs </t>
  </si>
  <si>
    <t>(Anchor bolt pitch)
370                                                                      1010</t>
  </si>
  <si>
    <t>30
Refrigerant pipe connecting port  Ø6.4
(Liquid side)</t>
  </si>
  <si>
    <t>Refrigerant pipe connecting port  Ø15.9
(G as side)</t>
  </si>
  <si>
    <t>2
1                                       1                                                        1</t>
  </si>
  <si>
    <t>150
371</t>
  </si>
  <si>
    <t>150</t>
  </si>
  <si>
    <t>80      18
135</t>
  </si>
  <si>
    <t>18      80
233</t>
  </si>
  <si>
    <t>12     64</t>
  </si>
  <si>
    <t>105     10</t>
  </si>
  <si>
    <t>628                        2
Z</t>
  </si>
  <si>
    <t>Knockout for downward piping
 Z views </t>
  </si>
  <si>
    <t>Rozměry (v mm)
Hydrobox
HWT-601XWHM3W-E, HWT-601XWHT6W-E
HWT-1101XWHM3W-E, HWT-1101XWHT6W-E, HWT-1101XWHT9W-E</t>
  </si>
  <si>
    <t>Details of A</t>
  </si>
  <si>
    <t>450</t>
  </si>
  <si>
    <t>Anchor bolt pitch</t>
  </si>
  <si>
    <t>Drain nipple</t>
  </si>
  <si>
    <t>63    63       Hot water outlet connecting pipe R1</t>
  </si>
  <si>
    <t>Refrigerant pipe connecting porte Ø6.4
(Liquid side)
Refrigerant pipe connecting porte A
(Gas side)</t>
  </si>
  <si>
    <t>40     114</t>
  </si>
  <si>
    <t>145
Water inlet connecting pipe R1</t>
  </si>
  <si>
    <t>Model name</t>
  </si>
  <si>
    <t>HWT-601</t>
  </si>
  <si>
    <t>HWT-1101</t>
  </si>
  <si>
    <t>Ø15.9</t>
  </si>
  <si>
    <t>Rozměry (v mm)
ALL-IN-ONE
HWT-601F21SM3W-E, HWT-601F21ST6W-E,
HWT-1101F21ST6W-E, HWT-1101F21MT6W-E, HWT-1101F21ST9W-E, HWT-1101F21MT9W-E</t>
  </si>
  <si>
    <t>80     68    80</t>
  </si>
  <si>
    <t>Refrigerant pipe connecting port ΦD
(Gas side)
Refrigerant pipe connecting port Φ6.35
(Liquid side)</t>
  </si>
  <si>
    <t>Water inlet connecting pipe Φ22
(for 1ZONE)
Hot Water outlet
66             connecting pipe Φ22
(for 1ZONE)</t>
  </si>
  <si>
    <t>ΦD</t>
  </si>
  <si>
    <t>HWT-601*</t>
  </si>
  <si>
    <t>Φ12.70</t>
  </si>
  <si>
    <t>HWT-1101*</t>
  </si>
  <si>
    <t>Φ15.88</t>
  </si>
  <si>
    <t>Water inlet connecting pipe Φ22
(for DHW)
Hot Water outlet connecting pipe Φ22
(for DHW)</t>
  </si>
  <si>
    <t>Hot Water outlet connecting pipe Φ22
(for 2 ZONE)
Water inlet connecting pipe Φ22
(for 2 ZONE)
600</t>
  </si>
  <si>
    <t> Detail of A  </t>
  </si>
  <si>
    <t>Příznaky poruch</t>
  </si>
  <si>
    <t>PŘÍZNAKY PORUCH</t>
  </si>
  <si>
    <t>Příznak</t>
  </si>
  <si>
    <t>Možná příčina</t>
  </si>
  <si>
    <t>Opatření</t>
  </si>
  <si>
    <t>Nedochází k topení nebo chlazení místnosti, voda není dostatečně teplá nebo studená</t>
  </si>
  <si>
    <t>Špatné nastavení dálkového ovladače</t>
  </si>
  <si>
    <t>Zkontrolujte dálkový ovladač a nastavení teploty</t>
  </si>
  <si>
    <t>Špatné nastavení funkčního kódu</t>
  </si>
  <si>
    <t>Zkontrolujte nastavení funkčního kódu podle tabulky funkčních kódů</t>
  </si>
  <si>
    <t>Záložní elektrické topení není připojeno</t>
  </si>
  <si>
    <t>Zkontrolujte záložní elektrické topení a bimetalový termostat</t>
  </si>
  <si>
    <t>Nedostatečný výkon</t>
  </si>
  <si>
    <t>Zkontrolujte výběr komponent</t>
  </si>
  <si>
    <t>Vadný senzor</t>
  </si>
  <si>
    <t>Zkontrolujte, zda je teplotní senzor nainstalovaný na správném místě</t>
  </si>
  <si>
    <t>Na dálkovém ovladači se nic neukazuje</t>
  </si>
  <si>
    <t>Bez proudu</t>
  </si>
  <si>
    <t>Zkontrolujte napájecí kabel</t>
  </si>
  <si>
    <t>Špatné nastavení</t>
  </si>
  <si>
    <t>Zkontrolujte nastavení DIP spínače na desce hydroboxu. Zkontrolujte nastavení podle tabulky funkčních kódů</t>
  </si>
  <si>
    <t>Průtokový spínač je aktivovaný, chybový kód [A01]</t>
  </si>
  <si>
    <t>Vzduch v čerpadle</t>
  </si>
  <si>
    <t>Proveďte odvzdušnění v souladu s návodem</t>
  </si>
  <si>
    <t>Nízký hydraulický tlak</t>
  </si>
  <si>
    <t>Nastavte hydraulický tlak odpovídající délce rozvodů a doplňte
vodu, dokud se na manometru neukáže alespoň požadovaný hydraulický tlak</t>
  </si>
  <si>
    <t>Sítko je ucpané</t>
  </si>
  <si>
    <t>Vyčistěte sítko</t>
  </si>
  <si>
    <t>Velký odpor na straně vody</t>
  </si>
  <si>
    <t>Rozšiřte přívod vody do hydroboxu nebo nainstalujte obtokový ventil</t>
  </si>
  <si>
    <t>Chybná funkce 3cestného ventilu (divertoru) pro přípravu teplé vody</t>
  </si>
  <si>
    <t>Zkontrolujte kabelové propojení a komponenty</t>
  </si>
  <si>
    <t>Z tlakového redukčního ventilu vytéká teplá voda</t>
  </si>
  <si>
    <t>Příliš vysoký hydraulický tlak</t>
  </si>
  <si>
    <t>Nastavte hydraulický tlak odpovídající délce rozvodů a doplňte vodu, dokud se na manometru neukáže alespoň požadovaný hydraulický tlak</t>
  </si>
  <si>
    <t>Příliš malý objem expanzní nádrže</t>
  </si>
  <si>
    <t>Zkontrolujte objem expanzní nádrže ve srovnání s celkovým množstvím vody. Pokud není dostačující, nainstalujte další expanzní nádrž</t>
  </si>
  <si>
    <t>Chybná funkce expanzní nádrže</t>
  </si>
  <si>
    <t>Zkontrolujte tlak vzduchu</t>
  </si>
  <si>
    <t>TOSHIBA I 41</t>
  </si>
  <si>
    <t>Zjištění poruchy prostřednictvím vodního výměníku nebo venkovní jednotky
O         možné
X         nemožné</t>
  </si>
  <si>
    <t>Chybový kód</t>
  </si>
  <si>
    <t>Diagnostika funkčního provozu</t>
  </si>
  <si>
    <t>Zjištění a opatření</t>
  </si>
  <si>
    <t>Technická příčina</t>
  </si>
  <si>
    <t>Záloha
k dispozici</t>
  </si>
  <si>
    <t>Automatický reset</t>
  </si>
  <si>
    <t>A01</t>
  </si>
  <si>
    <t>Chyba čerpadla nebo průtočného množství
1. Zjištěno senzorem TC
Při provozu čerpadla v režimu topení nebo přípravy teplé vody byla zjištěna teplota TC ≥63 °C (kromě odtávání)</t>
  </si>
  <si>
    <t>Topení X
Teplá voda O</t>
  </si>
  <si>
    <t>X</t>
  </si>
  <si>
    <t>Téměř žádný nebo nízký průtok vody
- Nedostatek přiváděného vzduchu
- Ucpání nečistotami v systému rozvodu vody
- Rozvod vody je příliš dlouhý
- Instalace akumulační nádrže a sekundárního čerpadla</t>
  </si>
  <si>
    <t>2. Detekován nestandardní stav průtokovým spínačem
Když se 2 minuty po spuštění vestavěného čerpadla nezobrazí signál průtokového spínače</t>
  </si>
  <si>
    <t>3. Zjištění příliš silného klepání ve vstupu průtokového spínače
Zjištění rachocení:
Při provozu zjištěny vstupní změny (VYPNUTÍZAPNUTÍ)
4krát během 10 sekund</t>
  </si>
  <si>
    <t>4. Odstraněné připojení průtokového spínače Když zastavené vestavěné čerpadlo zahájí provoz, zjistí stav průtokového spínače
„Průtok vody“</t>
  </si>
  <si>
    <t>1. Odstraněné připojení průtokového spínače
2. Vada průtokového spínače</t>
  </si>
  <si>
    <t>A02</t>
  </si>
  <si>
    <t>Chyba nárůstu teploty vody (topení) Když jeden ze senzorů TWI, TWO a THO dosáhne teploty 70 °C</t>
  </si>
  <si>
    <t>O</t>
  </si>
  <si>
    <t>1. Zkontrolujte senzory vstupní vody, výstupní vody a výstupu pro topení (TWI, TWO, THO)
2. Závada záložního elektrického topení (vadný termostat pro automatický reset)</t>
  </si>
  <si>
    <t>A03</t>
  </si>
  <si>
    <t>Chyba nárůstu teploty
(příprava teplé vody)
Když senzor TTW dosáhne teploty 85 °C</t>
  </si>
  <si>
    <t>Topení O
Teplá voda X</t>
  </si>
  <si>
    <t>1. Zkontrolujte senzor zásobníku teplé vody (TTW)
2. Zkontrolujte teplotní vypínač zásobníku teplé vody</t>
  </si>
  <si>
    <t>A04</t>
  </si>
  <si>
    <t>Protimrazová ochrana (1)
1. TWO&gt;20 °C:
Bylo zjištěno 2×TC+TWO ≤-12 °C
2. TWO≤20 °C:
Bylo zjištěno TC+TWO ≤4 °C
3. Během odtávání bylo zjištěno TWI ≤10 °C</t>
  </si>
  <si>
    <t>1. Téměř žádný nebo nízký průtok vody
- Ucpání nečistotami v systému rozvodu vody
- Rozvod vody je příliš dlouhý nebo příliš krátký
2. Zkontrolujte el. obvod topení
- Napájecí napětí, jistič, připojení napájení
3. Proveďte nastavení dostupného záložního elektrického topení
4. Zkontrolujte senzory vstupní vody, výstupní vody, tepelného výměníku (TWI, TWO, TC) a průtokový spínač</t>
  </si>
  <si>
    <t>A05</t>
  </si>
  <si>
    <t>Provoz protimrazové ochrany rozvodu Aktivace topení, když TWO &lt;4 nebo TWI &lt;4 nebo THO &lt;4 a po 30 minutách není TWO, TWI, THO ≥5 °C</t>
  </si>
  <si>
    <t>1. Zkontrolujte el. obvod topení
- Napájecí napětí, jistič, připojení napájení
2. Zkontrolujte senzory vstupní vody, výstupní vody a výstupu pro topení (TWI, TWO, THO)
3. Odpojení záložního elektrického topení</t>
  </si>
  <si>
    <t>A07</t>
  </si>
  <si>
    <t>Provoz tlakového spínače
Tlakový spínač pracuje při provozu tepelného čerpadla nepřetržitě po dobu 300 sekund</t>
  </si>
  <si>
    <t>1. Téměř žádný nebo nízký průtok vody
2. Vada průtokového spínače
3. Při zátěži za výše uvedených podmínek
4. Závada tlakového spínače</t>
  </si>
  <si>
    <t>A07
Hi Power</t>
  </si>
  <si>
    <t>Chyba kombinace
Název modelu hydroboxu je jiný</t>
  </si>
  <si>
    <t>Zkontrolujte, zda je DP_SW13_4 nastaven do polohy „ON“ (Zapnuto)</t>
  </si>
  <si>
    <t>42 I TOSHIBA</t>
  </si>
  <si>
    <t>A08</t>
  </si>
  <si>
    <t>Funkční porucha senzoru nízkého tlaku Senzor nízkého tlaku zjistí hodnotu 0,2 MPa nebo nižší</t>
  </si>
  <si>
    <t>A09</t>
  </si>
  <si>
    <t>Ochranný provoz přehřátí
- Když je aktivován termostat záložního elektrického topení během provozu tepelného čerpadla nebo záložního elektrického topení.
- Když se spustí provoz termostatu, přestože byl zastaven</t>
  </si>
  <si>
    <t>A10</t>
  </si>
  <si>
    <t>Protimrazová ochrana (2)
Když je v režimu chlazení TC-TWO &lt;-15 K</t>
  </si>
  <si>
    <t>A11</t>
  </si>
  <si>
    <t>Provoz ochrany aktivace
Když TWO vydá aktivaci směrem k 10</t>
  </si>
  <si>
    <t>Topení Chlazení X
Teplá voda O</t>
  </si>
  <si>
    <t>A12</t>
  </si>
  <si>
    <t>Topení nebo příprava teplé vody Kontrola protimrazové ochrany zjistí za podmínky TWI &lt;15 °C zatímco TWI ≥15 °C, TW ≥20 °C není po záloze topení zjištěno</t>
  </si>
  <si>
    <t>A13</t>
  </si>
  <si>
    <t>Chyba čerpadla</t>
  </si>
  <si>
    <t>A14</t>
  </si>
  <si>
    <t>E03</t>
  </si>
  <si>
    <t>Chyba běžné komunikace mezi hydroboxem a dálkovým ovladačem Když po dobu 3 minut neexistuje běžná komunikace s dálkovým ovladačem nebo když není dálkový ovladač připojen</t>
  </si>
  <si>
    <t>E04</t>
  </si>
  <si>
    <t>Chyba běžné komunikace mezi hydroboxem a venkovní jednotkou Nelze přijmout signál přicházející z venkovní jednotky</t>
  </si>
  <si>
    <t>E08</t>
  </si>
  <si>
    <t>Dvojitá adresa hydroboxu nebo dvě hlavní jednotky hydrobox v rámci ovládání skupiny</t>
  </si>
  <si>
    <t>TOSHIBA I 43</t>
  </si>
  <si>
    <t>E14</t>
  </si>
  <si>
    <t>Pravidelná chyba komunikace
mezi hydroboxem a rozhraním 0–10 V-IF Když po dobu 3 minut neprobíhá pravidelná komunikace z rozhraní 0–10 V nebo když není rozhraní 0–10 V nainstalováno.</t>
  </si>
  <si>
    <t>1. Zkontrolujte připojení rozhraní 0–10 V-IF.
2. Chyba rozhraní 0–10 V-IF.</t>
  </si>
  <si>
    <t>E18</t>
  </si>
  <si>
    <t>Pravidelná chyba komunikace mezi hlavním a podřízeným hydroboxem během ovládání skupiny</t>
  </si>
  <si>
    <t>Zkontrolujte připojení hydroboxu.
- Chyba zapojení hlavního a podřízeného Hydrobox</t>
  </si>
  <si>
    <t>F03</t>
  </si>
  <si>
    <t>Chyba senzoru TC
Přerušení nebo zkrat v senzoru teploty na výměníku</t>
  </si>
  <si>
    <t>Zkontrolujte odpor a připojení teplotního senzoru tepelného výměníku (TC)</t>
  </si>
  <si>
    <t>F04</t>
  </si>
  <si>
    <t>Chyba senzoru TD
Přerušení nebo zkrat v teplotním senzoru horkých plynů</t>
  </si>
  <si>
    <t>Zkontrolujte odpor a připojení teplotního senzoru horkých plynů (TD)</t>
  </si>
  <si>
    <t>F06</t>
  </si>
  <si>
    <t>Chyba senzoru TE
Přerušení nebo zkrat v senzoru teploty na výměníku</t>
  </si>
  <si>
    <t>Zkontrolujte odpor a připojení teplotního senzoru tepelného výměníku (TE)</t>
  </si>
  <si>
    <t>F07</t>
  </si>
  <si>
    <t>Chyba senzoru TL
Přerušení nebo zkrat v senzoru teploty na výměníku</t>
  </si>
  <si>
    <t>Zkontrolujte odpor a připojení teplotního senzoru tepelného výměníku (TL)</t>
  </si>
  <si>
    <t>F08</t>
  </si>
  <si>
    <t>Chyba senzoru TO
Přerušení nebo zkrat v senzoru venkovní teploty</t>
  </si>
  <si>
    <t>Zkontrolujte hodnotu odporu a připojení senzoru venkovní teploty (TO)</t>
  </si>
  <si>
    <t>F10</t>
  </si>
  <si>
    <t>Chyba senzoru TWI
Přerušení nebo zkrat v teplotním senzoru vstupní vody</t>
  </si>
  <si>
    <t>Zkontrolujte odpor a připojení teplotního senzoru na vstupu vody (TWI)</t>
  </si>
  <si>
    <t>F11</t>
  </si>
  <si>
    <t>Chyba senzoru TWO
Přerušení nebo zkrat v teplotním senzoru výstupní vody</t>
  </si>
  <si>
    <t>Zkontrolujte odpor a připojení teplotního senzoru na výstupu vody (TWO)</t>
  </si>
  <si>
    <t>F12</t>
  </si>
  <si>
    <t>Chyba senzoru TS
Přerušení nebo zkrat v teplotním senzoru sání</t>
  </si>
  <si>
    <t>Zkontrolujte hodnotu odporu a připojení teplotního senzoru sání (TS)</t>
  </si>
  <si>
    <t>F13</t>
  </si>
  <si>
    <t>Chyba senzoru TH
Přerušení nebo zkrat v teplotním senzoru tepelného výměníku</t>
  </si>
  <si>
    <t>Zkontrolujte odpor a připojení teplotního senzoru tepelného výměníku (TH)</t>
  </si>
  <si>
    <t>F14</t>
  </si>
  <si>
    <t>Chyba senzoru TTW
Přerušení nebo zkrat v teplotním senzoru teplé vody</t>
  </si>
  <si>
    <t>Zkontrolujte teplotní senzor zásobníku teplé vody (TTW)</t>
  </si>
  <si>
    <t>F15</t>
  </si>
  <si>
    <t>Chyba senzorů TE/TS
Prohozené připojení senzorů TE a TS</t>
  </si>
  <si>
    <t>Zkontrolujte špatnou instalaci teplotního senzoru tepelného výměníku (TE) nebo teplotního senzoru sání (TS)</t>
  </si>
  <si>
    <t>F17</t>
  </si>
  <si>
    <t>Chyba senzoru TFI
Přerušení nebo zkrat v teplotním senzoru podlahového topení</t>
  </si>
  <si>
    <t>Zkontrolujte odpor a připojení teplotního senzoru na vstupu podlahového topení (TFI)</t>
  </si>
  <si>
    <t>F18</t>
  </si>
  <si>
    <t>Chyba senzoru THO
Přerušení nebo zkrat v teplotním senzoru výstupu pro topení</t>
  </si>
  <si>
    <t>Zkontrolujte odpor a připojení teplotního senzoru na výstupu pro topení (THO)</t>
  </si>
  <si>
    <t>F19</t>
  </si>
  <si>
    <t>Zjištění chyby odpojení senzoru THO
Když se zjistí TWO-THO &gt;15 K a uplyne 30 sekund</t>
  </si>
  <si>
    <t>1. Zkontrolujte přerušené připojení teplotního senzoru na výstupu pro topení (THO)
2. Závada průtokového spínače</t>
  </si>
  <si>
    <t>F20</t>
  </si>
  <si>
    <t>Chyba senzoru TFI
Když se zjistí TWO-TFI &gt;40 K a TFI &lt;TWI -5 K na dobu 60 sekund</t>
  </si>
  <si>
    <t>F23</t>
  </si>
  <si>
    <t>Chyba senzoru nízkého tlaku
- Když se zjistí PS &lt;0,07 MPa na dobu
90 sekund nebo delší (chlazení, odtávání)
- Když se zjistí PS &lt;0,07 MPa na dobu
10 minut nebo delší (příprava teplé vody, topení)</t>
  </si>
  <si>
    <t>F24</t>
  </si>
  <si>
    <t>Chyba senzoru PD
Přerušení nebo zkrat v senzoru vysokého tlaku</t>
  </si>
  <si>
    <t>F29</t>
  </si>
  <si>
    <t>Chyba paměti EEPROM
Když je soubor zasílaný do paměti EEPROM (např. změny chybových kódů) poškozený
a není potvrzeno přijetí z interního paměťového prvku</t>
  </si>
  <si>
    <t>F30</t>
  </si>
  <si>
    <t>Chyba rozšířeného integrovaného obvodu
V případě nestandardní činnosti rozšířeného integrovaného obvodu</t>
  </si>
  <si>
    <t>F31</t>
  </si>
  <si>
    <t>Chyba paměti EEPROM</t>
  </si>
  <si>
    <t>F32</t>
  </si>
  <si>
    <t>Chyba senzoru průtoku</t>
  </si>
  <si>
    <t>F33</t>
  </si>
  <si>
    <t>Chyba průtočného množství
1. Zjištěno senzorem TC
Při topení se zjistila hodnota TC ≥ 68 °C nebo provoz tepelného čerpadla při přípravě teplé vody (kromě odtávání).</t>
  </si>
  <si>
    <t>2. Zjištěno průtočným množstvím
Když dojde k zastavení integrované cirkulace Čerpadlo zahájí provoz, senzor průtoku zjistí
„průtok vody“.</t>
  </si>
  <si>
    <t>H01</t>
  </si>
  <si>
    <t>Výpadek kompresoru
1. Když provozní frekvence poklesne
v důsledku uvolnění proudu 40 sekund po aktivaci kompresoru nebo později
a zastaví se při překročení minimální frekvence
2. Když provozní frekvence poklesne
v důsledku kontroly proudového omezení a zastaví se při nedosažení minimální frekvence
3. Když se 0,8 sekundy po aktivaci kompresoru nebo později zjistí nadproud</t>
  </si>
  <si>
    <t>H02</t>
  </si>
  <si>
    <t>Zablokování kompresoru
Když je vstupní proud 20 sekund po aktivaci kompresoru nebo později vyšší než nula
a aktivace nebyla dokončena</t>
  </si>
  <si>
    <t>H03</t>
  </si>
  <si>
    <t>Závada v obvodu zjištění proudu</t>
  </si>
  <si>
    <t>TOSHIBA I 45</t>
  </si>
  <si>
    <t>H04</t>
  </si>
  <si>
    <t>Provoz termostatu ohřevu jednotky Když termostat ohřevu jednotky dosáhne teploty 125 °C</t>
  </si>
  <si>
    <t>1. Zkontrolujte chladicí okruh (detekce úniku chladiva)
2. Zkontrolujte termostat ohřevu jednotky a připojení
3. Zkontrolujte, zda je servisní ventil zcela otevřený
4. Závada pulzního ventilu
5. Zkontrolujte možné zkroucení vodičů</t>
  </si>
  <si>
    <t>L02</t>
  </si>
  <si>
    <t>Chyba kombinace
Název modelu venkovní jednotky je jiný</t>
  </si>
  <si>
    <t>1. Zkontrolujte název modelu venkovní jednotky
2. Zkontrolujte zda je DP_SW13_4 nastaven do polohy „OFF“</t>
  </si>
  <si>
    <t>L03</t>
  </si>
  <si>
    <t>Dvojitá hlavní jednotka hydrobox při ovládání skupiny
Ve skupině je více hlavních jednotek.</t>
  </si>
  <si>
    <t>1. Zkontrolujte adresy hydroboxů. (DN_14)
2. Zkontrolujte, zda se od nastavení adresy hydroboxu nezměnilo připojení dálkového ovladače (skupina/jednotlivec)</t>
  </si>
  <si>
    <t>L07</t>
  </si>
  <si>
    <t>Chyba komunikace
Jednotlivé hydroboxy mají skupinové vedení</t>
  </si>
  <si>
    <t>Vyměňte řídicí desku PCBoard vodního výměníku</t>
  </si>
  <si>
    <t>L08</t>
  </si>
  <si>
    <t>Skupina/adresa hydroboxu není přiřazena
Nebylo provedeno nastavení adresy hydroboxů.</t>
  </si>
  <si>
    <t>Zkontrolujte adresy hydroboxů. Poznámka:
Zobrazení tohoto kódu proběhne při prvním zapnutí po instalaci.</t>
  </si>
  <si>
    <t>L09</t>
  </si>
  <si>
    <t>Chyba komunikace
U hydroboxu nebyl nastaven výkonový kód</t>
  </si>
  <si>
    <t>Zkontrolujte nastavení výkonových specifikací FC01 0012 = 805XWH**-E, P805XWH**-E
0015 = P1105XWH**-E
0017 = 1405XWH**-E</t>
  </si>
  <si>
    <t>L10</t>
  </si>
  <si>
    <t>Odstraňte údržbářský můstek na desce PCBoard
Můstek J800-J803 nebyl rozpojen</t>
  </si>
  <si>
    <t>Rozpojte spojení J800-J803</t>
  </si>
  <si>
    <t>L15</t>
  </si>
  <si>
    <t>1. Zkontrolujte název modelu hydroboxu
2. Zkontrolujte zda je DP_SW13_4 nastaven do polohy „ON“</t>
  </si>
  <si>
    <t>L16</t>
  </si>
  <si>
    <t>Chyba nastavení
Když nebyla nastavena ZÓNA 1, zatímco ZÓNA 2 byla nastavena</t>
  </si>
  <si>
    <t>Zkontrolujte DP-SW12_2,3</t>
  </si>
  <si>
    <t>L22</t>
  </si>
  <si>
    <t>Chyba nastavení 0–10 V
Nastavení DN680 v rámci ovládání skupiny nejsou pro všechny jednotky stejná.</t>
  </si>
  <si>
    <t>Zkontrolujte nastavení 0–10 V pro všechny jednotky.
(DN_680)</t>
  </si>
  <si>
    <t>L29</t>
  </si>
  <si>
    <t>Chyba komunikace mezi deskou PCBoard venkovní jednotky a MUC Žádný komunikační signál mezi IPDU a CDB</t>
  </si>
  <si>
    <t>Vyměňte řídící desku PCBoard venkovní jednotky</t>
  </si>
  <si>
    <t>P03</t>
  </si>
  <si>
    <t>Chyba výstupní teploty
Když teplotní senzor horkých plynů (TD) dosáhne teploty 111 °C</t>
  </si>
  <si>
    <t>1. Zkontrolujte chladicí okruh (detekce úniku chladiva)
2. Závada pulzního ventilu
3. Zkontrolujte hodnotu odporu teplotního senzoru horkých plynů (TD)</t>
  </si>
  <si>
    <t>P04</t>
  </si>
  <si>
    <t>Chyba spínače vysokého tlaku</t>
  </si>
  <si>
    <t>P05</t>
  </si>
  <si>
    <t>Chyba napájecího napětí
Když je napájecí napětí příliš vysoké nebo příliš nízké</t>
  </si>
  <si>
    <t>Zkontrolujte napájecí napětí
(220–230 V AC ±10 %: 1fázová jednotka) (380–400 V AC ±10 %: 3fázová jednotka)</t>
  </si>
  <si>
    <t>P07</t>
  </si>
  <si>
    <t>Chyba přehřátí tepelného výměníku
Když tepelný výměník dosáhne teploty 105 °C</t>
  </si>
  <si>
    <t>1. Zkontrolujte závitové spojení a mazivo
tepelného výměníku mezi řídicí deskou PCBoard venkovní jednotky a tepelným výměníkem
2. Zkontrolujte vzduchový kanál ventilátoru tepelného výměníku
3. Zkontrolujte hodnotu odporu teplotního senzoru výměníku (TH)</t>
  </si>
  <si>
    <t>46 I TOSHIBA</t>
  </si>
  <si>
    <t>P15</t>
  </si>
  <si>
    <t>Zjištění úniku chladiva
- Když teplotní senzor horkých plynů (TD) překročí teplotu 106 °C na dobu delší než 10 minut
- Když teplotní senzor sání (TS) dosáhne při chlazení teploty 60 °C nebo při topení teploty 40 °C po nepřetržitou dobu 10 minut Když se zjistí TG ≤TC -10 K a TG ≤
TWI -15 K po dobu 10 minut (příprava teplé vody, topení)
- Když se zjistí TG ≤TE -12 K po dobu 10 minut (chlazení)</t>
  </si>
  <si>
    <t>P19</t>
  </si>
  <si>
    <t>Chyba 4cestného uzavíracího ventilu Když senzor teploty na výměníku (TE) dosáhne teploty 30 °C nebo teplotní senzor na sání
(TS) během provozu tepelného čerpadla dosáhne teploty 50 °C</t>
  </si>
  <si>
    <t>P20</t>
  </si>
  <si>
    <t>Provoz ochrany vysokého tlaku
- Když dojde k nestandardnímu zastavení v důsledku regulace uvolnění vysokého tlaku
- Když senzor vysokého tlaku (PD) zjistí hodnotu 4,05 MPa
- Když senzor teploty na výměníku (TL)
zjistí během režimu chlazení teplotu 63 °C
- Když senzor výstupní vody (TWO) zjistí během topení nebo přípravy teplé vody teplotu 60 °C</t>
  </si>
  <si>
    <t>P22</t>
  </si>
  <si>
    <t>Chyba systému ventilátoru venkovní jednotky
Když selže měření referenčního bodu ventilátoru na stejnosměrný proud, dojde ke zkratu vinutí motoru, ztrátě synchronizace rotoru v důsledku špatného chodu motoru nebo nestandardního proudu motoru (např. zablokovaný rotor)</t>
  </si>
  <si>
    <t>P26</t>
  </si>
  <si>
    <t>Zkrat hnacího prvku kompresoru
Když dojde k nestandardnímu zkratu IGBT</t>
  </si>
  <si>
    <t>P29</t>
  </si>
  <si>
    <t>Chyba polohy rotoru kompresoru
Nelze zjistit polohu rotoru v kompresoru</t>
  </si>
  <si>
    <t>P31</t>
  </si>
  <si>
    <t>Na podřízeném hydroboxu se vyskytuje chyba při chybě v hlavním hydroboxu</t>
  </si>
  <si>
    <t>TOSHIBA I 47</t>
  </si>
  <si>
    <t>Zjištění poruchy prostřednictvím dálkového ovladače</t>
  </si>
  <si>
    <t>Neukazuje se vůbec nic (nelze ovládat pomocí dálkového ovladače)</t>
  </si>
  <si>
    <t>Žádná komunikace mezi hydroboxem a dálkovým ovladačem
- Zapojení dálkového ovladače nebylo správně provedeno
- Nedošlo k zapnutí hydroboxu</t>
  </si>
  <si>
    <t>Stop</t>
  </si>
  <si>
    <t>Chyba napájení dálkového ovladače
1. Zkontrolujte připojení dálkového ovladače
2. Zkontrolujte dálkový ovladač
3. Zkontrolujte napájecí kabel hydroboxu
4. Zkontrolujte řídicí desku PCBoard vodního výměníku</t>
  </si>
  <si>
    <t>E01</t>
  </si>
  <si>
    <t>Žádná komunikace mezi hydroboxem a dálkovým ovladačem
Přerušení přechodu z dálkového ovladače a základní jednotky vnitřní jednotky (zjištěno na straně dálkového ovladače)</t>
  </si>
  <si>
    <t>Stop (automatický reset)</t>
  </si>
  <si>
    <t>Chyba při příjmu signálu dálkového ovladače
1. Zkontrolujte přechod dálkového ovladače
2. Zkontrolujte dálkový ovladač
3. Zkontrolujte napájecí kabel hydroboxu
4. Zkontrolujte desku PCBoard vodního výměníku</t>
  </si>
  <si>
    <t>E02</t>
  </si>
  <si>
    <t>Chyba přenosu signálu do hydroboxu
(zjištěno na straně dálkového ovladače)</t>
  </si>
  <si>
    <t>Chyba přenosu signálu z dálkového ovladače
1. Zkontrolujte vysílací obvod v dálkovém ovladači
2. Vyměňte dálkový ovladač</t>
  </si>
  <si>
    <t>E09</t>
  </si>
  <si>
    <t>Více hlavních dálkových ovladačů
(zjištěno na straně dálkového ovladače)</t>
  </si>
  <si>
    <t>Stop (podřízené pracují dále)</t>
  </si>
  <si>
    <t>Více hlavních dálkových ovladačů
Jako hlavní lze nastavit pouze jeden dálkový ovladač. Všechny ostatní dálkové ovladače musí být nastaveny jako podřízené</t>
  </si>
  <si>
    <t>48 I TOSHIBA</t>
  </si>
  <si>
    <t>Modul KNX
DŮLEŽITÉ:
• Používejte vždy pouze jeden dálkový ovladač. Při připojování tohoto rozhraní se nesmí používat žádný další dálkový ovladač.
• Nesmí se vzájemně propojovat a míchat hydroboxy série 4 a série 5.</t>
  </si>
  <si>
    <t>MODUL KNX</t>
  </si>
  <si>
    <t>Length of stripped KNX and A B bus communication cable</t>
  </si>
  <si>
    <t>(20 mm)     (5 mm)</t>
  </si>
  <si>
    <t>Hydro Unit</t>
  </si>
  <si>
    <t>The terminal block in the
hydro unit.           TB07
A B</t>
  </si>
  <si>
    <t>Connection to A B bus. Two-core cabtyre cable.</t>
  </si>
  <si>
    <t>KNX TP-1
(EIB) bus</t>
  </si>
  <si>
    <t>Max. 50m</t>
  </si>
  <si>
    <t>Specifikace</t>
  </si>
  <si>
    <t>Díl</t>
  </si>
  <si>
    <t>Specifikační hodnota</t>
  </si>
  <si>
    <t>Síťový zdroj</t>
  </si>
  <si>
    <t>Vedení KNX 29 V DC / 8 mA Vedení AW 14 V DC / 20 mA</t>
  </si>
  <si>
    <t>Provozní teplota a vlhkost vzduchu</t>
  </si>
  <si>
    <t>0 °C až 40 °C        10 až 80 % RV (nekondenzující)</t>
  </si>
  <si>
    <t>Skladovací teplota a vlhkost vzduchu</t>
  </si>
  <si>
    <t>-20 °C až 60 °C    10 až 80 % RV (nekondenzující)</t>
  </si>
  <si>
    <t>Materiál opláštění</t>
  </si>
  <si>
    <t>Plechová skříň z pozinkovaného ocelového plechu (SGCC-CSC), základna 0,8 t; kryt 0,6 t; bez lakování; tvarovací jednotka z ABS (UL 94 HB), tloušťka 2,5 mm</t>
  </si>
  <si>
    <t>Velikost</t>
  </si>
  <si>
    <t>Plechová skříň 33,4 (V) × 82,5 (Š) × 92,1 (H) mm Tvarovací jednotka 28 (V) × 70 (Š) × 70 (H) mm</t>
  </si>
  <si>
    <t>Hmotnost</t>
  </si>
  <si>
    <t>225 g (včetně plechové skříně) 70 g (tvarovací jednotka)</t>
  </si>
  <si>
    <t>Dodané zboží</t>
  </si>
  <si>
    <t>Č .</t>
  </si>
  <si>
    <t>Označení dílu</t>
  </si>
  <si>
    <t>Množství</t>
  </si>
  <si>
    <t>Rozhraní KN (tvarovací jednotka)</t>
  </si>
  <si>
    <t>Návod k obsluze</t>
  </si>
  <si>
    <t>Plechová skříň</t>
  </si>
  <si>
    <t>Kryt, základna</t>
  </si>
  <si>
    <t>Montážní šrouby</t>
  </si>
  <si>
    <t>K připojení signálního vedení použijte následující elektroinstalační materiál (je nutné pořídit na místě)</t>
  </si>
  <si>
    <t>Kabel</t>
  </si>
  <si>
    <t>Hodnota</t>
  </si>
  <si>
    <t>Pro sběrnici KNX TP-1</t>
  </si>
  <si>
    <t>Typ kabelu</t>
  </si>
  <si>
    <t>KNX TP1</t>
  </si>
  <si>
    <t>Průměr kabelu</t>
  </si>
  <si>
    <t>Délka kabelu</t>
  </si>
  <si>
    <t>1000 m</t>
  </si>
  <si>
    <t>Polarita</t>
  </si>
  <si>
    <t>Ano (+/-)</t>
  </si>
  <si>
    <t>Pro sběrnicová vedení AB (AW-LINK)</t>
  </si>
  <si>
    <t>VCTF</t>
  </si>
  <si>
    <t>0,5 mm2  až 2,0 mm2</t>
  </si>
  <si>
    <t>50 m (0,752)</t>
  </si>
  <si>
    <t>Ne</t>
  </si>
  <si>
    <t>TOSHIBA I 49</t>
  </si>
  <si>
    <t>MODUL MODBUS</t>
  </si>
  <si>
    <t>Modul MODBUS</t>
  </si>
  <si>
    <t>Rozhraní BMS-IFMB0AWR-E umožňuje kompletní a přirozené začlenění klimatizačních jednotek TOSHIBA do sítí Modbus RTU (RS-485).
Rozhraní BMS-IFMB0AWR-E je kompatibilní s vedením AW-LINK jednotek TOSHIBA ESTIA.</t>
  </si>
  <si>
    <t>• Menší rozměry 90 (93) × 53 × 58 mm.
• Rychlá a jednoduchá instalace. Montáž na DIN lištu, na stěnu.
• Není nutné externí napájení.
• Přímé připojení k sítím Modbus RTU (RS-485).
Rozhraní BMS-IFMB0AWR-E je podřízené zařízení Modbus.
• Přímé připojení k hydroboxu.
• Konfigurace obou integrovaných DIP spínačů a Modbus RTU.
• Kompletní kontrola a monitorování.
• Reálné stavy interních proměnných hydroboxu.
• Umožňuje současné použití dálkového ovladače a Modbus RTU.</t>
  </si>
  <si>
    <t>Modbus RTU RS-485 network</t>
  </si>
  <si>
    <t>Modbus RTU master device</t>
  </si>
  <si>
    <t>BMS-IFMB0UEW-E</t>
  </si>
  <si>
    <t>Up to 63 Hydro units</t>
  </si>
  <si>
    <t>BMS-IFMB0UEW-E
BMS-IFMB0UEW-E</t>
  </si>
  <si>
    <t>•  SCADA
•  PLC
•  DDC
•  BMS
•  HMI
•  Controller
•  etc</t>
  </si>
  <si>
    <t>50 I TOSHIBA</t>
  </si>
  <si>
    <t>Pokyny k instalaci
• Odpojte hydrobox od síťového napájení.
• Připevněte rozhraní vedle hydroboxu (nástěnná montáž). Dodržujte pokyny uvedené v následujícím obrázku nebo nainstalujte rozhraní do hydroboxu (postupujte podle výše uvedených bezpečnostních pokynů).
• Připojte rozhraní ke sběrnici A B-Bus na libovolném místě. Sběrnice A B-Bus je sběrnice, která propojuje hydrobox
s kabelovým dálkovým ovladačem. Jedná se o 2žilovou sběrnici, která spojuje přípojky A a B. Spojení A B nevyžaduje speciální polaritu.
• Připojte sběrnici RS-485 k připojovací svorce RS-485 rozhraní.
• Hydrobox po zavření opět připojte k síťovému napájení.
• Za účelem konfigurace rozhraní a jeho uvedení do provozu postupujte podle pokynů uvedených v uživatelské příručce.
• Za účelem konfigurace rozhraní prostřednictvím integrovaných DIP spínačů postupujte podle pokynů uvedených na následující straně.
POZNÁMKA
Kabel pro připojení rozhraní BMS-IFMB0AWR-E ke sběrnici A B-Bus může být libovolný dvoužilový kabel izolovaný v souladu s předpisy. Maximální vzdálenost sběrnice A B-Bus je 50 metrů. Další podrobnosti najdete v uživatelské příručce k hydroboxu.
Dodržujte maximální vzdálenost sběrnice 500 metrů, na sběrnici RS-485 nejsou povoleny žádné smyčky ani hvězdy a na každém konci sběrnici musí být nainstalovaný zakončovací odpor 120 Ω, aby se zabránilo odrazům signálu. Kromě toho musí být k dispozici mechanismus zakončovacích prvků proti selhání (fail safe biasing).
DŮLEŽITÉ
• Používejte vždy pouze jeden dálkový ovladač. Při připojování tohoto rozhraní se nesmí používat žádný další dálkový ovladač.
• Nesmí se vzájemně propojovat a míchat hydroboxy série 4 a série 5.</t>
  </si>
  <si>
    <t>Length of stripped RS-485 and A B bus communication cable</t>
  </si>
  <si>
    <t>(20 mm)      (5 mm)</t>
  </si>
  <si>
    <t>53 mm
Hydro Unit</t>
  </si>
  <si>
    <t>Interface installation
•   Install the interface on the DIN rail.
•   For wall mount extract the upper and down staples until you hear the “click”.</t>
  </si>
  <si>
    <t>The terminal block in the hydro unit.
4 series and 5 series: TB07
R32 1 series             : TB04
A B</t>
  </si>
  <si>
    <t>Connection to A B bus. Two-core cabtyre cable.
Max. 50 m</t>
  </si>
  <si>
    <t>DIN rail</t>
  </si>
  <si>
    <t>90 mm</t>
  </si>
  <si>
    <t>MODBUS RTU
RS-485</t>
  </si>
  <si>
    <t>                 Bus</t>
  </si>
  <si>
    <t>TOSHIBA I 51</t>
  </si>
  <si>
    <t>ELEKTRICKÉ ZAPOJENÍ PRO PŘEDBĚŽNÝ OHŘEV PŘED UVEDENÍM DO PROVOZU</t>
  </si>
  <si>
    <t>Elektrické zapojení pro předběžný ohřev před uvedením do provozu
Nezbytně nutné v době od října do března nebo při teplotách pod 15 °C!
1.  Napětí 400 V připojte ke svorkovnici TB03 a čidlo teplé vody připojte ke svorkovnici TTW – viz foto
2.  Napětí 230 V připojte ke svorkovnici TB01 (třmen) – viz foto
3.  Zapněte napájení/jištění 400 V
4. Aktivujte topení       (hlášení poruchy E04 je normální)
5.  F1 -&gt; nastavte teplotu na 25 °C (pomocí šipek)
6.  Zkontrolujte u rozdělovače FBH, zda protéká voda. Pokud ne, odvzdušněte/propláchněte systém
7.  Chyba A01 = vzduch v systému nebo zavřený ventil // -&gt; tlačítko Reset (VYPNOUT/ZAPNOUT)
Připojení:
TB 01: ke svorkám 1 a 2 připojte napětí 230 V (1 = L, 2 = N), svorku 3 nepřipojujte.
TB 02: připojte napětí 400 V.
TB 02: nemusí se připojovat (později potřeba pro přípravu teplé vody). TTW: ke svorkovnici TTW připojte čidlo.</t>
  </si>
  <si>
    <t>52 I TOSHIBA</t>
  </si>
  <si>
    <t>Od:     Martin &lt;holik@klimafresh.sk&gt; Odoslan�: streda 19. j�na 2024 0:44 Komu:       martin.holik993@gmail.com Predmet:   Fwd: Cennik aux
Odoslan� z aplik�cie Outlook pre iOS
Od: Martin &lt;holik@klimafresh.sk&gt;
Odoslan�: pondelok, j�na 17, 2024 11:42 AM
Komu: Adam.roth90@gmail.com &lt;Adam.roth90@gmail.com&gt;
Predmet: Fwd: Cennik aux
Odoslan� z aplik�cie Outlook pre iOS
Odoslan�: pondelok, j�na 17, 2024 9:11 AM Komu: holik@klimafresh.sk &lt;holik@klimafresh.sk&gt; Predmet: Cennik aux
Cenn�k aux pre va��� odber:
https://www.klimater.sk/aux-freedom-plus/ Freedom plus 3 2,7kw bez dph 290� a s dph 348� Freedom plus 3 3,5kw bez dph 310� a s dph 372� Freedom plus 3 5kw bez dph 450� a s dph 540�
https://www.klimater.sk/aux-q-smart-plus/ Qsmart plus 2,7kw bez dph 320� s dph 385� Qsmart plus 3,5kw bez dph 360� s dph 435� Qsmart plus 5,4kw bez dph 490� s dph 590�
https://www.klimater.sk/aux-c-smart-wind-free/
C smart windfree 2,7kw bez dph 399� a s dph 480� C smart windfree 3,5kw bez dph 427� a s dph 513�
https://www.klimater.sk/aux-c-pro-wind-free/ C pro 3,5kw bez dph 478� a s 573,6�</t>
  </si>
  <si>
    <t>Prehľad rabatov                                                                06.02.2025
GT LABS, s.r.o.</t>
  </si>
  <si>
    <t>Skratka skupiny</t>
  </si>
  <si>
    <t>Názov skupiny</t>
  </si>
  <si>
    <t>Rabat</t>
  </si>
  <si>
    <t>CHEMIA</t>
  </si>
  <si>
    <t>Chémia a čistiace prostriedky</t>
  </si>
  <si>
    <t>CHLAD</t>
  </si>
  <si>
    <t>Chladivo pre klimatizacie</t>
  </si>
  <si>
    <t>CUPOT</t>
  </si>
  <si>
    <t>Cu potrubie a tvarovky</t>
  </si>
  <si>
    <t>ELKAB</t>
  </si>
  <si>
    <t>Elektricke kable</t>
  </si>
  <si>
    <t>ELMAT</t>
  </si>
  <si>
    <t>Elektroinštalačny material</t>
  </si>
  <si>
    <t>FLDER</t>
  </si>
  <si>
    <t>Flexit decentrálne rekuperácie</t>
  </si>
  <si>
    <t>FLENO</t>
  </si>
  <si>
    <t>Flexit EcoNordic</t>
  </si>
  <si>
    <t>FLPOS</t>
  </si>
  <si>
    <t>Flexit potrubný systém</t>
  </si>
  <si>
    <t>FLPOT</t>
  </si>
  <si>
    <t>Flexit potrubie</t>
  </si>
  <si>
    <t>FLPRI</t>
  </si>
  <si>
    <t>Flexit príslušenstvo</t>
  </si>
  <si>
    <t>FLREK</t>
  </si>
  <si>
    <t>Flexit rekuperácie</t>
  </si>
  <si>
    <t>FLVEN</t>
  </si>
  <si>
    <t>Flexit ventilátory a vetranie</t>
  </si>
  <si>
    <t>HPX ADURO</t>
  </si>
  <si>
    <t>Heatpex ADURO</t>
  </si>
  <si>
    <t>HPX ARIA</t>
  </si>
  <si>
    <t>Heatpex ARIA</t>
  </si>
  <si>
    <t>HPX VITALE</t>
  </si>
  <si>
    <t>Heatpex VITALE</t>
  </si>
  <si>
    <t>IZOLA</t>
  </si>
  <si>
    <t>Izolacie</t>
  </si>
  <si>
    <t>KLARG</t>
  </si>
  <si>
    <t>Klimatizačne jednotky Argo</t>
  </si>
  <si>
    <t>KONZO</t>
  </si>
  <si>
    <t>MASTERCOOL</t>
  </si>
  <si>
    <t>Náradie Mastercool</t>
  </si>
  <si>
    <t>NIBCO</t>
  </si>
  <si>
    <t>PVC trubky a prislušenstvo</t>
  </si>
  <si>
    <t>PLSOR</t>
  </si>
  <si>
    <t>Plastovy sortiment</t>
  </si>
  <si>
    <t>SAACC</t>
  </si>
  <si>
    <t>Príslušenstvo SAMSUNG ACC</t>
  </si>
  <si>
    <t>SACAC</t>
  </si>
  <si>
    <t>Klimatizácie SAMSUNG CAC</t>
  </si>
  <si>
    <t>SAEHS</t>
  </si>
  <si>
    <t>Tepelné čerpadlá SAMSUNG EHS</t>
  </si>
  <si>
    <t>SAERV</t>
  </si>
  <si>
    <t>Rekuperátory SAMSUNG ERV</t>
  </si>
  <si>
    <t>SAFJM</t>
  </si>
  <si>
    <t>Klimatizácie SAMSUNG FJM</t>
  </si>
  <si>
    <t>SARAC</t>
  </si>
  <si>
    <t>Klimatizácie SAMSUNG RAC</t>
  </si>
  <si>
    <t>SA30%</t>
  </si>
  <si>
    <t>Samsung - rabat 30%</t>
  </si>
  <si>
    <t>TC PR</t>
  </si>
  <si>
    <t>Tepelné čerpadlá - príslušenstvo</t>
  </si>
  <si>
    <t>TO VN</t>
  </si>
  <si>
    <t>Rekuperátory  TOSHIBA VN</t>
  </si>
  <si>
    <t>TOACC</t>
  </si>
  <si>
    <t>Príslušenstvo TOSHIBA ACC</t>
  </si>
  <si>
    <t>TOHWS</t>
  </si>
  <si>
    <t>Tepelné čerpadlá TOSHIBA HWS</t>
  </si>
  <si>
    <t>TORAS</t>
  </si>
  <si>
    <t>Klimatizácie TOSHIBA RAS</t>
  </si>
  <si>
    <t>TORAV</t>
  </si>
  <si>
    <t>Klimatizácie TOSHIBA RAV</t>
  </si>
  <si>
    <t>TO40%</t>
  </si>
  <si>
    <t>Toshiba - rabat 40%</t>
  </si>
  <si>
    <t>TO45%</t>
  </si>
  <si>
    <t>Toshiba - rabat 45%</t>
  </si>
  <si>
    <t>VZTKO</t>
  </si>
  <si>
    <t>Vzduchotechnicke komponenty</t>
  </si>
  <si>
    <t>Strana 1 / 1</t>
  </si>
  <si>
    <t>Cenník klimatizačnej techniky RAC       Platný od:     1.4.2024</t>
  </si>
  <si>
    <t>Typ na R32</t>
  </si>
  <si>
    <t>Chlad./kúr.(kW)</t>
  </si>
  <si>
    <t>Prevedenie</t>
  </si>
  <si>
    <t>Miestnosť (m3)</t>
  </si>
  <si>
    <t>Cena v EUR bez DPH</t>
  </si>
  <si>
    <t>PRO  nástenný split, inverter / chladenie-kúrenie</t>
  </si>
  <si>
    <t>NEW</t>
  </si>
  <si>
    <t>W09TE   (W09TE.NEU + W09TE.UEU)</t>
  </si>
  <si>
    <t>0,9-3,7/0,9-4,1</t>
  </si>
  <si>
    <t>W12TE   (W12TE.NEU + W12TE.UEU)</t>
  </si>
  <si>
    <t>0,9-4,0/0,9-5,1</t>
  </si>
  <si>
    <t>W18TI   (W18TI.NEU + W18TI.UEU)</t>
  </si>
  <si>
    <t>0,9-5,5/0,9-6,4</t>
  </si>
  <si>
    <t>1 170</t>
  </si>
  <si>
    <t>W24TI   (W24TI.NEU + W24TI.UEU)</t>
  </si>
  <si>
    <t>0,9-7,5/0,9-8,8</t>
  </si>
  <si>
    <t>1 430</t>
  </si>
  <si>
    <t>STANDARD  nástenný split, inverter / chladenie-kúrenie</t>
  </si>
  <si>
    <t>S09EQ   (S09EQ.NSJS + S09EQ.UA3S)</t>
  </si>
  <si>
    <t>S12EQ   (S12EQ.NSJS + S12EQ.UA3S)</t>
  </si>
  <si>
    <t>S18EQ   (S18EQ.NSKS + S18EQ.UL2S)</t>
  </si>
  <si>
    <t>1 449</t>
  </si>
  <si>
    <t>S24EQ   (S24EQ.NSKS + S24EQ.U24S)</t>
  </si>
  <si>
    <t>1 717</t>
  </si>
  <si>
    <t>STANDARD  PLUS nástenný split, inverter / chladenie-kúrenie</t>
  </si>
  <si>
    <t>PC09SK   (PC09SK.NSJ + PC09SK.UA3)</t>
  </si>
  <si>
    <t>1 065</t>
  </si>
  <si>
    <t>PC12SK   (PC12SK.NSJ + PC12SK.UA3)</t>
  </si>
  <si>
    <t>1 108</t>
  </si>
  <si>
    <t>PC18SK   (PC18SK.NSK + PC18SK.UL2)</t>
  </si>
  <si>
    <t>1 632</t>
  </si>
  <si>
    <t>PC24SK   (PC24SK.NSK + PC24SK.U24)</t>
  </si>
  <si>
    <t>1 933</t>
  </si>
  <si>
    <t>Nástenný split s čističkou vzduchu inverter / chladenie-kúrenie</t>
  </si>
  <si>
    <t>AP09RK   (AP09RK.NSJ + AP09RK.UA3)</t>
  </si>
  <si>
    <t>0,9-3,7/0,9-5,0</t>
  </si>
  <si>
    <t>1 316</t>
  </si>
  <si>
    <t>AP12RK   (AP12RK.NSJ + AP12RK.UA3)</t>
  </si>
  <si>
    <t>0,9-4,0/0,9-6,0</t>
  </si>
  <si>
    <t>1 362</t>
  </si>
  <si>
    <t>DELUXE nástenný split, inverter / chladenie-kúrenie</t>
  </si>
  <si>
    <t>DC09RK   (DC09RK.NSJ + DC09RK.UL2)</t>
  </si>
  <si>
    <t>DC12RK   (DC12RK.NSJ + DC12RK.UL2)</t>
  </si>
  <si>
    <t>1 527</t>
  </si>
  <si>
    <t>DC18RK   (DC18RK.NSK + DC18RK.UL2)</t>
  </si>
  <si>
    <t>1 882</t>
  </si>
  <si>
    <t>DC24RK   (DC24RK.NSK + DC24RK.U24)</t>
  </si>
  <si>
    <t>2 231</t>
  </si>
  <si>
    <t>ARTCOOL nástenný split, nverter / chladenie-kúrenie  - prevedenie zrkadlo</t>
  </si>
  <si>
    <t>AC09BK   (AC09BK.NSJ + AC09BK.UA3)</t>
  </si>
  <si>
    <t>1 422</t>
  </si>
  <si>
    <t>AC12BK   (AC12BK.NSJ + AC12BK.UA3)</t>
  </si>
  <si>
    <t>1 587</t>
  </si>
  <si>
    <t>AC18BK   (AC18BK.NSK + AC18BK.UL2)</t>
  </si>
  <si>
    <t>1 898</t>
  </si>
  <si>
    <t>AC24BK   (AC24BK.NSK + AC24BK.U24)</t>
  </si>
  <si>
    <t>2 253</t>
  </si>
  <si>
    <t>ARTCOOL nástenný split, inverter / chladenie-kúrenie  - prevedenie Beige</t>
  </si>
  <si>
    <t>AB09BK   (AB09BK.NSJ + AB09BK.UA3)</t>
  </si>
  <si>
    <t>AB12BK   (AB12BK.NSJ + AB12BK.UA3)</t>
  </si>
  <si>
    <t>AB18BK   (AB18BK.NSK + AB18BK.UL2)</t>
  </si>
  <si>
    <t>AB24BK   (AB24BK.NSK + AB24BK.U24)</t>
  </si>
  <si>
    <t>DUALCOOL PREMIUM nástenný split, inverter / chladenie-kúrenie</t>
  </si>
  <si>
    <t>H09S1P   (H09S1P.NS1 + H09SP1.U18)</t>
  </si>
  <si>
    <t>1 465</t>
  </si>
  <si>
    <t>H12S1P   (H12S1P.NS1 + H12SP1.U18)</t>
  </si>
  <si>
    <t>ARTCOOL Galery SPECIAL nástenný split, inverter / chladenie-kúrenie</t>
  </si>
  <si>
    <t>A09GA1   (A09GA1.NSE + A09GA1.U18)</t>
  </si>
  <si>
    <t>1,3-3,5/1,3-4,2</t>
  </si>
  <si>
    <t>1 681</t>
  </si>
  <si>
    <t>A12GA1   (A12GA1.NSE + A12GA1.U18)</t>
  </si>
  <si>
    <t>1,3-4,0/1,3-5,0</t>
  </si>
  <si>
    <t>1 793</t>
  </si>
  <si>
    <t>ARTCOOL Galery nástenný split, inverter / chladenie-kúrenie</t>
  </si>
  <si>
    <t>A09FT   (A09FT.NSF + A09FT.UL2)</t>
  </si>
  <si>
    <t>1 977</t>
  </si>
  <si>
    <t>A12FT   (A12FT.NSF + A12FT.UL2)</t>
  </si>
  <si>
    <t>2 106</t>
  </si>
  <si>
    <t>ARTCOOL Galery PREMIUM nástenný split, inverter / chladenie-kúrenie</t>
  </si>
  <si>
    <t>A09GA2   (A09GA2.NSE + A09GA2.U18)</t>
  </si>
  <si>
    <t>A12GA2   (A12GA2.NSE + A12GA2.U18)</t>
  </si>
  <si>
    <t>2 420</t>
  </si>
  <si>
    <t>Prestige nástenný split, inverter / chladenie-kúrenie</t>
  </si>
  <si>
    <t>F09MT   (F09MT.NSM + F09MT.U24)</t>
  </si>
  <si>
    <t>0,3-3,8/0,3-6,6</t>
  </si>
  <si>
    <t>2 009</t>
  </si>
  <si>
    <t>F12MT   (F12MT.NSM + F12MT.U24)</t>
  </si>
  <si>
    <t>0,3-4,0/0,3-6,8</t>
  </si>
  <si>
    <t>2 157</t>
  </si>
  <si>
    <t>Cenník klimatizačnej techniky CAC - na chladivo R32</t>
  </si>
  <si>
    <t>NÁSTENNÉ / Chladenie-kúrenie - vnútorné jednotky</t>
  </si>
  <si>
    <t>štandardne s infra ovládačom</t>
  </si>
  <si>
    <t>MJ09PC.NSJ</t>
  </si>
  <si>
    <t>2,6/2,9</t>
  </si>
  <si>
    <t>MJ12PC.NSJ</t>
  </si>
  <si>
    <t>3,5/3,8</t>
  </si>
  <si>
    <t>MJ18PC.NSK</t>
  </si>
  <si>
    <t>5,3/5,8</t>
  </si>
  <si>
    <t>MJ24PC.NSK</t>
  </si>
  <si>
    <t>6,7/7,5</t>
  </si>
  <si>
    <t>US30F.NR0</t>
  </si>
  <si>
    <t>8,0/9,0</t>
  </si>
  <si>
    <t>US36F.NR0</t>
  </si>
  <si>
    <t>10,0/11,1</t>
  </si>
  <si>
    <t>KAZETOVÉ / Chladenie-kúrenie - vnútorné jednotky</t>
  </si>
  <si>
    <t>bez predného panelu a bez ovládača</t>
  </si>
  <si>
    <t>CT09F.NR0</t>
  </si>
  <si>
    <t>2,8/2,9</t>
  </si>
  <si>
    <t>CT12F.NR0</t>
  </si>
  <si>
    <t>3,4/3,8</t>
  </si>
  <si>
    <t>CT18F.NQ0</t>
  </si>
  <si>
    <t>5,3/5,7</t>
  </si>
  <si>
    <t>PT-QAGW0 - predný panel s rozmerom 620x620x34 mm</t>
  </si>
  <si>
    <t>CT24F.NB0</t>
  </si>
  <si>
    <t>7,0/7,5</t>
  </si>
  <si>
    <t>UT30F.NB0</t>
  </si>
  <si>
    <t>UT36F.NA0</t>
  </si>
  <si>
    <t>UT42F.NA0</t>
  </si>
  <si>
    <t>12,3/13,7</t>
  </si>
  <si>
    <t>UT48F.NA0</t>
  </si>
  <si>
    <t>13,7/14,5</t>
  </si>
  <si>
    <t>UT60F.NA0</t>
  </si>
  <si>
    <t>15,4/17,9</t>
  </si>
  <si>
    <t>PT-AAGW0 - predný panel s rozmerom 950x950x35 mm</t>
  </si>
  <si>
    <t>PT-AFGW0 - predný panel s rozmerom 950x950x35 mm</t>
  </si>
  <si>
    <t>PT-AEGW0 - predný panel s rozmerom 950x950x35 mm</t>
  </si>
  <si>
    <t>KAZETOVÉ - kruhové vnútorné jednotky</t>
  </si>
  <si>
    <t>bez ovládača</t>
  </si>
  <si>
    <t>UT36F.NY0</t>
  </si>
  <si>
    <t>UT48F.NY0</t>
  </si>
  <si>
    <t>PARAPETNÉ - CONSOLE - Chladenie-kúrenie / vnútorné jednotky</t>
  </si>
  <si>
    <t>UQ09F.NA0</t>
  </si>
  <si>
    <t>UQ12F.NA0</t>
  </si>
  <si>
    <t>UQ18F.NA0</t>
  </si>
  <si>
    <t>PODSTROPNÉ / Chladenie-kúrenie - vnútorné jednotky</t>
  </si>
  <si>
    <t>UV18F.N10</t>
  </si>
  <si>
    <t>4,5/5,4</t>
  </si>
  <si>
    <t>UV24F.N10</t>
  </si>
  <si>
    <t>6,5/7,3</t>
  </si>
  <si>
    <t>UV30F.N10</t>
  </si>
  <si>
    <t>7,8/8,8</t>
  </si>
  <si>
    <t>UV36F.N20</t>
  </si>
  <si>
    <t>1 248</t>
  </si>
  <si>
    <t>UV42F.N20</t>
  </si>
  <si>
    <t>UV48F.N20</t>
  </si>
  <si>
    <t>1 356</t>
  </si>
  <si>
    <t>UV60F.N20</t>
  </si>
  <si>
    <t>KANÁLOVÉ  (nízkotlaké) / Chladenie-kúrenie - vnútorné jednotky</t>
  </si>
  <si>
    <t>CL09F.N50</t>
  </si>
  <si>
    <t>CL12F.N50</t>
  </si>
  <si>
    <t>CL18F.N60</t>
  </si>
  <si>
    <t>CL24F.N30</t>
  </si>
  <si>
    <t>7,0/7,7</t>
  </si>
  <si>
    <t>KANÁLOVÉ  (strednotlaké) / Chladenie-kúrenie - vnútorné jednotky</t>
  </si>
  <si>
    <t>bez ovládača              NEW</t>
  </si>
  <si>
    <t>CM18F.N11</t>
  </si>
  <si>
    <t>5,1/5,9</t>
  </si>
  <si>
    <t>CM24F.N11</t>
  </si>
  <si>
    <t>7,0/7,4</t>
  </si>
  <si>
    <t>UM30F.N11</t>
  </si>
  <si>
    <t>1 035</t>
  </si>
  <si>
    <t>UM36F.N21</t>
  </si>
  <si>
    <t>1 180</t>
  </si>
  <si>
    <t>UM42F.N21</t>
  </si>
  <si>
    <t>1 420</t>
  </si>
  <si>
    <t>UM48F.N31</t>
  </si>
  <si>
    <t>1 490</t>
  </si>
  <si>
    <t>UM60F.N31</t>
  </si>
  <si>
    <t>1 570</t>
  </si>
  <si>
    <t>U jednotiek bez ovládača je ho potrebné doceniť podľa cenníka príslušenstva a
v zmysle projektovej dokumentácie.</t>
  </si>
  <si>
    <t>VONKAJŠIE JEDNOTKY / Chladenie-kúrenie-inverter (kazetové, podstropné, kanálové)</t>
  </si>
  <si>
    <t>napájanie 230V</t>
  </si>
  <si>
    <t>odpovedajúca  veľkosť vnút. jednotiek</t>
  </si>
  <si>
    <t>UUA1.UL0</t>
  </si>
  <si>
    <t>9 - 12 - 18</t>
  </si>
  <si>
    <t>1 287</t>
  </si>
  <si>
    <t>UUB1.U20</t>
  </si>
  <si>
    <t>18 - 24 -30</t>
  </si>
  <si>
    <t>1 481</t>
  </si>
  <si>
    <t>UUC1.U40</t>
  </si>
  <si>
    <t>24 -30 - 36</t>
  </si>
  <si>
    <t>1 811</t>
  </si>
  <si>
    <t>UUD1.U30</t>
  </si>
  <si>
    <t>36 - 42 - 48 - 60</t>
  </si>
  <si>
    <t>3 301</t>
  </si>
  <si>
    <t>napájanie 400 V</t>
  </si>
  <si>
    <t>UUD3.U30</t>
  </si>
  <si>
    <t>3 441</t>
  </si>
  <si>
    <t>Cenník klimatizačnej techniky
Multi - vonkajšie jednotky</t>
  </si>
  <si>
    <t>MULTI F- INVERTER Chladenie-kúrenie / vonkajšie jednotky - jednofázové napájanie                                                       NEW</t>
  </si>
  <si>
    <t>MU2R15.U13        (max. 2 vn. jednotky)</t>
  </si>
  <si>
    <t>1,4-4,7/1,4-5,3</t>
  </si>
  <si>
    <t>1 590</t>
  </si>
  <si>
    <t>MU2R17.U13        (max. 2 vn. jednotky)</t>
  </si>
  <si>
    <t>1,4-5,2/1,4-5,7</t>
  </si>
  <si>
    <t>1 710</t>
  </si>
  <si>
    <t>MU3R19.U23        (max. 3 vn. jednotky)</t>
  </si>
  <si>
    <t>1,4-6,3/1,4-7,3</t>
  </si>
  <si>
    <t>1 790</t>
  </si>
  <si>
    <t>MU3R21.U23        (max. 3 vn. jednotky)</t>
  </si>
  <si>
    <t>1,9-7,3/2,2-7,8</t>
  </si>
  <si>
    <t>2 000</t>
  </si>
  <si>
    <t>MU4R25.U22        (max. 4 vn. jednotky)</t>
  </si>
  <si>
    <t>1,9-8,5/2,2-9,4</t>
  </si>
  <si>
    <t>2 254</t>
  </si>
  <si>
    <t>MU4R27.U42        (max. 4 vn. jednotky)</t>
  </si>
  <si>
    <t>1,9-9,5/2,2-10,6</t>
  </si>
  <si>
    <t>2 412</t>
  </si>
  <si>
    <t>MU5R30.U42       (max. 5 vn. jednotiek)</t>
  </si>
  <si>
    <t>1,9-10,6/2,2-12,1</t>
  </si>
  <si>
    <t>2 632</t>
  </si>
  <si>
    <t>MU5R40.U42       (max. 5 vn. jednotiek)</t>
  </si>
  <si>
    <t>2,8-13,5/3,2-15,0</t>
  </si>
  <si>
    <t>4 091</t>
  </si>
  <si>
    <t>Typ na R410A</t>
  </si>
  <si>
    <t>MULTI FDX- INVERTER Chladenie-kúrenie / vonkajšie jednotky - jednofázové napájanie</t>
  </si>
  <si>
    <t>FM40AH.U34       (max. 7 vn. jednotiek)</t>
  </si>
  <si>
    <t>4 116</t>
  </si>
  <si>
    <t>FM48AH.U34        (max. 8 vn. jednotiek)</t>
  </si>
  <si>
    <t>3,3-17,0/3,7-17,3</t>
  </si>
  <si>
    <t>4 770</t>
  </si>
  <si>
    <t>FM56AH.U34        (max. 9 vn. jednotiek)</t>
  </si>
  <si>
    <t>4,0-18,5/4,5-18,8</t>
  </si>
  <si>
    <t>5 244</t>
  </si>
  <si>
    <t>MULTI FDX- INVERTER Chladenie-kúrenie / vonkajšie jednotky - trojfázové napájanie</t>
  </si>
  <si>
    <t>FM41AH.U34        (max. 7 vn. jednotiek)</t>
  </si>
  <si>
    <t>2,8-14,1/3,2-15,2</t>
  </si>
  <si>
    <t>4 626</t>
  </si>
  <si>
    <t>FM49AH.U34        (max. 8 vn. jednotiek)</t>
  </si>
  <si>
    <t>5 331</t>
  </si>
  <si>
    <t>FM57AH.U34        (max. 9 vn. jednotiek)</t>
  </si>
  <si>
    <t>5 570</t>
  </si>
  <si>
    <t>Multi - vnútorné jednotky  na chladivo R32 / R410A</t>
  </si>
  <si>
    <t>Typ na R32 / R410A</t>
  </si>
  <si>
    <t>Cena v EUR    bez DPH</t>
  </si>
  <si>
    <t>MULTI - STANDARD PLUS  - NÁSTENNÉ - Chladenie-kúrenie / vnútorné jednotky</t>
  </si>
  <si>
    <t>PM05SK.NSA</t>
  </si>
  <si>
    <t>1,5/1,6</t>
  </si>
  <si>
    <t>PM07SK.NSA</t>
  </si>
  <si>
    <t>2,0/2,3</t>
  </si>
  <si>
    <t>PC09SK.NSJ</t>
  </si>
  <si>
    <t>PC12SK.NSJ</t>
  </si>
  <si>
    <t>PM15SK.NSJ</t>
  </si>
  <si>
    <t>4,2/5,4</t>
  </si>
  <si>
    <t>120</t>
  </si>
  <si>
    <t>PC18SK.NSK</t>
  </si>
  <si>
    <t>PC24SK.NSK</t>
  </si>
  <si>
    <t>200</t>
  </si>
  <si>
    <t>MULTI - STANDARD PLUS  - S-Look - NÁSTENNÉ - Chladenie-kúrenie / vnútorné jednotky</t>
  </si>
  <si>
    <t>MJ05PC.NSJ</t>
  </si>
  <si>
    <t>MJ07PC.NSJ</t>
  </si>
  <si>
    <t>MJ15PC.NSJ</t>
  </si>
  <si>
    <t>MULTI - NÁSTENNÉ - s čističkou vzduchu - Chladenie-kúrenie / vnútorné jednotky</t>
  </si>
  <si>
    <t>AP09RK.NSJ</t>
  </si>
  <si>
    <t>AP12RK.NSJ</t>
  </si>
  <si>
    <t>MULTI - DELUXE  - NÁSTENNÉ - Chladenie-kúrenie / vnútorné jednotky</t>
  </si>
  <si>
    <t>DM07RK.NSJ</t>
  </si>
  <si>
    <t>DC09RK.NSJ</t>
  </si>
  <si>
    <t>DC12RK.NSJ</t>
  </si>
  <si>
    <t>DC18RK.NSK</t>
  </si>
  <si>
    <t>DC24RK.NSK</t>
  </si>
  <si>
    <t>MULTI - ART COOL  - prevedenie zrkadlo - NÁSTENNÉ - Chladenie-kúrenie / vnútorné jednotky</t>
  </si>
  <si>
    <t>AM07BK.NSJ</t>
  </si>
  <si>
    <t>AC09BK.NSJ</t>
  </si>
  <si>
    <t>AC12BK.NSJ</t>
  </si>
  <si>
    <t>AC18BK.NSK</t>
  </si>
  <si>
    <t>AC24BK.NSK</t>
  </si>
  <si>
    <t>7,1/7,3</t>
  </si>
  <si>
    <t>MULTI - ART COOL  - prevedenie Beige - NÁSTENNÉ - Chladenie-kúrenie / vnútorné jednotky</t>
  </si>
  <si>
    <t>AB09BK.NSJ</t>
  </si>
  <si>
    <t>AB12BK.NSJ</t>
  </si>
  <si>
    <t>AB18BK.NSK</t>
  </si>
  <si>
    <t>AB24BK.NSK</t>
  </si>
  <si>
    <t>MULTI - DUALCOOL PREMIUM - NÁSTENNÉ - Chladenie-kúrenie / vnútorné jednotky</t>
  </si>
  <si>
    <t>H09S1P.NS1</t>
  </si>
  <si>
    <t>H12S1P.NS1</t>
  </si>
  <si>
    <t>Typ na R32 / R410A                          Chlad./kúr.(kW)                 Prevedenie            Miestnosť (m3)      Cena v EUR    bez
DPH</t>
  </si>
  <si>
    <t>MULTI - GALLERY SPECIAL  - NÁSTENNÉ - Chladenie-kúrenie / vnútorné jednotky                                                         NEW</t>
  </si>
  <si>
    <t>A09GA1.NSE</t>
  </si>
  <si>
    <t>A12GA1.NSE</t>
  </si>
  <si>
    <t>MULTI - GALLERY  - NÁSTENNÉ - Chladenie-kúrenie / vnútorné jednotky</t>
  </si>
  <si>
    <t>MA09R.NF1</t>
  </si>
  <si>
    <t>MA12R.NF1</t>
  </si>
  <si>
    <t>MULTI - GALLERY PREMIUM  - NÁSTENNÉ - Chladenie-kúrenie / vnútorné jednotky                                                        NEW</t>
  </si>
  <si>
    <t>A09GA2.NSE</t>
  </si>
  <si>
    <t>1 150</t>
  </si>
  <si>
    <t>A12GA2.NSE</t>
  </si>
  <si>
    <t>MULTI - KAZETOVÉ Jednocestné - Chladenie-kúrenie / vnútorné jednotky                     bez predného panelu a bez ovládača</t>
  </si>
  <si>
    <t>MT09R.NU1</t>
  </si>
  <si>
    <t>MT11R.NU1</t>
  </si>
  <si>
    <t>predný panel PT-UAHW0 - bez lesku</t>
  </si>
  <si>
    <t>predný panel PT-UAHG0 - lesk</t>
  </si>
  <si>
    <t>MULTI - KAZETOVÉ Štvorcestné - Chladenie-kúrenie / vnútorné jednotky                       bez predného panelu a bez ovládača</t>
  </si>
  <si>
    <t>MT06R.NR0</t>
  </si>
  <si>
    <t>MT08R.NR0</t>
  </si>
  <si>
    <t>MULTI - KANÁLOVÉ (strednetlaké) - Chladenie-kúrenie / vnútorné jednotky                        bez ovládača                 NEW</t>
  </si>
  <si>
    <t>MULTI - KANÁLOVÉ (nízkotlaká) - Chladenie-kúrenie / vnútorné jednotky                                                                 bez ovládača</t>
  </si>
  <si>
    <t>CAC - jednotky na R410A</t>
  </si>
  <si>
    <t>KANÁLOVÉ / Chladenie-kúrenie - vnútorné jednotky                                                                      bez ovládača</t>
  </si>
  <si>
    <t>UB70.N94</t>
  </si>
  <si>
    <t>19/21</t>
  </si>
  <si>
    <t>3 450</t>
  </si>
  <si>
    <t>UB85.N94</t>
  </si>
  <si>
    <t>23/25</t>
  </si>
  <si>
    <t>3 806</t>
  </si>
  <si>
    <t>STĹPOVÉ / Chladenie-kúrenie - vnútorné jednotky                                                   štandardne s infra ovládačom</t>
  </si>
  <si>
    <t>UP48.NT2</t>
  </si>
  <si>
    <t>2 521</t>
  </si>
  <si>
    <t>VONKAJŠIE JEDNOTKY / Chladenie-kúrenie-inverter (kazetové, podstropné, kanálové) - jednofázové napájanie</t>
  </si>
  <si>
    <t>UU48W.U32</t>
  </si>
  <si>
    <t>5,5-15,7/6,4-17,6</t>
  </si>
  <si>
    <t>3 636</t>
  </si>
  <si>
    <t>VONKAJŠIE JEDNOTKY / Chladenie-kúrenie-inverter (kazetové, podstropné, kanálové) - trojfázové napájanie</t>
  </si>
  <si>
    <t>UU49W.U32</t>
  </si>
  <si>
    <t>3 823</t>
  </si>
  <si>
    <t>UU70W.U34</t>
  </si>
  <si>
    <t>9,2-19,1/10,8-23,5</t>
  </si>
  <si>
    <t>5 230</t>
  </si>
  <si>
    <t>UU85W.U74</t>
  </si>
  <si>
    <t>9,2-25,3/10,8-29,7</t>
  </si>
  <si>
    <t>6 407</t>
  </si>
  <si>
    <t>www.microwell.sk
Sídlo firmy: ŠAĽA
ul. SNP 2018/42, 927 00  Šaľa
tel.: 031/702 0540-1   fax: 031/702 0542
mobil: 0903-413 764, 0902-422 422, 0911-413 768, 0902-051 392
e-mail: klima@microwell.sk</t>
  </si>
  <si>
    <t>Cenník klimatizačnej techniky</t>
  </si>
  <si>
    <t>Platný od:     1.4.2024 Záručná doba: 3 roky</t>
  </si>
  <si>
    <t>Prietok vzduchu</t>
  </si>
  <si>
    <t>Rekuperačné jednotky Eco V</t>
  </si>
  <si>
    <t>LZ-H015GBA6</t>
  </si>
  <si>
    <t>150m3/h</t>
  </si>
  <si>
    <t>LZ-H020GBA6</t>
  </si>
  <si>
    <t>200m3/h</t>
  </si>
  <si>
    <t>LZ-H025GBA4</t>
  </si>
  <si>
    <t>250m3/h</t>
  </si>
  <si>
    <t>LZ-H035GBA5</t>
  </si>
  <si>
    <t>350m3/h</t>
  </si>
  <si>
    <t>LZ-H050GBA5</t>
  </si>
  <si>
    <t>500m3/h</t>
  </si>
  <si>
    <t>LZ-H080GBA5</t>
  </si>
  <si>
    <t>800m3/h</t>
  </si>
  <si>
    <t>LZ-H100GBA5</t>
  </si>
  <si>
    <t>1000m3/h</t>
  </si>
  <si>
    <t>LZ-H150GBA5</t>
  </si>
  <si>
    <t>1500m3/h</t>
  </si>
  <si>
    <t>LZ-H200GBA5</t>
  </si>
  <si>
    <t>2000m3/h</t>
  </si>
  <si>
    <t>Rekuperačné jednotky Eco V DX</t>
  </si>
  <si>
    <t>LZ-H050GXN4</t>
  </si>
  <si>
    <t>LZ-H080GXN4</t>
  </si>
  <si>
    <t>LZ-H100GXN4</t>
  </si>
  <si>
    <t>Rekuperačné jednotky Eco V DX so zvlhčením</t>
  </si>
  <si>
    <t>LZ-H050GXH4</t>
  </si>
  <si>
    <t>LZ-H080GXH4</t>
  </si>
  <si>
    <t>LZ-H100GXH4</t>
  </si>
  <si>
    <t>Základné príslušenstvo k rekuperačným jednotkam Eco V</t>
  </si>
  <si>
    <t>Káblový ovládač</t>
  </si>
  <si>
    <t>PREMTB001</t>
  </si>
  <si>
    <t>Filter F7</t>
  </si>
  <si>
    <t>AHFT035H0</t>
  </si>
  <si>
    <t>AHFT050H0</t>
  </si>
  <si>
    <t>AHFT100H0</t>
  </si>
  <si>
    <t>AHFT100H0 ( 2 kusy )</t>
  </si>
  <si>
    <t>Základné príslušenstvo k multi jednotkám</t>
  </si>
  <si>
    <t>ROZDEĽOVAČE k multi jednotkám FDX</t>
  </si>
  <si>
    <t>PMBD3620</t>
  </si>
  <si>
    <t>2-cestný</t>
  </si>
  <si>
    <t>PMBD3630</t>
  </si>
  <si>
    <t>3-cestný</t>
  </si>
  <si>
    <t>PMBD3640</t>
  </si>
  <si>
    <t>4-cestný</t>
  </si>
  <si>
    <t>REFNET k multi jednotkám FDX</t>
  </si>
  <si>
    <t>PMBL5620</t>
  </si>
  <si>
    <t>dvojitý</t>
  </si>
  <si>
    <t>PMBL1203F0</t>
  </si>
  <si>
    <t>trojitý</t>
  </si>
  <si>
    <t>Základné príslušenstvo k synchro jednotkám</t>
  </si>
  <si>
    <t>REFNET SYNCHRO                           pomer výkonu</t>
  </si>
  <si>
    <t>PMUB11A           (pre 2 jednotky)</t>
  </si>
  <si>
    <t>50:50</t>
  </si>
  <si>
    <t>PMUB111A        (pre 3 jednotky)</t>
  </si>
  <si>
    <t>33:33:33</t>
  </si>
  <si>
    <t>PMUB1111A      (pre 4 jednotky)</t>
  </si>
  <si>
    <t>25:25:25:25</t>
  </si>
  <si>
    <t>Základné príslušenstvo k RAC, CAC a kondenzačným jednotkám</t>
  </si>
  <si>
    <t>Cena v EUR
bez DPH</t>
  </si>
  <si>
    <t>Bezdrôtový dialkový ovládač</t>
  </si>
  <si>
    <t>PWLSSB21H ( AKB74955603, AKB74375404)</t>
  </si>
  <si>
    <t>Štandardný káblový ovládač</t>
  </si>
  <si>
    <t>PREMTB100</t>
  </si>
  <si>
    <t>LG Wifi Modem</t>
  </si>
  <si>
    <t>PWFMDD200</t>
  </si>
  <si>
    <t>PWYREW000</t>
  </si>
  <si>
    <t>predl.kábel</t>
  </si>
  <si>
    <t>Riadiace boxy LG pre ovládanie vonkajšej jednotky s jednotkámi VZT</t>
  </si>
  <si>
    <t>PAHCMR000</t>
  </si>
  <si>
    <t>teplota odvadz. vzduchu</t>
  </si>
  <si>
    <t>PAHCMS000</t>
  </si>
  <si>
    <t>teplota prívod. vzduchu</t>
  </si>
  <si>
    <t>PAHCMC000</t>
  </si>
  <si>
    <t>komunikačný modul</t>
  </si>
  <si>
    <t>PAHCMF000</t>
  </si>
  <si>
    <t>PAHCMM000</t>
  </si>
  <si>
    <t>PAHCMW000</t>
  </si>
  <si>
    <t>water kom. kit</t>
  </si>
  <si>
    <t>PAHCNM000</t>
  </si>
  <si>
    <t>riadiaca skriňa</t>
  </si>
  <si>
    <t>Sady expanzných ventilov                    Výkon</t>
  </si>
  <si>
    <t>PRLK048A0 - EEV Kit</t>
  </si>
  <si>
    <t>3,6-28 kW</t>
  </si>
  <si>
    <t>PRLK096A0 - EEV Kit</t>
  </si>
  <si>
    <t>28,1-56 kW</t>
  </si>
  <si>
    <t>PRLK396A0 - EEV Kit</t>
  </si>
  <si>
    <t>56,1-112 kW</t>
  </si>
  <si>
    <t>PRLK596A0 - EEV Kit</t>
  </si>
  <si>
    <t>112,1-168 kW</t>
  </si>
  <si>
    <t>Komunikačné moduly 0-10V pre ovládanie vonkajšej jednotky s jednotkámi VZT</t>
  </si>
  <si>
    <t>KM113.27 UU pre jednotky CAC Modbus</t>
  </si>
  <si>
    <t>MOV-UU modul obmedzenia výkonu</t>
  </si>
  <si>
    <t>KM113.22MV2 pre jednotky multi V  (pre výkon 2-123kW)</t>
  </si>
  <si>
    <t>1 195</t>
  </si>
  <si>
    <t>MOV-MV modul obmedzenia výkonu</t>
  </si>
  <si>
    <t>Sady expanzných ventilov</t>
  </si>
  <si>
    <t>EEV EX4</t>
  </si>
  <si>
    <t>2-19 kW</t>
  </si>
  <si>
    <t>EEV EX5</t>
  </si>
  <si>
    <t>6-58 kW</t>
  </si>
  <si>
    <t>EEV EX6</t>
  </si>
  <si>
    <t>15-123 kW</t>
  </si>
  <si>
    <t>kábel k ventilom EX5 a EX6</t>
  </si>
  <si>
    <t>Komunikačné rozhranie PI485</t>
  </si>
  <si>
    <t>PMNFP14A1</t>
  </si>
  <si>
    <t>max. 48 vnútor.j.</t>
  </si>
  <si>
    <t>PHNFP14A0</t>
  </si>
  <si>
    <t>pre Eco V alebo CAC</t>
  </si>
  <si>
    <t>Brána Modbus RTU</t>
  </si>
  <si>
    <t>PMBUSB00A</t>
  </si>
  <si>
    <t>Externý ovládací modul (Dry Contact)</t>
  </si>
  <si>
    <t>PDRYCB000</t>
  </si>
  <si>
    <t>PDRYCB300</t>
  </si>
  <si>
    <t>PDRYCB320</t>
  </si>
  <si>
    <t>PDRYCB400</t>
  </si>
  <si>
    <t>PDRYCB500</t>
  </si>
  <si>
    <t>PDRYCB510                                               NEW</t>
  </si>
  <si>
    <t>PQDSBCDVM0 - pre multi V, Water</t>
  </si>
  <si>
    <t>Rozvádzač ovládania klimatizácii</t>
  </si>
  <si>
    <t>Rozvádzač ovládania klimatizácii pre serverovne s časovaním a signalizáciou stavu poruchy</t>
  </si>
  <si>
    <t>ROK 1</t>
  </si>
  <si>
    <t>Cenník klimatizačnej techniky THERMA  V       Platný od:   1.4.2024</t>
  </si>
  <si>
    <t>THERMA-V  Vnútorná jednotka - Hydro Kit, 230V</t>
  </si>
  <si>
    <t>HN0613M.NK5</t>
  </si>
  <si>
    <t>4-6 kW</t>
  </si>
  <si>
    <t>4 065</t>
  </si>
  <si>
    <t>HN091MR.NK5</t>
  </si>
  <si>
    <t>5-7-9 kW</t>
  </si>
  <si>
    <t>4 185</t>
  </si>
  <si>
    <t>HN0613T.NK0 -
s integrovanou nádržou</t>
  </si>
  <si>
    <t>6 700</t>
  </si>
  <si>
    <t>HN0913T.NK0 -
s integrovanou nádržou</t>
  </si>
  <si>
    <t>7 501</t>
  </si>
  <si>
    <t>THERMA-V   Vonkajšia jednotka - 1f, 230V</t>
  </si>
  <si>
    <t>HU041MR.U20</t>
  </si>
  <si>
    <t>1 450</t>
  </si>
  <si>
    <t>HU051MR.U44</t>
  </si>
  <si>
    <t>5 kW</t>
  </si>
  <si>
    <t>2 303</t>
  </si>
  <si>
    <t>HU061MR.U20</t>
  </si>
  <si>
    <t>1 600</t>
  </si>
  <si>
    <t>HU071MR.U44</t>
  </si>
  <si>
    <t>7 kW</t>
  </si>
  <si>
    <t>2 555</t>
  </si>
  <si>
    <t>HU091MR.U44</t>
  </si>
  <si>
    <t>9 kW</t>
  </si>
  <si>
    <t>HN1616M.NK5</t>
  </si>
  <si>
    <t>12-16 kW</t>
  </si>
  <si>
    <t>4 106</t>
  </si>
  <si>
    <t>HU121MA.U33</t>
  </si>
  <si>
    <t>12 kW</t>
  </si>
  <si>
    <t>3 189</t>
  </si>
  <si>
    <t>HU141MA.U33</t>
  </si>
  <si>
    <t>14 kW</t>
  </si>
  <si>
    <t>3 630</t>
  </si>
  <si>
    <t>HU161MA.U33</t>
  </si>
  <si>
    <t>16 kW</t>
  </si>
  <si>
    <t>4 632</t>
  </si>
  <si>
    <t>THERMA-V  Vnútorná jednotka - Hydro Kit, 400V</t>
  </si>
  <si>
    <t>HN1636M.NK5</t>
  </si>
  <si>
    <t>12-14-16 kW</t>
  </si>
  <si>
    <t>4 491</t>
  </si>
  <si>
    <t>THERMA-V  Vonkajšia jednotka - 3f, 400V</t>
  </si>
  <si>
    <t>HU123MA.U33</t>
  </si>
  <si>
    <t>3 390</t>
  </si>
  <si>
    <t>HU143MA.U33</t>
  </si>
  <si>
    <t>3 816</t>
  </si>
  <si>
    <t>HU163MA.U33</t>
  </si>
  <si>
    <t>4 868</t>
  </si>
  <si>
    <t>THERMA-V   split vysokoteplotný - 1f, 230V</t>
  </si>
  <si>
    <t>HN1610H.NK3  vnútor. jed.</t>
  </si>
  <si>
    <t>7 043</t>
  </si>
  <si>
    <t>HU161HA.U33     vonk.jed.</t>
  </si>
  <si>
    <t>4 694</t>
  </si>
  <si>
    <t>THERMA-V  Hydrosplit -Vnútorná jednotka - Hydro Kit, 230V</t>
  </si>
  <si>
    <t>HN1600MC.NK1</t>
  </si>
  <si>
    <t>4 482</t>
  </si>
  <si>
    <t>HN1616Y.NB1</t>
  </si>
  <si>
    <t>9 386</t>
  </si>
  <si>
    <t>THERMA-V   Hydrosplit - Vonkajšia jednotka - 1f, 230V</t>
  </si>
  <si>
    <t>HU121MRB.U30</t>
  </si>
  <si>
    <t>3 622</t>
  </si>
  <si>
    <t>HU141MRB.U30</t>
  </si>
  <si>
    <t>4 025</t>
  </si>
  <si>
    <t>HU161MRB.U30</t>
  </si>
  <si>
    <t>THERMA-V   Hydrosplit - Vonkajšia jednotka - 3f, 400V</t>
  </si>
  <si>
    <t>HU123MRB.U30</t>
  </si>
  <si>
    <t>4 019</t>
  </si>
  <si>
    <t>HU143MRB.U30</t>
  </si>
  <si>
    <t>4 388</t>
  </si>
  <si>
    <t>HU163MRB.U30</t>
  </si>
  <si>
    <t>4 729</t>
  </si>
  <si>
    <t>THERMA-V   Monobloc - 1f, 230V</t>
  </si>
  <si>
    <t>HM051MR.U44</t>
  </si>
  <si>
    <t>5 996</t>
  </si>
  <si>
    <t>HM071MR.U44</t>
  </si>
  <si>
    <t>6 167</t>
  </si>
  <si>
    <t>HM091MR.U44</t>
  </si>
  <si>
    <t>6 525</t>
  </si>
  <si>
    <t>HM121MR.U34</t>
  </si>
  <si>
    <t>7 326</t>
  </si>
  <si>
    <t>HM141MR.U34</t>
  </si>
  <si>
    <t>7 392</t>
  </si>
  <si>
    <t>HM161MR.U34</t>
  </si>
  <si>
    <t>7 511</t>
  </si>
  <si>
    <t>THERMA-V   Monobloc - 3f, 400V</t>
  </si>
  <si>
    <t>HM093MR.U44</t>
  </si>
  <si>
    <t>7 050</t>
  </si>
  <si>
    <t>HM123MR.U34</t>
  </si>
  <si>
    <t>7 600</t>
  </si>
  <si>
    <t>HM143MR.U34</t>
  </si>
  <si>
    <t>7 730</t>
  </si>
  <si>
    <t>HM163MR.U34</t>
  </si>
  <si>
    <t>7 881</t>
  </si>
  <si>
    <t>Cenník klimatizačnej techniky THERMA  V</t>
  </si>
  <si>
    <t>THERMA-V   Monobloc - vnútorná jednotka - 3f, 400V</t>
  </si>
  <si>
    <t>HN1639HC.NK0</t>
  </si>
  <si>
    <t>9 -16 kW</t>
  </si>
  <si>
    <t>THERMA-V   Monobloc - vonkajšia jednotka - 3f, 400V</t>
  </si>
  <si>
    <t>HM093HFX.UB60</t>
  </si>
  <si>
    <t>7 360</t>
  </si>
  <si>
    <t>HM123HF.UB60</t>
  </si>
  <si>
    <t>7 580</t>
  </si>
  <si>
    <t>HM143HF.UB60</t>
  </si>
  <si>
    <t>7 740</t>
  </si>
  <si>
    <t>HM163HF.UB60</t>
  </si>
  <si>
    <t>7 890</t>
  </si>
  <si>
    <t>TEPELNÉ ČERPADLO  pre ohrev TUV    1f, 230V</t>
  </si>
  <si>
    <t>WH20S.F5</t>
  </si>
  <si>
    <t>200l</t>
  </si>
  <si>
    <t>2 668</t>
  </si>
  <si>
    <t>WH27S.F5</t>
  </si>
  <si>
    <t>270l</t>
  </si>
  <si>
    <t>2 792</t>
  </si>
  <si>
    <t>Príslušenstvo k tepelnému čerpadlu Therma V</t>
  </si>
  <si>
    <t>Záložný ohrievač        3 kW, 230V</t>
  </si>
  <si>
    <t>HA031M.E1</t>
  </si>
  <si>
    <t>Záložný ohrievač        6 kW, 230V</t>
  </si>
  <si>
    <t>HA061M.E1</t>
  </si>
  <si>
    <t>Záložný ohrievač        6 kW, 400V</t>
  </si>
  <si>
    <t>HA063M.E1</t>
  </si>
  <si>
    <t>HA061C.E1</t>
  </si>
  <si>
    <t>HA063C.E1</t>
  </si>
  <si>
    <t>Nerezový zásobník TUV (1) 200l</t>
  </si>
  <si>
    <t>OSHW-200F</t>
  </si>
  <si>
    <t>2 175</t>
  </si>
  <si>
    <t>Nerezový zásobník TUV (1),300l</t>
  </si>
  <si>
    <t>OSHW-300F</t>
  </si>
  <si>
    <t>2 855</t>
  </si>
  <si>
    <t>Nerezový zásobník TUV (2),300l</t>
  </si>
  <si>
    <t>OSHW-300FD</t>
  </si>
  <si>
    <t>Nerezový zásobník TUV (1),500l</t>
  </si>
  <si>
    <t>OSHW-500F</t>
  </si>
  <si>
    <t>5 084</t>
  </si>
  <si>
    <t>Akumulačný zásobník 40l</t>
  </si>
  <si>
    <t>OSHB-40KT</t>
  </si>
  <si>
    <t>Inštal. modul k nádrži TUV  1f</t>
  </si>
  <si>
    <t>PHLTA</t>
  </si>
  <si>
    <t>PHLTB (monoblok)</t>
  </si>
  <si>
    <t>Inštal. modul k nádrži TUV  3f</t>
  </si>
  <si>
    <t>PHLTC</t>
  </si>
  <si>
    <t>Solar Heating Kit</t>
  </si>
  <si>
    <t>PHLLA</t>
  </si>
  <si>
    <t>Teplotné čidlo pre nádrž TUV</t>
  </si>
  <si>
    <t>PHRSTA0</t>
  </si>
  <si>
    <t>Teplotné čidlo - bivalencia</t>
  </si>
  <si>
    <t>PRSTAT5K10</t>
  </si>
  <si>
    <t>Dialkové čidlo teploty</t>
  </si>
  <si>
    <t>PQRSTA0</t>
  </si>
  <si>
    <t>Kondenzačná vanička  (IDU)</t>
  </si>
  <si>
    <t>PHDPB</t>
  </si>
  <si>
    <t>PHDPC</t>
  </si>
  <si>
    <t>Podružný ovládač</t>
  </si>
  <si>
    <t>PREMTW101</t>
  </si>
  <si>
    <t>LG wifi modem</t>
  </si>
  <si>
    <t>Predlžovací kábel k wifi modemu</t>
  </si>
  <si>
    <t>Komunikačná karta PI485</t>
  </si>
  <si>
    <t>PP485A00T</t>
  </si>
  <si>
    <t>Meranie energie</t>
  </si>
  <si>
    <t>PENKTH000</t>
  </si>
  <si>
    <t>Suchý kontakt pre termostat</t>
  </si>
  <si>
    <t>Suchý kontakt</t>
  </si>
  <si>
    <t>Cenník klimatizačnej techniky -
chladiče kvapaliny ( chillery )</t>
  </si>
  <si>
    <t>Platný od:     1.4.2024
Záručná doba: 3 roky</t>
  </si>
  <si>
    <t>Chladič kvapaliny - chladenie /kúrenie</t>
  </si>
  <si>
    <t>ACHH020LBAB</t>
  </si>
  <si>
    <t>65 / 70 kW</t>
  </si>
  <si>
    <t>27 923</t>
  </si>
  <si>
    <t>ACHH023LBAB</t>
  </si>
  <si>
    <t>74 / 82 kW</t>
  </si>
  <si>
    <t>34 588</t>
  </si>
  <si>
    <t>ACHH033LBAB</t>
  </si>
  <si>
    <t>114 / 120 kW</t>
  </si>
  <si>
    <t>42 082</t>
  </si>
  <si>
    <t>ACHH040LBAB</t>
  </si>
  <si>
    <t>130 / 140 kW</t>
  </si>
  <si>
    <t>49 588</t>
  </si>
  <si>
    <t>ACHH045LBAB</t>
  </si>
  <si>
    <t>148 / 164 kW</t>
  </si>
  <si>
    <t>57 647</t>
  </si>
  <si>
    <t>ACHH050LBAB</t>
  </si>
  <si>
    <t>171 / 180 kW</t>
  </si>
  <si>
    <t>66 294</t>
  </si>
  <si>
    <t>ACHH060LBAB</t>
  </si>
  <si>
    <t>195 / 211 kW</t>
  </si>
  <si>
    <t>75 481</t>
  </si>
  <si>
    <t>ACHH067LBAB</t>
  </si>
  <si>
    <t>222 / 246 kW</t>
  </si>
  <si>
    <t>80 475</t>
  </si>
  <si>
    <t>Chiller kit pre centrálne ovládanie</t>
  </si>
  <si>
    <t>PCHLLN000</t>
  </si>
  <si>
    <t>Vnútorné jednotky - Fan Coil</t>
  </si>
  <si>
    <t>Kazetové 4-cestné</t>
  </si>
  <si>
    <t>WF4A018CG0A</t>
  </si>
  <si>
    <t>1,8 kW</t>
  </si>
  <si>
    <t>WF4A027CG0A</t>
  </si>
  <si>
    <t>2,7 kW</t>
  </si>
  <si>
    <t>WF4A032CG0A</t>
  </si>
  <si>
    <t>3,2 kW</t>
  </si>
  <si>
    <t>WF4A041CG0A</t>
  </si>
  <si>
    <t>4,1 kW</t>
  </si>
  <si>
    <t>1 030</t>
  </si>
  <si>
    <t>WF4A060CG0A</t>
  </si>
  <si>
    <t>6,0 kW</t>
  </si>
  <si>
    <t>WF4A072CG0A</t>
  </si>
  <si>
    <t>7,2 kW</t>
  </si>
  <si>
    <t>1 174</t>
  </si>
  <si>
    <t>WF4A090CG0A</t>
  </si>
  <si>
    <t>1 196</t>
  </si>
  <si>
    <t>WF4A105CG0A</t>
  </si>
  <si>
    <t>10,5 kW</t>
  </si>
  <si>
    <t>1 307</t>
  </si>
  <si>
    <t>WF4A130CG0A</t>
  </si>
  <si>
    <t>13,0 kW</t>
  </si>
  <si>
    <t>1 385</t>
  </si>
  <si>
    <t>PT-MCHW0 - predný panel s rozmerom 950x950x35 mm</t>
  </si>
  <si>
    <t>Kanálové nízkotlaké</t>
  </si>
  <si>
    <t>WFCA012RG0A</t>
  </si>
  <si>
    <t>1,3 kW</t>
  </si>
  <si>
    <t>1 118</t>
  </si>
  <si>
    <t>WFCA018RG0A</t>
  </si>
  <si>
    <t>WFCA025RG0A</t>
  </si>
  <si>
    <t>2,5 kW</t>
  </si>
  <si>
    <t>1 584</t>
  </si>
  <si>
    <t>WFCA032RG0A</t>
  </si>
  <si>
    <t>1 661</t>
  </si>
  <si>
    <t>WFCA039RG0A</t>
  </si>
  <si>
    <t>3,9 kW</t>
  </si>
  <si>
    <t>1 695</t>
  </si>
  <si>
    <t>WFCA055RG0A</t>
  </si>
  <si>
    <t>5,0 kW</t>
  </si>
  <si>
    <t>1 772</t>
  </si>
  <si>
    <t>WFCA066RG0A</t>
  </si>
  <si>
    <t>6,6 kW</t>
  </si>
  <si>
    <t>1 806</t>
  </si>
  <si>
    <t>Cenník klimatizačnej techniky Multi V</t>
  </si>
  <si>
    <t>Platný od:   1.4. 2024 Záručná doba: 3 roky</t>
  </si>
  <si>
    <t>MULTI V - vzduchom chladené vonkajšie jednotky  R410A</t>
  </si>
  <si>
    <t>MULTI Vi                                   napájanie  3f/400V</t>
  </si>
  <si>
    <t>ARUM080LTE6</t>
  </si>
  <si>
    <t>22,4/25,2</t>
  </si>
  <si>
    <t>10 045</t>
  </si>
  <si>
    <t>ARUM100LTE6</t>
  </si>
  <si>
    <t>11 067</t>
  </si>
  <si>
    <t>ARUM120LTE6</t>
  </si>
  <si>
    <t>33,6/37,8</t>
  </si>
  <si>
    <t>12 870</t>
  </si>
  <si>
    <t>ARUM140LTE6</t>
  </si>
  <si>
    <t>39,2/44,1</t>
  </si>
  <si>
    <t>14 277</t>
  </si>
  <si>
    <t>ARUM160LTE6</t>
  </si>
  <si>
    <t>44,8/50,4</t>
  </si>
  <si>
    <t>16 395</t>
  </si>
  <si>
    <t>ARUM180LTE6</t>
  </si>
  <si>
    <t>50,4/56,7</t>
  </si>
  <si>
    <t>22 075</t>
  </si>
  <si>
    <t>ARUM200LTE6</t>
  </si>
  <si>
    <t>56,0/63,0</t>
  </si>
  <si>
    <t>23 558</t>
  </si>
  <si>
    <t>ARUM220LTE6</t>
  </si>
  <si>
    <t>61,6/69,3</t>
  </si>
  <si>
    <t>24 937</t>
  </si>
  <si>
    <t>ARUM240LTE6</t>
  </si>
  <si>
    <t>67,2/75,6</t>
  </si>
  <si>
    <t>26 740</t>
  </si>
  <si>
    <t>ARUM260LTE6</t>
  </si>
  <si>
    <t>72,8/74,3</t>
  </si>
  <si>
    <t>28 147</t>
  </si>
  <si>
    <t>ARUM280LTE6</t>
  </si>
  <si>
    <t>78,4/88,2</t>
  </si>
  <si>
    <t>29 265</t>
  </si>
  <si>
    <t>ARUM300LTE6</t>
  </si>
  <si>
    <t>84,0/94,5</t>
  </si>
  <si>
    <t>34 945</t>
  </si>
  <si>
    <t>ARUM320LTE6</t>
  </si>
  <si>
    <t>89,6/100,8</t>
  </si>
  <si>
    <t>36 428</t>
  </si>
  <si>
    <t>ARUM340LTE6</t>
  </si>
  <si>
    <t>95,2/107,1</t>
  </si>
  <si>
    <t>37 835</t>
  </si>
  <si>
    <t>ARUM360LTE6</t>
  </si>
  <si>
    <t>100,8/112,1</t>
  </si>
  <si>
    <t>39 953</t>
  </si>
  <si>
    <t>ARUM380LTE6</t>
  </si>
  <si>
    <t>106,4/118,4</t>
  </si>
  <si>
    <t>45 633</t>
  </si>
  <si>
    <t>ARUM400LTE6</t>
  </si>
  <si>
    <t>112,0/124,7</t>
  </si>
  <si>
    <t>47 116</t>
  </si>
  <si>
    <t>ARUM420LTE6</t>
  </si>
  <si>
    <t>117,6/131</t>
  </si>
  <si>
    <t>48 495</t>
  </si>
  <si>
    <t>ARUM440LTE6</t>
  </si>
  <si>
    <t>123,2/137,3</t>
  </si>
  <si>
    <t>50 298</t>
  </si>
  <si>
    <t>ARUM460LTE6</t>
  </si>
  <si>
    <t>128,8/143,6</t>
  </si>
  <si>
    <t>51 677</t>
  </si>
  <si>
    <t>ARUM480LTE6</t>
  </si>
  <si>
    <t>134,4/148,5</t>
  </si>
  <si>
    <t>53 480</t>
  </si>
  <si>
    <t>ARUM500LTE6</t>
  </si>
  <si>
    <t>140/156,2</t>
  </si>
  <si>
    <t>58 503</t>
  </si>
  <si>
    <t>Modulárny systém umožňuje zostaviť max. jednotku ARUN960LTE6 s výkonom 268/297 kW</t>
  </si>
  <si>
    <t>MULTI V - vzduchom chladené vonkajšie jednotky  R32</t>
  </si>
  <si>
    <t>MULTI Vi                                   napájanie  3f/400V                                                     NEW</t>
  </si>
  <si>
    <t>ZRUM080LTE6</t>
  </si>
  <si>
    <t>10 290</t>
  </si>
  <si>
    <t>ZRUM100LTE6</t>
  </si>
  <si>
    <t>11 345</t>
  </si>
  <si>
    <t>ZRUM120LTE6</t>
  </si>
  <si>
    <t>13 190</t>
  </si>
  <si>
    <t>ZRUM140LTE6</t>
  </si>
  <si>
    <t>14 960</t>
  </si>
  <si>
    <t>ZRUM160LTE6</t>
  </si>
  <si>
    <t>16 870</t>
  </si>
  <si>
    <t>ZRUM180LTE6</t>
  </si>
  <si>
    <t>18 570</t>
  </si>
  <si>
    <t>ZRUM200LTE6</t>
  </si>
  <si>
    <t>20 500</t>
  </si>
  <si>
    <t>MULTI V - vzduchom chladené vonkajšie jednotky R410A</t>
  </si>
  <si>
    <t>MULTI V S</t>
  </si>
  <si>
    <t>ARUN040GSS0  (1f)</t>
  </si>
  <si>
    <t>12,1/12,5</t>
  </si>
  <si>
    <t>4 778</t>
  </si>
  <si>
    <t>ARUN050GSL0  (1f)</t>
  </si>
  <si>
    <t>14,0/16,0</t>
  </si>
  <si>
    <t>4 967</t>
  </si>
  <si>
    <t>ARUN050GSS0  (1f)</t>
  </si>
  <si>
    <t>5 309</t>
  </si>
  <si>
    <t>ARUN060GSS0  (1f)</t>
  </si>
  <si>
    <t>15,5/18,0</t>
  </si>
  <si>
    <t>5 792</t>
  </si>
  <si>
    <t>ARUN040LSS0  (3f)</t>
  </si>
  <si>
    <t>ARUN050LSS0  (3f)</t>
  </si>
  <si>
    <t>5 671</t>
  </si>
  <si>
    <t>ARUN060LSS0  (3f)</t>
  </si>
  <si>
    <t>6 153</t>
  </si>
  <si>
    <t>ARUN080LSS5  (3f)</t>
  </si>
  <si>
    <t>22,4/24,5</t>
  </si>
  <si>
    <t>7 196</t>
  </si>
  <si>
    <t>ARUN100LSS5  (3f)</t>
  </si>
  <si>
    <t>28,0/30,6</t>
  </si>
  <si>
    <t>8 225</t>
  </si>
  <si>
    <t>ARUN120LSS5  (3f)</t>
  </si>
  <si>
    <t>33,6/36,7</t>
  </si>
  <si>
    <t>9 509</t>
  </si>
  <si>
    <t>MULTI V S s rekuperáciou tepla</t>
  </si>
  <si>
    <t>ARUB060GSS4</t>
  </si>
  <si>
    <t>15,5/18</t>
  </si>
  <si>
    <t>7 213</t>
  </si>
  <si>
    <t>MULTI V - vzduchom chladené vonkajšie jednotky R32</t>
  </si>
  <si>
    <t>ZRUN030GSS0  (1f)</t>
  </si>
  <si>
    <t>9/10</t>
  </si>
  <si>
    <t>4 147</t>
  </si>
  <si>
    <t>ZRUN040GSS0  (1f)</t>
  </si>
  <si>
    <t>4 443</t>
  </si>
  <si>
    <t>ZRUN050GSS0  (1f)</t>
  </si>
  <si>
    <t>4 718</t>
  </si>
  <si>
    <t>ZRUN060GSS0  (1f)</t>
  </si>
  <si>
    <t>5 387</t>
  </si>
  <si>
    <t>ZRUN030LSS0  (3f)</t>
  </si>
  <si>
    <t>4 230</t>
  </si>
  <si>
    <t>ZRUN040LSS0  (3f)</t>
  </si>
  <si>
    <t>4 533</t>
  </si>
  <si>
    <t>ZRUN050LSS0  (3f)</t>
  </si>
  <si>
    <t>4 812</t>
  </si>
  <si>
    <t>ZRUN060LSS0  (3f)</t>
  </si>
  <si>
    <t>5 494</t>
  </si>
  <si>
    <t>MULTI V - vodou chladené vonkajšie jednotky R410A</t>
  </si>
  <si>
    <t>MULTI V WATER V</t>
  </si>
  <si>
    <t>ARWM080LAS5</t>
  </si>
  <si>
    <t>11 836</t>
  </si>
  <si>
    <t>ARWM100LAS5</t>
  </si>
  <si>
    <t>12 747</t>
  </si>
  <si>
    <t>ARWM120LAS5</t>
  </si>
  <si>
    <t>14 400</t>
  </si>
  <si>
    <t>ARWM140LAS5</t>
  </si>
  <si>
    <t>15 963</t>
  </si>
  <si>
    <t>ARWM160LAS5</t>
  </si>
  <si>
    <t>17 600</t>
  </si>
  <si>
    <t>ARWM180LAS5</t>
  </si>
  <si>
    <t>18 900</t>
  </si>
  <si>
    <t>ARWM200LAS5</t>
  </si>
  <si>
    <t>20 309</t>
  </si>
  <si>
    <t>Modulárny systém umožňuje zostaviť max. jednotku ARWN800LASA4 s výkonom 224/252 kW</t>
  </si>
  <si>
    <t>Hydro Kit</t>
  </si>
  <si>
    <t>ARNH04GK2A4 stredneteplotný</t>
  </si>
  <si>
    <t>12,3 / 13,8</t>
  </si>
  <si>
    <t>2 840</t>
  </si>
  <si>
    <t>ARNH10GK2A4 stredneteplotný</t>
  </si>
  <si>
    <t>29 / 31,5</t>
  </si>
  <si>
    <t>3 277</t>
  </si>
  <si>
    <t>ARNH04GK3A4 vysokoteplotný</t>
  </si>
  <si>
    <t>0 / 13,8</t>
  </si>
  <si>
    <t>5 790</t>
  </si>
  <si>
    <t>ARNH08GK3A4 vysokoteplotný</t>
  </si>
  <si>
    <t>0 / 25,2</t>
  </si>
  <si>
    <t>7 648</t>
  </si>
  <si>
    <t>ARNH04LK3A4 vysokoteplotný</t>
  </si>
  <si>
    <t>ARNH08LK3A4 vysokoteplotný</t>
  </si>
  <si>
    <t>Hydro Kit nástenný stredneteplotný</t>
  </si>
  <si>
    <t>ARNH18GK1A4</t>
  </si>
  <si>
    <t>3 605</t>
  </si>
  <si>
    <t>ARNH24GK1A4</t>
  </si>
  <si>
    <t>ARNH30GK1A4</t>
  </si>
  <si>
    <t>3 933</t>
  </si>
  <si>
    <t>Hydro Kit nástenný stredneteplotný s nádržou                                                                                      NEW</t>
  </si>
  <si>
    <t>ARNH18GK5A4</t>
  </si>
  <si>
    <t>6 065</t>
  </si>
  <si>
    <t>ARNH24GK5A4</t>
  </si>
  <si>
    <t>6 430</t>
  </si>
  <si>
    <t>ARNH30GK5A4</t>
  </si>
  <si>
    <t>6 615</t>
  </si>
  <si>
    <t>MULTI V MODULAR</t>
  </si>
  <si>
    <t>ARUN050GME0 vnútorná jedn.</t>
  </si>
  <si>
    <t>14/16</t>
  </si>
  <si>
    <t>3 576</t>
  </si>
  <si>
    <t>ARUN050LMC0 vonkajšia jedn.</t>
  </si>
  <si>
    <t>4 730</t>
  </si>
  <si>
    <t>MULTI V - vnútorné jednotky</t>
  </si>
  <si>
    <t>Chlaz./kúr.(kW)</t>
  </si>
  <si>
    <t>Miestnost (m3)</t>
  </si>
  <si>
    <t>Nástenné Standard</t>
  </si>
  <si>
    <t>ARNU05GSJC4</t>
  </si>
  <si>
    <t>1,5/1,8</t>
  </si>
  <si>
    <t>ARNU07GSJC4</t>
  </si>
  <si>
    <t>2,2/2,5</t>
  </si>
  <si>
    <t>ARNU09GSJC4</t>
  </si>
  <si>
    <t>2,8/3,2</t>
  </si>
  <si>
    <t>ARNU12GSJC4</t>
  </si>
  <si>
    <t>3,6/4,0</t>
  </si>
  <si>
    <t>ARNU15GSJC4</t>
  </si>
  <si>
    <t>4,5/5,0</t>
  </si>
  <si>
    <t>1 004</t>
  </si>
  <si>
    <t>ARNU18GSKC4</t>
  </si>
  <si>
    <t>5,6/6,3</t>
  </si>
  <si>
    <t>ARNU24GSKC4</t>
  </si>
  <si>
    <t>7,1/8,0</t>
  </si>
  <si>
    <t>1 057</t>
  </si>
  <si>
    <t>ARNU30GSVA4</t>
  </si>
  <si>
    <t>8,2/9,2</t>
  </si>
  <si>
    <t>1 281</t>
  </si>
  <si>
    <t>ARNU36GSVA4</t>
  </si>
  <si>
    <t>10,6/11,9</t>
  </si>
  <si>
    <t>1 398</t>
  </si>
  <si>
    <t>Nastenné ARTCOOL Panel Gallery</t>
  </si>
  <si>
    <t>ARNU07GSF14</t>
  </si>
  <si>
    <t>1 032</t>
  </si>
  <si>
    <t>ARNU09GSF14</t>
  </si>
  <si>
    <t>1 178</t>
  </si>
  <si>
    <t>ARNU12GSF14</t>
  </si>
  <si>
    <t>1 364</t>
  </si>
  <si>
    <t>Nastenné ARTCOOL</t>
  </si>
  <si>
    <t>ARNU05GSJR4</t>
  </si>
  <si>
    <t>ARNU07GSJR4</t>
  </si>
  <si>
    <t>ARNU09GSJR4</t>
  </si>
  <si>
    <t>ARNU12GSJR4</t>
  </si>
  <si>
    <t>ARNU15GSJR4</t>
  </si>
  <si>
    <t>ARNU18GSKR4</t>
  </si>
  <si>
    <t>ARNU24GSKR4</t>
  </si>
  <si>
    <t>Podstropno - parapetné FLEXI (konvertibilné)</t>
  </si>
  <si>
    <t>ARNU09GVEA4</t>
  </si>
  <si>
    <t>1 127</t>
  </si>
  <si>
    <t>ARNU12GVEA4</t>
  </si>
  <si>
    <t>1 273</t>
  </si>
  <si>
    <t>Podstropné</t>
  </si>
  <si>
    <t>ARNU18GV1A4</t>
  </si>
  <si>
    <t>ARNU24GV1A4</t>
  </si>
  <si>
    <t>1 592</t>
  </si>
  <si>
    <t>ARNU36GV2A4</t>
  </si>
  <si>
    <t>ARNU48GV2A4</t>
  </si>
  <si>
    <t>14,1/15,9</t>
  </si>
  <si>
    <t>1 704</t>
  </si>
  <si>
    <t>Parapetné - (Exposed) Neopláštené</t>
  </si>
  <si>
    <t>ARNU07GCEU4</t>
  </si>
  <si>
    <t>ARNU09GCEU4</t>
  </si>
  <si>
    <t>ARNU12GCEU4</t>
  </si>
  <si>
    <t>1 018</t>
  </si>
  <si>
    <t>ARNU15GCEU4</t>
  </si>
  <si>
    <t>1 062</t>
  </si>
  <si>
    <t>ARNU18GCFU4</t>
  </si>
  <si>
    <t>1 113</t>
  </si>
  <si>
    <t>ARNU24GCFU4</t>
  </si>
  <si>
    <t>1 258</t>
  </si>
  <si>
    <t>Parapetné - (Cased) Opláštené</t>
  </si>
  <si>
    <t>ARNU07GCEA4</t>
  </si>
  <si>
    <t>1 052</t>
  </si>
  <si>
    <t>ARNU09GCEA4</t>
  </si>
  <si>
    <t>1 084</t>
  </si>
  <si>
    <t>ARNU12GCEA4</t>
  </si>
  <si>
    <t>1 125</t>
  </si>
  <si>
    <t>ARNU15GCEA4</t>
  </si>
  <si>
    <t>1 137</t>
  </si>
  <si>
    <t>ARNU18GCFA4</t>
  </si>
  <si>
    <t>1 188</t>
  </si>
  <si>
    <t>ARNU24GCFA4</t>
  </si>
  <si>
    <t>Parapetné  - typ Konzole</t>
  </si>
  <si>
    <t>ARNU07GQAA4</t>
  </si>
  <si>
    <t>ARNU09GQAA4</t>
  </si>
  <si>
    <t>1 114</t>
  </si>
  <si>
    <t>ARNU12GQAA4</t>
  </si>
  <si>
    <t>1 197</t>
  </si>
  <si>
    <t>ARNU15GQAA4</t>
  </si>
  <si>
    <t>1 251</t>
  </si>
  <si>
    <t>Kazetové 1-cestné</t>
  </si>
  <si>
    <t>ARNU07GTUB4</t>
  </si>
  <si>
    <t>1 265</t>
  </si>
  <si>
    <t>ARNU09GTUB4</t>
  </si>
  <si>
    <t>1 332</t>
  </si>
  <si>
    <t>ARNU12GTUB4</t>
  </si>
  <si>
    <t>1 366</t>
  </si>
  <si>
    <t>predná mriežka PT-UPHG0</t>
  </si>
  <si>
    <t>ARNU18GTTB4</t>
  </si>
  <si>
    <t>ARNU24GTTB4</t>
  </si>
  <si>
    <t>predný panel PT-TAHW0 - bez lesku</t>
  </si>
  <si>
    <t>predný panel PT-TAHG0 - lesk</t>
  </si>
  <si>
    <t>predná mriežka PT-TPHG0</t>
  </si>
  <si>
    <t>Všetky vnútorné jednotky Multi V sú dodávané bez ovládača.
Je ho potrebné doceniť podľa cenníka príslušenstva a v zmysle projektovej dokumentácie.</t>
  </si>
  <si>
    <t>Kazetové 2-cestné</t>
  </si>
  <si>
    <t>ARNU09GTSC4</t>
  </si>
  <si>
    <t>1 314</t>
  </si>
  <si>
    <t>ARNU12GTSC4</t>
  </si>
  <si>
    <t>1 367</t>
  </si>
  <si>
    <t>ARNU18GTSC4</t>
  </si>
  <si>
    <t>1 577</t>
  </si>
  <si>
    <t>ARNU24GTSC4</t>
  </si>
  <si>
    <t>1 618</t>
  </si>
  <si>
    <t>predný panel PT-USC</t>
  </si>
  <si>
    <t>177</t>
  </si>
  <si>
    <t>ARNU05GTRB4</t>
  </si>
  <si>
    <t>1,6/1,8</t>
  </si>
  <si>
    <t>923</t>
  </si>
  <si>
    <t>ARNU07GTRB4</t>
  </si>
  <si>
    <t>972</t>
  </si>
  <si>
    <t>ARNU09GTRB4</t>
  </si>
  <si>
    <t>1 099</t>
  </si>
  <si>
    <t>ARNU12GTRB4</t>
  </si>
  <si>
    <t>ARNU15GTQB4</t>
  </si>
  <si>
    <t>1 232</t>
  </si>
  <si>
    <t>ARNU18GTQB4</t>
  </si>
  <si>
    <t>ARNU21GTQB4</t>
  </si>
  <si>
    <t>6,3/7,1</t>
  </si>
  <si>
    <t>1 384</t>
  </si>
  <si>
    <t>187</t>
  </si>
  <si>
    <t>Kazetové 4-cestné (Dual Vane - s dvojitou lamelou)</t>
  </si>
  <si>
    <t>ARNU05GTAA4</t>
  </si>
  <si>
    <t>ARNU07GTAA4</t>
  </si>
  <si>
    <t>1 342</t>
  </si>
  <si>
    <t>ARNU09GTAA4</t>
  </si>
  <si>
    <t>1 386</t>
  </si>
  <si>
    <t>ARNU12GTAA4</t>
  </si>
  <si>
    <t>1 454</t>
  </si>
  <si>
    <t>ARNU15GTAA4</t>
  </si>
  <si>
    <t>1 519</t>
  </si>
  <si>
    <t>ARNU18GTAA4</t>
  </si>
  <si>
    <t>ARNU24GTBB4</t>
  </si>
  <si>
    <t>1 530</t>
  </si>
  <si>
    <t>ARNU28GTBB4</t>
  </si>
  <si>
    <t>1 638</t>
  </si>
  <si>
    <t>ARNU30GTBB4</t>
  </si>
  <si>
    <t>9,4/10,5</t>
  </si>
  <si>
    <t>ARNU36GTAB4</t>
  </si>
  <si>
    <t>1 747</t>
  </si>
  <si>
    <t>ARNU42GTAB4</t>
  </si>
  <si>
    <t>12,3/13,8</t>
  </si>
  <si>
    <t>1 801</t>
  </si>
  <si>
    <t>ARNU48GTAB4</t>
  </si>
  <si>
    <t>1 856</t>
  </si>
  <si>
    <t>215</t>
  </si>
  <si>
    <t>239</t>
  </si>
  <si>
    <t>569</t>
  </si>
  <si>
    <t>Kazetové kruhové</t>
  </si>
  <si>
    <t>ARNU24GTYA4</t>
  </si>
  <si>
    <t>2 185</t>
  </si>
  <si>
    <t>ARNU36GTYA4</t>
  </si>
  <si>
    <t>2 218</t>
  </si>
  <si>
    <t>ARNU48GTYA4</t>
  </si>
  <si>
    <t>2 327</t>
  </si>
  <si>
    <t>Stĺpové</t>
  </si>
  <si>
    <t>ARNU48GPTA4</t>
  </si>
  <si>
    <t>1 650</t>
  </si>
  <si>
    <t>ARNU96GPTA4</t>
  </si>
  <si>
    <t>28 /26,7</t>
  </si>
  <si>
    <t>3 385</t>
  </si>
  <si>
    <t>Kanálová - strednotlaková</t>
  </si>
  <si>
    <t>ARNU07GM1A4</t>
  </si>
  <si>
    <t>2,0/2,5</t>
  </si>
  <si>
    <t>1 461</t>
  </si>
  <si>
    <t>ARNU09GM1A4</t>
  </si>
  <si>
    <t>1 512</t>
  </si>
  <si>
    <t>ARNU12GM1A4</t>
  </si>
  <si>
    <t>1 563</t>
  </si>
  <si>
    <t>ARNU15GM1A4</t>
  </si>
  <si>
    <t>ARNU18GM1A4</t>
  </si>
  <si>
    <t>1 654</t>
  </si>
  <si>
    <t>ARNU24GM1A4</t>
  </si>
  <si>
    <t>1 691</t>
  </si>
  <si>
    <t>ARNU28GM2A4</t>
  </si>
  <si>
    <t>1 804</t>
  </si>
  <si>
    <t>ARNU36GM2A4</t>
  </si>
  <si>
    <t>2 127</t>
  </si>
  <si>
    <t>ARNU42GM2A4</t>
  </si>
  <si>
    <t>2 188</t>
  </si>
  <si>
    <t>ARNU48GM3A4</t>
  </si>
  <si>
    <t>ARNU54GM3A4</t>
  </si>
  <si>
    <t>15,7/16,3</t>
  </si>
  <si>
    <t>2 360</t>
  </si>
  <si>
    <t>Kanálová - vysokotlaká</t>
  </si>
  <si>
    <t>ARNU76GB8A4</t>
  </si>
  <si>
    <t>4 248</t>
  </si>
  <si>
    <t>ARNU96GB8A4</t>
  </si>
  <si>
    <t>4 543</t>
  </si>
  <si>
    <t>Kanálové - nízkotlakové SLIM</t>
  </si>
  <si>
    <t>ARNU05GL4G4</t>
  </si>
  <si>
    <t>771</t>
  </si>
  <si>
    <t>ARNU07GL4G4</t>
  </si>
  <si>
    <t>779</t>
  </si>
  <si>
    <t>ARNU09GL4G4</t>
  </si>
  <si>
    <t>866</t>
  </si>
  <si>
    <t>ARNU12GL5G4</t>
  </si>
  <si>
    <t>894</t>
  </si>
  <si>
    <t>ARNU15GL5G4</t>
  </si>
  <si>
    <t>977</t>
  </si>
  <si>
    <t>ARNU18GL5G4</t>
  </si>
  <si>
    <t>1 102</t>
  </si>
  <si>
    <t>ARNU21GL6G4</t>
  </si>
  <si>
    <t>6,3/6,9</t>
  </si>
  <si>
    <t>ARNU24GL6G4</t>
  </si>
  <si>
    <t>Kanálové - čerstvo-vzdušné</t>
  </si>
  <si>
    <t>ARNU76GB8Z4</t>
  </si>
  <si>
    <t>22,4/21,4</t>
  </si>
  <si>
    <t>3 887</t>
  </si>
  <si>
    <t>ARNU96GB8Z4</t>
  </si>
  <si>
    <t>28/26,7</t>
  </si>
  <si>
    <t>4 155</t>
  </si>
  <si>
    <t>Cenník príslušenstva klimatizačnej techniky</t>
  </si>
  <si>
    <t>Platný od:   1.4. 2024 Záručná doba: 2 roky</t>
  </si>
  <si>
    <t>Štandardný drôtový ovládač</t>
  </si>
  <si>
    <t>PREMTBB01</t>
  </si>
  <si>
    <t>PREMTBB11                                                    NEW</t>
  </si>
  <si>
    <t>PREMTB101                                                    NEW</t>
  </si>
  <si>
    <t>PREMTBB10</t>
  </si>
  <si>
    <t>Jednoduchý drôtový ovládač</t>
  </si>
  <si>
    <t>PQRCVCL0Q /W (čierny/biely)</t>
  </si>
  <si>
    <t>PQRCHCA0Q /W (pre hotely čierny/biely)</t>
  </si>
  <si>
    <t>Premium drôtový ovládač dotykový</t>
  </si>
  <si>
    <t>PREMTA000 / PREMTA000A / PREMTA000B</t>
  </si>
  <si>
    <t>PREMTA201                                                    NEW</t>
  </si>
  <si>
    <t>Centrálny ovládač AC EZ</t>
  </si>
  <si>
    <t>PQCSZ250S0</t>
  </si>
  <si>
    <t>Centrálny ovládač AC EZ Touch</t>
  </si>
  <si>
    <t>PACEZA000</t>
  </si>
  <si>
    <t>Centrálny ovládač AC Smart V</t>
  </si>
  <si>
    <t>PACS5A000</t>
  </si>
  <si>
    <t>ACP centrálna riadiaca jednotka</t>
  </si>
  <si>
    <t>PACP5A000</t>
  </si>
  <si>
    <t>AC Manager - centrálnej riadiacej jednotky</t>
  </si>
  <si>
    <t>PACM5A000 - AC Manager 5</t>
  </si>
  <si>
    <t>ACS IO Modul - PEXPMB000</t>
  </si>
  <si>
    <t>IO Modul - PVDSMN000</t>
  </si>
  <si>
    <t>PDI - indikátor spotreby energie</t>
  </si>
  <si>
    <t>PPWRDB000 - Standard</t>
  </si>
  <si>
    <t>PQNUD1S40 - Premium</t>
  </si>
  <si>
    <t>Mobile Wifi MV - PLGMVW100</t>
  </si>
  <si>
    <t>Káblové LGMV - PRCTIL0</t>
  </si>
  <si>
    <t>Zónový ovládač</t>
  </si>
  <si>
    <t>ABZCA</t>
  </si>
  <si>
    <t>Prepojovacie káble</t>
  </si>
  <si>
    <t>PZCWRC1 - predlžovací kébel</t>
  </si>
  <si>
    <t>PZCWRC2 - predlžovací kébel</t>
  </si>
  <si>
    <t>PZCWRCG3 - pre skupinové ovládanie</t>
  </si>
  <si>
    <t>Prepínač režimov - PRDSBM</t>
  </si>
  <si>
    <t>UIO Moduly - PEXPMB100, PEXPMB200, PEXPMB300</t>
  </si>
  <si>
    <t>Senzory a detektory</t>
  </si>
  <si>
    <t>PRLDNVS0</t>
  </si>
  <si>
    <t>PLDRNV1S - detektor úniku chladiva R32</t>
  </si>
  <si>
    <t>Príslušenstvo pre kazetové jednotky</t>
  </si>
  <si>
    <t>PTVSMA0 - senzor detekcie osôb</t>
  </si>
  <si>
    <t>172</t>
  </si>
  <si>
    <t>PTVSAA0 - senzor detekcie osôb (Dual Vane)</t>
  </si>
  <si>
    <t>168</t>
  </si>
  <si>
    <t>PTEGM0 - pohyblivá mriežka</t>
  </si>
  <si>
    <t>532</t>
  </si>
  <si>
    <t>PTDCA - obvodový kryt  840 x 840 mm</t>
  </si>
  <si>
    <t>PTAHYP0 - filtračná sada do kruhových kaziet</t>
  </si>
  <si>
    <t>660</t>
  </si>
  <si>
    <t>Príslušenstvo pre kanalové jednotky</t>
  </si>
  <si>
    <t>ABDPG - čerpadlo kondenzátu</t>
  </si>
  <si>
    <t>198</t>
  </si>
  <si>
    <t>PBDP9 - čerpadlo kondenzátu</t>
  </si>
  <si>
    <t>PRODX20 - odtoková vaňa</t>
  </si>
  <si>
    <t>166</t>
  </si>
  <si>
    <t>PRODX30 - odtoková vaňa</t>
  </si>
  <si>
    <t>182</t>
  </si>
  <si>
    <t>UV NANO filter BOX stredne tlaká kanálová jednotka - Multi V</t>
  </si>
  <si>
    <t>PBM13M1UA0</t>
  </si>
  <si>
    <t>786</t>
  </si>
  <si>
    <t>PBM13M2UA0</t>
  </si>
  <si>
    <t>895</t>
  </si>
  <si>
    <t>PBM13M3UA0</t>
  </si>
  <si>
    <t>958</t>
  </si>
  <si>
    <t>FILTER e PM1 UV NANO - Multi V</t>
  </si>
  <si>
    <t>FBM13M1UA0</t>
  </si>
  <si>
    <t>163</t>
  </si>
  <si>
    <t>FBM13M2UA0</t>
  </si>
  <si>
    <t>185</t>
  </si>
  <si>
    <t>FBM13M3UA0</t>
  </si>
  <si>
    <t>Y rozbočovače pre MULTI V PLUS</t>
  </si>
  <si>
    <t>ARBLN01621</t>
  </si>
  <si>
    <t>106</t>
  </si>
  <si>
    <t>ARBLN03321</t>
  </si>
  <si>
    <t>133</t>
  </si>
  <si>
    <t>ARBLN07121</t>
  </si>
  <si>
    <t>213</t>
  </si>
  <si>
    <t>ARBLN14521</t>
  </si>
  <si>
    <t>ARBLN23220</t>
  </si>
  <si>
    <t>525</t>
  </si>
  <si>
    <t>Y rozbočovače pre MULTI V SYNC</t>
  </si>
  <si>
    <t>ARBLB01621</t>
  </si>
  <si>
    <t>ARBLB03321</t>
  </si>
  <si>
    <t>ARBLB07121</t>
  </si>
  <si>
    <t>ARBLB14521</t>
  </si>
  <si>
    <t>271</t>
  </si>
  <si>
    <t>ARBLB23020</t>
  </si>
  <si>
    <t>658</t>
  </si>
  <si>
    <t>Y rozbočovače pro MULTI V PLUS III - na prepojenie vonkajších jednotiek</t>
  </si>
  <si>
    <t>ARCNN21</t>
  </si>
  <si>
    <t>275</t>
  </si>
  <si>
    <t>ARCNN31</t>
  </si>
  <si>
    <t>ARCNN41</t>
  </si>
  <si>
    <t>505</t>
  </si>
  <si>
    <t>Y rozbočovače pro systém MULTI V SYNC</t>
  </si>
  <si>
    <t>ARCNB21</t>
  </si>
  <si>
    <t>327</t>
  </si>
  <si>
    <t>ARCNB31</t>
  </si>
  <si>
    <t>363</t>
  </si>
  <si>
    <t>ARCNB41</t>
  </si>
  <si>
    <t>584</t>
  </si>
  <si>
    <t>Hrebeňový rozbočovač pre MULTI V PLUS</t>
  </si>
  <si>
    <t>ARBL054</t>
  </si>
  <si>
    <t>ARBL057</t>
  </si>
  <si>
    <t>ARBL104</t>
  </si>
  <si>
    <t>186</t>
  </si>
  <si>
    <t>ARBL107</t>
  </si>
  <si>
    <t>ARBL1010</t>
  </si>
  <si>
    <t>ARBL2010</t>
  </si>
  <si>
    <t>398</t>
  </si>
  <si>
    <t>Distribučný box pre trojtrubkový systém MULTI V R410A</t>
  </si>
  <si>
    <t>PRHR023 (pre 2 vnútor.j.)</t>
  </si>
  <si>
    <t>PRHR033 (pre 3 vnútor.j.)</t>
  </si>
  <si>
    <t>PRHR043 (pre 4 vnútor.j.)</t>
  </si>
  <si>
    <t>2 470</t>
  </si>
  <si>
    <t>PRHR063 (pre 6 vnútor.j.)</t>
  </si>
  <si>
    <t>2 733</t>
  </si>
  <si>
    <t>PRHR083 (pre 8 vnútor.j.)</t>
  </si>
  <si>
    <t>3 584</t>
  </si>
  <si>
    <t>Distribučný box pre trojtrubkový systém MULTI V R32</t>
  </si>
  <si>
    <t>PRHRZ020 (pre 2 vnútor.j.)</t>
  </si>
  <si>
    <t>2 300</t>
  </si>
  <si>
    <t>PRHRZ030 (pre 3 vnútor.j.)</t>
  </si>
  <si>
    <t>3 430</t>
  </si>
  <si>
    <t>PRHRZ040 (pre 4 vnútor.j.)</t>
  </si>
  <si>
    <t>4 020</t>
  </si>
  <si>
    <t>Uzatvárací ventil</t>
  </si>
  <si>
    <t>PRVT120   ( do 12,7 mm )</t>
  </si>
  <si>
    <t>76</t>
  </si>
  <si>
    <t>PRVT780   ( do 22,2 mm )</t>
  </si>
  <si>
    <t>212</t>
  </si>
  <si>
    <t>PRVT980   ( do 28,58 mm )</t>
  </si>
  <si>
    <t>Ponuka platí
od 3.6. do 28.6. 2024
resp., do vypredania akciového balíka.
-50%</t>
  </si>
  <si>
    <t>PC12SK-SP
PC12SK NSJ + PC12SK UA3
-50%
Akciová cena:
554 €
Vonkajšie MULTI jednotky modely 2023
Zľava - 50% z minuloročného cenníka 2023
Akciová cena</t>
  </si>
  <si>
    <t>757,50 EUR
814,50 EUR
853,00 EUR
Uvedené ceny sú bez DPH.</t>
  </si>
  <si>
    <t>Najväčší distribútor klimatizácie LG v SR a ČR</t>
  </si>
  <si>
    <t>www.microwell.sk
Objednávky posielajte na:
klima@microwell.sk</t>
  </si>
  <si>
    <t>AKCIIOVÁ  PONUKA
na vybrané klimatizačné zariadenia</t>
  </si>
  <si>
    <t>XTREME SAVE R32
MG2x-12-Sp        341 €
MG2X-18-SP        550 €</t>
  </si>
  <si>
    <t>BREZELESS E R32
MCB-112-SP        375 €</t>
  </si>
  <si>
    <t>MOBILNÁ KLIMATIZÁCIA
MPPD-12CRN7-QB6G1     280 €</t>
  </si>
  <si>
    <t>Objjednávky posiiellajjtte na
klliima@miicrrowellll..sk</t>
  </si>
  <si>
    <t>Uvedené ceny sú NETTO,, bez DPH
Ponuka pllattíí
od 3..6.. do 28..6..2024
rresp.. do vyprredaniia akciiového ballííka..</t>
  </si>
  <si>
    <t>www.microwell.sk</t>
  </si>
  <si>
    <t>SPLIIT</t>
  </si>
  <si>
    <t>AKCIIOVÁ PONUKA
TEPELNÉ ČERPADLÁ</t>
  </si>
  <si>
    <t>MHA-V10W/D2N8-B</t>
  </si>
  <si>
    <t>2 460 €</t>
  </si>
  <si>
    <t>MHA-V12W/D2RN8-B   3f</t>
  </si>
  <si>
    <t>3 210 €</t>
  </si>
  <si>
    <t>MHA-V16W/D2RN8-B   3f</t>
  </si>
  <si>
    <t>3 260 €</t>
  </si>
  <si>
    <t>SPLIIT S IINT.. NÁDRŽOU
MHA-V10W/D2N8-B-IWT190         3 650 €
MHA-V12W/D2RN8-B-IWT240  3f  4 600 €
MHA-V16W/D2RN8-B-IWT240  3f 4 650 €</t>
  </si>
  <si>
    <t>MONOBLOK S PRÍÍDAVNÝM ELEKTRIICKÝM OHREVOM
MHC-V6W/D2N8-BE30                2 250 €</t>
  </si>
  <si>
    <t>MHC-V112W/D2RN8-BER90</t>
  </si>
  <si>
    <t>3ff</t>
  </si>
  <si>
    <t>3 430 €</t>
  </si>
  <si>
    <t>MONOBLOK BEZ PRÍÍDAVNÉHO ELEKTRIICKÉHO OHREVU
MHC-V110W/D2N8-B                       2 420 €</t>
  </si>
  <si>
    <t>SAMOSTATNÝ PRÍÍDAVNÝ ELEKTRIICKÝ OHREV
BH30  A - 3 kW                                  325 €</t>
  </si>
  <si>
    <t>BH90  B/R - 9 kW</t>
  </si>
  <si>
    <t>Uvedené ceny sú NETTO,, bez DPH..
Ponuka pllatíí
od 3..6.. do 28..6..2024
resp.. do vypredaniia akciiového
ballííka..</t>
  </si>
  <si>
    <t>www..miicrrowellll..sk Objjednávky posiiellajjtte na klliima@miicrrowellll..sk</t>
  </si>
  <si>
    <t>Rozpočet na dielo
Číslo: 25110343</t>
  </si>
  <si>
    <t>Akcia: Objednávateľ:
Kontakt:
Zhotoviteľ:</t>
  </si>
  <si>
    <t>Toshiba TČ 11 kW
GT LABS, s.r.o., Za mlynom 2, 831 07 Bratislava - mestská časť Vajnory
MSD Company, spol. s r.o., Nádražná 50, 900 28 Ivanka pri Dunaji</t>
  </si>
  <si>
    <t>Dátum vyhotovenia:   06.02.2025
Dátum platnosti:   31.03.2025</t>
  </si>
  <si>
    <t>Estia WiFi R32 adaptér</t>
  </si>
  <si>
    <t>P.Č.</t>
  </si>
  <si>
    <t>Kód produktu / Názov produktu</t>
  </si>
  <si>
    <t>Množstvo MJ</t>
  </si>
  <si>
    <t>Cenníková
cena</t>
  </si>
  <si>
    <t>Zľava [%]</t>
  </si>
  <si>
    <t>Jedn.cena so zľavou</t>
  </si>
  <si>
    <t>Celkom po zľave</t>
  </si>
  <si>
    <t>HWS-IWF0010UP-E / ESTIA R32/All-in-One WiFi
Adapter</t>
  </si>
  <si>
    <t>1,00 ks</t>
  </si>
  <si>
    <t>47</t>
  </si>
  <si>
    <t>Spolu bez DPH</t>
  </si>
  <si>
    <t>Toshiba Estia All in One s integrovaným zásobníkom 210 l</t>
  </si>
  <si>
    <t>P.Č.                   Kód produktu / Názov produktu</t>
  </si>
  <si>
    <t>HWT-1101F21ST9W-E / All-in-One - ESTIA R32 - 1
zóna, 11kW, záloha - 9 kW</t>
  </si>
  <si>
    <t>8 970,00 €</t>
  </si>
  <si>
    <t>4 754,10 €</t>
  </si>
  <si>
    <t>RP-t-21,98 / Recyklačný poplatok</t>
  </si>
  <si>
    <t>4 776,08 €</t>
  </si>
  <si>
    <t>Toshiba 11,0 kW/1-f + All in One s integrovaným 210 l zásobníkom - 2 zónová</t>
  </si>
  <si>
    <t>P.Č.                   Kód produktu / Názov produktu                                            Množstvo MJ</t>
  </si>
  <si>
    <t>HWT-1101HW-E / Vonkajšia - ESTIA R32 - 11 kW, 1f                 1,00 ks</t>
  </si>
  <si>
    <t>4 350,00 €</t>
  </si>
  <si>
    <t>2 305,50 €</t>
  </si>
  <si>
    <t>RP-t-5,80 / Recyklačný poplatok                                               1,00 ks</t>
  </si>
  <si>
    <t>HWT-1102S21MT9W-E / All-in-One - ESTIA R32 - 2                   1,00 ks
zóny, 11kW, záloha - 9 kW</t>
  </si>
  <si>
    <t>8 580,00 €</t>
  </si>
  <si>
    <t>4 547,40 €</t>
  </si>
  <si>
    <t>RP-t-24,92 / Recyklačný poplatok                                             1,00 ks</t>
  </si>
  <si>
    <t>6 883,62 €</t>
  </si>
  <si>
    <t>Toshiba 11,0 kW/3-f + All in One s integrovaným 210 l zásobníkom - 2 zónová</t>
  </si>
  <si>
    <t>HWT-1101H8W-E / Vonkajšia - ESTIA R32 - 11 kW, 3f              1,00 ks</t>
  </si>
  <si>
    <t>5 985,00 €</t>
  </si>
  <si>
    <t>3 172,05 €</t>
  </si>
  <si>
    <t>Vypracoval(a): Matúš Neubauer, Email: neubauer@msdcompany.sk
Strana: 1/2</t>
  </si>
  <si>
    <t>Vytlačené:   06.02.2025 15:58:08</t>
  </si>
  <si>
    <t>7 750,17 €</t>
  </si>
  <si>
    <t>19 505,27 €</t>
  </si>
  <si>
    <t>23 991,48 €</t>
  </si>
  <si>
    <t>Platba:
Dodávka:
Záručná doba:</t>
  </si>
  <si>
    <t>Vypracoval(a): Matúš Neubauer, Email: neubauer@msdcompany.sk
Strana: 2/2</t>
  </si>
  <si>
    <t>Rozpočet na dielo
Číslo: 25110350</t>
  </si>
  <si>
    <t>Podstropná jednotka
GT LABS, s.r.o., Za mlynom 2, 831 07 Bratislava - mestská časť Vajnory
MSD Company, spol. s r.o., Nádražná 50, 900 28 Ivanka pri Dunaji</t>
  </si>
  <si>
    <t>Dátum vyhotovenia:   06.02.2025
Dátum platnosti:   06.03.2025</t>
  </si>
  <si>
    <t>Digital Invertor Next 14,0 kW/3-f + podstropná jednotka + ovládač</t>
  </si>
  <si>
    <t>RAV-GM1602AT8W-E / Vonkajšia DI NEXT- 14 kW, 3f, R32</t>
  </si>
  <si>
    <t>4 780,00 €</t>
  </si>
  <si>
    <t>2 533,40 €</t>
  </si>
  <si>
    <t>RAV-HM1601CTP-E / Podstropná - 14 kW</t>
  </si>
  <si>
    <t>RBC-AMTU31-E / Štandardné káblové diaľkové ovládanie</t>
  </si>
  <si>
    <t>Spolu bez DPH                                                                                                                                                                                                         3 588,10 €</t>
  </si>
  <si>
    <t>Super Digital Invertor14,0 kW/3-f + podstropná jednotka + ovládač</t>
  </si>
  <si>
    <t>RAV-GP1601AT8-E / Vonkajšia SDI - 3f, 14 kW, R32</t>
  </si>
  <si>
    <t>4 980,00 €</t>
  </si>
  <si>
    <t>2 639,40 €</t>
  </si>
  <si>
    <t>3 694,10 €</t>
  </si>
  <si>
    <t>7 282,20 €</t>
  </si>
  <si>
    <t>8 957,11 €</t>
  </si>
  <si>
    <t>Vypracoval(a): Matúš Neubauer, Email: neubauer@msdcompany.sk
Strana: 1/1</t>
  </si>
  <si>
    <t>Vytlačené:   06.02.2025 15:25:39</t>
  </si>
  <si>
    <t>KATALÓG PRODUKTOV TOSHIBA
KLIMATIZAČNÉ SYSTÉMY A TEPELNÉ ČERPADLÁ</t>
  </si>
  <si>
    <t>2024/25</t>
  </si>
  <si>
    <t>Platnosť cenníka: 1. marec 2024 až 31. marec 2025
Platia Všeobecné obchodné podmienky firmy AIR-COND International GmbH.
Zmeny sú vyhradené! Všetky údaje a typové označenia, ako aj obrázky sú uvedené s výhradou zmien, tlačových a typografických chýb. Podrobné informácie o výrobkoch sú uvedené na online kartách údajov na našej webovej stránke: www.toshiba-aircondition.com. Technický podklad pre predaj.</t>
  </si>
  <si>
    <t>2 I</t>
  </si>
  <si>
    <t>OBSAH
RAS                                                             4
VNÚTORNÉ JEDNOTKY HOME: PREHĽAD                                                             5
PREHĽAD PRODUKTOV                                                                                          6
SEIYA Classic / súprava                                                                                           8
SEIYA/Súprava                                                                                                         9
SHORAI Edge White / súprava                                                                               10
SHORAI Edge Black / súprava                                                                               11
HAORI/súprava                                                                                                      12
DAISEIKAI 9/súprava                                                                                             13
DAISEIKAI 10 White / súprava                                                                                14
DAISEIKAI 10 Wood / súprava                                                                               15
Parapetná jednotka/súprava                                                                                  16
INVERTOROVÉ SYSTÉMY MULTI: Vnútorné jednotky                                            18
SEIYA Classic                                                                                                         18
SEIYA                                                                                                                     18
SHORAI Edge White                                                                                              19
SHORAI Edge Black                                                                                              19
HAORI                                                                                                                   20
DAISEIKAI 9                                                                                                           20
DAISEIKAI 10 White                                                                                               21
DAISEIKAI 10 Wood                                                                                               21
Parapetná jednotka                                                                                                22
60 × 60 slim kazeta                                                                                                22
Kanálová jednotka                                                                                                  23
INVERTOROVÉ SYSTÉMY MULTI: Vonkajšie jednotky                                            24
Multi-Split                                                                                                               24
Tabuľka kombinácií invertorových systémov Multi                                                   25
Prehľad vnútorných jednotiek Multisplit                                                                  25
Možnosti kombinovania – Multisplit                                                                        25
Tabuľka kombinácií s počtom a veľkosťou vnútorných jednotiek                             26
Stručný prehľad vonkajších jednotiek                                                                     28
Spotreba elektrickej energie + zabezpečenie (poistky)                                            29
Akustický výkon/akustický tlak                                                                               30
Príslušenstvo RAS                                                                                                  32
Možnosti ovládania RAS                                                                                        33
ESTIA                                                        34
PREHĽAD PRODUKTOV ESTIA                                                                             36
Porovnanie produktov s chladivom R410A a R32                                                   38
Vnútorná jednotka hydrobox ESTIA 11 kW / súprava R410A                                  40
Vnútorná jednotka hydrobox ESTIA 14 kW / súprava R410A                                  41
Vnútorná jednotka hydrobox ESTIA 16 kW / súprava R410A                                  42
Vonkajšia jednotka ESTIA 11 kW R410A                                                                43
Vonkajšia jednotka ESTIA 14 kW R410A                                                                44
Vonkajšia jednotka ESTIA 16 kW R410A                                                                45
Vnútorná jednotka hydrobox ESTIA R410A                                                            46
Zásobník teplej vody ESTIA R410A                                                                        46
Vnútorná jednotka hydrobox ESTIA 4 kW / súprava R32                                        48
Vnútorná jednotka AIO ESTIA 4 kW / súprava R32                                                 49
Vnútorná jednotka hydrobox ESTIA 6 kW / súprava R32                                        50
Vnútorná jednotka AIO ESTIA 6 kW / súprava R32                                                 51
Vnútorná jednotka hydrobox ESTIA 8 kW / súprava R32                                        52
Vnútorná jednotka AIO ESTIA 8 kW / súprava R32                                                 53
Vnútorná jednotka hydrobox ESTIA 11 kW / súprava R32                                      54
Vnútorná jednotka AIO ESTIA 11 kW / súprava R32                                               55
Vnútorná jednotka hydrobox ESTIA 14 kW / súprava R32                                      56
Vnútorná jednotka AIO ESTIA 14 kW / súprava R32                                               57
Vonkajšia jednotka ESTIA 4 kW R32                                                                      59
Vonkajšia jednotka ESTIA 6 kW R32                                                                      60
Vonkajšia jednotka ESTIA 8 kW R32                                                                      61
Vonkajšia jednotka ESTIA 11 kW R32                                                                    62
Vonkajšia jednotka ESTIA 14 kW R32                                                                    63
Vnútorná jednotka hydrobox ESTIA R32                                                                64
ESTIA All-in-One R32                                                                                             65
Zásobník teplej vody ESTIA R410A                                                                        65
Príslušenstvo ESTIA R410A                                                                                    66
Príslušenstvo ESTIA R32                                                                                        66
Spotreba elektrickej energie + zabezpečenie (poistky)                                            67
Akustický výkon/akustický tlak                                                                               68
RAV                                                           70
VONKAJŠIE JEDNOTKY RAV: PREHĽAD                                                               71
VNÚTORNÉ JEDNOTKY RAV: PREHĽAD                                                               72
VNÚTORNÉ JEDNOTKY                                                                                        74
Nástenná jednotka                                                                                                 74
Podstropná jednotka                                                                                              77
60 × 60 slim kazeta                                                                                                81
Smart kazeta                                                                                                          83
4-cestná štandardná kazetová jednotka                                                                 84</t>
  </si>
  <si>
    <t>4-cestná štandardná kazetová jednotka / príslušenstvo                                         89
1-cestná kazetová jednotka Flat                                                                             90
Plochá kanálová jednotka                                                                                       91
Štandardná kanálová jednotka                                                                               92
Vysokotlaková kanálová jednotka                                                                           98
Stojanová jednotka                                                                                                99
Vetracia sada pre jednotky na reguláciu teploty odvádzaného
vzduchu RAV-DXC010                                                                                         102
Údaje o výkone pre vetracie sady pre jednotky                                                     103
Vetracia sada pre jednotky na ovládanie výkonu signálom 0 – 10 V:
RBC-DXC031                                                                                                      103
Riešenia RAV Split pre jednu teplotnú zónu                                                          105
Rozbočovače pre inštalácie Multi                                                                         105
Vzduchové clony                                                                                                  107
Digitálny invertor CLASSIC                                                                                   108
Digitálny invertor NEXT                                                                                         109
Super digitálny invertor                                                                                         110
Digitálny invertor BIG                                                                                            111
Stručný prehľad vonkajších jednotiek                                                                   112
Spotreba elektrickej energie + zabezpečenie (poistky)                                          114
Akustický výkon/akustický tlak                                                                             115
MOŽNOSTI OVLÁDANIA                                                                                      116
VRF                                                         122
VONKAJŠIE JEDNOTKY VRF: PREHĽAD                                                             123
VONKAJŠIE JEDNOTKY                                                                                      124
Vonkajšie jednotky SMMSu                                                                                  124
Tabuľky kombinácií jednotiek SMMSu                                                                  126
Tabuľky kombinácií jednotiek SMMSu                                                                  128
Vonkajšie jednotky MiNi SMMS R32                                                                     135
Vonkajšie jednotky MiNi SMMS Single Fan                                                           136
Vonkajšie jednotky MiNi SMMSe                                                                          137
Vonkajšie jednotky SHRMe                                                                                  138
Tabuľka kombinácií jednotiek SHRMe                                                                  140
Vonkajšie jednotky SHRMa                                                                                  148
Spotreba elektrickej energie + zabezpečenie (poistky)                                          150
Akustický výkon/akustický tlak                                                                             151
VNÚTORNÉ JEDNOTKY VRF: PREHĽAD                                                             152
VNÚTORNÉ JEDNOTKY                                                                                      154
Nástenná jednotka HAORI                                                                                   154
Nástenná jednotka                                                                                               156
Nástenná jednotka s externou PMV sadou                                                           158
Podstropná jednotka                                                                                            160
60 × 60 slim kazeta                                                                                              161
4-cestná štandardná kazetová jednotka                                                               164
4-cestná kazetová jednotka SMART                                                                    166
2-cestná kazetová jednotka                                                                                 168
1-cestná kazetová jednotka Flat                                                                           170
Štandardná kanálová jednotka                                                                             172
Super-plochá kanálová jednotka SSD                                                                  174
Vysokotlaková kanálová jednotka                                                                         176
Kanálová jednotka pre čerstvý vzduch SMMSu                                                    178
Parapetná jednotka                                                                                              180
Nekapotovaná parapetná jednotka                                                                       181
Stojanová jednotka                                                                                              182
Vetracia sada pre jednotky na reguláciu teploty                                                    184
odvádzaného vzduchu                                                                                         184
Vetracia sada pre jednotky na ovládanie výkonu signálom 0 – 10 V                      184
Vetracia sada pre jednotky NEXT                                                                         186
Vetracie systémy so spätným získavaním tepla                                                     188
Vetracie systémy so spätným získavaním tepla a tepelný výmenník s priamym vyparovaním a zvlhčovačom                                                                                 190
Vetracie systémy HRV so spätným získavaním tepla                                             192
Modul teplej vody MT (2- a 3-rúrkový)                                                                  196
Modul teplej vody HT (3-rúrkový)                                                                          197
Rozbočovač SMMSu / MiNi SMMSe (2-rúrkový systém)                                      199
Rozbočovač SHRMe/SHRMa (3-rúrkový systém)                                                 199
Zapojenie/elektroinštalácia                                                                                   200
MOŽNOSTI OVLÁDANIA                                                                                      203
Servisný program TOSHIBA                                                                                 213
Vysvetlenie symbolov použitých pre vlastnosti jednotky                                        213
Schéma merania na zistenie hladiny akustického tlaku                                         213
Podmienky merania pre klimatizačné jednotky a tepelné
čerpadlá TOSHIBA                                                                                               214
Výkonové údaje pre výrobky ESTIA                                                                      214
Glosár                                                                                                                  215
USX CHILLER                                        216
I 3</t>
  </si>
  <si>
    <t>PRÍJEMNÁ KLÍMA
VO VAŠOM DOMOVE</t>
  </si>
  <si>
    <t>HOME/RAS</t>
  </si>
  <si>
    <t>VNÚTORNÉ JEDNOTKY HOME: PREHĽAD</t>
  </si>
  <si>
    <t>&gt;   Špičkový dizajn a vysoká účinnosť až A+++
&gt;   Vnútorné jednotky s rôznou konštrukciou pre všetky oblasti použitia
&gt;   Široký výber technológií filtrovania vzduchu vyhovie všetkým požiadavkám</t>
  </si>
  <si>
    <t>SEIYA CLASSIC
Veľkosti: 7, 10, 13, 16, 18, 24
SEIYA
Veľkosti: 7, 10, 13, 16, 18, 24
SHORAI Edge White
Veľkosti: 7, 10, 13, 16, 18, 22, 24
SHORAI Edge Black
Veľkosti: 7, 10, 13, 16, 18, 22, 24
HAORI
Veľkosti: 10, 13, 16
DAISEIKAI 9
Veľkosti: 10, 13, 16
DAISEIKAI 10 White
Veľkosti: 10, 13, 18
DAISEIKAI 10 Wood
Veľkosti: 10, 13, 18</t>
  </si>
  <si>
    <t>Str. 8, 18
Str. 9, 18
Str. 10, 19
Str. 11, 19
Str. 12, 20
Str. 13, 20
Str. 14, 21
Str. 15, 21</t>
  </si>
  <si>
    <t>PARAPETNÉ JEDNOTKY
Parapetná jednotka
Veľkosti: 10, 13, 18                                           Str. 16, 22</t>
  </si>
  <si>
    <t>KAZETOVÉ JEDNOTKY
60 × 60 slim kazeta
Veľkosti: 10, 13, 16</t>
  </si>
  <si>
    <t>Strana 22</t>
  </si>
  <si>
    <t>KANÁLOVÉ JEDNOTKY
Kanálová jednotka
Veľkosti: 10, 13, 16, 22, 24                                      Strana 23</t>
  </si>
  <si>
    <t>I 5</t>
  </si>
  <si>
    <t>PREHĽAD PRODUKTOV</t>
  </si>
  <si>
    <t>FUNKCIE</t>
  </si>
  <si>
    <t>SEIYA CLASSIC</t>
  </si>
  <si>
    <t>SEIYA</t>
  </si>
  <si>
    <t>SHORAI EDGE WHITE</t>
  </si>
  <si>
    <t>SHORAI EDGE BLACK</t>
  </si>
  <si>
    <t>HAORI</t>
  </si>
  <si>
    <t>DAISEIKAI 9</t>
  </si>
  <si>
    <t>DAISEIKAI 10 WHITE</t>
  </si>
  <si>
    <t>DAISEIKAI 10 WOOD</t>
  </si>
  <si>
    <t>PARAPETNÁ JEDNOTKA</t>
  </si>
  <si>
    <t>KANÁLOVÁ JEDNOTKA</t>
  </si>
  <si>
    <t>60×60 SLIM KAZETA</t>
  </si>
  <si>
    <t>Použitie SINGLE-Split</t>
  </si>
  <si>
    <t>Použitie MULTI-Split</t>
  </si>
  <si>
    <t>Chladenie</t>
  </si>
  <si>
    <t>Vykurovanie</t>
  </si>
  <si>
    <t>Rotačný kompresor</t>
  </si>
  <si>
    <t>07 – 18</t>
  </si>
  <si>
    <t>07 – 16</t>
  </si>
  <si>
    <t>10/13</t>
  </si>
  <si>
    <t>Rotačný kompresor
s dvojitým piestom</t>
  </si>
  <si>
    <t>24</t>
  </si>
  <si>
    <t>18/22/24</t>
  </si>
  <si>
    <t>Funkcia samočistenia</t>
  </si>
  <si>
    <t>Prachový filter</t>
  </si>
  <si>
    <t>IAQ filter</t>
  </si>
  <si>
    <t>Aktívny karbón-kate- chínový filter</t>
  </si>
  <si>
    <t>Filter Ultra Pure PM2.5</t>
  </si>
  <si>
    <t>Filter Ultra Fresh PM2.5</t>
  </si>
  <si>
    <t>Plazmový filter/ionizátor</t>
  </si>
  <si>
    <t>HI POWER</t>
  </si>
  <si>
    <t>Autodiagnostika</t>
  </si>
  <si>
    <t>Eco Mode</t>
  </si>
  <si>
    <t>Quiet Mode</t>
  </si>
  <si>
    <t>Silent Mode</t>
  </si>
  <si>
    <t>Comfort Sleep</t>
  </si>
  <si>
    <t>Power Selection</t>
  </si>
  <si>
    <t>Floor Mode</t>
  </si>
  <si>
    <t>Preset Mode</t>
  </si>
  <si>
    <t>One Touch Mode</t>
  </si>
  <si>
    <t>TOSHIBA WiFi</t>
  </si>
  <si>
    <t>Týždenný časovač</t>
  </si>
  <si>
    <t>Spínacie hodiny (časovač)</t>
  </si>
  <si>
    <t>Automatický reštart</t>
  </si>
  <si>
    <t>Ochrana proti mrazu 8 °C</t>
  </si>
  <si>
    <t>Fireplace Mode</t>
  </si>
  <si>
    <t>Režim Swing</t>
  </si>
  <si>
    <t>3D distribúcia vzduchu HADA</t>
  </si>
  <si>
    <t>18/24</t>
  </si>
  <si>
    <t>Senzor prítomnosti</t>
  </si>
  <si>
    <t>Smart Sensing</t>
  </si>
  <si>
    <t>Štandardné vybavenie        Voliteľné vybavenie</t>
  </si>
  <si>
    <t>6 I</t>
  </si>
  <si>
    <t>I 7</t>
  </si>
  <si>
    <t>Dizajn bez obmedzení.</t>
  </si>
  <si>
    <t>SEIYA Classic / súprava</t>
  </si>
  <si>
    <t>&gt;  Kompaktný invertor CLASSIC Line
&gt;  Trieda A++ v režime chladenie, A+ v režime vykurovania
&gt;  Prachový filter
&gt;  Voliteľne WiFi modul
&gt;  Energy Monitoring: pre systémy Single-Split a Multi NEXT</t>
  </si>
  <si>
    <t>VNÚTORNÁ JEDNOTKA VONKAJŠIA JEDNOTKA</t>
  </si>
  <si>
    <t>RAS-B07B2KVG-E RAS-07B2AVG-E</t>
  </si>
  <si>
    <t>RAS-B10B2KVG-E RAS-10B2AVG-E</t>
  </si>
  <si>
    <t>RAS-B13B2KVG-E RAS-13B2AVG-E</t>
  </si>
  <si>
    <t>RAS-B16B2KVG-E RAS-16B2AVG-E</t>
  </si>
  <si>
    <t>RAS-B18B2KVG-E RAS-18B2AVG-E</t>
  </si>
  <si>
    <t>RAS-B24B2KVG-E RAS-24B2AVG-E</t>
  </si>
  <si>
    <t>Chladiaci výkon</t>
  </si>
  <si>
    <t>Rozsah chladiaceho výkonu (min. – max.)</t>
  </si>
  <si>
    <t>0,76 - 2,40</t>
  </si>
  <si>
    <t>0,80 - 3,00</t>
  </si>
  <si>
    <t>1,00 - 3,60</t>
  </si>
  <si>
    <t>1,10 - 4,70</t>
  </si>
  <si>
    <t>1,10 - 5,50</t>
  </si>
  <si>
    <t>1,10 - 7,10</t>
  </si>
  <si>
    <t>Elektrický príkon (min./nom./max.)</t>
  </si>
  <si>
    <t>0,20/0,60/</t>
  </si>
  <si>
    <t>0,21/0,72/</t>
  </si>
  <si>
    <t>0,25/1,17/</t>
  </si>
  <si>
    <t>0,35/1,37/</t>
  </si>
  <si>
    <t>0,35/1,73/</t>
  </si>
  <si>
    <t>0,25/2,30/</t>
  </si>
  <si>
    <t>1,9</t>
  </si>
  <si>
    <t>Stupeň účinnosti EER</t>
  </si>
  <si>
    <t>2,89</t>
  </si>
  <si>
    <t>Stupeň účinnosti SEER</t>
  </si>
  <si>
    <t>-10/+46</t>
  </si>
  <si>
    <t>Vykurovací-výkon</t>
  </si>
  <si>
    <t>Rozsah vykurovacieho výkonu (min. – max.)</t>
  </si>
  <si>
    <t>0,76 - 3,30</t>
  </si>
  <si>
    <t>0,76 - 3,90</t>
  </si>
  <si>
    <t>0,76 - 4,50</t>
  </si>
  <si>
    <t>0,85 - 6,00</t>
  </si>
  <si>
    <t>1,10 - 6,00</t>
  </si>
  <si>
    <t>1,20 - 8,00</t>
  </si>
  <si>
    <t>0,16/0,64/</t>
  </si>
  <si>
    <t>0,18/0,84/</t>
  </si>
  <si>
    <t>0,18/1,02/</t>
  </si>
  <si>
    <t>0,25/1,45/</t>
  </si>
  <si>
    <t>0,27/1,65/</t>
  </si>
  <si>
    <t>0,27/2,10/</t>
  </si>
  <si>
    <t>Stupeň účinnosti COP</t>
  </si>
  <si>
    <t>3,27</t>
  </si>
  <si>
    <t>Stupeň účinnosti SCOP</t>
  </si>
  <si>
    <t>-10/+24</t>
  </si>
  <si>
    <t>Napájanie napätím</t>
  </si>
  <si>
    <t>220-240/1+N/</t>
  </si>
  <si>
    <t>Cena setu</t>
  </si>
  <si>
    <t>1.030,-</t>
  </si>
  <si>
    <t>1.100,-</t>
  </si>
  <si>
    <t>1.200,-</t>
  </si>
  <si>
    <t>1.560,-</t>
  </si>
  <si>
    <t>1.850,-</t>
  </si>
  <si>
    <t>2.260,-</t>
  </si>
  <si>
    <t>RAS-B07B2KVG-E</t>
  </si>
  <si>
    <t>RAS-B10B2KVG-E</t>
  </si>
  <si>
    <t>RAS-B13B2KVG-E</t>
  </si>
  <si>
    <t>RAS-B16B2KVG-E</t>
  </si>
  <si>
    <t>RAS-B18B2KVG-E</t>
  </si>
  <si>
    <t>RAS-B24B2KVG-E</t>
  </si>
  <si>
    <t>200-500</t>
  </si>
  <si>
    <t>230-620</t>
  </si>
  <si>
    <t>230-650</t>
  </si>
  <si>
    <t>330-760</t>
  </si>
  <si>
    <t>480-790</t>
  </si>
  <si>
    <t>660-1070</t>
  </si>
  <si>
    <t>Hladina akustického tlaku (low/med/high)</t>
  </si>
  <si>
    <t>19/--/40</t>
  </si>
  <si>
    <t>19/--/41</t>
  </si>
  <si>
    <t>20/--/42</t>
  </si>
  <si>
    <t>22/--/44</t>
  </si>
  <si>
    <t>26/--/47</t>
  </si>
  <si>
    <t>29/--/48</t>
  </si>
  <si>
    <t>19/--/39</t>
  </si>
  <si>
    <t>20/--/40</t>
  </si>
  <si>
    <t>23/--/43</t>
  </si>
  <si>
    <t>26/--/48</t>
  </si>
  <si>
    <t>288 x 770 x 225</t>
  </si>
  <si>
    <t>293 x 798 x 230</t>
  </si>
  <si>
    <t>320x1050x250</t>
  </si>
  <si>
    <t>Hmotnosť</t>
  </si>
  <si>
    <t>350,-</t>
  </si>
  <si>
    <t>380,-</t>
  </si>
  <si>
    <t>450,-</t>
  </si>
  <si>
    <t>560,-</t>
  </si>
  <si>
    <t>RAS-07B2AVG-E</t>
  </si>
  <si>
    <t>RAS-10B2AVG-E</t>
  </si>
  <si>
    <t>RAS-13B2AVG-E</t>
  </si>
  <si>
    <t>RAS-16B2AVG-E</t>
  </si>
  <si>
    <t>RAS-18B2AVG-E</t>
  </si>
  <si>
    <t>RAS-24B2AVG-E</t>
  </si>
  <si>
    <t>--/--/49</t>
  </si>
  <si>
    <t>--/--/50</t>
  </si>
  <si>
    <t>--/--/52</t>
  </si>
  <si>
    <t>--/--/56</t>
  </si>
  <si>
    <t>--/--/51</t>
  </si>
  <si>
    <t>--/--/53</t>
  </si>
  <si>
    <t>--/--/57</t>
  </si>
  <si>
    <t>9,5 (3/8)</t>
  </si>
  <si>
    <t>12,7 (½)</t>
  </si>
  <si>
    <t>Ø vedenia kvapaliny</t>
  </si>
  <si>
    <t>6,3 (¼)</t>
  </si>
  <si>
    <t>Dĺžka vedení (min.)</t>
  </si>
  <si>
    <t>Dĺžka vedení (max.)</t>
  </si>
  <si>
    <t>Prevýšenie (max.)</t>
  </si>
  <si>
    <t>Typ kompresora</t>
  </si>
  <si>
    <t>Rotary</t>
  </si>
  <si>
    <t>Twin-Rotary</t>
  </si>
  <si>
    <t>Predplnené množstvo chladiaceho prostriedku</t>
  </si>
  <si>
    <t>0,93</t>
  </si>
  <si>
    <t>530 x 660 x 240</t>
  </si>
  <si>
    <t>550 x 780 x 290</t>
  </si>
  <si>
    <t>29</t>
  </si>
  <si>
    <t>680,-</t>
  </si>
  <si>
    <t>750,-</t>
  </si>
  <si>
    <t>840,-</t>
  </si>
  <si>
    <t>1.180,-</t>
  </si>
  <si>
    <t>1.400,-</t>
  </si>
  <si>
    <t>1.700,-</t>
  </si>
  <si>
    <t>POPIS</t>
  </si>
  <si>
    <t>ZAHRNUTÉ</t>
  </si>
  <si>
    <t>CENA €</t>
  </si>
  <si>
    <t>Diaľkové ovládanie</t>
  </si>
  <si>
    <t>Infračervené diaľkové ovládanie je súčasťou dodávky</t>
  </si>
  <si>
    <t>RB-RXS33-E</t>
  </si>
  <si>
    <t>Infračervené diaľkové ovládanie vrátane funkcie týždenného časovača a 8 °C funkcie ochrany proti mrazu</t>
  </si>
  <si>
    <t>105,-</t>
  </si>
  <si>
    <t>RB-RXS34-E</t>
  </si>
  <si>
    <t>Dizajnové infračervené diaľkové ovládanie, čierne, s magnetickým držiakom</t>
  </si>
  <si>
    <t>120,-</t>
  </si>
  <si>
    <t>RB-N105S-G</t>
  </si>
  <si>
    <t>TOSHIBA Home AC Control – bezkáblové WiFi ovládanie / Seiya Classic, Seiya, Shorai Edge, Daiseikai 9</t>
  </si>
  <si>
    <t>115,-</t>
  </si>
  <si>
    <t>818F0036</t>
  </si>
  <si>
    <t>Filtračný pásik IAQ</t>
  </si>
  <si>
    <t>52,-</t>
  </si>
  <si>
    <t>818F0023</t>
  </si>
  <si>
    <t>Pásik s aktívnym karbón-katechínovým filtrom</t>
  </si>
  <si>
    <t>33,-</t>
  </si>
  <si>
    <t>818F0072</t>
  </si>
  <si>
    <t>Filtračné pásiky Ultra Fresh</t>
  </si>
  <si>
    <t>36,-</t>
  </si>
  <si>
    <t>TCB-IFCB5-PE</t>
  </si>
  <si>
    <t>Doska plošných spojov na externé zapnutie/vypnutie klimatizácie, okenný kontaktný modul</t>
  </si>
  <si>
    <t>75,-</t>
  </si>
  <si>
    <t>TCB-PX100-PE</t>
  </si>
  <si>
    <t>Teleso na externú montáž pre okenný kontaktný modul pre nástenné jednotky</t>
  </si>
  <si>
    <t>50,-</t>
  </si>
  <si>
    <t>Všetky možnosti ovládania nájdete na strane 33.
8 I</t>
  </si>
  <si>
    <t>SEIYA/Súprava
&gt;  Kompaktný invertor BASIC Line
&gt;  Trieda A++ v režime chladenia a vykurovania
&gt;  Prachový filter a filter Ultra Fresh
&gt;  Voliteľne WiFi modul
&gt;  Energy Monitoring: pre systémy Single-Split a Multi NEXT</t>
  </si>
  <si>
    <t>RAS-B07E2KVG-E RAS-07E2AVG-E</t>
  </si>
  <si>
    <t>RAS-B10E2KVG-E RAS-10E2AVG-E</t>
  </si>
  <si>
    <t>RAS-B13E2KVG-E RAS-13E2AVG-E</t>
  </si>
  <si>
    <t>RAS-B18E2KVG-E RAS-18E2AVG-E</t>
  </si>
  <si>
    <t>RAS-B24E2KVG-E RAS-24E2AVG-E</t>
  </si>
  <si>
    <t>0,76 - 2,60</t>
  </si>
  <si>
    <t>1,20 - 3,60</t>
  </si>
  <si>
    <t>1,45 - 5,50</t>
  </si>
  <si>
    <t>1,70 - 7,20</t>
  </si>
  <si>
    <t>0,20/0,53/</t>
  </si>
  <si>
    <t>0,20/0,70/</t>
  </si>
  <si>
    <t>0,25/1,10/</t>
  </si>
  <si>
    <t>0,34/1,50/</t>
  </si>
  <si>
    <t>0,41/2,25/</t>
  </si>
  <si>
    <t>-15/+46</t>
  </si>
  <si>
    <t>0,82 - 3,30</t>
  </si>
  <si>
    <t>0,95 - 3,90</t>
  </si>
  <si>
    <t>0,97 - 4,50</t>
  </si>
  <si>
    <t>1,35 - 6,00</t>
  </si>
  <si>
    <t>1,50 - 8,10</t>
  </si>
  <si>
    <t>0,18/0,86/</t>
  </si>
  <si>
    <t>0,18/0,92/</t>
  </si>
  <si>
    <t>0,26/1,50/</t>
  </si>
  <si>
    <t>0,29/2,10/</t>
  </si>
  <si>
    <t>A+</t>
  </si>
  <si>
    <t>-15/+24</t>
  </si>
  <si>
    <t>1.130,-</t>
  </si>
  <si>
    <t>1.220,-</t>
  </si>
  <si>
    <t>1.330,-</t>
  </si>
  <si>
    <t>2.050,-</t>
  </si>
  <si>
    <t>2.490,-</t>
  </si>
  <si>
    <t>RAS-B07E2KVG-E</t>
  </si>
  <si>
    <t>RAS-B10E2KVG-E</t>
  </si>
  <si>
    <t>RAS-B13E2KVG-E</t>
  </si>
  <si>
    <t>RAS-B18E2KVG-E</t>
  </si>
  <si>
    <t>RAS-B24E2KVG-E</t>
  </si>
  <si>
    <t>19/--/38</t>
  </si>
  <si>
    <t>20/--/41</t>
  </si>
  <si>
    <t>20/--/39</t>
  </si>
  <si>
    <t>320 x 1050 x 250</t>
  </si>
  <si>
    <t>390,-</t>
  </si>
  <si>
    <t>400,-</t>
  </si>
  <si>
    <t>500,-</t>
  </si>
  <si>
    <t>610,-</t>
  </si>
  <si>
    <t>RAS-07E2AVG-E</t>
  </si>
  <si>
    <t>RAS-10E2AVG-E</t>
  </si>
  <si>
    <t>RAS-13E2AVG-E</t>
  </si>
  <si>
    <t>RAS-18E2AVG-E</t>
  </si>
  <si>
    <t>RAS-24E2AVG-E</t>
  </si>
  <si>
    <t>--/--/47</t>
  </si>
  <si>
    <t>--/--/48</t>
  </si>
  <si>
    <t>--/--/54</t>
  </si>
  <si>
    <t>Twin Rotary</t>
  </si>
  <si>
    <t>830,-</t>
  </si>
  <si>
    <t>930,-</t>
  </si>
  <si>
    <t>1.550,-</t>
  </si>
  <si>
    <t>1.880,-</t>
  </si>
  <si>
    <t>Všetky možnosti ovládania nájdete na strane 33.
I 9</t>
  </si>
  <si>
    <t>0,89 - 2,90</t>
  </si>
  <si>
    <t>0,89 - 3,20</t>
  </si>
  <si>
    <t>1,00 - 4,10</t>
  </si>
  <si>
    <t>1,20 - 6,00</t>
  </si>
  <si>
    <t>1,39 - 6,70</t>
  </si>
  <si>
    <t>1,70 - 7,70</t>
  </si>
  <si>
    <t>0,19/0,39/
0,67</t>
  </si>
  <si>
    <t>0,19/0,54/
0,79</t>
  </si>
  <si>
    <t>0,25/0,90/
1,12</t>
  </si>
  <si>
    <t>0,35/1,42/
2,00</t>
  </si>
  <si>
    <t>0,36/1,99/
2,20</t>
  </si>
  <si>
    <t>0,38/2,25/
2,55</t>
  </si>
  <si>
    <t>3,89</t>
  </si>
  <si>
    <t>8,6</t>
  </si>
  <si>
    <t>4,2</t>
  </si>
  <si>
    <t>0,90 - 3,60</t>
  </si>
  <si>
    <t>0,90 - 4,80</t>
  </si>
  <si>
    <t>1,00 - 5,30</t>
  </si>
  <si>
    <t>1,10 - 6,50</t>
  </si>
  <si>
    <t>1,15 - 7,50</t>
  </si>
  <si>
    <t>1,70 - 8,80</t>
  </si>
  <si>
    <t>0,16/0,50/
0,80</t>
  </si>
  <si>
    <t>0,16/0,70/
1,23</t>
  </si>
  <si>
    <t>0,20/1,08/
1,55</t>
  </si>
  <si>
    <t>0,25/1,59/
1,75</t>
  </si>
  <si>
    <t>0,26/1,88/
2,10</t>
  </si>
  <si>
    <t>0,29/2,35/
2,75</t>
  </si>
  <si>
    <t>220-240/1+N/
50</t>
  </si>
  <si>
    <t>1.575,-</t>
  </si>
  <si>
    <t>1.615,-</t>
  </si>
  <si>
    <t>1.865,-</t>
  </si>
  <si>
    <t>2.565,-</t>
  </si>
  <si>
    <t>2.935,-</t>
  </si>
  <si>
    <t>3.420,-</t>
  </si>
  <si>
    <t>RAS-B07G3KVSG-E</t>
  </si>
  <si>
    <t>RAS-B10G3KVSG-E</t>
  </si>
  <si>
    <t>RAS-B13G3KVSG-E</t>
  </si>
  <si>
    <t>RAS-B18G3KVSG-E</t>
  </si>
  <si>
    <t>RAS-B22G3KVSG-E</t>
  </si>
  <si>
    <t>RAS-B24G3KVSG-E</t>
  </si>
  <si>
    <t>312-660</t>
  </si>
  <si>
    <t>342-732</t>
  </si>
  <si>
    <t>19/22/40</t>
  </si>
  <si>
    <t>19/23/43</t>
  </si>
  <si>
    <t>26/31/44</t>
  </si>
  <si>
    <t>27/34/45</t>
  </si>
  <si>
    <t>28/35/47</t>
  </si>
  <si>
    <t>19/23/40</t>
  </si>
  <si>
    <t>19/-/40</t>
  </si>
  <si>
    <t>27/34/46</t>
  </si>
  <si>
    <t>28/35/48</t>
  </si>
  <si>
    <t>293 x 800 x 226</t>
  </si>
  <si>
    <t>320 x 1053 x 245</t>
  </si>
  <si>
    <t>690,-</t>
  </si>
  <si>
    <t>695,-</t>
  </si>
  <si>
    <t>745,-</t>
  </si>
  <si>
    <t>850,-</t>
  </si>
  <si>
    <t>975,-</t>
  </si>
  <si>
    <t>1.140,-</t>
  </si>
  <si>
    <t>RAS-07J2AVSG-E1</t>
  </si>
  <si>
    <t>RAS-10J2AVSG-E1</t>
  </si>
  <si>
    <t>RAS-13J2AVSG-E1</t>
  </si>
  <si>
    <t>RAS-18J2AVSG-E1</t>
  </si>
  <si>
    <t>RAS-22J2AVSG-E1</t>
  </si>
  <si>
    <t>RAS-24J2AVSG-E1</t>
  </si>
  <si>
    <t>36/43/44</t>
  </si>
  <si>
    <t>39/45/46</t>
  </si>
  <si>
    <t>42/47/48</t>
  </si>
  <si>
    <t>43/48/49</t>
  </si>
  <si>
    <t>43/49/50</t>
  </si>
  <si>
    <t>38/44/46</t>
  </si>
  <si>
    <t>43/46/48</t>
  </si>
  <si>
    <t>44/49/50</t>
  </si>
  <si>
    <t>46/50/51</t>
  </si>
  <si>
    <t>46/52/52</t>
  </si>
  <si>
    <t>Predplnené množstvo chladiaceho
prostriedku</t>
  </si>
  <si>
    <t>885,-</t>
  </si>
  <si>
    <t>920,-</t>
  </si>
  <si>
    <t>1.120,-</t>
  </si>
  <si>
    <t>1.715,-</t>
  </si>
  <si>
    <t>1.960,-</t>
  </si>
  <si>
    <t>2.280,-</t>
  </si>
  <si>
    <t>Všetky možnosti ovládania nájdete na strane 33.</t>
  </si>
  <si>
    <t>10 I</t>
  </si>
  <si>
    <t>SHORAI Edge Black / súprava</t>
  </si>
  <si>
    <t>&gt;  Univerzálny model HIGH Line s aktualizovaným dizajnom a funkciami
&gt;  Vysoká účinnosť: Energetická trieda A+++ / čistý vzduch: Prachový filter a filter Ultra Pure
&gt;  Ovládanie prostredníctvom aplikácie: WiFi modul ako štandardná súčasť jednotiek
&gt;  Transparentná spotreba elektrickej energie: Energy Monitoring pre systémy Single-Split
a Multi NEXT</t>
  </si>
  <si>
    <t>RAS-B10G3KVSGB-E RAS-10J2AVSG-E1</t>
  </si>
  <si>
    <t>RAS-B13G3KVSGB-E RAS-13J2AVSG-E1</t>
  </si>
  <si>
    <t>RAS-B16G3KVSGB-E RAS-16J2AVSG-E1</t>
  </si>
  <si>
    <t>RAS-B18G3KVSGB-E RAS-18J2AVSG-E1</t>
  </si>
  <si>
    <t>RAS-B22G3KVSGB-E RAS-22J2AVSG-E1</t>
  </si>
  <si>
    <t>RAS-B24G3KVSGB-E RAS-24J2AVSG-E1</t>
  </si>
  <si>
    <t>1,20 - 5,30</t>
  </si>
  <si>
    <t>0,34/1,35/
1,72</t>
  </si>
  <si>
    <t>5,5</t>
  </si>
  <si>
    <t>0,24/1,52/
1,90</t>
  </si>
  <si>
    <t>3,72</t>
  </si>
  <si>
    <t>1.950,-</t>
  </si>
  <si>
    <t>2.310,-</t>
  </si>
  <si>
    <t>2.695,-</t>
  </si>
  <si>
    <t>3.080,-</t>
  </si>
  <si>
    <t>3.600,-</t>
  </si>
  <si>
    <t>RAS-B10G3KVSGB-E</t>
  </si>
  <si>
    <t>RAS-B13G3KVSGB-E</t>
  </si>
  <si>
    <t>RAS-B16G3KVSGB-E</t>
  </si>
  <si>
    <t>RAS-B18G3KVSGB-E</t>
  </si>
  <si>
    <t>RAS-B22G3KVSGB-E</t>
  </si>
  <si>
    <t>RAS-B24G3KVSGB-E</t>
  </si>
  <si>
    <t>360-768</t>
  </si>
  <si>
    <t>21/25/44</t>
  </si>
  <si>
    <t>22/26/44</t>
  </si>
  <si>
    <t>780,-</t>
  </si>
  <si>
    <t>980,-</t>
  </si>
  <si>
    <t>1.320,-</t>
  </si>
  <si>
    <t>RAS-16J2AVSG-E1</t>
  </si>
  <si>
    <t>40/47/48</t>
  </si>
  <si>
    <t>0,8</t>
  </si>
  <si>
    <t>33</t>
  </si>
  <si>
    <t>1.390,-</t>
  </si>
  <si>
    <t>I 11</t>
  </si>
  <si>
    <t>HAORI/súprava
&gt;  DESIGN Line s inovatívnym textilným krytom
&gt;  Trieda A+++ v režime chladenia a vykurovania
&gt;  Prachový filter, ozónová čistička vzduchu a filter Ultra Pure
&gt;  WiFi modul ako štandardná súčasť jednotiek
&gt;  Energy Monitoring: pre systémy Single-Split a Multi NEXT</t>
  </si>
  <si>
    <t>RAS-B10N4KVRG-E RAS-10J2AVSG-E1</t>
  </si>
  <si>
    <t>RAS-B13N4KVRG-E RAS-13J2AVSG-E1</t>
  </si>
  <si>
    <t>RAS-B16N4KVRG-E RAS-16J2AVSG-E1</t>
  </si>
  <si>
    <t>0,19/0,54/0,79</t>
  </si>
  <si>
    <t>0,25/0,80/1,12</t>
  </si>
  <si>
    <t>0,34/1,35/1,72</t>
  </si>
  <si>
    <t>4,38</t>
  </si>
  <si>
    <t>0,90 - 4,70</t>
  </si>
  <si>
    <t>1,10 - 6,30</t>
  </si>
  <si>
    <t>0,18/0,74/1,23</t>
  </si>
  <si>
    <t>0,20/1,08/1,55</t>
  </si>
  <si>
    <t>0,30/1,52/1,90</t>
  </si>
  <si>
    <t>1.800,-</t>
  </si>
  <si>
    <t>2.080,-</t>
  </si>
  <si>
    <t>2.405,-</t>
  </si>
  <si>
    <t>RAS-B10N4KVRG-E</t>
  </si>
  <si>
    <t>RAS-B13N4KVRG-E</t>
  </si>
  <si>
    <t>RAS-B16N4KVRG-E</t>
  </si>
  <si>
    <t>300-600</t>
  </si>
  <si>
    <t>320-670</t>
  </si>
  <si>
    <t>340-730</t>
  </si>
  <si>
    <t>19/-/41</t>
  </si>
  <si>
    <t>19/-/43</t>
  </si>
  <si>
    <t>21/-/45</t>
  </si>
  <si>
    <t>22/-/45</t>
  </si>
  <si>
    <t>300 x 987 x 210</t>
  </si>
  <si>
    <t>880,-</t>
  </si>
  <si>
    <t>960,-</t>
  </si>
  <si>
    <t>1.015,-</t>
  </si>
  <si>
    <t>46</t>
  </si>
  <si>
    <t>48</t>
  </si>
  <si>
    <t>RB-I4101-E</t>
  </si>
  <si>
    <t>textilný kryt Dark Gray (je súčasťou dodávky)</t>
  </si>
  <si>
    <t>RB-I4102-E</t>
  </si>
  <si>
    <t>textilný kryt Light Gray je súčasťou dodávky</t>
  </si>
  <si>
    <t>RB-I4103-E</t>
  </si>
  <si>
    <t>textilný kryt Bluish Gray</t>
  </si>
  <si>
    <t>125,-</t>
  </si>
  <si>
    <t>RB-I4104-E</t>
  </si>
  <si>
    <t>textilný kryt Gray Beige</t>
  </si>
  <si>
    <t>RB-I4105-E</t>
  </si>
  <si>
    <t>textilný kryt Dark Brown</t>
  </si>
  <si>
    <t>RB-I4106-E</t>
  </si>
  <si>
    <t>textilný kryt Emerald Blue</t>
  </si>
  <si>
    <t>818F0050</t>
  </si>
  <si>
    <t>Filtračné pásiky Ultra Pure 2.5</t>
  </si>
  <si>
    <t>12 I</t>
  </si>
  <si>
    <t>DAISEIKAI 9/súprava
&gt;  PREMIUM Line s 3D prúdením vzduchu
&gt;  Trieda A+++ v režime chladenia a vykurovania
&gt;  Prachový filter, plazmový filter s ionizátorom
&gt;  Voliteľne WiFi modul</t>
  </si>
  <si>
    <t>RAS-10PKVPG-E RAS-10PAVPG-E</t>
  </si>
  <si>
    <t>RAS-13PKVPG-E RAS-13PAVPG-E</t>
  </si>
  <si>
    <t>RAS-16PKVPG-E RAS-16PAVPG-E</t>
  </si>
  <si>
    <t>0,80 - 3,50</t>
  </si>
  <si>
    <t>0,90 - 4,10</t>
  </si>
  <si>
    <t>0,90 - 5,10</t>
  </si>
  <si>
    <t>0,15/0,45/0,82</t>
  </si>
  <si>
    <t>0,18/0,75/1,00</t>
  </si>
  <si>
    <t>0,18/1,08/1,38</t>
  </si>
  <si>
    <t>0,70 - 5,80</t>
  </si>
  <si>
    <t>0,80 - 6,30</t>
  </si>
  <si>
    <t>0,80 - 6,80</t>
  </si>
  <si>
    <t>0,15/0,60/1,55</t>
  </si>
  <si>
    <t>0,17/0,80/2,00</t>
  </si>
  <si>
    <t>0,17/1,37/2,05</t>
  </si>
  <si>
    <t>2.200,-</t>
  </si>
  <si>
    <t>2.425,-</t>
  </si>
  <si>
    <t>3.090,-</t>
  </si>
  <si>
    <t>RAS-10PKVPG-E</t>
  </si>
  <si>
    <t>RAS-13PKVPG-E</t>
  </si>
  <si>
    <t>RAS-16PKVPG-E</t>
  </si>
  <si>
    <t>20/33/44</t>
  </si>
  <si>
    <t>20/34/45</t>
  </si>
  <si>
    <t>22/35/46</t>
  </si>
  <si>
    <t>293 x 851 x 270</t>
  </si>
  <si>
    <t>820,-</t>
  </si>
  <si>
    <t>935,-</t>
  </si>
  <si>
    <t>RAS-10PAVPG-E</t>
  </si>
  <si>
    <t>RAS-13PAVPG-E</t>
  </si>
  <si>
    <t>RAS-16PAVPG-E</t>
  </si>
  <si>
    <t>1.420,-</t>
  </si>
  <si>
    <t>1.605,-</t>
  </si>
  <si>
    <t>2.155,-</t>
  </si>
  <si>
    <t>I 13</t>
  </si>
  <si>
    <t>DAISEIKAI 10 White / súprava</t>
  </si>
  <si>
    <t>&gt;  PREMIUM Line v bielom plastovom vyhotovení
&gt;  Trieda A+++ v režime chladenia a vykurovania
&gt;  Prachový filter, plazmový ionizátor a filter Ultra Pure
&gt;  WiFi modul ako štandardná súčasť jednotiek
&gt;  Energy Monitoring, HADA careflow, Smart Sensing</t>
  </si>
  <si>
    <t>RAS-B10S4KVPG-E RAS-10S4AVPG-E</t>
  </si>
  <si>
    <t>RAS-B13S4KVPG-E RAS-13S4AVPG-E</t>
  </si>
  <si>
    <t>RAS-B18S4KVPG-E RAS-18S4AVPG-E</t>
  </si>
  <si>
    <t>0,60 - 3,50</t>
  </si>
  <si>
    <t>0,90 - 4,20</t>
  </si>
  <si>
    <t>0,90 - 6,00</t>
  </si>
  <si>
    <t>0,16/0,47/0,82</t>
  </si>
  <si>
    <t>0,20/0,80/1,10</t>
  </si>
  <si>
    <t>0,20/1,40/2,20</t>
  </si>
  <si>
    <t>0,65 - 5,80</t>
  </si>
  <si>
    <t>0,70 - 6,30</t>
  </si>
  <si>
    <t>0,80 - 7,20</t>
  </si>
  <si>
    <t>0,16/0,60/1,55</t>
  </si>
  <si>
    <t>0,18/0,80/1,60</t>
  </si>
  <si>
    <t>0,19/1,45/1,90</t>
  </si>
  <si>
    <t>Prevádzkový rozsah vonkajšej teploty
(min. – max.)</t>
  </si>
  <si>
    <t>-20/+24</t>
  </si>
  <si>
    <t>2.400,-</t>
  </si>
  <si>
    <t>2.650,-</t>
  </si>
  <si>
    <t>3.400,-</t>
  </si>
  <si>
    <t>RAS-B10S4KVPG-E</t>
  </si>
  <si>
    <t>RAS-B13S4KVPG-E</t>
  </si>
  <si>
    <t>RAS-B18S4KVPG-E</t>
  </si>
  <si>
    <t>300-700</t>
  </si>
  <si>
    <t>330-750</t>
  </si>
  <si>
    <t>350-800</t>
  </si>
  <si>
    <t>24/--/40</t>
  </si>
  <si>
    <t>26/--/41</t>
  </si>
  <si>
    <t>25/--/44</t>
  </si>
  <si>
    <t>25/--/41</t>
  </si>
  <si>
    <t>24/--/42</t>
  </si>
  <si>
    <t>26/--/45</t>
  </si>
  <si>
    <t>293 x 930 x 255</t>
  </si>
  <si>
    <t>1.050,-</t>
  </si>
  <si>
    <t>1.150,-</t>
  </si>
  <si>
    <t>1.350,-</t>
  </si>
  <si>
    <t>RAS-10S4AVPG-E</t>
  </si>
  <si>
    <t>RAS-13S4AVPG-E</t>
  </si>
  <si>
    <t>RAS-18S4AVPG-E</t>
  </si>
  <si>
    <t>--/--/44</t>
  </si>
  <si>
    <t>--/--/45</t>
  </si>
  <si>
    <t>--/--/46</t>
  </si>
  <si>
    <t>1.500,-</t>
  </si>
  <si>
    <t>14 I</t>
  </si>
  <si>
    <t>DAISEIKAI 10 Wood / súprava</t>
  </si>
  <si>
    <t>&gt;  PREMIUM Line vo vyhotovení z jaseňového dreva
&gt;  Trieda A+++ v režime chladenia a vykurovania
&gt;  Prachový filter, plazmový ionizátor a filter Ultra Pure
&gt;  WiFi modul ako štandardná súčasť jednotiek
&gt;  Energy Monitoring, HADA careflow, Smart Sensing</t>
  </si>
  <si>
    <t>RAS-B10S4KVDG-E RAS-10S4AVPG-E</t>
  </si>
  <si>
    <t>RAS-B13S4KVDG-E RAS-13S4AVPG-E</t>
  </si>
  <si>
    <t>RAS-B18S4KVDG-E RAS-18S4AVPG-E</t>
  </si>
  <si>
    <t>2.600,-</t>
  </si>
  <si>
    <t>2.900,-</t>
  </si>
  <si>
    <t>3.700,-</t>
  </si>
  <si>
    <t>RAS-B10S4KVDG-E</t>
  </si>
  <si>
    <t>RAS-B13S4KVDG-E</t>
  </si>
  <si>
    <t>RAS-B18S4KVDG-E</t>
  </si>
  <si>
    <t>293 x 940 x 257</t>
  </si>
  <si>
    <t>1.250,-</t>
  </si>
  <si>
    <t>1.650,-</t>
  </si>
  <si>
    <t>I 15</t>
  </si>
  <si>
    <t>Parapetná jednotka/súprava
&gt;  Parapetná jednotka Bi-Flow s variabilným výstupom vzduchu
&gt;  Trieda A++ pre chladenie a vykurovanie – s efektom podlahového kúrenia
&gt;  Veľkoplošný prachový filter a IAQ filter
&gt;  pripravené na voliteľnú funkciu Leak Detection</t>
  </si>
  <si>
    <t>RAS-B10J2FVG-E</t>
  </si>
  <si>
    <t>RAS-B13J2FVG-E</t>
  </si>
  <si>
    <t>RAS-B18J2FVG-E</t>
  </si>
  <si>
    <t>0,95 - 3,20</t>
  </si>
  <si>
    <t>1,05 - 4,10</t>
  </si>
  <si>
    <t>1,20 - 5,60</t>
  </si>
  <si>
    <t>0,21/0,59/0,90</t>
  </si>
  <si>
    <t>0,27/0,87/1,20</t>
  </si>
  <si>
    <t>0,34/1,68/2,00</t>
  </si>
  <si>
    <t>6,8</t>
  </si>
  <si>
    <t>Prevádzkový rozsah vonkajšej teploty</t>
  </si>
  <si>
    <t>(min. – max.)</t>
  </si>
  <si>
    <t>Rozsah vykurovacieho výkonu (min. –</t>
  </si>
  <si>
    <t>0,85 - 4,40</t>
  </si>
  <si>
    <t>1,00 - 5,00</t>
  </si>
  <si>
    <t>1,30 - 6,30</t>
  </si>
  <si>
    <t>max.)</t>
  </si>
  <si>
    <t>0,18/0,82/1,25</t>
  </si>
  <si>
    <t>0,22/1,27/1,55</t>
  </si>
  <si>
    <t>0,31/2,05/2,20</t>
  </si>
  <si>
    <t>2.390,-</t>
  </si>
  <si>
    <t>3.245,-</t>
  </si>
  <si>
    <t>258-492</t>
  </si>
  <si>
    <t>288-552</t>
  </si>
  <si>
    <t>366-600</t>
  </si>
  <si>
    <t>23/-/39</t>
  </si>
  <si>
    <t>24/-/40</t>
  </si>
  <si>
    <t>31/46</t>
  </si>
  <si>
    <t>31/47</t>
  </si>
  <si>
    <t>600 x700 x 220</t>
  </si>
  <si>
    <t>600 x 700 x 220</t>
  </si>
  <si>
    <t>1.160,-</t>
  </si>
  <si>
    <t>1.270,-</t>
  </si>
  <si>
    <t>1.530,-</t>
  </si>
  <si>
    <t>-/-/44</t>
  </si>
  <si>
    <t>-/-/46</t>
  </si>
  <si>
    <t>-/-/48</t>
  </si>
  <si>
    <t>RB-N106S-G</t>
  </si>
  <si>
    <t>TOSHIBA Home AC Control – káblové WiFi ovládanie / Seiya, parapetná jednotka</t>
  </si>
  <si>
    <t>RB-I301-E</t>
  </si>
  <si>
    <t>Senzor na detekciu netesností pre modely parapetnej jednotky J2FVG-E</t>
  </si>
  <si>
    <t>255,-</t>
  </si>
  <si>
    <t>16 I</t>
  </si>
  <si>
    <t>Možné   sú   najrôznejšie   nastavenia   prúdenia vzduchu, aby sa splnili individuálne požiadavky.</t>
  </si>
  <si>
    <t>I 17</t>
  </si>
  <si>
    <t>INVERTOROVÉ SYSTÉMY MULTI: Vnútorné jednotky</t>
  </si>
  <si>
    <t>PRÍSLUŠENSTVO                            POPIS                                                                                                                                                      ZAHRNUTÉ                             CENA €</t>
  </si>
  <si>
    <t>&gt;  Kompaktný invertor BASIC Line
&gt;  Prachový filter a filter Ultra Fresh
&gt;  Voliteľne WiFi modul</t>
  </si>
  <si>
    <t>RAS-B16E2KVG-E</t>
  </si>
  <si>
    <t>21/--/43</t>
  </si>
  <si>
    <t>22/--/43</t>
  </si>
  <si>
    <t>420,-</t>
  </si>
  <si>
    <t>Príslušenstvo nájdete na strane 33.</t>
  </si>
  <si>
    <t>18 I</t>
  </si>
  <si>
    <t>SHORAI Edge White</t>
  </si>
  <si>
    <t>&gt;  Univerzálny model HIGH Line s aktualizovaným dizajnom a funkciami
&gt;  Vysoká účinnosť: Energetická trieda A+++
&gt;  Čistý vzduch: Prachový filter a filter Ultra Pure
&gt;  Ovládanie prostredníctvom aplikácie: WiFi modul ako štandardná súčasť jednotiek</t>
  </si>
  <si>
    <t>RAS-B16G3KVSG-E</t>
  </si>
  <si>
    <t>800,-</t>
  </si>
  <si>
    <t>SHORAI Edge Black</t>
  </si>
  <si>
    <t>I 19</t>
  </si>
  <si>
    <t>HAORI
&gt;  Dizajnová jednotka s inovatívnym textilným krytom
&gt;  Prachový filter, ozónová čistička vzduchu a filter Ultra Pure
&gt;  WiFi modul ako štandardná súčasť jednotiek</t>
  </si>
  <si>
    <t>300/610</t>
  </si>
  <si>
    <t>320/670</t>
  </si>
  <si>
    <t>360/730</t>
  </si>
  <si>
    <t>&gt;  Prémiový model s 3D prúdením vzduchu
&gt;  Prachový filter, plazmový filter s ionizátorom
&gt;  Možnosť integrovania WiFi modulu do vnútornej jednotky</t>
  </si>
  <si>
    <t>RAS-M10PKVPG-E</t>
  </si>
  <si>
    <t>RAS-M13PKVPG-E</t>
  </si>
  <si>
    <t>RAS-M16PKVPG-E</t>
  </si>
  <si>
    <t>20/42</t>
  </si>
  <si>
    <t>20/43</t>
  </si>
  <si>
    <t>23/44</t>
  </si>
  <si>
    <t>20/44</t>
  </si>
  <si>
    <t>23/45</t>
  </si>
  <si>
    <t>20 I</t>
  </si>
  <si>
    <t>DAISEIKAI 10 White</t>
  </si>
  <si>
    <t>&gt;  PREMIUM Line v bielom plastovom vyhotovení
&gt;  Prachový filter, filter Ultra Pure a plazmový filter s ionizátorom
&gt;  WiFi modul ako štandardná súčasť jednotiek</t>
  </si>
  <si>
    <t>DAISEIKAI 10 Wood</t>
  </si>
  <si>
    <t>&gt;  PREMIUM Line vo vyhotovení z jaseňového dreva (WOOD)
&gt;  Prachový filter, filter Ultra Pure a plazmový filter s ionizátorom
&gt;  WiFi modul ako štandardná súčasť jednotiek</t>
  </si>
  <si>
    <t>I 21</t>
  </si>
  <si>
    <t>Parapetná jednotka
&gt;  Parapetná jednotka Bi-Flow s variabilným výstupom vzduchu
&gt;  Veľkoplošný prachový filter a IAQ filter
&gt;  pripravené na voliteľnú funkciu Leak Detection</t>
  </si>
  <si>
    <t>26/32/39</t>
  </si>
  <si>
    <t>27/33/40</t>
  </si>
  <si>
    <t>34/40/46</t>
  </si>
  <si>
    <t>34/40/47</t>
  </si>
  <si>
    <t>258/492</t>
  </si>
  <si>
    <t>270/528</t>
  </si>
  <si>
    <t>366/600</t>
  </si>
  <si>
    <t>60 × 60 slim kazeta</t>
  </si>
  <si>
    <t>&gt;  Kazeta v euro mriežke s rozvádzaním vzduchu v rozsahu 360° a voliteľným senzorom prítomnosti osôb
&gt;  Dizajnový panel Slim s individuálnymi vzormi pohybu vzduchu
&gt;  Veľkoplošný prachový filter
&gt;  Vyžadované príslušenstvo: diaľkové ovládanie + panel</t>
  </si>
  <si>
    <t>RAS-M10U2MUVG-E</t>
  </si>
  <si>
    <t>RAS-M13U2MUVG-E</t>
  </si>
  <si>
    <t>RAS-M16U2MUVG-E</t>
  </si>
  <si>
    <t>30/-/37</t>
  </si>
  <si>
    <t>33/-/39</t>
  </si>
  <si>
    <t>33/-/41</t>
  </si>
  <si>
    <t>32/-/39</t>
  </si>
  <si>
    <t>32/-/41</t>
  </si>
  <si>
    <t>590/430</t>
  </si>
  <si>
    <t>620/430</t>
  </si>
  <si>
    <t>680/450</t>
  </si>
  <si>
    <t>256 x 575 x 575</t>
  </si>
  <si>
    <t>Rozmery panela (VxŠxH)</t>
  </si>
  <si>
    <t>16 x 620 x 620</t>
  </si>
  <si>
    <t>Hmotnosť panela</t>
  </si>
  <si>
    <t>1.215,-</t>
  </si>
  <si>
    <t>1.285,-</t>
  </si>
  <si>
    <t>1.325,-</t>
  </si>
  <si>
    <t>RBC-UM21PG(W)-E</t>
  </si>
  <si>
    <t>Panel pre 60x60 slim kazetu</t>
  </si>
  <si>
    <t>440,-</t>
  </si>
  <si>
    <t>RBC-AXU31UM-E</t>
  </si>
  <si>
    <t>Infračervené diaľkové ovládanie + súprava prijímača na montáž do 60x60 slim kazety (SMMSu)</t>
  </si>
  <si>
    <t>180,-</t>
  </si>
  <si>
    <t>RB-RWS21-E</t>
  </si>
  <si>
    <t>Káblové diaľkové ovládanie s týždenným časovačom</t>
  </si>
  <si>
    <t>330,-</t>
  </si>
  <si>
    <t>22 I</t>
  </si>
  <si>
    <t>Kanálová jednotka
&gt;  Najmenšia konštrukčná výška už od 210 mm
&gt;  Nastaviteľný externý statický tlak do 45 Pa
&gt;  Kondenzátové čerpadlo je súčasťou dodávky</t>
  </si>
  <si>
    <t>RAS-M10U2DVG-E</t>
  </si>
  <si>
    <t>RAS-M13U2DVG-E</t>
  </si>
  <si>
    <t>RAS-M16U2DVG-E</t>
  </si>
  <si>
    <t>RAS-M22U2DVG-E</t>
  </si>
  <si>
    <t>RAS-M24U2DVG-E</t>
  </si>
  <si>
    <t>4,5</t>
  </si>
  <si>
    <t>27/35</t>
  </si>
  <si>
    <t>27/37</t>
  </si>
  <si>
    <t>24/35</t>
  </si>
  <si>
    <t>32/38</t>
  </si>
  <si>
    <t>33/39</t>
  </si>
  <si>
    <t>25/35</t>
  </si>
  <si>
    <t>780</t>
  </si>
  <si>
    <t>Externý statický tlak</t>
  </si>
  <si>
    <t>Pa</t>
  </si>
  <si>
    <t>10/20/
35/45</t>
  </si>
  <si>
    <t>210 x 700 x 450</t>
  </si>
  <si>
    <t>210 x 900 x 450</t>
  </si>
  <si>
    <t>210 x 1100 x 450</t>
  </si>
  <si>
    <t>19</t>
  </si>
  <si>
    <t>1.360,-</t>
  </si>
  <si>
    <t>1.380,-</t>
  </si>
  <si>
    <t>1.480,-</t>
  </si>
  <si>
    <t>1.720,-</t>
  </si>
  <si>
    <t>1.740,-</t>
  </si>
  <si>
    <t>INVERTOROVÉ SYSTÉMY MULTI: Vonkajšie jednotky
Multi-Split</t>
  </si>
  <si>
    <t>&gt;  Nová generácia vonkajších jednotiek Multi
&gt;  Možnosť pripojenia až 5 vnútorných jednotiek
&gt;  Energetická účinnosť až A+++ v závislosti od použitej kombinácie
&gt;  Podporuje Energy Monitoring pre jednotky SEIYA, HAORI,
SHORAI EDGE BLACK &amp; WHITE a DAISEIKAI 10</t>
  </si>
  <si>
    <t>RAS-3M18G3AVG-E            RAS-4M27G3AVG-E*
RAS-5M34G3AVG-E*</t>
  </si>
  <si>
    <t>2-IZBOVÝ MULTISPLIT
RAS-2M14G3AVG-E      RAS-2M18G3AVG-E</t>
  </si>
  <si>
    <t>3-IZBOVÝ MULTISPLIT
RAS-3M18G3AVG-E      RAS-3M26G3AVG-E</t>
  </si>
  <si>
    <t>4-IZBOVÝ MULTISPLIT
RAS-4M27G3AVG-E</t>
  </si>
  <si>
    <t>5-IZBOVÝ MULTISPLIT
RAS-5M34G3AVG-E</t>
  </si>
  <si>
    <t>1,50 - 4,90</t>
  </si>
  <si>
    <t>1,60 - 6,50</t>
  </si>
  <si>
    <t>2,00 - 7,50</t>
  </si>
  <si>
    <t>2,00 - 9,00</t>
  </si>
  <si>
    <t>2,00 - 10,00</t>
  </si>
  <si>
    <t>2,50 - 11,50</t>
  </si>
  <si>
    <t>1,00 - 5,20</t>
  </si>
  <si>
    <t>1,30 - 8,20</t>
  </si>
  <si>
    <t>1,90 - 8,30</t>
  </si>
  <si>
    <t>2,00 - 11,50</t>
  </si>
  <si>
    <t>2,00 - 12,00</t>
  </si>
  <si>
    <t>2,20 - 14,20</t>
  </si>
  <si>
    <t>Dĺžka vedení/vnútorná jednotka (min.)</t>
  </si>
  <si>
    <t>Dĺžka vedení/vnútorná jednotka (max.)</t>
  </si>
  <si>
    <t>890 x 900 x 320</t>
  </si>
  <si>
    <t>1.780,-</t>
  </si>
  <si>
    <t>1.910,-</t>
  </si>
  <si>
    <t>3.050,-</t>
  </si>
  <si>
    <t>3.350,-</t>
  </si>
  <si>
    <t>3.850,-</t>
  </si>
  <si>
    <t>24 I</t>
  </si>
  <si>
    <t>Tabuľka kombinácií invertorových systémov Multi
Prehľad vnútorných jednotiek Multisplit</t>
  </si>
  <si>
    <t>VEĽKOSTI VNÚTORNÝCH JEDNOTIEK</t>
  </si>
  <si>
    <t>CHLADIACI VÝKON VNÚTORNÝCH JEDNOTIEK</t>
  </si>
  <si>
    <t>2,0 kW</t>
  </si>
  <si>
    <t>4,5 kW</t>
  </si>
  <si>
    <t>SEIYA CLASSIC
RAS-B**B2KVG-E</t>
  </si>
  <si>
    <t>SEIYA
RAS-B**E2KVG-E</t>
  </si>
  <si>
    <t>SHORAI Edge Black &amp; White
RAS-B**G3KVSG(B)-E</t>
  </si>
  <si>
    <t>len White</t>
  </si>
  <si>
    <t>HAORI
RAS-B**N4KVRG-E</t>
  </si>
  <si>
    <t>DAISEIKAI 9
RAS-M**PKVPG-E</t>
  </si>
  <si>
    <t>DAISEIKAI 10 White &amp; Wood
RAS-B**S4KVPG-E RAS-B**S4KVDG-E</t>
  </si>
  <si>
    <t>Parapetná jednotka
RAS-B**J2FVG-E</t>
  </si>
  <si>
    <t>60 × 60 slim kazeta
RAS-M**U2MUVG-E</t>
  </si>
  <si>
    <t>Kanálová jednotka
RAS-M**U2DVG-E</t>
  </si>
  <si>
    <t>veľkosti vnútorných jednotiek k dispozícii</t>
  </si>
  <si>
    <t>Možnosti kombinovania – Multisplit</t>
  </si>
  <si>
    <t>2 miestnosti
RAS-2M14G3AVG-E
Chladiaci výkon vonkajšej jednotky: 4,0 kW</t>
  </si>
  <si>
    <t>2 miestnosti
RAS-2M18G3AVG-E
Chladiaci výkon vonkajšej jednotky: 5,2 kW</t>
  </si>
  <si>
    <t>3 miestnosti
RAS-3M18G3AVG-E
Chladiaci výkon vonkajšej jednotky: 5,2 kW</t>
  </si>
  <si>
    <t>3 miestnosti
RAS-3M26G3AVG-E
Chladiaci výkon vonkajšej jednotky: 7,5 kW</t>
  </si>
  <si>
    <t>4 miestnosti
RAS-4M27G3AVG-E
Chladiaci výkon vonkajšej jednotky: 8,0 kW</t>
  </si>
  <si>
    <t>5 miestností
RAS-5M34G3AVG-E
Chladiaci výkon vonkajšej jednotky: 10,0 kW</t>
  </si>
  <si>
    <t>vonkajšie jednotky kompatibilné s vnútornými jednotkami</t>
  </si>
  <si>
    <t>I 25</t>
  </si>
  <si>
    <t>Tabuľka kombinácií s počtom
a veľkosťou vnútorných jednotiek</t>
  </si>
  <si>
    <t>VONKAJŠIA JED- NOTKA</t>
  </si>
  <si>
    <t>RAS-2M14G3AVG-E</t>
  </si>
  <si>
    <t>RAS-2M18G3AVG-E</t>
  </si>
  <si>
    <t>RAS-3M18G3AVG-E</t>
  </si>
  <si>
    <t>RAS-3M26G3AVG-E</t>
  </si>
  <si>
    <t>1 jednotka*</t>
  </si>
  <si>
    <t>07
10
13</t>
  </si>
  <si>
    <t>07
10
13
16</t>
  </si>
  <si>
    <t>07
10
13
16
18
22
24</t>
  </si>
  <si>
    <t>2 jednotky</t>
  </si>
  <si>
    <t>10+07
10+10
13+07
13+10
13+13</t>
  </si>
  <si>
    <t>07+07
10+07
10+10
13+07
13+10
13+13
16+07
16+10
16+13
16+16</t>
  </si>
  <si>
    <t>07+07
10+07
10+10
13+07
13+10
13+13
16+07
16+10
16+13
16+16
18+07
18+10
18+13</t>
  </si>
  <si>
    <t>18+16
18+18
22+07
22+10
22+13
22+16
22+18
24+07
24+10
24+13
24+16
24+18</t>
  </si>
  <si>
    <t>3 jednotky</t>
  </si>
  <si>
    <t>07+07+07
10+07+07
10+10+07
10+10+10
13+07+07
13+10+07
13+10+10
13+13+07
13+13+10
16+07+07
16+10+10
16+13+07</t>
  </si>
  <si>
    <t>07+07+07
10+07+07
10+10+07
10+10+10
13+07+07
13+10+07
13+10+10
13+13+07
13+13+10
13+13+13
16+07+07
16+10+07
16+10+10</t>
  </si>
  <si>
    <t>16+13+07
16+13+10
16+13+13
16+16+07
16+16+10
16+16+13
16+16+16
18+07+07
18+10+07
18+10+10
18+13+07
18+13+10
18+13+13</t>
  </si>
  <si>
    <t>18+16+07
18+16+10
18+16+13
18+16+16
22+07+07
22+10+07
22+10+10
22+13+07
22+13+10
22+13+13
22+16+07
22+16+10
22+16+13</t>
  </si>
  <si>
    <t>22+16+16
24+07+07
24+10+07
24+10+10
24+13+07
24+13+10
24+13+13
24+16+07
24+16+10
24+16+13</t>
  </si>
  <si>
    <t>4 jednotky</t>
  </si>
  <si>
    <t>5 jednotiek</t>
  </si>
  <si>
    <t>* 1 jednotka len pri chladiacej prevádzke</t>
  </si>
  <si>
    <t>26 I</t>
  </si>
  <si>
    <t>RAS-4M27G3AVG-E</t>
  </si>
  <si>
    <t>RAS-5M34G3AVG-E</t>
  </si>
  <si>
    <t>07+07                                                                      18+16
10+07                                                                      18+18
10+10                                                                      22+07
13+07                                                                      22+10
13+10                                                                      22+13
13+13                                                                      22+16
16+07                                                                      22+18
16+10                                                                      24+07
16+13                                                                      24+10
16+16                                                                      24+13
18+07                                                                      24+16
18+10                                                                      24+18
18+13</t>
  </si>
  <si>
    <t>07+07                                                                      18+18
10+07                                                                      22+07
10+10                                                                      22+10
13+07                                                                      22+13
13+10                                                                      22+16
13+13                                                                      22+18
16+07                                                                      22+22
16+10                                                                      24+07
16+13                                                                      24+10
16+16                                                                      24+13
18+07                                                                      24+16
18+10                                                                      24+18
18+13                                                                      24+22
18+16                                                                      24+24</t>
  </si>
  <si>
    <t>07+07+07                        16+13+10                        18+16+13                        22+18+07
10+07+07                        16+13+13                        18+18+07                        22+18+10
10+10+07                        16+16+07                        18+18+10                        22+18+13
10+10+10                        16+16+10                        18+18+13                        24+07+07
13+07+07                        16+16+13                        22+07+07                        24+10+07
13+10+07                        16+16+16                        22+10+07                        24+10+10
13+10+10                        18+07+07                        22+10+10                        24+13+07
13+13+07                        18+10+07                        22+13+07                        24+13+10
13+13+10                        18+10+10                        22+13+10                        24+13+13
13+13+13                        18+13+07                        22+13+13                        24+16+07
16+07+07                        18+13+10                        22+16+07                        24+16+10
16+10+07                        18+13+13                        22+16+10                        24+16+13
16+10+10                        18+16+07                        22+16+13                        24+18+07
16+13+07                        18+16+10                        22+16+16                        24+18+10</t>
  </si>
  <si>
    <t>07+07+07                        16+16+07                        22+07+07
10+07+07                        16+16+10                        22+10+07                        24+10+10
10+10+07                        16+16+13                        22+10+10                        24+13+07
10+10+10                        16+16+16                        22+13+07                        24+13+10
13+07+07                        18+07+07                        22+13+10                        24+13+13
13+10+07                        18+10+07                        22+13+13                        24+16+07
13+10+10                        18+10+10                        22+16+07                        24+16+10
13+13+07                        18+13+07                        22+16+10                        24+16+13
13+13+10                        18+13+10                        22+16+13                        24+18+07
13+13+13                        18+13+13                        22+18+07                        24+18+10
16+07+07                        18+16+07                        22+18+10                        24+18+13
16+10+07                        18+16+10                        22+18+13                        24+22+07
16+10+10                        18+16+13                        22+22+07                        24+22+10
16+13+07                        18+18+07                        22+22+10                        24+24+07
16+13+10                        18+18+10                        24+07+07                        24+24+10
16+13+13                        18+18+13                        24+10+07</t>
  </si>
  <si>
    <t>07+07+07+07                                                         16+13+13+07
10+07+07+07                                                         16+13+13+10
10+10+07+07                                                         16+16+07+07
10+10+10+07                                                         16+16+10+07
10+10+10+10                                                         16+16+10+10
13+07+07+07                                                         16+16+13+07
13+10+07+07                                                         18+07+07+07
13+10+10+07                                                         18+10+07+07
13+10+10+10                                                         18+10+10+07
13+13+07+07                                                         18+10+10+10
13+13+10+07                                                         18+13+07+07
13+13+10+10                                                         18+13+10+07
13+13+13+07                                                         18+13+10+10
13+13+13+10                                                         18+13+13+07
13+13+13+13                                                         18+13+13+10
16+07+07+07                                                         18+16+07+07
16+10+07+07                                                         18+16+10+07
16+10+10+07                                                         18+16+10+10
16+10+10+10                                                         18+16+13+07
16+13+07+07                                                         18+18+07+07
16+13+10+07                                                         18+18+10+07
16+13+10+10</t>
  </si>
  <si>
    <t>07+07+07+07                 16+13+13+13                 18+18+13+07
10+07+07+07                 16+16+07+07                 18+18+13+10                 24+07+07+07
10+10+07+07                 16+16+10+07                 18+18+13+13                 24+10+07+07
10+10+10+07                 16+16+10+10                 22+07+07+07                 24+10+10+07
10+10+10+10                 16+16+13+07                 22+10+07+07                 24+10+10+10
13+07+07+07                 16+16+13+10                 22+10+10+07                 24+13+07+07
13+10+07+07                 18+07+07+07                 22+10+10+10                 24+13+10+07
13+10+10+07                 18+10+07+07                 22+13+07+07                 24+13+10+10
13+10+10+10                 18+10+10+07                 22+13+10+07                 24+13+13+07
13+13+07+07                 18+10+10+10                 22+13+10+10                 24+13+13+10
13+13+10+07                 18+13+07+07                 22+13+13+07                 24+13+13+13
13+13+10+10                 18+13+10+07                 22+13+13+10                 24+16+07+07
13+13+13+07                 18+13+10+10                 22+13+13+13                 24+16+10+07
13+13+13+10                 18+13+13+07                 22+16+07+07                 24+16+10+10
13+13+13+13                 18+13+13+10                 22+16+10+07                 24+16+13+07
13+16+13+13                 18+13+13+13                 22+16+10+10                 24+16+13+10
16+07+07+07                 18+16+07+07                 22+16+13+07                 24+16+13+13
16+10+07+07                 18+16+10+07                 22+16+13+10                 24+18+07+07
16+10+10+07                 18+16+10+10                 22+16+13+13                 24+18+10+07
16+10+10+10                 18+16+13+07                 22+18+07+07                 24+18+10+10
16+13+07+07                 18+16+13+10                 22+18+10+07                 24+18+13+07
16+13+10+07                 18+16+13+13                 22+18+10+10                 24+18+13+10
16+13+10+10                 18+18+07+07                 22+18+13+07                 24+18+13+13
16+13+13+07                 18+18+10+07                 22+18+13+10
16+13+13+10                 18+18+10+10                 22+18+13+13</t>
  </si>
  <si>
    <t>10+07+07+07+07           16+10+07+07+07           16+16+13+13+07           22+10+10+07+07
10+10+07+07+07           16+10+10+07+07           16+16+13+13+10           22+10+10+10+07
10+10+10+07+07           16+10+10+10+07           18+07+07+07+07           22+10+10+10+10
10+10+10+10+07           16+10+10+10+10           18+10+07+07+07           22+13+07+07+07
10+10+10+10+10           16+13+07+07+07           18+10+10+07+07           22+13+10+10+07
13+07+07+07+07           16+13+10+07+07           18+10+10+10+07           22+13+10+10+10
13+10+07+07+07           16+13+10+10+07           18+10+10+10+10           22+13+13+07+07
13+10+10+07+07           16+13+10+10+10           18+13+07+07+07           22+13+13+10+07
13+10+10+10+07           16+13+13+07+07           18+13+10+07+07           22+13+13+10+10
13+10+10+10+10           16+13+13+10+07           18+13+10+10+07           22+13+13+13+07
13+13+07+07+07           16+13+13+10+10           18+13+10+10+10           24+07+07+07+07
13+13+10+07+07           16+13+13+13+07           18+13+13+07+07           24+10+07+07+07
13+13+10+10+07           16+13+13+13+10           18+13+13+10+07           24+10+10+07+07
13+13+10+10+10           16+13+13+13+13           18+13+13+10+10           24+10+10+10+07
13+13+13+07+07           16+16+07+07+07           18+13+13+13+07           24+10+10+10+10
13+13+13+10+07           16+16+10+07+07           18+13+13+13+10           24+13+07+07+07
13+13+13+10+10           16+16+10+10+07           18+16+07+07+07           24+13+10+07+07
13+13+13+13+07           16+16+10+10+10           18+16+10+07+07           24+13+10+10+07
13+13+13+13+10           16+16+13+07+07           18+16+10+10+07           24+13+10+10+10
13+13+13+13+13           16+16+13+10+07           22+07+07+07+07           24+13+13+07+07
16+07+07+07+07           16+16+13+10+10           22+10+07+07+07           24+13+13+10+07</t>
  </si>
  <si>
    <t>I 27</t>
  </si>
  <si>
    <t>Stručný prehľad vonkajších jednotiek</t>
  </si>
  <si>
    <t>TYP                                Dĺžka vedení
(min.)</t>
  </si>
  <si>
    <t>Dĺžka vedení
(max.)</t>
  </si>
  <si>
    <t>Vopred naplnený
do</t>
  </si>
  <si>
    <t>Dĺžka vedení/vnútorná
jednotka (max.)</t>
  </si>
  <si>
    <t>Ø vedenia
nasávaného plynu</t>
  </si>
  <si>
    <t>Ø vedenia
kvapaliny</t>
  </si>
  <si>
    <t>množstvo                 Dopĺňanie
chladiaceho
prostriedku</t>
  </si>
  <si>
    <t>kg                       g/m</t>
  </si>
  <si>
    <t>RAS-16E2AVG-E</t>
  </si>
  <si>
    <t>HAORI + SHORAI EDGE + CONSOLE</t>
  </si>
  <si>
    <t>DAISEIKAI 10</t>
  </si>
  <si>
    <t>MULTI-SPLIT</t>
  </si>
  <si>
    <t>2x 9,5 (3/8)</t>
  </si>
  <si>
    <t>2x 6,3 (¼)</t>
  </si>
  <si>
    <t>2x 9,5 (3/8),
1x 12,7 (½)</t>
  </si>
  <si>
    <t>3x 6,3 (¼)</t>
  </si>
  <si>
    <t>1x 9,5 (3/8),
2x 12,7 (½)</t>
  </si>
  <si>
    <t>2x 9,5 (3/8),
2x 12,7 (½)</t>
  </si>
  <si>
    <t>4x 6,3 (¼)</t>
  </si>
  <si>
    <t>3x 9,5 (3/8),
2x 12,7 (½)</t>
  </si>
  <si>
    <t>5x 6,3 (¼)</t>
  </si>
  <si>
    <t>28 I</t>
  </si>
  <si>
    <t>Spotreba elektrickej energie + zabezpečenie (poistky)</t>
  </si>
  <si>
    <t>Spotreba                Spotreba               Elektrický príkon              Elektrický príkon             Odporúčané                                              Odporúčaný typ
TYP                                    elektrickej             elektrickej              (min./nom./max.)             (min./nom./max.)                 poistky            Napájanie napätím               prívodu               Komunikačné vedenie
energie (max.)       energie (nom.)</t>
  </si>
  <si>
    <t>A                       A                        kW                              kW                             A                    V/f + N/Hz
SEIYA CLASSIC</t>
  </si>
  <si>
    <t>0,20/0,60/0,74</t>
  </si>
  <si>
    <t>0,16/0,64/0,94</t>
  </si>
  <si>
    <t>0,21/0,72/1,00</t>
  </si>
  <si>
    <t>0,18/0,84/1,11</t>
  </si>
  <si>
    <t>0,25/1,17/1,35</t>
  </si>
  <si>
    <t>0,18/1,02/1,25</t>
  </si>
  <si>
    <t>0,35/1,37/1,70</t>
  </si>
  <si>
    <t>0,25/1,45/1,90</t>
  </si>
  <si>
    <t>0,35/1,73/1,90</t>
  </si>
  <si>
    <t>0,27/1,65/1,88</t>
  </si>
  <si>
    <t>0,25/2,30/2,40</t>
  </si>
  <si>
    <t>0,27/2,10/2,50</t>
  </si>
  <si>
    <t>H07RN-F 3G2,5</t>
  </si>
  <si>
    <t>0,20/0,53/0,83</t>
  </si>
  <si>
    <t>0,20/0,70/1,00</t>
  </si>
  <si>
    <t>0,18/0,86/1,11</t>
  </si>
  <si>
    <t>7,4</t>
  </si>
  <si>
    <t>0,25/1,10/1,25</t>
  </si>
  <si>
    <t>0,18/0,92/1,25</t>
  </si>
  <si>
    <t>0,34/1,27/1,60</t>
  </si>
  <si>
    <t>0,24/1,34/1,70</t>
  </si>
  <si>
    <t>0,34/1,50/1,80</t>
  </si>
  <si>
    <t>0,26/1,50/1,80</t>
  </si>
  <si>
    <t>0,41/2,25/2,60</t>
  </si>
  <si>
    <t>0,29/2,10/2,55</t>
  </si>
  <si>
    <t>0,19/0,39/0,67</t>
  </si>
  <si>
    <t>0,16/0,50/0,80</t>
  </si>
  <si>
    <t>6,75</t>
  </si>
  <si>
    <t>0,16/0,70/1,23</t>
  </si>
  <si>
    <t>7,5</t>
  </si>
  <si>
    <t>0,25/0,90/1,12</t>
  </si>
  <si>
    <t>9,5</t>
  </si>
  <si>
    <t>0,24/1,52/1,90</t>
  </si>
  <si>
    <t>0,35/1,42/2,00</t>
  </si>
  <si>
    <t>0,25/1,59/1,75</t>
  </si>
  <si>
    <t>0,36/1,99/2,20</t>
  </si>
  <si>
    <t>0,26/1,88/2,10</t>
  </si>
  <si>
    <t>12,5</t>
  </si>
  <si>
    <t>0,38/2,25/2,55</t>
  </si>
  <si>
    <t>0,29/2,35/2,75</t>
  </si>
  <si>
    <t>8,5</t>
  </si>
  <si>
    <t>9,95</t>
  </si>
  <si>
    <t>10,45</t>
  </si>
  <si>
    <t>0,85</t>
  </si>
  <si>
    <t>11,5</t>
  </si>
  <si>
    <t>1,2</t>
  </si>
  <si>
    <t>11,9</t>
  </si>
  <si>
    <t>16,1</t>
  </si>
  <si>
    <t>1,75</t>
  </si>
  <si>
    <t>17,5</t>
  </si>
  <si>
    <t>I 29</t>
  </si>
  <si>
    <t>Akustický výkon/akustický tlak</t>
  </si>
  <si>
    <t>TYP</t>
  </si>
  <si>
    <t>37/43/44</t>
  </si>
  <si>
    <t>30 I</t>
  </si>
  <si>
    <t>Príslušenstvo RAS</t>
  </si>
  <si>
    <t>Kompatibilné s LOXONE, alternatíva k TOSHIBA
Home AC Control                              www.loxone.com</t>
  </si>
  <si>
    <t>Nástenná jednotka</t>
  </si>
  <si>
    <t>Parapetná jednotka</t>
  </si>
  <si>
    <t>60×60 slim kazeta</t>
  </si>
  <si>
    <t>TCB-SIR41UM-E</t>
  </si>
  <si>
    <t>Súprava snímača pohybu na montáž do 60 x 60 slim kazety</t>
  </si>
  <si>
    <t>130,-</t>
  </si>
  <si>
    <t>AP-IR-WIFI-5</t>
  </si>
  <si>
    <t>WiFi modul na ovládanie všetkých funkcií vnútornej jednotky prostredníctvom mobilného telefónu cez SMS alebo aplikáciu</t>
  </si>
  <si>
    <t>TCB-FF101URE2</t>
  </si>
  <si>
    <t>Príruba s hrdlom na prípojku čerstvého vzduchu Ø 100 mm</t>
  </si>
  <si>
    <t>80,-</t>
  </si>
  <si>
    <t>Kanálová jednotka</t>
  </si>
  <si>
    <t>TCB-DUCEX10M</t>
  </si>
  <si>
    <t>Predlžovací kábel pre infračervenú súpravu prijímača 10 m</t>
  </si>
  <si>
    <t>TCB-DUC-AF1</t>
  </si>
  <si>
    <t>Vzduchový filter pre veľkosti modelov 10 a 13</t>
  </si>
  <si>
    <t>260,-</t>
  </si>
  <si>
    <t>TCB-DUC-AF2</t>
  </si>
  <si>
    <t>Vzduchový filter pre veľkosť modelu 16</t>
  </si>
  <si>
    <t>295,-</t>
  </si>
  <si>
    <t>TCB-DUC-AF3</t>
  </si>
  <si>
    <t>Vzduchový filter pre veľkosti modelov 22 a 24</t>
  </si>
  <si>
    <t>315,-</t>
  </si>
  <si>
    <t>43H80030</t>
  </si>
  <si>
    <t>Vzduchový filter pre veľkosti modelov 10 + 13 (pre servisnú výmenu)</t>
  </si>
  <si>
    <t>43H80038</t>
  </si>
  <si>
    <t>Lišta pre veľkosti modelov 10 + 13 (pre prvotnú montáž)</t>
  </si>
  <si>
    <t>85,-</t>
  </si>
  <si>
    <t>43H80036</t>
  </si>
  <si>
    <t>Vzduchový filter pre model veľkosti 16 (pre servisnú výmenu)</t>
  </si>
  <si>
    <t>43H80039</t>
  </si>
  <si>
    <t>Lišta pre model veľkosti 16 (pre prvú montáž)</t>
  </si>
  <si>
    <t>43H80037</t>
  </si>
  <si>
    <t>Vzduchový filter pre veľkosti modelov 22 + 24 (pre servisnú výmenu)</t>
  </si>
  <si>
    <t>160,-</t>
  </si>
  <si>
    <t>43H80040</t>
  </si>
  <si>
    <t>Lišta pro veľkosti modelov 22 + 24 (pro první montáž)</t>
  </si>
  <si>
    <t>100,-</t>
  </si>
  <si>
    <t>32 I</t>
  </si>
  <si>
    <t>Možnosti ovládania RAS</t>
  </si>
  <si>
    <t>TYP/POPIS                                                                                                                                                                              CENA €</t>
  </si>
  <si>
    <t>RB-RXS33-E
Infračervené diaľkové ovládanie vrátane funkcie týždenného časovača a 8 °C funkcie ochrany proti mrazu
pre typ Single + Multi: SEIYA
Komfortné funkcie: týždenný časovač, One Touch, Eco Mode, Comfort Sleep, Hi Power, Power Select, 8 °C funkcia ochrany proti mrazu</t>
  </si>
  <si>
    <t>RB-RXS34-E
Dizajnové infračervené diaľkové ovládanie, čierne, s magnetickým držiakom</t>
  </si>
  <si>
    <t>RB-RWS21-E
Káblové diaľkové ovládanie s týždenným časovačom
s veľkým podsvieteným displejom
pre kazetové a kanálové jednotky RAS
Komfortné funkcie: týždenný časovač, Quiet Mode, Eco Mode, HI POWER</t>
  </si>
  <si>
    <t>TCB-IFCB5-PE
Doska plošných spojov na externé zapnutie/vypnutie klimatizácie, okenný kontaktný modul
Bezpotenciálový kontakt pre zapnutie/vypnutie a vstup okenného kontaktu Funkcia vzdialeného ON/OFF</t>
  </si>
  <si>
    <t>TCB-PX100-PE
Teleso na externú montáž pre okenný kontaktný modul pre nástenné jednotky</t>
  </si>
  <si>
    <t>AP-IR-WIFI-5
WiFi modul na ovládanie všetkých funkcií vnútornej jednotky prostredníctvom mobilného telefónu cez SMS alebo aplikáciu
Konfigurovateľný alarm teploty a vlhkosti
Kompatibilné so všetkými vnútornými jednotkami, ktoré disponujú štandardným infračerveným diaľkovým ovládaním Potrebné WLAN a internetové pripojenie
Bezplatná aplikácia pre iOS a Android
nejde o skladový tovar – dodacia lehota na zákazku len pre kazetovú a kanálovú jednotku
RB-N105S-G
TOSHIBA Home AC Control – bezkáblové WiFi ovládanie / Seiya Classic, Seiya, Shorai Edge, Daiseikai 9
Potrebné WLAN a internetové pripojenie
Cloud TOSHIBA, bezplatná aplikácia pre iOS alebo Android Ovládanie hlasom cez Google Assistant/Amazon Alexa
RB-N106S-G
TOSHIBA Home AC Control – káblové WiFi ovládanie / Seiya, parapetná jednotka
Potrebné WLAN a internetové pripojenie
Cloud TOSHIBA; bezplatná aplikácia pre iOS alebo Android Ovládanie hlasom cez Google Assistant/Amazon Alexa
TCB-SSRL011UUP-E
Rozhranie na začlenenie vnútorných jednotiek RAS do centrálneho riadenia a systémov BMS.
Pre integráciu vnútorných jednotiek RAS do systému centrálneho riadenia VRF
Správa všetkých funkcií vnútornej jednotky pomocou aktuálnych centrálnych ovládačov alebo CNS Kompatibilný s protokolmi TCC-link a TU2C-link (Uh alebo U3/U4)
Kompatibilný s aktuálnymi vnútornými jednotkami SEIYA, HAORI, SHORAI, DAISEIKAI, CONSOLE (UART)</t>
  </si>
  <si>
    <t xml:space="preserve">350,-
115,-
120,-
230,-
</t>
  </si>
  <si>
    <t>I 33</t>
  </si>
  <si>
    <t>STREDNÝ TYP POUŽITIA, VEĽKÝ KOMFORT</t>
  </si>
  <si>
    <t>VONKAJŠIE JEDNOTKY RAV: PREHĽAD</t>
  </si>
  <si>
    <t>&gt;   Spoľahlivý partner s dlhou životnosťou pre všetky komerčné priestory
&gt;   Trieda účinnosti až A+++ v nepretržitej prevádzke
&gt;   Ovládanie miestne, centrálne alebo cez systém BMS</t>
  </si>
  <si>
    <t>I 71</t>
  </si>
  <si>
    <t>VNÚTORNÉ JEDNOTKY RAV: PREHĽAD</t>
  </si>
  <si>
    <t>NÁSTENNÉ JED
PODSTROP JEDNOTK</t>
  </si>
  <si>
    <t>NOTKY
NÁSTENNÁ JEDNOTKA
Chladiaci výkon (kW): 2,5 | 3,6 | 5,0 | 6,7 | 8,0 | 9,5 |                  Strana 74
10,0
DI-C, DI NEXT, SDI, DI BIG
NÉ Y
PODSTROPNÁ JEDNOTKA
Chladiaci výkon (kW): 3,6 | 5,0 | 6,9 | 8,0 | 9,5 | 12,1 |                 Strana 77
14,0
DI NEXT, SDI, DI BIG
DNOTKY
60 x 60 SLIM KAZETA
Chladiaci výkon (kW): 2,5 | 3,6 | 5,0                               Strana 81 DI NEXT, SDI, DI BIG
SMART KAZETA
Chladiaci výkon (kW): 5,0 | 7,1 | 10,0 | 12,5                         Strana 83 SDI</t>
  </si>
  <si>
    <t>LIGHT BUSINESS/RAV</t>
  </si>
  <si>
    <t>KAZETOVÉ JE</t>
  </si>
  <si>
    <t>4-CESTNÁ ŠTANDARDNÁ KAZETOVÁ JEDNOTKA
Chladiaci výkon (kW): 5,0 | 6,7 | 8,0 | 9,5 | 12,0 | 14,0                 Strana 84 DI-C, DI NEXT, SDI, DI BIG
1-CESTNÁ KAZETOVÁ JEDNOTKA FLAT
Chladiaci výkon (kW): 2,5 | 3,6                                   Strana 90 DI NEXT</t>
  </si>
  <si>
    <t>72 I</t>
  </si>
  <si>
    <t>KANÁLOVÉ JEDNOT</t>
  </si>
  <si>
    <t>KY
PLOCHÁ KANÁLOVÁ JEDNOTKA
Chladiaci výkon (kW): 2,5 | 3,6 | 5,0                               Strana 91 DI NEXT, SDI, DI BIG
ŠTANDARDNÁ KANÁLOVÁ JEDNOTKA</t>
  </si>
  <si>
    <t>Chladiaci výkon (kW): 5,0 | 6,7 | 8,0 | 9,5 | 12,1 | 14,0                 Strana 92</t>
  </si>
  <si>
    <t>STOJANOVÉ JEDNOT</t>
  </si>
  <si>
    <t>DI-C, DI NEXT, SDI, DI BIG</t>
  </si>
  <si>
    <t>VYSOKOTLAKOVÁ KANÁLOVÁ JEDNOTKA
Chladiaci výkon (kW): 19,0 | 22,5                                 Strana 98 DI BIG
KY</t>
  </si>
  <si>
    <t>STOJANOVÁ JEDNOTKA
Chladiaci výkon (kW): 5,0 | 6,7 | 9,5 | 12,1 | 14,0                     Strana 99 DI NEXT, SDI</t>
  </si>
  <si>
    <t>ŠPECIÁLN</t>
  </si>
  <si>
    <t>E RI</t>
  </si>
  <si>
    <t>EŠEN</t>
  </si>
  <si>
    <t>IA
VETRACIA SADA PRE JEDNOTKY
Chladiaci výkon (kW): 2,5 – 23,0                                Strana 102 SDI, DI BIG</t>
  </si>
  <si>
    <t>Chladiaci výkon (kW): 3,0 – 27,0                                Strana 104</t>
  </si>
  <si>
    <t>VZDUCHOVÉ CLONY
Strana 107
na objednávku</t>
  </si>
  <si>
    <t>VETRACIA SADA PRE JEDNOTKY NEXT</t>
  </si>
  <si>
    <t>DI, DI NEXT, SDI, DI BIG</t>
  </si>
  <si>
    <t>I 73</t>
  </si>
  <si>
    <t>&gt;       Kombinácia s vonkajšou jednotkou DI CLASSIC
&gt;       Kompaktný univerzálny model pre všetky oblasti použitia
&gt;       Trieda účinnosti až A++, COP až 4,00
&gt;       5-stupňový ventilátor s nízkou hlučnosťou
&gt;       Špeciálne funkcie pre miestnosti so servermi: funkcia zálohovania/ striedania, riadenie voľného chladenia
Digitálny invertor CLASSIC – nástenná jednotka</t>
  </si>
  <si>
    <t>RAV-HM561KRTP-E RAV-GV561ATP-E</t>
  </si>
  <si>
    <t>1-fázové
RAV-HM801KRTP-E RAV-GV801ATP-E</t>
  </si>
  <si>
    <t>RAV-HM1101KRTP-E RAV-GV1101ATP-E</t>
  </si>
  <si>
    <t>3-fázové
RAV-HM1101KRTP-E RAV-GV1101AT8P-E</t>
  </si>
  <si>
    <t>1,50 - 5,60</t>
  </si>
  <si>
    <t>1,50 - 8,00</t>
  </si>
  <si>
    <t>3,00 - 10,60</t>
  </si>
  <si>
    <t>3,00 - 11,20</t>
  </si>
  <si>
    <t>- /1,45/ -</t>
  </si>
  <si>
    <t>- /2,20/ -</t>
  </si>
  <si>
    <t>- /3,80/ -</t>
  </si>
  <si>
    <t>- /3,40/ -</t>
  </si>
  <si>
    <t>-15 / +46</t>
  </si>
  <si>
    <t>1,50 - 6,30</t>
  </si>
  <si>
    <t>1,50 - 9,00</t>
  </si>
  <si>
    <t>3,00 - 13,00</t>
  </si>
  <si>
    <t>- /1,50/ -</t>
  </si>
  <si>
    <t>- /3,30/ -</t>
  </si>
  <si>
    <t>- /3,20/ -</t>
  </si>
  <si>
    <t>-15 / +15</t>
  </si>
  <si>
    <t>2.520,-</t>
  </si>
  <si>
    <t>3.200,-</t>
  </si>
  <si>
    <t>3.560,-</t>
  </si>
  <si>
    <t>RAV-HM561KRTP-E</t>
  </si>
  <si>
    <t>RAV-HM801KRTP-E</t>
  </si>
  <si>
    <t>RAV-HM1101KRTP-E</t>
  </si>
  <si>
    <t>680/ - /960</t>
  </si>
  <si>
    <t>680/910/1040</t>
  </si>
  <si>
    <t>1180/ - /1610</t>
  </si>
  <si>
    <t>35/39/42</t>
  </si>
  <si>
    <t>35/41/45</t>
  </si>
  <si>
    <t>41/45/49</t>
  </si>
  <si>
    <t>350 x 1200 x 280</t>
  </si>
  <si>
    <t>348 x 1200 x 280</t>
  </si>
  <si>
    <t>700,-</t>
  </si>
  <si>
    <t>720,-</t>
  </si>
  <si>
    <t>900,-</t>
  </si>
  <si>
    <t>RAV-GV561ATP-E</t>
  </si>
  <si>
    <t>RAV-GV801ATP-E</t>
  </si>
  <si>
    <t>RAV-GV1101ATP-E</t>
  </si>
  <si>
    <t>RAV-GV1101AT8P-E</t>
  </si>
  <si>
    <t>15,9 (¾)</t>
  </si>
  <si>
    <t>6,4 (¼)</t>
  </si>
  <si>
    <t>710 x 900 x 320</t>
  </si>
  <si>
    <t>2.300,-</t>
  </si>
  <si>
    <t>2.660,-</t>
  </si>
  <si>
    <t>RBC-AMSU52-E</t>
  </si>
  <si>
    <t>Komfortné káblové diaľkové ovládanie PLUS</t>
  </si>
  <si>
    <t>205,-</t>
  </si>
  <si>
    <t>Všetky možnosti ovládania nájdete na strane 116.</t>
  </si>
  <si>
    <t>74 I</t>
  </si>
  <si>
    <t>&gt;  Kombinácia s vonkajšou jednotkou DI NEXT
&gt;  Kompaktný univerzálny model pre všetky oblasti použitia
&gt;  Trieda účinnosti až A++, COP až 4,00
&gt;  5-stupňový ventilátor s nízkou hlučnosťou
&gt;  Špeciálne funkcie pre miestnosti so servermi: funkcia zálohovania/striedania, riadenie voľného chladenia
Digitálny invertor NEXT – nástenná jednotka</t>
  </si>
  <si>
    <t>RAV-HM301KRTP-E RAV-GM302ATP-E</t>
  </si>
  <si>
    <t>RAV-HM401KRTP-E RAV-GM402ATP-E</t>
  </si>
  <si>
    <t>1-fázové
RAV-HM561KRTP-E          RAV-HM801KRTP-E RAV-GM562ATP-E           RAV-GM802ATW-E</t>
  </si>
  <si>
    <t>RAV-HM901KRTP-E RAV-GM902ATW-E</t>
  </si>
  <si>
    <t>RAV-HM1101KRTP-E RAV-GM1102ATW-E</t>
  </si>
  <si>
    <t>3-fázové
RAV-HM1101KRTP-E RAV-GM1102AT8W-E</t>
  </si>
  <si>
    <t>0,90 - 3,00</t>
  </si>
  <si>
    <t>0,90 - 4,00</t>
  </si>
  <si>
    <t>1,90 - 8,00</t>
  </si>
  <si>
    <t>1,90 - 8,80</t>
  </si>
  <si>
    <t>0,17/0,61/</t>
  </si>
  <si>
    <t>0,18/1,13/</t>
  </si>
  <si>
    <t>0,30/1,66/</t>
  </si>
  <si>
    <t>0,31/2,06/</t>
  </si>
  <si>
    <t>0,31/2,67/</t>
  </si>
  <si>
    <t>0,63/2,96/</t>
  </si>
  <si>
    <t>0,67/2,95/</t>
  </si>
  <si>
    <t>0,80 - 4,50</t>
  </si>
  <si>
    <t>0,80 - 5,00</t>
  </si>
  <si>
    <t>1,60 - 9,00</t>
  </si>
  <si>
    <t>1,60 - 9,90</t>
  </si>
  <si>
    <t>0,17/0,85/</t>
  </si>
  <si>
    <t>0,14/1,12/</t>
  </si>
  <si>
    <t>0,30/1,55/</t>
  </si>
  <si>
    <t>0,38/2,30/</t>
  </si>
  <si>
    <t>0,38/2,61/</t>
  </si>
  <si>
    <t>0,73/3,44/</t>
  </si>
  <si>
    <t>0,77/3,38/</t>
  </si>
  <si>
    <t>380-415/3+N/</t>
  </si>
  <si>
    <t>1.870,-</t>
  </si>
  <si>
    <t>2.190,-</t>
  </si>
  <si>
    <t>2.550,-</t>
  </si>
  <si>
    <t>3.170,-</t>
  </si>
  <si>
    <t>3.480,-</t>
  </si>
  <si>
    <t>4.200,-</t>
  </si>
  <si>
    <t>4.680,-</t>
  </si>
  <si>
    <t>RAV-HM301KRTP-E</t>
  </si>
  <si>
    <t>RAV-HM401KRTP-E</t>
  </si>
  <si>
    <t>RAV-HM901KRTP-E</t>
  </si>
  <si>
    <t>450/540/</t>
  </si>
  <si>
    <t>450/580/</t>
  </si>
  <si>
    <t>680/ - /</t>
  </si>
  <si>
    <t>680/910/</t>
  </si>
  <si>
    <t>1180/ - /</t>
  </si>
  <si>
    <t>29/34/40</t>
  </si>
  <si>
    <t>30/36/41</t>
  </si>
  <si>
    <t>35/41/47</t>
  </si>
  <si>
    <t>600,-</t>
  </si>
  <si>
    <t>640,-</t>
  </si>
  <si>
    <t>RAV-GM302ATP-E</t>
  </si>
  <si>
    <t>RAV-GM402ATP-E</t>
  </si>
  <si>
    <t>RAV-GM562ATP-E</t>
  </si>
  <si>
    <t>RAV-GM802ATW-E</t>
  </si>
  <si>
    <t>RAV-GM902ATW-E</t>
  </si>
  <si>
    <t>RAV-GM1102ATW-E</t>
  </si>
  <si>
    <t>RAV-GM1102AT8W-E</t>
  </si>
  <si>
    <t>630 x 799 x 299</t>
  </si>
  <si>
    <t>2.450,-</t>
  </si>
  <si>
    <t>2.680,-</t>
  </si>
  <si>
    <t>3.300,-</t>
  </si>
  <si>
    <t>3.780,-</t>
  </si>
  <si>
    <t>I 75</t>
  </si>
  <si>
    <t>Nástenná jednotka
&gt;  Kombinácia s vonkajšou jednotkou SDI
&gt;  Kompaktný univerzálny model pre všetky oblasti použitia
&gt;  Trieda účinnosti až A++, COP až 4,00
&gt;  5-stupňový ventilátor s nízkou hlučnosťou</t>
  </si>
  <si>
    <t>Super digitálny invertor – nástenná jednotka</t>
  </si>
  <si>
    <t>RAV-HM561KRTP-E RAV-GP561ATW-E</t>
  </si>
  <si>
    <t>1-fázové
RAV-HM801KRTP-E RAV-GP801ATW-E</t>
  </si>
  <si>
    <t>RAV-HM1101KRTP-E RAV-GP1101AT-E</t>
  </si>
  <si>
    <t>3-fázové
RAV-HM1101KRTP-E RAV-GP1101AT8-E</t>
  </si>
  <si>
    <t>3,10 - 12,00</t>
  </si>
  <si>
    <t>2,60 -12,00</t>
  </si>
  <si>
    <t>0,19/1,43/1,98</t>
  </si>
  <si>
    <t>0,26/2,06/3,17</t>
  </si>
  <si>
    <t>0,55/2,77/3,90</t>
  </si>
  <si>
    <t>- /2,86/ -</t>
  </si>
  <si>
    <t>Prevádzkový rozsah vonkajšej teploty (min.
– max.)</t>
  </si>
  <si>
    <t>-15 / +52</t>
  </si>
  <si>
    <t>0,90 - 7,30</t>
  </si>
  <si>
    <t>1,30 - 11,30</t>
  </si>
  <si>
    <t>2,60 - 13,00</t>
  </si>
  <si>
    <t>2,40 - 13,00</t>
  </si>
  <si>
    <t>0,16/1,39/2,67</t>
  </si>
  <si>
    <t>0,20/2,25/3,50</t>
  </si>
  <si>
    <t>0,52/3,13/4,40</t>
  </si>
  <si>
    <t>- /3,25/ -</t>
  </si>
  <si>
    <t>-27 / +15</t>
  </si>
  <si>
    <t>-27/ +15</t>
  </si>
  <si>
    <t>-20/ +15</t>
  </si>
  <si>
    <t>5.200,-</t>
  </si>
  <si>
    <t>5.110,-</t>
  </si>
  <si>
    <t>RAV-GP561ATW-E</t>
  </si>
  <si>
    <t>RAV-GP801ATW-E</t>
  </si>
  <si>
    <t>RAV-GP1101AT-E</t>
  </si>
  <si>
    <t>RAV-GP1101AT8-E</t>
  </si>
  <si>
    <t>1550 x 1010 x 370</t>
  </si>
  <si>
    <t>2.840,-</t>
  </si>
  <si>
    <t>4.300,-</t>
  </si>
  <si>
    <t>4.210,-</t>
  </si>
  <si>
    <t>76 I</t>
  </si>
  <si>
    <t>Podstropná jednotka</t>
  </si>
  <si>
    <t>&gt;  Kombinácia s vonkajšou jednotkou DI NEXT
&gt;  Atraktívny dizajn s optimálnym rozvádzaním vzduchu
&gt;  Trieda účinnosti až A+++
&gt;  Veľké vzdialenosti dofuku
&gt;  Špeciálne funkcie pre miestnosti so servermi: funkcia zálohovania/striedania, riadenie voľného chladenia</t>
  </si>
  <si>
    <t>Digitálny invertor NEXT – 1-fázové vyhotovenie – podstropná jednotka</t>
  </si>
  <si>
    <t>RAV-HM401CTP-E RAV-GM402ATP-E</t>
  </si>
  <si>
    <t>RAV-HM561CTP-E RAV-GM562ATP-E</t>
  </si>
  <si>
    <t>RAV-HM801CTP-E RAV-GM802ATW-E</t>
  </si>
  <si>
    <t>RAV-HM901CTP-E RAV-GM902ATW-E</t>
  </si>
  <si>
    <t>RAV-HM1101CTP-E RAV-GM1102ATW-E</t>
  </si>
  <si>
    <t>RAV-HM1401CTP-E RAV-GM1402ATW-E</t>
  </si>
  <si>
    <t>RAV-HM1601CTP-E RAV-GM1602ATW-E</t>
  </si>
  <si>
    <t>3,00 - 13,20</t>
  </si>
  <si>
    <t>3,00 - 15,00</t>
  </si>
  <si>
    <t>0,18/0,83/</t>
  </si>
  <si>
    <t>0,29/1,61/</t>
  </si>
  <si>
    <t>0,30/2,06/</t>
  </si>
  <si>
    <t>0,30/2,38/</t>
  </si>
  <si>
    <t>0,58/2,59/</t>
  </si>
  <si>
    <t>0,58/4,01/</t>
  </si>
  <si>
    <t>0,58/5,04/</t>
  </si>
  <si>
    <t>n/a</t>
  </si>
  <si>
    <t>3,00 - 16,00</t>
  </si>
  <si>
    <t>3,00 - 17,00</t>
  </si>
  <si>
    <t>0,14/0,78/</t>
  </si>
  <si>
    <t>0,29/1,36/</t>
  </si>
  <si>
    <t>0,29/1,99/</t>
  </si>
  <si>
    <t>0,29/2,15/</t>
  </si>
  <si>
    <t>0,66/2,86/</t>
  </si>
  <si>
    <t>0,66/3,48/</t>
  </si>
  <si>
    <t>0,66/4,75/</t>
  </si>
  <si>
    <t>Cena setu vrátane RBC-AMTU31-E</t>
  </si>
  <si>
    <t>2.850,-</t>
  </si>
  <si>
    <t>3.220,-</t>
  </si>
  <si>
    <t>3.980,-</t>
  </si>
  <si>
    <t>4.360,-</t>
  </si>
  <si>
    <t>5.010,-</t>
  </si>
  <si>
    <t>6.240,-</t>
  </si>
  <si>
    <t>RAV-HM401CTP-E</t>
  </si>
  <si>
    <t>RAV-HM561CTP-E</t>
  </si>
  <si>
    <t>RAV-HM801CTP-E</t>
  </si>
  <si>
    <t>RAV-HM901CTP-E</t>
  </si>
  <si>
    <t>RAV-HM1101CTP-E</t>
  </si>
  <si>
    <t>RAV-HM1401CTP-E</t>
  </si>
  <si>
    <t>540/720/</t>
  </si>
  <si>
    <t>750/1000/</t>
  </si>
  <si>
    <t>900/ - /</t>
  </si>
  <si>
    <t>1020/1350/</t>
  </si>
  <si>
    <t>1200/1530/</t>
  </si>
  <si>
    <t>1200/1650/</t>
  </si>
  <si>
    <t>28/35/37</t>
  </si>
  <si>
    <t>29/36/41</t>
  </si>
  <si>
    <t>30/38/42</t>
  </si>
  <si>
    <t>32/38/44</t>
  </si>
  <si>
    <t>35/41/46</t>
  </si>
  <si>
    <t>235 x 950 x 690</t>
  </si>
  <si>
    <t>235 x 1270 x 690</t>
  </si>
  <si>
    <t>1.840,-</t>
  </si>
  <si>
    <t>RAV-GM1402ATW-E</t>
  </si>
  <si>
    <t>RAV-GM1602ATW-E</t>
  </si>
  <si>
    <t>4.250,-</t>
  </si>
  <si>
    <t>I 77</t>
  </si>
  <si>
    <t>Digitálny invertor NEXT – 3-fázové vyhotovenie – podstropná jednotka</t>
  </si>
  <si>
    <t>RAV-HM1101CTP-E RAV-GM1102AT8W-E</t>
  </si>
  <si>
    <t>RAV-HM1401CTP-E RAV-GM1402AT8W-E</t>
  </si>
  <si>
    <t>RAV-HM1601CTP-E RAV-GM1602AT8W-E</t>
  </si>
  <si>
    <t>0,62/2,55/3,25</t>
  </si>
  <si>
    <t>0,62/3,94/4,35</t>
  </si>
  <si>
    <t>0,62/4,94/6,02</t>
  </si>
  <si>
    <t>3,00 - 18,00</t>
  </si>
  <si>
    <t>0,70/2,83/3,45</t>
  </si>
  <si>
    <t>0,70/3,43/4,57</t>
  </si>
  <si>
    <t>0,70/4,68/7,09</t>
  </si>
  <si>
    <t>5.490,-</t>
  </si>
  <si>
    <t>5.990,-</t>
  </si>
  <si>
    <t>6.770,-</t>
  </si>
  <si>
    <t>1020/1350/1860</t>
  </si>
  <si>
    <t>1200/1530/2040</t>
  </si>
  <si>
    <t>RAV-GM1402AT8W-E</t>
  </si>
  <si>
    <t>RAV-GM1602AT8W-E</t>
  </si>
  <si>
    <t>4.100,-</t>
  </si>
  <si>
    <t>RBC-AMTU31-E</t>
  </si>
  <si>
    <t>Štandardné káblové diaľkové ovládanie</t>
  </si>
  <si>
    <t>RBC-AXU31C-E</t>
  </si>
  <si>
    <t>Infračervené diaľkové ovládanie + súprava prijímača na montáž do podstropnej jednotky</t>
  </si>
  <si>
    <t>355,-</t>
  </si>
  <si>
    <t>TCB-DP31CE</t>
  </si>
  <si>
    <t>Čerpadlo kondenzátu, dopravná výška 600 mm, meraná od spodnej hrany jednotky</t>
  </si>
  <si>
    <t>TCB-KP14CPE</t>
  </si>
  <si>
    <t>Uholník, okraj certifikovaný podľa normy ISO14093 (je potrebný pri kondenzátovom čerpadle), RAV: veľkosti 4 a 5/VRF: veľkosti 15 a 18</t>
  </si>
  <si>
    <t>TCB-KP24CPE</t>
  </si>
  <si>
    <t>Uholník, okraj certifikovaný podľa normy ISO14093 (je potrebný pri kondenzátovom čerpadle), RAV: veľkosti 8 až 16/VRF: veľkosti 24 až 56</t>
  </si>
  <si>
    <t>TCB-PCUC2E</t>
  </si>
  <si>
    <t>Riadiaca doska na externé ovládanie, alarmy a hlásenia</t>
  </si>
  <si>
    <t>200,-</t>
  </si>
  <si>
    <t>78 I</t>
  </si>
  <si>
    <t>&gt;  Kombinácia s vonkajšou jednotkou SDI
&gt;  Atraktívny dizajn s optimálnym rozvádzaním vzduchu
&gt;  Trieda účinnosti až A+++
&gt;  Veľké vzdialenosti dofuku
&gt;  Špeciálne funkcie pre miestnosti so servermi: funkcia zálohovania/striedania, riadenie voľného chladenia</t>
  </si>
  <si>
    <t>Super digitálny invertor – 1-fázové vyhotovenie – podstropná jednotka</t>
  </si>
  <si>
    <t>RAV-HM561CTP-E RAV-GP561ATW-E</t>
  </si>
  <si>
    <t>RAV-HM801CTP-E RAV-GP801ATW-E</t>
  </si>
  <si>
    <t>RAV-HM1401CTP-E RAV-GP1401AT-E1</t>
  </si>
  <si>
    <t>3,10 - 14,00</t>
  </si>
  <si>
    <t>0,19/1,37/1,98</t>
  </si>
  <si>
    <t>0,26/1,60/3,17</t>
  </si>
  <si>
    <t>0,55/3,58/3,97</t>
  </si>
  <si>
    <t>14</t>
  </si>
  <si>
    <t>0,90 - 7,40</t>
  </si>
  <si>
    <t>2,60 - 16,50</t>
  </si>
  <si>
    <t>0,20/1,80/3,50</t>
  </si>
  <si>
    <t>0,41/3,59/4,40</t>
  </si>
  <si>
    <t>3,9</t>
  </si>
  <si>
    <t>4,74</t>
  </si>
  <si>
    <t>3.570,-</t>
  </si>
  <si>
    <t>4.370,-</t>
  </si>
  <si>
    <t>6.640,-</t>
  </si>
  <si>
    <t>540/720/900</t>
  </si>
  <si>
    <t>750/1000/1410</t>
  </si>
  <si>
    <t>37</t>
  </si>
  <si>
    <t>RAV-GP1401AT-E1</t>
  </si>
  <si>
    <t>51</t>
  </si>
  <si>
    <t>75</t>
  </si>
  <si>
    <t>104</t>
  </si>
  <si>
    <t>4.750,-</t>
  </si>
  <si>
    <t>I 79</t>
  </si>
  <si>
    <t>Super digitálny invertor – 3-fázové vyhotovenie – podstropná jednotka</t>
  </si>
  <si>
    <t>RAV-HM1101CTP-E RAV-GP1101AT8-E</t>
  </si>
  <si>
    <t>RAV-HM1401CTP-E RAV-GP1401AT8-E</t>
  </si>
  <si>
    <t>RAV-HM1601CTP-E RAV-GP1601AT8-E</t>
  </si>
  <si>
    <t>2,60 - 12,00</t>
  </si>
  <si>
    <t>2,60 - 14,00</t>
  </si>
  <si>
    <t>0,66/2,56/3,81</t>
  </si>
  <si>
    <t>0,66/3,68/4,85</t>
  </si>
  <si>
    <t>0,66/4,60/6,33</t>
  </si>
  <si>
    <t>2,40 - 14,00</t>
  </si>
  <si>
    <t>2,40 - 18,00</t>
  </si>
  <si>
    <t>0,53/2,51/4,26</t>
  </si>
  <si>
    <t>0,53/3,48/5,95</t>
  </si>
  <si>
    <t>0,53/4,30/6,96</t>
  </si>
  <si>
    <t>5.920,-</t>
  </si>
  <si>
    <t>6.290,-</t>
  </si>
  <si>
    <t>6.970,-</t>
  </si>
  <si>
    <t>RAV-GP1401AT8-E</t>
  </si>
  <si>
    <t>RAV-GP1601AT8-E</t>
  </si>
  <si>
    <t>4.400,-</t>
  </si>
  <si>
    <t>80 I</t>
  </si>
  <si>
    <t>60 × 60 slim kazeta
&gt;  Kombinácia s vonkajšou jednotkou DI NEXT
&gt;  Rozvádzanie vzduchu v rozsahu 360° v euro mriežke s konštrukčnou výškou už od 256 mm
&gt;  Trieda účinnosti až A++; vyššia úspora energie vďaka voliteľnému vybaveniu senzorom prítomnosti osôb
&gt;  Integrované kondenzátové čerpadlo (850 mm); jednotka je pripravená na externý prívod čerstvého vzduchu
&gt;  Vyžadované príslušenstvo: diaľkové ovládanie + panel</t>
  </si>
  <si>
    <t>Digitálny invertor NEXT – 1-fázové vyhotovenie – 60 × 60 slim kazeta</t>
  </si>
  <si>
    <t>RAV-HM301MUT-E RAV-GM302ATP-E</t>
  </si>
  <si>
    <t>RAV-HM401MUT-E RAV-GM402ATP-E</t>
  </si>
  <si>
    <t>RAV-HM561MUT-E RAV-GM562ATP-E</t>
  </si>
  <si>
    <t>0,18/0,59/0,82</t>
  </si>
  <si>
    <t>0,18/0,90/2,00</t>
  </si>
  <si>
    <t>0,30/1,64/1,86</t>
  </si>
  <si>
    <t>0,17/0,76/1,40</t>
  </si>
  <si>
    <t>0,14/0,95/1,70</t>
  </si>
  <si>
    <t>0,30/1,47/2,40</t>
  </si>
  <si>
    <t>Cena setu vrátane RBC-AMTU31-E + RBC-UM21PG(W)-E</t>
  </si>
  <si>
    <t>3.125,-</t>
  </si>
  <si>
    <t>3.450,-</t>
  </si>
  <si>
    <t>3.770,-</t>
  </si>
  <si>
    <t>RAV-HM301MUT-E</t>
  </si>
  <si>
    <t>RAV-HM401MUT-E</t>
  </si>
  <si>
    <t>RAV-HM561MUT-E</t>
  </si>
  <si>
    <t>440/520/640</t>
  </si>
  <si>
    <t>468/552/660</t>
  </si>
  <si>
    <t>546/672/798</t>
  </si>
  <si>
    <t>30/36/38</t>
  </si>
  <si>
    <t>32/36/41</t>
  </si>
  <si>
    <t>35/39/40</t>
  </si>
  <si>
    <t>1.265,-</t>
  </si>
  <si>
    <t>1.310,-</t>
  </si>
  <si>
    <t>I 81</t>
  </si>
  <si>
    <t>60 × 60 slim kazeta
&gt;  Kombinácia s vonkajšou jednotkou SDI
&gt;  Rozvádzanie vzduchu v rozsahu 360° v euro mriežke s konštrukčnou výškou už od 256 mm
&gt;  Trieda účinnosti až A++; vyššia úspora energie vďaka voliteľnému vybaveniu senzorom prítomnosti osôb
&gt;  Integrované kondenzátové čerpadlo (850 mm); jednotka je pripravená na externý prívod čerstvého vzduchu
&gt;  Vyžadované príslušenstvo: diaľkové ovládanie + panel</t>
  </si>
  <si>
    <t>Super digitálny invertor – 1-fázové vyhotovenie – 60 × 60 slim kazeta</t>
  </si>
  <si>
    <t>VNÚTORNÁ JEDNOTKA                                                                                                                                            RAV-HM561MUT-E
VONKAJŠIA JEDNOTKA                                                                                                                                            RAV-GP561ATW-E</t>
  </si>
  <si>
    <t>0,19/1,56/1,97</t>
  </si>
  <si>
    <t>0,90 - 7,00</t>
  </si>
  <si>
    <t>0,16/1,60/2,36</t>
  </si>
  <si>
    <t>Cena setu vrátane RBC-AMTU31-E +
RBC-UM21PG(W)-E</t>
  </si>
  <si>
    <t>4.120,-</t>
  </si>
  <si>
    <t>VNÚTORNÁ JEDNOTKA                                                                                                                                            RAV-HM561MUT-E</t>
  </si>
  <si>
    <t>35/39/44</t>
  </si>
  <si>
    <t>12 x 620 x 620</t>
  </si>
  <si>
    <t>VONKAJŠIA JEDNOTKA                                                                                                                                            RAV-GP561ATW-E</t>
  </si>
  <si>
    <t>82 I</t>
  </si>
  <si>
    <t>Smart kazeta
&gt;  Kombinácia s vonkajšou jednotkou SDI
&gt;  4-cestná jednotka s vysoko efektívnym dizajnom pre vysoké výkony
&gt;  Trieda účinnosti až A++; vyššia úspora energie vďaka voliteľnému vybaveniu senzorom prítomnosti osôb
&gt;  Integrované kondenzátové čerpadlo (850 mm); jednotka je pripravená na externý prívod čerstvého vzduchu
&gt;  Nejde o skladový tovar – dodacia lehota na dopyt
&gt;  Vyžadované príslušenstvo: diaľkové ovládanie + panel</t>
  </si>
  <si>
    <t>Super digitálny invertor – 1-fázové vyhotovenie – smart kazeta</t>
  </si>
  <si>
    <t>RAV-HM561UT-E RAV-GP561ATW-E</t>
  </si>
  <si>
    <t>RAV-HM801UT-E RAV-GP801ATW-E</t>
  </si>
  <si>
    <t>RAV-HM1101UT-E RAV-GP1101AT-E</t>
  </si>
  <si>
    <t>RAV-HM1401UT-E RAV-GP1401AT-E1</t>
  </si>
  <si>
    <t>0,19/1,20/2,03</t>
  </si>
  <si>
    <t>0,26/1,37/2,94</t>
  </si>
  <si>
    <t>0,56/1,90/2,80</t>
  </si>
  <si>
    <t>0,56/2,91/3,40</t>
  </si>
  <si>
    <t>0,90 - 8,10</t>
  </si>
  <si>
    <t>0,16/1,29/2,75</t>
  </si>
  <si>
    <t>0,20/1,45/3,15</t>
  </si>
  <si>
    <t>0,41/2,18/2,98</t>
  </si>
  <si>
    <t>0,41/3,04/4,18</t>
  </si>
  <si>
    <t>Cena setu vrátane RBC-AMTU31-E + RBC-U41PG(W)-E</t>
  </si>
  <si>
    <t>4.050,-</t>
  </si>
  <si>
    <t>5.000,-</t>
  </si>
  <si>
    <t>6.675,-</t>
  </si>
  <si>
    <t>7.345,-</t>
  </si>
  <si>
    <t>RAV-HM561UT-E</t>
  </si>
  <si>
    <t>RAV-HM801UT-E</t>
  </si>
  <si>
    <t>RAV-HM1101UT-E</t>
  </si>
  <si>
    <t>RAV-HM1401UT-E</t>
  </si>
  <si>
    <t>750/900/1050</t>
  </si>
  <si>
    <t>810/1290/1920</t>
  </si>
  <si>
    <t>1050/1650/2250</t>
  </si>
  <si>
    <t>1170/1710/2250</t>
  </si>
  <si>
    <t>26/29/32</t>
  </si>
  <si>
    <t>27/35/42</t>
  </si>
  <si>
    <t>31/40/48</t>
  </si>
  <si>
    <t>33/41/48</t>
  </si>
  <si>
    <t>256 x 840 x 840</t>
  </si>
  <si>
    <t>319 x 840 x 840</t>
  </si>
  <si>
    <t>319 × 840 × 840</t>
  </si>
  <si>
    <t>30 x 950 x 950</t>
  </si>
  <si>
    <t>1.580,-</t>
  </si>
  <si>
    <t>1.795,-</t>
  </si>
  <si>
    <t>2.015,-</t>
  </si>
  <si>
    <t>RBC-U41PG(W)-E</t>
  </si>
  <si>
    <t>Panel pre Smart kazetu</t>
  </si>
  <si>
    <t>430,-</t>
  </si>
  <si>
    <t>RBC-AXU41U-E</t>
  </si>
  <si>
    <t>Infračervené diaľkové ovládanie + súprava prijímača na montáž do Smart kazety VRF TU2C</t>
  </si>
  <si>
    <t>TCB-SIR41U-E</t>
  </si>
  <si>
    <t>Súprava snímača pohybu na montáž do Smart kazety</t>
  </si>
  <si>
    <t>TCB-GFC1603UE</t>
  </si>
  <si>
    <t>Filter čerstvého vzduchu</t>
  </si>
  <si>
    <t>290,-</t>
  </si>
  <si>
    <t>TCB-SP1603UE</t>
  </si>
  <si>
    <t>Dištančný rám na spustenie rámu o 70 mm</t>
  </si>
  <si>
    <t>230,-</t>
  </si>
  <si>
    <t>TCB-BC1603UE</t>
  </si>
  <si>
    <t>Súprava Air Discharge Direction Kit na uzatvorenie až troch strán vyfukovania</t>
  </si>
  <si>
    <t>Všetky možnosti ovládania nájdete na strane 116.
I 83</t>
  </si>
  <si>
    <t>4-cestná štandardná kazetová jednotka
&gt;  Kombinácia s vonkajšou jednotkou DI CLASSIC
&gt;  Rozvádzanie vzduchu v rozsahu 360° alebo priamy prúd vzduchu
&gt;  Trieda účinnosti až A++
&gt;  Integrované kondenzátové čerpadlo (850 mm); jednotka je pripravená na externý prívod čerstvého vzduchu
&gt;  Vyžadované príslušenstvo: diaľkové ovládanie + panel
Digitálny invertor CLASSIC – 1-fázové vyhotovenie – 4-cestná štandardná kazetová jednotka</t>
  </si>
  <si>
    <t>RAV-HM561UTP-E RAV-GV561ATP-E</t>
  </si>
  <si>
    <t>RAV-HM801UTP-E RAV-GV801ATP-E</t>
  </si>
  <si>
    <t>RAV-HM1101UTP-E RAV-GV1101ATP-E</t>
  </si>
  <si>
    <t>RAV-HM1401UTP-E RAV-GV1401ATP-E</t>
  </si>
  <si>
    <t>RAV-HM1601UTP-E RAV-GV1601ATP-E</t>
  </si>
  <si>
    <t>3,00 - 12,00</t>
  </si>
  <si>
    <t>3,00 - 14,00</t>
  </si>
  <si>
    <t>- /1,60/ -</t>
  </si>
  <si>
    <t>0,26/2,22/
2,60</t>
  </si>
  <si>
    <t>- /3,15/ -</t>
  </si>
  <si>
    <t>- /4,60/ -</t>
  </si>
  <si>
    <t>- /5,40/ -</t>
  </si>
  <si>
    <t>- /1,40/ -</t>
  </si>
  <si>
    <t>0,26/2,13/
3,03</t>
  </si>
  <si>
    <t>- /3,10/ -</t>
  </si>
  <si>
    <t>- /3,90/ -</t>
  </si>
  <si>
    <t>3,23</t>
  </si>
  <si>
    <t>Cena setu vrátane RBC-AMTU31-E + RBC-U32PGP-E</t>
  </si>
  <si>
    <t>3.000,-</t>
  </si>
  <si>
    <t>5.850,-</t>
  </si>
  <si>
    <t>RAV-HM561UTP-E</t>
  </si>
  <si>
    <t>RAV-HM801UTP-E</t>
  </si>
  <si>
    <t>RAV-HM1101UTP-E</t>
  </si>
  <si>
    <t>RAV-HM1401UTP-E</t>
  </si>
  <si>
    <t>RAV-HM1601UTP-E</t>
  </si>
  <si>
    <t>780/870/</t>
  </si>
  <si>
    <t>810/960/</t>
  </si>
  <si>
    <t>1170/1440/</t>
  </si>
  <si>
    <t>1230/1440/</t>
  </si>
  <si>
    <t>1260/1500/</t>
  </si>
  <si>
    <t>2010</t>
  </si>
  <si>
    <t>28/29/32</t>
  </si>
  <si>
    <t>28/31/35</t>
  </si>
  <si>
    <t>33/38/43</t>
  </si>
  <si>
    <t>34/38/44</t>
  </si>
  <si>
    <t>36/40/45</t>
  </si>
  <si>
    <t>256 × 840 × 840</t>
  </si>
  <si>
    <t>1.260,-</t>
  </si>
  <si>
    <t>1.730,-</t>
  </si>
  <si>
    <t>RAV-GV1401ATP-E</t>
  </si>
  <si>
    <t>RAV-GV1601ATP-E</t>
  </si>
  <si>
    <t>53</t>
  </si>
  <si>
    <t>55</t>
  </si>
  <si>
    <t>1,7</t>
  </si>
  <si>
    <t>2.610,-</t>
  </si>
  <si>
    <t>3.390,-</t>
  </si>
  <si>
    <t>84 I</t>
  </si>
  <si>
    <t>Digitálny invertor CLASSIC – 3-fázové vyhotovenie – 4-cestná štandardná kazetová jednotka</t>
  </si>
  <si>
    <t>RAV-HM1101UTP-E RAV-GV1101AT8P-E</t>
  </si>
  <si>
    <t>RAV-HM1401UTP-E RAV-GV1401AT8P-E</t>
  </si>
  <si>
    <t>RAV-HM1601UTP-E RAV-GV1601AT8P-E</t>
  </si>
  <si>
    <t>- /4,80/ -</t>
  </si>
  <si>
    <t>0,65/4,49/5,70</t>
  </si>
  <si>
    <t>- /3,00/ -</t>
  </si>
  <si>
    <t>- /4,10/ -</t>
  </si>
  <si>
    <t>0,65/4,43/5,66</t>
  </si>
  <si>
    <t>Cena setu vrátane RBC-AMTU31-E +
RBC-U32PGP-E</t>
  </si>
  <si>
    <t>4.720,-</t>
  </si>
  <si>
    <t>6.410,-</t>
  </si>
  <si>
    <t>1170/1440/2010</t>
  </si>
  <si>
    <t>1230/1440/2100</t>
  </si>
  <si>
    <t>1260/1500/2130</t>
  </si>
  <si>
    <t>RAV-GV1401AT8P-E</t>
  </si>
  <si>
    <t>RAV-GV1601AT8P-E</t>
  </si>
  <si>
    <t>2.870,-</t>
  </si>
  <si>
    <t>3.950,-</t>
  </si>
  <si>
    <t>Všetky možnosti ovládania nájdete na strane 116.
Príslušenstvo pre 4-cestnú štandardnú kazetovú jednotku nájdete na strane 89.</t>
  </si>
  <si>
    <t>I 85</t>
  </si>
  <si>
    <t>4-cestná štandardná kazetová jednotka
&gt;  Kombinácia s vonkajšou jednotkou DI NEXT
&gt;  Rozvádzanie vzduchu v rozsahu 360° alebo priamy prúd vzduchu
&gt;  Trieda účinnosti až A++
&gt;  Integrované kondenzátové čerpadlo (850 mm); jednotka je pripravená na externý prívod čerstvého vzduchu
&gt;  Vyžadované príslušenstvo: diaľkové ovládanie + panel
Digitálny invertor NEXT – 1-fázové vyhotovenie – 4-cestná štandardná kazetová jednotka</t>
  </si>
  <si>
    <t>RAV-HM561UTP-E RAV-GM562ATP-E</t>
  </si>
  <si>
    <t>RAV-HM801UTP-E RAV-GM802ATW-E</t>
  </si>
  <si>
    <t>RAV-HM901UTP-E RAV-GM902ATW-E</t>
  </si>
  <si>
    <t>RAV-HM1401UTP-E RAV-GM1402ATW-E</t>
  </si>
  <si>
    <t>RAV-HM1601UTP-E RAV-GM1602ATW-E</t>
  </si>
  <si>
    <t>1,80 - 8,80</t>
  </si>
  <si>
    <t>0,26/1,56/</t>
  </si>
  <si>
    <t>0,29/1,90/</t>
  </si>
  <si>
    <t>0,29/2,29/</t>
  </si>
  <si>
    <t>0,52/3,88/</t>
  </si>
  <si>
    <t>052/5,05/</t>
  </si>
  <si>
    <t>160 - 9,90</t>
  </si>
  <si>
    <t>0,26/1,36/</t>
  </si>
  <si>
    <t>0,27/1,99/</t>
  </si>
  <si>
    <t>0,27/2,09/</t>
  </si>
  <si>
    <t>0,67/3,43/</t>
  </si>
  <si>
    <t>067/4,72/</t>
  </si>
  <si>
    <t>3.460,-</t>
  </si>
  <si>
    <t>4.220,-</t>
  </si>
  <si>
    <t>6.710,-</t>
  </si>
  <si>
    <t>RAV-HM901UTP-E</t>
  </si>
  <si>
    <t>33/36/40</t>
  </si>
  <si>
    <t>86 I</t>
  </si>
  <si>
    <t>Digitálny invertor NEXT – 3-fázové vyhotovenie – 4-cestná štandardná kazetová jednotka</t>
  </si>
  <si>
    <t>RAV-HM1101UTP-E RAV-GM1102AT8W-E</t>
  </si>
  <si>
    <t>RAV-HM1401UTP-E RAV-GM1402AT8W-E</t>
  </si>
  <si>
    <t>RAV-HM1601UTP-E RAV-GM1602AT8W-E</t>
  </si>
  <si>
    <t>0,56/2,52/3,07</t>
  </si>
  <si>
    <t>0,56/3,81/4,19</t>
  </si>
  <si>
    <t>056/4,92/5,90</t>
  </si>
  <si>
    <t>0,71/2,82/3,35</t>
  </si>
  <si>
    <t>0,71/3,39/4,51</t>
  </si>
  <si>
    <t>0,71/4,65/6,71</t>
  </si>
  <si>
    <t>5.840,-</t>
  </si>
  <si>
    <t>6.340,-</t>
  </si>
  <si>
    <t>7.240,-</t>
  </si>
  <si>
    <t>R35</t>
  </si>
  <si>
    <t>I 87</t>
  </si>
  <si>
    <t>4-cestná štandardná kazetová jednotka</t>
  </si>
  <si>
    <t>&gt;  Kombinácia s vonkajšou jednotkou SDI
&gt;  Rozvádzanie vzduchu v rozsahu 360° alebo priamy prúd vzduchu
&gt;  Trieda účinnosti až A++
&gt;  Integrované kondenzátové čerpadlo (850 mm); jednotka je pripravená na externý prívod čerstvého vzduchu
&gt;  Vyžadované príslušenstvo: diaľkové ovládanie + panel
Super digitálny invertor – 4-cestná štandardná kazetová jednotka</t>
  </si>
  <si>
    <t>RAV-HM561UTP-E RAV-GP561ATW-E</t>
  </si>
  <si>
    <t>1-fázové
RAV-HM801UTP-E    RAV-HM1101UTP-E RAV-GP801ATW-E     RAV-GP1101AT-E</t>
  </si>
  <si>
    <t>RAV-HM1401UTP-E RAV-GP1401AT-E1</t>
  </si>
  <si>
    <t>RAV-HM1101UTP-E RAV-GP1101AT8-E</t>
  </si>
  <si>
    <t>3-fázové
RAV-HM1401UTP-E RAV-GP1401AT8-E</t>
  </si>
  <si>
    <t>RAV-HM1601UTP-E RAV-GP1601AT8-E</t>
  </si>
  <si>
    <t>0,19/1,22/</t>
  </si>
  <si>
    <t>0,26/1,58/</t>
  </si>
  <si>
    <t>0,56/1,90/</t>
  </si>
  <si>
    <t>0,53/3,16/</t>
  </si>
  <si>
    <t>0,66/2,32/</t>
  </si>
  <si>
    <t>0,66/3,42/</t>
  </si>
  <si>
    <t>0,66/4,34/</t>
  </si>
  <si>
    <t>2,40 - 15,60</t>
  </si>
  <si>
    <t>0,16/1,30/</t>
  </si>
  <si>
    <t>0,20/1,77/</t>
  </si>
  <si>
    <t>041/2,18/</t>
  </si>
  <si>
    <t>0,40/3,21/</t>
  </si>
  <si>
    <t>0,53/2,41/</t>
  </si>
  <si>
    <t>053/3,41/</t>
  </si>
  <si>
    <t>0,53/4,28/</t>
  </si>
  <si>
    <t>3.810,-</t>
  </si>
  <si>
    <t>4.610,-</t>
  </si>
  <si>
    <t>6.360,-</t>
  </si>
  <si>
    <t>6.990,-</t>
  </si>
  <si>
    <t>6.270,-</t>
  </si>
  <si>
    <t>7.440,-</t>
  </si>
  <si>
    <t>88 I</t>
  </si>
  <si>
    <t>4-cestná štandardná kazetová jednotka / príslušenstvo
4-cestná štandardná kazeta</t>
  </si>
  <si>
    <t>RBC-U32PGP-E</t>
  </si>
  <si>
    <t>Panel na široký prúd vzduchu (SMMS-u)</t>
  </si>
  <si>
    <t>RBC-U33P-E</t>
  </si>
  <si>
    <t>Panel FLAT – čisto biely, pre 4-cestnú štandardnú kazetovú jednotku</t>
  </si>
  <si>
    <t>RBC-AXU31U-E</t>
  </si>
  <si>
    <t>Infračervené diaľkové ovládanie + súprava prijímača na montáž do 4-cestnej štandardnej kazetovej jednotky</t>
  </si>
  <si>
    <t>325,-</t>
  </si>
  <si>
    <t>RBC-AXU33UP-E</t>
  </si>
  <si>
    <t>Infračervené diaľkové ovládanie + súprava prijímača na montáž do panela FLAT 4-cestnej štandardnej kazetovej jednotky, WHITE</t>
  </si>
  <si>
    <t>TCB-PLFC1UPE</t>
  </si>
  <si>
    <t>Súprava filtra triedy PM 2,5 (pred prachovým filtrom), kompatibilná s jednotkami RBC-U32PGP-E, RBC-U33PB-E</t>
  </si>
  <si>
    <t>20,-</t>
  </si>
  <si>
    <t>TCB-SIR33UP-E</t>
  </si>
  <si>
    <t>Súprava senzora prítomnosti na montáž do panela FLAT</t>
  </si>
  <si>
    <t>TCB-EAPC1UHP-E</t>
  </si>
  <si>
    <t>Súprava plazmového filtra PURE na montáž do panela FLAT 4-cestnej štandardnej kazetovej jednotky</t>
  </si>
  <si>
    <t>1.490,-</t>
  </si>
  <si>
    <t>TCB-ADCN510UP-E</t>
  </si>
  <si>
    <t>Adaptér panela pre jednotku RBC-U33P-E + RBC-U33PB-E</t>
  </si>
  <si>
    <t>60,-</t>
  </si>
  <si>
    <t>BLACK</t>
  </si>
  <si>
    <t>RBC-U33PB-E</t>
  </si>
  <si>
    <t>Panel FLAT – ČIERNY, pre 4-cestnú štandardnú kazetovú jednotku</t>
  </si>
  <si>
    <t>RBC-AXU33UPB-E</t>
  </si>
  <si>
    <t>Infračervené diaľkové ovládanie + súprava prijímača na montáž do panela FLAT 4-cestnej štandardnej kazetovej jednotky, BLACK</t>
  </si>
  <si>
    <t>235,-</t>
  </si>
  <si>
    <t>I 89</t>
  </si>
  <si>
    <t>1-cestná kazetová jednotka Flat
&gt;  Kombinácia s vonkajšou jednotkou DI NEXT
&gt;  Rozvádzanie vzduchu v 1 smere bez prievanu
&gt;  Ultra-plochý 30 mm dizajnový panel so senzorom prítomnosti ako voliteľným vybavením
&gt;  Voliteľný plazmový filter s ionizátorom
&gt;  Najmenšia konštrukčná výška už od 150 mm
&gt;  Integrované kondenzátové čerpadlo
&gt;  Vyžadované príslušenstvo: diaľkové ovládanie + panel</t>
  </si>
  <si>
    <t>Digitálny invertor NEXT – 1-fázové vyhotovenie – 1-cestná kazetová jednotka Flat</t>
  </si>
  <si>
    <t>RAV-HM301U1TP-E RAV-GM302ATP-E</t>
  </si>
  <si>
    <t>RAV-HM401U1TP-E RAV-GM402ATP-E</t>
  </si>
  <si>
    <t>0,19/0,69/0,92</t>
  </si>
  <si>
    <t>0,32/1,13/1,40</t>
  </si>
  <si>
    <t>0,16/1,03/1,50</t>
  </si>
  <si>
    <t>0,18/1,32/2,00</t>
  </si>
  <si>
    <t>Cena setu vrátane RBC-AMTU31-E + RBC-UY32P-E</t>
  </si>
  <si>
    <t>3.375,-</t>
  </si>
  <si>
    <t>3.695,-</t>
  </si>
  <si>
    <t>RAV-HM301U1TP-E</t>
  </si>
  <si>
    <t>RAV-HM401U1TP-E</t>
  </si>
  <si>
    <t>310/ - /520</t>
  </si>
  <si>
    <t>290/ - /540</t>
  </si>
  <si>
    <t>30/35/39</t>
  </si>
  <si>
    <t>30/36/40</t>
  </si>
  <si>
    <t>150 x 990 x 450</t>
  </si>
  <si>
    <t>30 x 1220 x 530</t>
  </si>
  <si>
    <t>1.440,-</t>
  </si>
  <si>
    <t>RBC-UY32P-E</t>
  </si>
  <si>
    <t>Panel pre veľkosti 3 až 12</t>
  </si>
  <si>
    <t>555,-</t>
  </si>
  <si>
    <t>RBC-AX33UYP-E</t>
  </si>
  <si>
    <t>Infračervené diaľkové ovládanie + súprava prijímača na montáž do 1-cestnej kazetovej jednotky (SMMSu)</t>
  </si>
  <si>
    <t>TCB-EAPC1UYHP-E</t>
  </si>
  <si>
    <t>Ozónová čistička vzduchu pre 1-cestnú kazetovú jednotku (SMMSu)</t>
  </si>
  <si>
    <t>300,-</t>
  </si>
  <si>
    <t>TCB-SIR41UYP-E</t>
  </si>
  <si>
    <t>Súprava snímača pohybu na montáž do 1-cestnej kazetovej jednotky (SMMSu)</t>
  </si>
  <si>
    <t>90 I</t>
  </si>
  <si>
    <t>Plochá kanálová jednotka</t>
  </si>
  <si>
    <t>&gt;  Kombinácia s vonkajšou jednotkou DI NEXT
&gt;  Najmenšia konštrukčná výška už od 210 mm
&gt;  Trieda účinnosti až A++, integrovaný vzduchový filter
&gt;  Integrované kondenzátové čerpadlo (850 mm); jednotka je pripravená na externý prívod čerstvého vzduchu</t>
  </si>
  <si>
    <t>Digitálny invertor NEXT – 1-fázové vyhotovenie – plochá kanálová jednotka</t>
  </si>
  <si>
    <t>RAV-HM301SDTY-E RAV-GM302ATP-E</t>
  </si>
  <si>
    <t>RAV-HM401SDTY-E RAV-GM402ATP-E</t>
  </si>
  <si>
    <t>RAV-HM801SDTY-E RAV-GM802ATW-E</t>
  </si>
  <si>
    <t>6,7</t>
  </si>
  <si>
    <t>0,19/0,56/0,92</t>
  </si>
  <si>
    <t>0,18/0,93/2,00</t>
  </si>
  <si>
    <t>0,33/2,16/2,77</t>
  </si>
  <si>
    <t>5,63</t>
  </si>
  <si>
    <t>7,7</t>
  </si>
  <si>
    <t>0,17/0,86/1,40</t>
  </si>
  <si>
    <t>0,17/0,97/1,70</t>
  </si>
  <si>
    <t>0,31/2,24/2,66</t>
  </si>
  <si>
    <t>3,44</t>
  </si>
  <si>
    <t>2.530,-</t>
  </si>
  <si>
    <t>RAV-HM301SDTY-E</t>
  </si>
  <si>
    <t>RAV-HM401SDTY-E</t>
  </si>
  <si>
    <t>RAV-HM801SDTY-E</t>
  </si>
  <si>
    <t>420/ - /570</t>
  </si>
  <si>
    <t>440/ - /600</t>
  </si>
  <si>
    <t>910/ - /1140</t>
  </si>
  <si>
    <t>10/50</t>
  </si>
  <si>
    <t>27/30/33</t>
  </si>
  <si>
    <t>32/34/37</t>
  </si>
  <si>
    <t>22</t>
  </si>
  <si>
    <t>1.110,-</t>
  </si>
  <si>
    <t>RBC-AXU31-E</t>
  </si>
  <si>
    <t>Infračervené diaľkové ovládanie s externou súpravou prijímača na všetky vnútorné jednotky</t>
  </si>
  <si>
    <t>460,-</t>
  </si>
  <si>
    <t>I 91</t>
  </si>
  <si>
    <t>Štandardná kanálová jednotka</t>
  </si>
  <si>
    <t>&gt;  Kombinácia s vonkajšou jednotkou DI CLASSIC
&gt;  Malá konštrukčná výška už od 275 mm
&gt;  Externý statický tlak do 120 Pa, integrovaný vzduchový filter
&gt;  Integrované kondenzátové čerpadlo (850 mm); jednotka je pripravená na externý
prívod čerstvého vzduchu</t>
  </si>
  <si>
    <t>Digitálny invertor CLASSIC – 1-fázové vyhotovenie – štandardná kanálová jednotka</t>
  </si>
  <si>
    <t>RAV-HM801BTP-E RAV-GV801ATP-E</t>
  </si>
  <si>
    <t>RAV-HM1101BTP-E RAV-GV1101ATP-E</t>
  </si>
  <si>
    <t>RAV-HM1401BTP-E RAV-GV1401ATP-E</t>
  </si>
  <si>
    <t>RAV-HM1601BTP-E RAV-GV1601ATP-E</t>
  </si>
  <si>
    <t>- /2,30/ -</t>
  </si>
  <si>
    <t>- /3,17/ -</t>
  </si>
  <si>
    <t>- /4,70/ -</t>
  </si>
  <si>
    <t>- /2,33/ -</t>
  </si>
  <si>
    <t>- /4,00/ -</t>
  </si>
  <si>
    <t>3.360,-</t>
  </si>
  <si>
    <t>4.180,-</t>
  </si>
  <si>
    <t>4.550,-</t>
  </si>
  <si>
    <t>5.480,-</t>
  </si>
  <si>
    <t>RAV-HM801BTP-E</t>
  </si>
  <si>
    <t>RAV-HM1101BTP-E</t>
  </si>
  <si>
    <t>RAV-HM1401BTP-E</t>
  </si>
  <si>
    <t>RAV-HM1601BTP-E</t>
  </si>
  <si>
    <t>750/930/1200</t>
  </si>
  <si>
    <t>1260/1650/2100</t>
  </si>
  <si>
    <t>30/120</t>
  </si>
  <si>
    <t>50/120</t>
  </si>
  <si>
    <t>26/30/34</t>
  </si>
  <si>
    <t>275 x 1000 x 750</t>
  </si>
  <si>
    <t>275 x 1400 x 750</t>
  </si>
  <si>
    <t>1.410,-</t>
  </si>
  <si>
    <t>1.790,-</t>
  </si>
  <si>
    <t>1.940,-</t>
  </si>
  <si>
    <t>92 I</t>
  </si>
  <si>
    <t>Digitálny invertor CLASSIC – 3-fázové vyhotovenie – štandardná kanálová jednotka</t>
  </si>
  <si>
    <t>RAV-HM1101BTP-E RAV-GV1101AT8P-E</t>
  </si>
  <si>
    <t>RAV-HM1401BTP-E RAV-GV1401AT8P-E</t>
  </si>
  <si>
    <t>RAV-HM1601BTP-E RAV-GV1601AT8P-E</t>
  </si>
  <si>
    <t>- /3,06/ -</t>
  </si>
  <si>
    <t>- /4,90/ -</t>
  </si>
  <si>
    <t>- /2,94/ -</t>
  </si>
  <si>
    <t>4.810,-</t>
  </si>
  <si>
    <t>6.040,-</t>
  </si>
  <si>
    <t>TCB-SF56C6BPE</t>
  </si>
  <si>
    <t>Spojovacia príruba (2× Ø 200 mm) RAV: veľkosť 5/VRF: veľkosti 5 až 18</t>
  </si>
  <si>
    <t>TCB-SF80C6BPE</t>
  </si>
  <si>
    <t>Spojovacia príruba (3× Ø 200 mm) RAV: veľkosť 8/VRF: veľkosti 24 až 30</t>
  </si>
  <si>
    <t>TCB-SF160C6BPE</t>
  </si>
  <si>
    <t>Spojovacia príruba (4× Ø 200 mm) RAV: veľkosti 11 až 16/VRF: veľkosti 36 až 56</t>
  </si>
  <si>
    <t>I 93</t>
  </si>
  <si>
    <t>&gt;  Kombinácia s vonkajšou jednotkou DI NEXT
&gt;  Malá konštrukčná výška už od 275 mm
&gt;  Externý statický tlak do 120 Pa, integrovaný vzduchový filter
&gt;  Integrované kondenzátové čerpadlo (850 mm); jednotka je pripravená na externý
prívod čerstvého vzduchu</t>
  </si>
  <si>
    <t>Digitálny invertor NEXT – 1-fázové vyhotovenie – štandardná kanálová jednotka</t>
  </si>
  <si>
    <t>RAV-HM561BTP-E RAV-GM562ATP-E</t>
  </si>
  <si>
    <t>RAV-HM801BTP-E RAV-GM802ATW-E</t>
  </si>
  <si>
    <t>RAV-HM901BTP-E RAV-GM902ATW-E</t>
  </si>
  <si>
    <t>RAV-HM1101BTP-E RAV-GM1102ATW-E</t>
  </si>
  <si>
    <t>RAV-HM1401BTP-E RAV-GM1402ATW-E</t>
  </si>
  <si>
    <t>RAV-HM1601BTP-E RAV-GM1602ATW-E</t>
  </si>
  <si>
    <t>0,31/1,83/</t>
  </si>
  <si>
    <t>0,33/2,02/</t>
  </si>
  <si>
    <t>0,33/2,39/</t>
  </si>
  <si>
    <t>0,64/2,60/</t>
  </si>
  <si>
    <t>0,64/4,01/</t>
  </si>
  <si>
    <t>0,64/5,26/</t>
  </si>
  <si>
    <t>1,360 - 9,00</t>
  </si>
  <si>
    <t>0,31/1,62/</t>
  </si>
  <si>
    <t>0,31/2,04/</t>
  </si>
  <si>
    <t>0,31/2,15/</t>
  </si>
  <si>
    <t>0,74/2,91/</t>
  </si>
  <si>
    <t>0,74/3,55/</t>
  </si>
  <si>
    <t>0,74/4,73/</t>
  </si>
  <si>
    <t>3.240,-</t>
  </si>
  <si>
    <t>4.010,-</t>
  </si>
  <si>
    <t>4.450,-</t>
  </si>
  <si>
    <t>5.180,-</t>
  </si>
  <si>
    <t>5.500,-</t>
  </si>
  <si>
    <t>RAV-HM561BTP-E</t>
  </si>
  <si>
    <t>RAV-HM901BTP-E</t>
  </si>
  <si>
    <t>480/630/</t>
  </si>
  <si>
    <t>750/930/</t>
  </si>
  <si>
    <t>1000/ - /</t>
  </si>
  <si>
    <t>1260/1650/</t>
  </si>
  <si>
    <t>25/29/33</t>
  </si>
  <si>
    <t>30/33/37</t>
  </si>
  <si>
    <t>275 x 700 x 750</t>
  </si>
  <si>
    <t>1.240,-</t>
  </si>
  <si>
    <t>1.620,-</t>
  </si>
  <si>
    <t>94 I</t>
  </si>
  <si>
    <t>Digitálny invertor NEXT – 3-fázové vyhotovenie – štandardná kanálová jednotka</t>
  </si>
  <si>
    <t>RAV-HM1101BTP-E RAV-GM1102AT8W-E</t>
  </si>
  <si>
    <t>RAV-HM1401BTP-E RAV-GM1402AT8W-E</t>
  </si>
  <si>
    <t>RAV-HM1601BTP-E RAV-GM1602AT8W-E</t>
  </si>
  <si>
    <t>0,68/2,56/3,17</t>
  </si>
  <si>
    <t>068/3,94/4,48</t>
  </si>
  <si>
    <t>0,68/5,14/5,90</t>
  </si>
  <si>
    <t>0,78/2,87/3,38</t>
  </si>
  <si>
    <t>0,78/3,50/4,58</t>
  </si>
  <si>
    <t>0,78/4,66/6,92</t>
  </si>
  <si>
    <t>5.660,-</t>
  </si>
  <si>
    <t>6.870,-</t>
  </si>
  <si>
    <t>I 95</t>
  </si>
  <si>
    <t>&gt;  Kombinácia s vonkajšou jednotkou SDI
&gt;  Malá konštrukčná výška už od 275 mm
&gt;  Externý statický tlak do 120 Pa, integrovaný vzduchový filter
&gt;  Integrované kondenzátové čerpadlo (850 mm); jednotka je pripravená na externý prívod čerstvého vzduchu
Super digitálny invertor – 1-fázové vyhotovenie – štandardná kanálová jednotka</t>
  </si>
  <si>
    <t>RAV-HM561BTP-E RAV-GP561ATW-E</t>
  </si>
  <si>
    <t>RAV-HM801BTP-E RAV-GP801ATW-E</t>
  </si>
  <si>
    <t>RAV-HM1401BTP-E RAV-GP1401AT-E1</t>
  </si>
  <si>
    <t>0,31/1,83/2,05</t>
  </si>
  <si>
    <t>0,25/1,63/3,20</t>
  </si>
  <si>
    <t>0,65/3,57/3,97</t>
  </si>
  <si>
    <t>6,77</t>
  </si>
  <si>
    <t>1,30 -11,30</t>
  </si>
  <si>
    <t>0,31/1,62/2,47</t>
  </si>
  <si>
    <t>0,20/1,85/3,55</t>
  </si>
  <si>
    <t>0,47/3,63/4,43</t>
  </si>
  <si>
    <t>3,86</t>
  </si>
  <si>
    <t>3.590,-</t>
  </si>
  <si>
    <t>6.690,-</t>
  </si>
  <si>
    <t>480/630/800</t>
  </si>
  <si>
    <t>41</t>
  </si>
  <si>
    <t>Klimatizačná jednotka                                                                                                                                             Klimatizačná jednotka</t>
  </si>
  <si>
    <t>Mriežka výpustu vzduchu</t>
  </si>
  <si>
    <t>Mriežka prívodu vzduchu</t>
  </si>
  <si>
    <t>V existujúcom medzistrope sa vnútorný vzduch nasaje dole na klimatizačnej
jednotke, klimatizuje sa a potom sa rozvádza cez vzduchové kanály a difuzér späť do miestnosti.</t>
  </si>
  <si>
    <t>Ak nie je k dispozícii medzistrop, môže sa so zníženým stropom len na jednej strane miestnosti dosiahnuť takmer neviditeľná klimatizácia.</t>
  </si>
  <si>
    <t>Super digitálny invertor – 3-fázové vyhotovenie – štandardná kanálová jednotka</t>
  </si>
  <si>
    <t>RAV-HM1101BTP-E RAV-GP1101AT8-E</t>
  </si>
  <si>
    <t>RAV-HM1401BTP-E RAV-GP1401AT8-E</t>
  </si>
  <si>
    <t>RAV-HM1601BTP-E RAV-GP1601AT8-E</t>
  </si>
  <si>
    <t>2,50 - 12,00</t>
  </si>
  <si>
    <t>0,66/2,58/4,01</t>
  </si>
  <si>
    <t>0,66/3,81/4,89</t>
  </si>
  <si>
    <t>0,66/4,49/6,50</t>
  </si>
  <si>
    <t>0,53/2,76/4,42</t>
  </si>
  <si>
    <t>0,53/3,66/5,71</t>
  </si>
  <si>
    <t>0,53/4,57/6,96</t>
  </si>
  <si>
    <t>7.070,-</t>
  </si>
  <si>
    <t>I 97</t>
  </si>
  <si>
    <t>Vysokotlaková kanálová jednotka</t>
  </si>
  <si>
    <t>&gt;  Kombinácia s vonkajšou jednotkou DI BIG
&gt;  Na kombinovanie s digitálnym invertorom BIG
&gt;  Nastaviteľný externý statický tlak do 250 Pa</t>
  </si>
  <si>
    <t>Digitálny invertor BIG – 3-fázové vyhotovenie – vysokotlaková kanálová jednotka</t>
  </si>
  <si>
    <t>RAV-RM2241DTP-E2 RAV-GM2241AT8-E1</t>
  </si>
  <si>
    <t>RAV-RM2801DTP-E2 RAV-GM2801AT8-E1</t>
  </si>
  <si>
    <t>4,60 - 22,40</t>
  </si>
  <si>
    <t>4,60 - 27,00</t>
  </si>
  <si>
    <t>1,27/5,86/9,05</t>
  </si>
  <si>
    <t>1,27/7,98/11,87</t>
  </si>
  <si>
    <t>4,60 - 25,00</t>
  </si>
  <si>
    <t>4,60 - 31,50</t>
  </si>
  <si>
    <t>1,27/5,71/10,15</t>
  </si>
  <si>
    <t>1,27/7,52/13,83</t>
  </si>
  <si>
    <t>3x 20</t>
  </si>
  <si>
    <t>3x 25</t>
  </si>
  <si>
    <t>12.500,-</t>
  </si>
  <si>
    <t>13.490,-</t>
  </si>
  <si>
    <t>RAV-RM2241DTP-E2</t>
  </si>
  <si>
    <t>RAV-RM2801DTP-E2</t>
  </si>
  <si>
    <t>50/150/250</t>
  </si>
  <si>
    <t>36/40/44</t>
  </si>
  <si>
    <t>38/42/46</t>
  </si>
  <si>
    <t>448 x 1400 x 900</t>
  </si>
  <si>
    <t>4.960,-</t>
  </si>
  <si>
    <t>5.220,-</t>
  </si>
  <si>
    <t>RAV-GM2241AT8-E1</t>
  </si>
  <si>
    <t>RAV-GM2801AT8-E1</t>
  </si>
  <si>
    <t>28,6 (1 1/8)</t>
  </si>
  <si>
    <t>7.390,-</t>
  </si>
  <si>
    <t>8.120,-</t>
  </si>
  <si>
    <t>TCB-DP40DPE</t>
  </si>
  <si>
    <t>Čerpadlo kondenzátu, RAV: 22 a 28/VRF: 72 a 96</t>
  </si>
  <si>
    <t>TCB-LK2801DP-E</t>
  </si>
  <si>
    <t>Súprava vzduchového filtra s dlhou životnosťou, vhodná pre modely RAV: 22 a 28/VRF: 72 a 96</t>
  </si>
  <si>
    <t>155,-</t>
  </si>
  <si>
    <t>98 I</t>
  </si>
  <si>
    <t>Stojanová jednotka</t>
  </si>
  <si>
    <t>&gt;  Kombinácia s vonkajšou jednotkou DI NEXT
&gt;  Dokonalá cirkulácia vzduchu
&gt;  Možnosť pripojenia Plug &amp; Play s integrovaným komfortným diaľkovým ovládaním
&gt;  Integrovaný systém na detekciu únikov chladiva
&gt;  Voliteľné príslušenstvo: diaľkové ovládanie + súprava krytov</t>
  </si>
  <si>
    <t>Digitálny invertor NEXT – 1-fázové vyhotovenie – stojanová jednotka</t>
  </si>
  <si>
    <t>RAV-HM561FT-E RAV-GM562ATP-E</t>
  </si>
  <si>
    <t>RAV-HM801FT-E RAV-GM802ATW-E</t>
  </si>
  <si>
    <t>RAV-HM901FT-E RAV-GM902ATW-E</t>
  </si>
  <si>
    <t>RAV-HM1401FT-E RAV-GM1402ATW-E</t>
  </si>
  <si>
    <t>RAV-HM1601FT-E RAV-GM1602ATW-E</t>
  </si>
  <si>
    <t>0,30/1,79/</t>
  </si>
  <si>
    <t>0,37/2,23/</t>
  </si>
  <si>
    <t>0,37/2,42/</t>
  </si>
  <si>
    <t>0,60/4,32/</t>
  </si>
  <si>
    <t>0,60/5,632/</t>
  </si>
  <si>
    <t>0,22/1,72/</t>
  </si>
  <si>
    <t>0,32/2,48/</t>
  </si>
  <si>
    <t>0,32/2,32/</t>
  </si>
  <si>
    <t>0,70/3,95/</t>
  </si>
  <si>
    <t>0,70/5,65/</t>
  </si>
  <si>
    <t>Cena setu vrátane RBC-AMSU52-E</t>
  </si>
  <si>
    <t>4.785,-</t>
  </si>
  <si>
    <t>5.530,-</t>
  </si>
  <si>
    <t>7.000,-</t>
  </si>
  <si>
    <t>7.745,-</t>
  </si>
  <si>
    <t>RAV-HM561FT-E</t>
  </si>
  <si>
    <t>RAV-HM801FT-E</t>
  </si>
  <si>
    <t>RAV-HM901FT-E</t>
  </si>
  <si>
    <t>RAV-HM1401FT-E</t>
  </si>
  <si>
    <t>RAV-HM1601FT-E</t>
  </si>
  <si>
    <t>600/ - /</t>
  </si>
  <si>
    <t>640/ - /</t>
  </si>
  <si>
    <t>820/ - /</t>
  </si>
  <si>
    <t>1350/ - /</t>
  </si>
  <si>
    <t>41/45/50</t>
  </si>
  <si>
    <t>37/40/45</t>
  </si>
  <si>
    <t>45/48/53</t>
  </si>
  <si>
    <t>1750 x 600 x 210</t>
  </si>
  <si>
    <t>1750 x 600 x 390</t>
  </si>
  <si>
    <t>2.730,-</t>
  </si>
  <si>
    <t>2.875,-</t>
  </si>
  <si>
    <t>3.035,-</t>
  </si>
  <si>
    <t>3.235,-</t>
  </si>
  <si>
    <t>3.290,-</t>
  </si>
  <si>
    <t>I 99</t>
  </si>
  <si>
    <t>Digitálny invertor NEXT – 3-fázové vyhotovenie – stojanová jednotka</t>
  </si>
  <si>
    <t>RAV-HM1101FT-E RAV-GM1102AT8W-E</t>
  </si>
  <si>
    <t>RAV-HM1401FT-E RAV-GM1402AT8W-E</t>
  </si>
  <si>
    <t>RAV-HM1601FT-E RAV-GM1602AT8W-E</t>
  </si>
  <si>
    <t>0,64/2,67/3,24</t>
  </si>
  <si>
    <t>0,64/4,24/4,58</t>
  </si>
  <si>
    <t>0,64/5,22/6,09</t>
  </si>
  <si>
    <t>0,74/3,07/3,75</t>
  </si>
  <si>
    <t>0,74/3,89/4,99</t>
  </si>
  <si>
    <t>0,74/5,65/7,55</t>
  </si>
  <si>
    <t>7.155,-</t>
  </si>
  <si>
    <t>7.540,-</t>
  </si>
  <si>
    <t>8.275,-</t>
  </si>
  <si>
    <t>RAV-HM1101FT-E</t>
  </si>
  <si>
    <t>1170/ - /1660</t>
  </si>
  <si>
    <t>1350/ - /1760</t>
  </si>
  <si>
    <t>41/46/51</t>
  </si>
  <si>
    <t>TCB-CKC1F-E</t>
  </si>
  <si>
    <t>Voliteľná krycia sada</t>
  </si>
  <si>
    <t>70,-</t>
  </si>
  <si>
    <t>100 I</t>
  </si>
  <si>
    <t>Stojanová jednotka
&gt;  Kombinácia s vonkajšou jednotkou SDI
&gt;  Dokonalá cirkulácia vzduchu
&gt;  Možnosť pripojenia Plug &amp; Play s integrovaným komfortným diaľkovým ovládaním
&gt;  Integrovaný systém na detekciu únikov chladiva
&gt;  Voliteľné príslušenstvo: diaľkové ovládanie + súprava krytov
Super digitálny invertor – stojanová jednotka</t>
  </si>
  <si>
    <t>1-fázové</t>
  </si>
  <si>
    <t>3-fázové</t>
  </si>
  <si>
    <t>RAV-HM801FT-E      RAV-HM1101FT-E</t>
  </si>
  <si>
    <t>RAV-GP801ATW-E     RAV-GP1101AT-E</t>
  </si>
  <si>
    <t>1,60 - 14,00</t>
  </si>
  <si>
    <t>0,19/1,42/</t>
  </si>
  <si>
    <t>0,26/2,04/</t>
  </si>
  <si>
    <t>0,60/2,39/</t>
  </si>
  <si>
    <t>0,60/3,78/</t>
  </si>
  <si>
    <t>0,66/2,46/</t>
  </si>
  <si>
    <t>0,66/3,61/</t>
  </si>
  <si>
    <t>0,66/4,39/</t>
  </si>
  <si>
    <t>Prevádzkový rozsah vonkajšej teploty (min.</t>
  </si>
  <si>
    <t>– max.)</t>
  </si>
  <si>
    <t>0,16/1,65/</t>
  </si>
  <si>
    <t>0,20/2,37/</t>
  </si>
  <si>
    <t>0,42/2,76/</t>
  </si>
  <si>
    <t>0,42/4,40/</t>
  </si>
  <si>
    <t>0,53/2,77/</t>
  </si>
  <si>
    <t>0,53/3,81/</t>
  </si>
  <si>
    <t>0,53/4,83/</t>
  </si>
  <si>
    <t>5.135,-</t>
  </si>
  <si>
    <t>7.675,-</t>
  </si>
  <si>
    <t>8.190,-</t>
  </si>
  <si>
    <t>7.585,-</t>
  </si>
  <si>
    <t>7.840,-</t>
  </si>
  <si>
    <t>8.475,-</t>
  </si>
  <si>
    <t>1170/ - /</t>
  </si>
  <si>
    <t>I 101</t>
  </si>
  <si>
    <t>Vetracie sady pre jednotky
MOŽNOSŤ PRIPOJENIA TEPELNÝCH VÝMENNÍKOV TRETÍCH STRÁN
Vetracia   sada   pre   jednotky   umožňuje   pripojenie   externých   tepelných výmenníkov   k   systému   TOSHIBA.   Je   perfektne   vhodná   na   použitie s centrálnymi vetracími zariadeniami alebo vzduchovými clonami. Kabeláž je pripravená na pripojenie. Pre použitie je potrebná príslušná súprava ventilov.</t>
  </si>
  <si>
    <t>Vetracia sada pre jednotky na reguláciu teploty odvádzaného vzduchu RAV-DXC010
Rozhranie  RAV  DX  na  pripojenie  tepelného  čerpadla  TOSHIBA  k  externému DX registru pozostáva z rozvádzača a všetkých potrebných snímačov.</t>
  </si>
  <si>
    <t>R410A       R32
Kompatibilná s vonkajšími jednotkami produktových línií:
&gt;  Super digitálny invertor
&gt;  Digitálny invertor BIG
Hranice teploty privádzaného vzduchu pre použitie:
&gt;  Režim chladenia: Teplota „Air On“: min. teplota vlhkého teplomeru 15 °C (teplota suchého teplomeru 18 °C)/max. teplota vlhkého teplomeru 24 °C (teplota suchého teplomeru 32 °C)
&gt;  Režim vykurovania: Teplota „Air On“: min. teplota suchého teplomeru 15 °C/max. teplota
suchého teplomeru 28 °C</t>
  </si>
  <si>
    <t>Regulátor na DX tepelný výmenník vetracej jednotky</t>
  </si>
  <si>
    <t>Vonkajšia jednotka</t>
  </si>
  <si>
    <t>Vetracia jednotka
(k dispozícii na mieste)</t>
  </si>
  <si>
    <t>102 I</t>
  </si>
  <si>
    <t>Vetracia sada pre jednotky na ovládanie výkonu signálom 0 – 10 V: RBC-DXC031
Rozhranie RAV/VRF-DX umožňuje ovládanie výkonu tepelného čerpadla TOSHIBA
pomocou externého DX registra prostredníctvom signálu 0 – 10 V existujúcej riadiacej techniky budovy.</t>
  </si>
  <si>
    <t>R410A       R32</t>
  </si>
  <si>
    <t>Kompatibilná s vonkajšími jednotkami produktových línií:
&gt;  Super digitálny invertor
&gt;  Digitálny invertor BIG
&gt;  VRF – len v prípade výkonu 8 a 10 HP
Funkcie
&gt;  Regulátor môže byť nakonfigurovaný pomocou DIP prepínača na RAV alebo VRF
&gt;  Systémy RAV používajú vo vonkajšej jednotke vstavaný pulzový modulačný ventil; tu nie je nutné žiadne ďalšie príslušenstvo
&gt;  Na registri nie je potrebný žiaden snímač TA
&gt;  Analógový vstup pre požiadavku na výkon (signál 0 – 10 V)
&gt;  Digitálne vstupy pre zapnutie/vypnutie, druh prevádzky, uzamknutie diaľkového ovládania, ako aj digitálne výstupy pre hlásenia chýb a alarmov, odmrazovanie, motor ventilátora atď.</t>
  </si>
  <si>
    <t>Údaje o výkone pre vetracie sady pre jednotky</t>
  </si>
  <si>
    <t>&gt;  Vetracia sada pre jednotky s doskou PC Board, transformátorom a svorkovnicou
&gt;  Diaľkové ovládanie je potrebné
&gt;  Použiteľné v spojení s vetracími zariadeniami a vzduchovými clonami
&gt;  K dispozícii v dvoch rozdielnych verziách na reguláciu teploty odpadového vzduchu alebo ovládanie signálom 0 – 10 V
&gt;  Kombinácia s vonkajšou jednotkou SDI a DI BIG</t>
  </si>
  <si>
    <t>MODEL                                                       CHLADIVO           CHLADIACI VÝKON        VYKUROVACÍ VÝKON       PRIETOK VZDUCHU                    OBJEM
MIN. – MAX. (kW)              MIN. – MAX. (kW)           ŠTANDARDNÝ (m3/h)         DX REGISTRA (dm3)</t>
  </si>
  <si>
    <t>SDI</t>
  </si>
  <si>
    <t>1,20 – 5,60</t>
  </si>
  <si>
    <t>0,90 – 7,40</t>
  </si>
  <si>
    <t>0,8 – 1,1</t>
  </si>
  <si>
    <t>1,90 – 8,00</t>
  </si>
  <si>
    <t>1,30 – 11,30</t>
  </si>
  <si>
    <t>1,0 – 1,4</t>
  </si>
  <si>
    <t>RAV-GP1101AT/AT8-E</t>
  </si>
  <si>
    <t>3,10 – 12,00</t>
  </si>
  <si>
    <t>2,60 – 13,00</t>
  </si>
  <si>
    <t>1,5 – 2,1</t>
  </si>
  <si>
    <t>RAV-GP1401AT-E1/AT8-E</t>
  </si>
  <si>
    <t>3,10 – 14,00</t>
  </si>
  <si>
    <t>2,60 – 16,50</t>
  </si>
  <si>
    <t>1,7 – 2,7</t>
  </si>
  <si>
    <t>2,60 – 16,00</t>
  </si>
  <si>
    <t>2,40 – 19,00</t>
  </si>
  <si>
    <t>1,7 – 3,2</t>
  </si>
  <si>
    <t>DI: Digitálny invertor   SDI: Super digitálny invertor</t>
  </si>
  <si>
    <t>RAV-DXC010</t>
  </si>
  <si>
    <t>400 x 300 x 150</t>
  </si>
  <si>
    <t>RBC-DXC031</t>
  </si>
  <si>
    <t>1.505,-</t>
  </si>
  <si>
    <t>Hranice teploty privádzaného vzduchu pre použitie
Režim chladenia: Teplota „Air ON“: min. teplota vlhkého teplomeru 15 °C (teplota suchého teplomeru 18 °C)/max. teplota vlhkého teplomeru 24 °C (teplota suchého teplomeru 32 °C)            Režim vykurovania: Teplota „Air ON“: min. teplota suchého teplomeru 15 °C/max. teplota suchého teplomeru 28 °C
Objem rúry DX tepelného výmenníka sa musí dimenzovať podľa návodu na inštaláciu; prekročenia/pokles o +/- 10 % sú prípustné.</t>
  </si>
  <si>
    <t>I 103</t>
  </si>
  <si>
    <t>Vetracia sada pre jednotky NEXT
Pripojenie tepelných výmenníkov tretích strán
Vetracia sada pre jednotky NEXT je výkonná sada na priame zvlhčovanie. Pozostáva z rozvádzača a snímačov. Je ideálna na použitie s vetracími zariadeniami a vzduchovými clonami. Ovládač je možné flexibilne konfigurovať pre ovládanie výkonu podľa teploty odpadového vzduchu alebo signálom 0 – 10 V.
Kompatibilná s vonkajšími jednotkami produktových línií:
&gt;  Digitálny invertor
&gt;  Digitálny invertor NEXT
&gt;  Super digitálny invertor
&gt;  Digitálny invertor BIG
Údaje:
&gt;  Chladiaci výkon: 3,0 – 27,0 kW
&gt;  Vykurovací výkon: 4,5 – 31,5 kW
&gt;  Prietok vzduchu: 450 – 5 040 m3/h</t>
  </si>
  <si>
    <t>TCB-IFDLR01UP-E</t>
  </si>
  <si>
    <t>420 x 330 x 122</t>
  </si>
  <si>
    <t>BUSINESS/RAV</t>
  </si>
  <si>
    <t>Riešenia RAV Split pre jednu teplotnú zónu</t>
  </si>
  <si>
    <t>&gt; Cenovo výhodné riešenia Multi pre jednu teplotnú zónu
&gt;  Kombinácie Split Twin, Triple a Double Twin s až štyrmi vnútornými jednotkami
&gt;  Typy vnútorných jednotiek musia byť pre riešenia Multi identické (rovnaká konštrukcia a výkon)
&gt;  Nemožno použiť pre digitálny invertor CLASSIC</t>
  </si>
  <si>
    <t>Rozbočovače pre inštalácie Multi</t>
  </si>
  <si>
    <t>DIGITÁLNY INVERTOR BIG</t>
  </si>
  <si>
    <t>RBC-TWP101E</t>
  </si>
  <si>
    <t>Rozbočovač pre Twin Kit – 22,40 a 28,00 kW</t>
  </si>
  <si>
    <t>RBC-TRP100E</t>
  </si>
  <si>
    <t>Triple Kit – DI BIG: 22,40 a 28,00 kW/DI+SDI: 16,00 kW</t>
  </si>
  <si>
    <t>RBC-DTWP101E</t>
  </si>
  <si>
    <t>Rozbočovač pre Double Twin Kit – 22,40 a 28,00 kW</t>
  </si>
  <si>
    <t>435,-</t>
  </si>
  <si>
    <t>DIGITÁLNY INVERTOR/SUPER DIGITÁLNY INVERTOR</t>
  </si>
  <si>
    <t>RBC-TWP30E2</t>
  </si>
  <si>
    <t>Rozbočovač pre Twin Kit – 11,20 kW</t>
  </si>
  <si>
    <t>145,-</t>
  </si>
  <si>
    <t>RBC-TWP50E2</t>
  </si>
  <si>
    <t>Rozbočovač pre Twin Kit – 14,00 kW</t>
  </si>
  <si>
    <t>TWIN
Digitálny   invertor/super   digitálny   invertor/digitálny
invertor NEXT</t>
  </si>
  <si>
    <t>TRIPLE
Digitálny   invertor/super   digitálny   invertor/digitálny
invertor NEXT</t>
  </si>
  <si>
    <t>Možnosti kombinácií (model)*</t>
  </si>
  <si>
    <t>VONKAJŠIA                    VNÚTORNÁ                ROZBOČOVACIA JEDNOTKA                     JEDNOTKA                       SÚPRAVA</t>
  </si>
  <si>
    <t>11,2                              5,6 + 5,6                      RBC-TWP30E2
14,0                              8,0 + 8,0                      RBC-TWP50E2</t>
  </si>
  <si>
    <t>TWIN
Digitálny invertor BIG</t>
  </si>
  <si>
    <t>TRIPLE
Digitálny invertor BIG</t>
  </si>
  <si>
    <t>22,4                            11,2 + 11,2                    RBC-TWP101E
28,0                            14,0 + 14,0                    RBC-TWP101E</t>
  </si>
  <si>
    <t>DOUBLE-TWIN
Digitálny invertor BIG</t>
  </si>
  <si>
    <t>22,4                     5,6 + 5,6 + 5,6 + 5,6           RBC-DTWP101E
28,0                     8,0 + 8,0 + 8,0 + 8,0           RBC-DTWP101E</t>
  </si>
  <si>
    <t>Výňatky – úplné kombinácie, údaje a hodnoty nájdete v príslušných kartách údajov.</t>
  </si>
  <si>
    <t>106 I</t>
  </si>
  <si>
    <t>Vzduchové clony</t>
  </si>
  <si>
    <t>&gt;  Vykurovacia prevádzka alebo účinné vzduchové bariéry vo vstupných priestoroch</t>
  </si>
  <si>
    <t>na objednávku</t>
  </si>
  <si>
    <t>Voľne zavesená jednotka                                                     Vstavaná jednotka</t>
  </si>
  <si>
    <t>I 107</t>
  </si>
  <si>
    <t>Digitálny invertor CLASSIC</t>
  </si>
  <si>
    <t xml:space="preserve">nou jednotkou
</t>
  </si>
  <si>
    <t>&gt;  Robustný produkt CLASSIC Line s kompaktnou a ľahkou nekapotova
&gt;  Dlhá životnosť a efektivita
&gt;  Prevádzkový rozsah od -15 °C do +46 °C
&gt;  Dĺžky vedení do 30 m</t>
  </si>
  <si>
    <t>Digitálny invertor CLASSIC – 1-fázové vyhotovenie</t>
  </si>
  <si>
    <t>39</t>
  </si>
  <si>
    <t>Digitálny invertor CLASSIC – 3-fázové vyhotovenie</t>
  </si>
  <si>
    <t>108 I</t>
  </si>
  <si>
    <t>Digitálny invertor NEXT</t>
  </si>
  <si>
    <t>&gt;  NEXT Level: kompaktnosť – dlhá životnosť – účinnosť
&gt;  Funkcie jednoduchej inštalácie
&gt;  Funkcie jednoduchého uvedenia do prevádzky
&gt;  3-stupňové nastavenie tichého režimu</t>
  </si>
  <si>
    <t>Digitálny invertor NEXT – 1-fázové vyhotovenie</t>
  </si>
  <si>
    <t>RAV- GM302ATP-E</t>
  </si>
  <si>
    <t>RAV- GM402ATP-E</t>
  </si>
  <si>
    <t>RAV- GM562ATP-E</t>
  </si>
  <si>
    <t>RAV- GM802ATW-E</t>
  </si>
  <si>
    <t>RAV- GM1102ATW-E</t>
  </si>
  <si>
    <t>RAV- GM1402ATW-E</t>
  </si>
  <si>
    <t>RAV- GM1602ATW-E</t>
  </si>
  <si>
    <t>3,6</t>
  </si>
  <si>
    <t>12,1</t>
  </si>
  <si>
    <t>49</t>
  </si>
  <si>
    <t>56</t>
  </si>
  <si>
    <t>0,9</t>
  </si>
  <si>
    <t>85</t>
  </si>
  <si>
    <t>Digitálny invertor – 3-fázové vyhotovenie</t>
  </si>
  <si>
    <t>I 109</t>
  </si>
  <si>
    <t>Super digitálny invertor</t>
  </si>
  <si>
    <t>&gt;  Kompaktnosť – dlhá životnosť – vysoká účinnosť
&gt;  Prevádzkový rozsah od -27 °C do +52 °C
&gt;  Dĺžky vedení do 75 m</t>
  </si>
  <si>
    <t>Super digitálny invertor – 1-fázové vyhotovenie</t>
  </si>
  <si>
    <t>Super digitálny invertor – 3-fázové vyhotovenie</t>
  </si>
  <si>
    <t>110 I</t>
  </si>
  <si>
    <t>Digitálny invertor BIG</t>
  </si>
  <si>
    <t>&gt;  Robustná 3-fázová jednotka s dlhou životnosťou
&gt;  Prevádzkový rozsah od -27 °C do +52 °C
&gt;  Dĺžky vedení do 100 m</t>
  </si>
  <si>
    <t>Digitálny invertor BIG – 3-fázové vyhotovenie</t>
  </si>
  <si>
    <t>Dĺžka vedení           Dĺžka vedení                                                                             Ø vedenia nasávaného                                       Predplnené množstvo
TYP                                        (min.)                     (max.)            Vopred naplnený do       Prevýšenie (max.)                    plynu                 Ø vedenia kvapaliny            chladiaceho                    Dopĺňanie
prostriedku</t>
  </si>
  <si>
    <t>m                       m                         m                           m                       mm (palce)                 mm (palce)                      kg                           g/m
DIGITAL INVERTER CLASSIC 1-fázové</t>
  </si>
  <si>
    <t>DIGITAL INVERTER CLASSIC 3-fázové</t>
  </si>
  <si>
    <t>DIGITAL INVERTER NEXT 1-fázové</t>
  </si>
  <si>
    <t>DIGITAL INVERTER NEXT 3-fázové</t>
  </si>
  <si>
    <t>SUPER DIGITÁLNY INVERTOR – 1-fázový</t>
  </si>
  <si>
    <t>SUPER DIGITÁLNY INVERTOR – 3-fázový</t>
  </si>
  <si>
    <t>DIGITAL INVERTER BIG 3-fázové</t>
  </si>
  <si>
    <t>A                       A                        kW                              kW                             A                    V/f + N/Hz
DIGITAL INVERTER CLASSIC 1-fázové</t>
  </si>
  <si>
    <t>0,30/1,79/2,00</t>
  </si>
  <si>
    <t>0,22/1,72/2,70</t>
  </si>
  <si>
    <t>0,37/2,23/2,91</t>
  </si>
  <si>
    <t>0,32/2,48/3,17</t>
  </si>
  <si>
    <t>0,37/2,42/3,02</t>
  </si>
  <si>
    <t>0,32/2,32/3,31</t>
  </si>
  <si>
    <t>0,60/2,71/3,28</t>
  </si>
  <si>
    <t>0,70/3,10/3,79</t>
  </si>
  <si>
    <t>H07RN-F 3G4,0</t>
  </si>
  <si>
    <t>0,60/4,32/4,62</t>
  </si>
  <si>
    <t>0,70/3,95/5,03</t>
  </si>
  <si>
    <t>0,60/5,632/6,19</t>
  </si>
  <si>
    <t>0,70/5,65/6,16</t>
  </si>
  <si>
    <t>3x 11,60</t>
  </si>
  <si>
    <t>3x 4,6</t>
  </si>
  <si>
    <t>3x 13,40</t>
  </si>
  <si>
    <t>3x 6,80</t>
  </si>
  <si>
    <t>3x 14,60</t>
  </si>
  <si>
    <t>0,19/1,42/2,00</t>
  </si>
  <si>
    <t>0,16/1,65/2,80</t>
  </si>
  <si>
    <t>0,26/2,04/3,32</t>
  </si>
  <si>
    <t>0,20/2,37/3,75</t>
  </si>
  <si>
    <t>0,59/2,91/3,40</t>
  </si>
  <si>
    <t>3x 16,40</t>
  </si>
  <si>
    <t>3x 4,70</t>
  </si>
  <si>
    <t>0,66/2,32/3,60</t>
  </si>
  <si>
    <t>0,53/2,41/4,30</t>
  </si>
  <si>
    <t>3x 6,50</t>
  </si>
  <si>
    <t>0,66/3,42/3,60</t>
  </si>
  <si>
    <t>0,53/3,41/5,50</t>
  </si>
  <si>
    <t>3x 7,50</t>
  </si>
  <si>
    <t>0,66/4,34/5,70</t>
  </si>
  <si>
    <t>0,53/4,28/6,51</t>
  </si>
  <si>
    <t>3x 18,00</t>
  </si>
  <si>
    <t>3x 23,00</t>
  </si>
  <si>
    <t>H07RN-F 5G4,5</t>
  </si>
  <si>
    <t>TYP                                   Hladina akustického výkonu           Hladina akustického výkonu              Hladina akustického tlaku                   Hladina akustického tlaku           Hladina akustického tlaku (nočný
(low/med/high)                                  (low/med/high)                                  režim, @ 1m)</t>
  </si>
  <si>
    <t>dB(A)                                      dB(A)                                         dB(A)                                           dB(A)                                         dB(A)
DIGITAL INVERTER CLASSIC 1-fázové</t>
  </si>
  <si>
    <t>43/44</t>
  </si>
  <si>
    <t>41/43</t>
  </si>
  <si>
    <t>44/45</t>
  </si>
  <si>
    <t>53/55</t>
  </si>
  <si>
    <t>56/58</t>
  </si>
  <si>
    <t>Akustický tlak v nočnom režime: s modulom akustickej redukcie, súpravou káblov, prepínačom DIP alebo diaľkovým ovládaním. Pozrite možnosti externého ovládania.</t>
  </si>
  <si>
    <t>Lokálne káblové diaľkové ovládania</t>
  </si>
  <si>
    <t>TYP/POPIS                                                                                                                                                                                                       CENA €</t>
  </si>
  <si>
    <t>RBC-AS41E
Jednoduché káblové diaľkové ovládanie
Na ovládanie všetkých hlavných funkcií vnútornej jednotky alebo skupiny až 8 vnútorných jednotiek Kompatibilné so všetkými vnútornými jednotkami, ktoré disponujú A/B zbernicou diaľkového ovládania DN kódy nie sú nastaviteľné</t>
  </si>
  <si>
    <t>RBC-AMTU31-E
Štandardné káblové diaľkové ovládanie
Na ovládanie všetkých funkcií vnútornej jednotky alebo skupiny až 16 vnútorných jednotiek Kompatibilné so všetkými vnútornými jednotkami, ktoré disponujú A/B zbernicou diaľkového ovládania 168-hodinový časovač On/Off
DN kódy sú nastaviteľné</t>
  </si>
  <si>
    <t>RBC-AMS41E
Káblové diaľkové ovládanie s integrovaným týždenným časovačom
Na ovládanie všetkých funkcií vnútornej jednotky alebo skupiny až 8 vnútorných jednotiek Kompatibilné so všetkými vnútornými jednotkami, ktoré disponujú A/B zbernicou diaľkového ovládania Integrovaný týždenný časovač, programovateľných 8 udalostí/deň; 6 parametrov/udalosť
DN kódy sú nastaviteľné</t>
  </si>
  <si>
    <t>RBC-ASCU11-E
Kompaktné káblové diaľkové ovládanie
Variant štandardného káblového diaľkového ovládania s úzkym dizajnom
Na ovládanie všetkých funkcií vnútornej jednotky alebo skupiny až 16 vnútorných jednotiek Kompatibilné so všetkými vnútornými jednotkami, ktoré disponujú A/B zbernicou diaľkového ovládania Časovač Off
DN kódy sú nastaviteľné</t>
  </si>
  <si>
    <t>RBC-AMSU52-E
Komfortné káblové diaľkové ovládanie PLUS
Aktualizácia dizajnu a funkcií komfortného káblového diaľkového ovládania
Na ovládanie všetkých funkcií vnútornej jednotky alebo skupiny až 16 vnútorných jednotiek Kompatibilné so všetkými vnútornými jednotkami vybavenými A/B zbernicou diaľkového ovládania Možnosť nastavenia DN kódov
Pohodlné riadenie funkcií pre miestnosti so servermi
Ovládacia obrazovka vetrania pre tepelné výmenníky HRV</t>
  </si>
  <si>
    <t>225,-</t>
  </si>
  <si>
    <t>RBC-AWSU52-E
Komfortné káblové diaľkové ovládanie PLUS BT
Aktualizácia dizajnu a funkcií komfortného káblového diaľkového ovládania S podporou pripojenia BLUETOOTH pre smartfóny
Na ovládanie všetkých funkcií vnútornej jednotky alebo skupiny až 16 vnútorných jednotiek Kompatibilné so všetkými vnútornými jednotkami vybavenými A/B zbernicou diaľkového ovládania Možnosť nastavenia DN kódov
Pohodlné riadenie funkcií pre miestnosti so servermi Ovládacia obrazovka vetrania pre tepelné výmenníky HRV</t>
  </si>
  <si>
    <t>540,-</t>
  </si>
  <si>
    <t>RBC-MTSC1
Diaľkové ovládanie Local Touch Lite
Na ovládanie všetkých funkcií vnútornej jednotky alebo skupiny až 8 vnútorných jednotiek Kompatibilné so všetkými vnútornými jednotkami, ktoré disponujú A/B zbernicou diaľkového ovládania Ovládanie prostredníctvom 4,5-palcového farebného dotykového displeja
Grafika pre obrazovku a logo s možnosťou personalizácie prostredníctvom nahrania (480x272)
DN kódy sú nastaviteľné
nejde o skladový tovar – dodacia lehota na zákazku</t>
  </si>
  <si>
    <t>TCB-TC41U-E
Diaľkový snímač teploty
Kompatibilné so všetkými vnútornými jednotkami, ktoré disponujú A/B zbernicou diaľkového ovládania
Keď nie je možné exaktné zaznamenanie teploty cez snímač vo vnútornej jednotke alebo v káblovom diaľkovom ovládaní Prednostné postavenie voči snímaču jednotky a diaľkového ovládania</t>
  </si>
  <si>
    <t>116 I</t>
  </si>
  <si>
    <t>Lokálne infračervené diaľkové ovládania</t>
  </si>
  <si>
    <t>TYP/POPIS                                                                                                                                                                                           CENA €</t>
  </si>
  <si>
    <t>RBC-AXU31-E
Infračervené diaľkové ovládanie s externou súpravou prijímača na všetky vnútorné jednotky
Na ovládanie všetkých funkcií vnútornej jednotky alebo skupiny až 16 vnútorných jednotiek Funkčný rozsah ako RBC-AMTU31-E, avšak bezdrôtové
DN kódy nie sú nastaviteľné</t>
  </si>
  <si>
    <t>RBC-AXU31C-E
Infračervené diaľkové ovládanie + súprava prijímača na montáž do podstropnej jednotky
Na ovládanie všetkých funkcií vnútornej jednotky alebo skupiny až 16 vnútorných jednotiek Funkčný rozsah ako RBC-AMTU31-E, avšak bezdrôtové
DN kódy nie sú nastaviteľné</t>
  </si>
  <si>
    <t>375,-</t>
  </si>
  <si>
    <t>RBC-AXU31UW-E
Infračervené diaľkové ovládanie + súprava prijímača na montáž do 2-cestnej kazetovej jednotky
Na ovládanie všetkých funkcií vnútornej jednotky alebo skupiny až 16 vnútorných jednotiek Funkčný rozsah ako RBC-AMTU31-E, avšak bezdrôtové
DN kódy nie sú nastaviteľné</t>
  </si>
  <si>
    <t>RBC-AX33UYP-E
Infračervené diaľkové ovládanie + súprava prijímača na montáž do 1-cestnej kazetovej jednotky (SMMSu)
Na ovládanie všetkých funkcií vnútornej jednotky alebo skupiny až 16 vnútorných jednotiek Funkčný rozsah ako RBC-AMTU31-E, avšak bezdrôtové
DN kódy nie sú nastaviteľné</t>
  </si>
  <si>
    <t>RBC-AXU31UM-E
Infračervené diaľkové ovládanie + súprava prijímača na montáž do 60x60 slim kazety (SMMSu)
Na ovládanie všetkých funkcií vnútornej jednotky alebo skupiny až 16 vnútorných jednotiek Funkčný rozsah ako RBC-AMTU31-E, avšak bezdrôtové
DN kódy nie sú nastaviteľné</t>
  </si>
  <si>
    <t>RBC-AXU31U-E
Infračervené diaľkové ovládanie + súprava prijímača na montáž do 4-cestnej štandardnej kazetovej jednotky
Na ovládanie všetkých funkcií vnútornej jednotky alebo skupiny až 16 vnútorných jednotiek Funkčný rozsah ako RBC-AMTU31-E, avšak bezdrôtové
DN kódy nie sú nastaviteľné</t>
  </si>
  <si>
    <t>I 117</t>
  </si>
  <si>
    <t>TCB-SIR41UM-E
Súprava snímača pohybu na montáž do 60 x 60 slim kazety
Automatické rozpoznávanie osôb v miestnosti
Ak sa 60 minút nerozpoznajú osoby, prepne sa vnútorná jednotka automaticky do režimu VYP alebo Standby Vyžaduje sa káblové diaľkové ovládanie RBC-AMSU52-E
Pri skupinovom ovládaní je potrebné ovládanie pre každú kazetu skupiny</t>
  </si>
  <si>
    <t>TCB-SIR41U-E
Súprava snímača pohybu na montáž do Smart kazety
Automatické rozpoznávanie osôb v miestnosti
Ak sa 60 minút nerozpoznajú osoby, prepne sa vnútorná jednotka automaticky do režimu VYP alebo Standby Vyžaduje sa káblové diaľkové ovládanie RBC-AMSU52-E
Pri skupinovom ovládaní je potrebné ovládanie pre každú kazetu skupiny</t>
  </si>
  <si>
    <t>TCB-SIR33UP-E
Súprava senzora prítomnosti na montáž do panela FLAT</t>
  </si>
  <si>
    <t>Možnosti ovládania cez mobilný telefón/aplikáciu/rozhranie KNX®</t>
  </si>
  <si>
    <t>AP-IR-WIFI-5
WiFi modul na ovládanie všetkých funkcií vnútornej jednotky prostredníctvom mobilného telefónu cez SMS alebo aplikáciu
Konfigurovateľný alarm teploty a vlhkosti
Kompatibilné so všetkými vnútornými jednotkami, ktoré disponujú štandardným infračerveným diaľkovým ovládaním Potrebné WLAN a internetové pripojenie
Bezplatná aplikácia pre iOS a Android
nejde o skladový tovar – dodacia lehota na zákazku len pre kazetovú a kanálovú jednotku</t>
  </si>
  <si>
    <t>580,-</t>
  </si>
  <si>
    <t>TO-RC-KNX-1i
Modul na ovládanie všetkých funkcií vnútornej jednotky prostredníctvom zbernice KNX®
Kompatibilné so všetkými vnútornými jednotkami, ktoré disponujú A/B zbernicou diaľkového ovládania Je potrebný zbernicový systém KNX®</t>
  </si>
  <si>
    <t>BMS-IWF0010UCP-E
Wifi rozhranie pre diaľkové ovládanie pomocou smartfónu alebo tabletu
Wifi rozhranie pre diaľkové ovládanie pomocou smartfónu alebo tabletu Kompatibilný so všetkými vnútornými jednotkami, ktoré majú konektor ovládača A/B
Správa a ovládanie všetkých funkcií vnútornej jednotky alebo skupiny jednotiek (až 16 zariadení) Riadenie spotreby energie (Energy Monitoring) pre RAV-systémy
Možnosť čítania chybových kódov
Vyžaduje sa prístup na internet alebo intranet
Bezplatná aplikácia pre iOS (od verzie 9.0) alebo Android (od verzie 5.0)</t>
  </si>
  <si>
    <t>Možnosti externého ovládania</t>
  </si>
  <si>
    <t>TCB-PX30MUE
Teleso na externú montáž pre 4-cestnú štandardnú kazetovú jednotku</t>
  </si>
  <si>
    <t>TCB-PX40MUME
Montážne teleso pre: doska pre externé riadenie, rozhranie TCC-Link, doska okenného kontaktu pre 60x60 slim kazetu, 4-cestnú štandardnú kazetovú jednotku, smart kazeta</t>
  </si>
  <si>
    <t>TCB-PCUC2E
Riadiaca doska na externé ovládanie, alarmy a hlásenia
Prípojka na CN521 3 analógové vstupy
3 bezpotenciálové digitálne vstupy/výstupy
Vstupné a výstupné funkcie konfigurovateľné otočným spínačom</t>
  </si>
  <si>
    <t>120 I</t>
  </si>
  <si>
    <t>TCB-IFCB-4E2
Modul prevádzkových hlásení, poruchových hlásení, diaľkového zapínania/vypínania
Výstup prevádzkových a poruchových hlásení
Môže byť napojené na hlavné zariadenie skupiny, aby sa realizovalo vstupné/výstupné ovládanie, ako aj chybové hlásenie až 16 vnútorných jednotiek
Pre pripojenie na CN61 Bezpotenciálové kontakty
RBC-FDP3-PE
Analógové rozhranie
Kompatibilné so všetkými vnútornými jednotkami, ktoré disponujú A/B zbernicou diaľkového ovládania Ovládanie všetkých hlavných funkcií cez 0 –10 V signály alebo rezistory s pevným odporom
Výstup prevádzkových a poruchových hlásení Je možné pripojenie Modbus
RBC-FDP3-Modbus
Rozhranie Modbus
Kompatibilné so všetkými vnútornými jednotkami, ktoré disponujú A/B zbernicou diaľkového ovládania Ovládanie všetkých hlavných funkcií
Možné adresovanie až 64 rozhraní v jednom obvode RS485 na ovládanie systémov s viacerými zónami Možné načítanie všetkých chybových kódov
TO-RC-BAC-1
Rozhranie BACnet® 1:1
Kompatibilné so všetkými vnútornými jednotkami, ktoré disponujú A/B zbernicou diaľkového ovládania Ovládanie všetkých hlavných funkcií
Na ovládanie všetkých funkcií vnútornej jednotky alebo skupiny až 16 vnútorných jednotiek Nejde o skladový tovar – dodacia lehota na zákazku</t>
  </si>
  <si>
    <t>475,-
760,-
595,-
750,-</t>
  </si>
  <si>
    <t>TCB-PCOS1E2
Modul na akustickú redukciu
Compatible with R32 outdoor units DI CLASSIC, DI NEXT (562 to 1602), SDI 1-phase Vstup pre akustickú redukciu (nočná prevádzka)
Vstup pre ovládanie max. výkonu 0/50/75 % Výstup pre prevádzkové hlásenie kompresora</t>
  </si>
  <si>
    <t>TCB-KBOS4E
Súprava káblov na akustickú redukciu
Kompatibilný s vonkajšími jednotkami DI-BIG a SDI s chladivom R32, 3-fázové Vstup pre akustickú redukciu (nočná prevádzka)
Vstup pre ovládanie max. výkonu 0/50/75 %
Výstup pre prevádzkové hlásenie kompresora</t>
  </si>
  <si>
    <t>TCB-PCNT30TLE2
Sieťový adaptér TCC / TU2C-Link
Na integráciu RAV v ovládacích systémoch VRF
Umožní napojenie sieťových jednotiek, napríklad centrálneho riadenia alebo systému BMS, na systémy RAV Pre vnútorné jednotky
Už integrované vo všetkých nástenných jednotkách</t>
  </si>
  <si>
    <t>165,-</t>
  </si>
  <si>
    <t>TCB-ACREDU2-E
Redundantný box
Redundantné prepínanie pre dve vnútorné jednotky (alebo skupiny) v prípade poruchy Prepínanie pre dve vnútorné jednotky závislé od prevádzkových hodín
Napojenie druhého systému závislé od teploty Napojenie na CN61 vnútorných jednotiek Plug &amp; Play, obsahuje snímač teploty
Port LAN, monitorovanie možné cez webový prehliadač</t>
  </si>
  <si>
    <t>1.990,-</t>
  </si>
  <si>
    <t>TCB-KBCN32VEE
CN32 – DO: Ovládanie externého ventilátora</t>
  </si>
  <si>
    <t>6,-</t>
  </si>
  <si>
    <t>TCB-KBCN60OPE
CN60 – DO: Prevádzkové hlásenie: chladenie, vykurovanie, ventilátor, odmrazovanie, tepelné ZAP</t>
  </si>
  <si>
    <t>11,-</t>
  </si>
  <si>
    <t>TCB-KBCN61HAE
CN61 – DI/DO HA-terminál: Zapnutie/vypnutie, povolenie/blokovanie, prevádzkový výkon, alarm</t>
  </si>
  <si>
    <t>TCB-KBCN70OAE
CN70 – DI: externý vstup alarmu</t>
  </si>
  <si>
    <t>TCB-KBCN73DEE
CN73 – DI: externý vstup tepelného vypínania</t>
  </si>
  <si>
    <t>TCB-KBCN80EXE
CN80 – DI: externý vstup alarmu</t>
  </si>
  <si>
    <t>I 121</t>
  </si>
  <si>
    <t>ESTIA
Teplo budúcnosti</t>
  </si>
  <si>
    <t>Vysoká kvalita a účinnosť s rozmermi, ktoré šetria miesto.   Tepelné   čerpadlo   vzduch-voda   ESTIA funguje výborne a skvele sa hodí na vykurovaciu prevádzku, prípravu teplej vody, ako aj chladenie vášho  domova.  Šetrné  k  životnému  prostrediu, cenovo  dostupné  a  účinné  –  to  je  vykurovanie
teplom zo vzduchu.</t>
  </si>
  <si>
    <t>Riešenia pre viac miestností zahŕňajú klimatizačné systémy  pre  komplexné  inštalácie  vo  veľkých stavbách,  ako  sú  kancelárske  budovy,  nákupné centrá alebo hotely.
Vďaka  veľkej  flexibilite  zariadení  vzhľadom  na dĺžku  vedenia  1  200  m  a  možnosť  použitia  až
128  vnútorných  jednotiek  nezostanú  nesplnené žiadne  želania.  Systém  okrem  toho  umožňuje nezávislé    súčasné    chladenie    a    vykurovanie
v rôznych miestnostiach alebo častiach budovy.</t>
  </si>
  <si>
    <t>BUSINESS
Myslieť vo veľkom, skvele chladiť</t>
  </si>
  <si>
    <t>Kompetencia vo všetkých oblastiach –
klimatizačné systémy a tepelné čerpadlá na chladenie a vykurovanie</t>
  </si>
  <si>
    <t>HOME
Váš domov, vaša klíma
LIGHT BUSINESS
Stredný typ použitia, veľký komfort
CHILLER
Chladenie a vykurovanie v najvyššej lige</t>
  </si>
  <si>
    <t>Inovatívne  klimatizačné  systémy  od  spoločnosti TOSHIBA  boli  špeciálne  vyvinuté  tak,  aby  vo vašom   domove   zaisťovali   pohodu.   Využívajú pokročilé  technológie,  ktoré  sa  starajú  o  váš komfort   365   dní   do   roka.   Tichá   prevádzka, filtrovanie vzduchu a jeho čistenie sú len niekoľkými z výhod, ktoré do vášho domova prinášajú vyššiu mieru  komfortu.  Najmä  v  prechodnom  období je   klimatizačný   systém   navyše   aj   dokonalým vykurovacím riešením.
Vďaka mnohostrannému použitiu od najmenších serverovní   až   po   veľké   predajne   sú   riešenia RAV  pre  jednu  miestnosť  dokonale  vhodné  pre 24-hodinovú   nepretržitú   prevádzku   s   presne definovanou klímou v miestnosti.
Na  zaistenie  optimálneho  rozvádzania  vzduchu je možné skombinovať až štyri vnútorné jednotky a podľa potreby miestnosť chladiť alebo vykurovať. Tak je možná celoročná prevádzka.
Vodné    chladiace    jednotky    od    spoločnosti TOSHIBA    prinášajú    nový    rozmer    chladenia a  kúrenia.  Keď  potrebný  výkon  prekročí  medze systémov    priameho    zvlhčovania    z    hľadiska technických  možností  a  úspornosti,  nastupujú systémy na vodnom základe.</t>
  </si>
  <si>
    <t>Poradíme vám osobne
VÁŠ CERTIFIKOVANÝ ODBORNÝ PARTNER PRE KLIMATIZÁCIE TOSHIBA
Odborný partner pre klimatizácie TOSHIBA:                                                               S          klimatizačným          systémom a    tepelným    čerpadlom    TOSHIBA získate      nielen      najlepšiu      kvalitu produktu,      ale      aj      profesionálne poradenstvo,   plánovanie,   inštaláciu a  servis  poskytovaný  kvalifikovanými odborníkmi na chladiacu a klimatizačnú techniku. Stavte na dokonalú klímu od odborníka!</t>
  </si>
  <si>
    <t>Od malých až po veľké
S   aplikáciami   pre   domáce   použitie a    priemyselné    použitie    pokrývajú klimatizačné     systémy     a     tepelné čerpadlá TOSHIBA celé spektrum. Na získanie  podrobnejších  informácií  sa obráťte na svojho odborného partnera pre    klimatizácie    TOSHIBA    alebo navštívte našu webovú stránku.</t>
  </si>
  <si>
    <t>Hľadáte ešte viac informácií? Navštívte našu webovú stránku!
Viac  informácií  o  klimatizačných  systémoch  a  tepelných čerpadlách TOSHIBA, ako aj o distribútoroch nájdete priamo na našej webovej stránke: www.toshiba-aircondition.com</t>
  </si>
  <si>
    <t>Chyby  v  tlači  a  sadzbe  sú  vyhradené.  SK  /  Katalóg  produktov  /  03.2024.  Za  obsah  je  zodpovedná  spoločnosť:  AIR-COND  International  GmbH, Haushamer Straße 2, AT-8054 Graz-Seiersberg, Austria, tel.: +43 316 8089, office@air-cond.com. TOSHIBA Carrier Corporation, ©2023 Carrier. Ref.: Toshiba Air Conditioning EMEA Catalogue 2023
Autorizovaná spoločnosťou Carrier Corporation ako distribútor produktov TOSHIBA HLK pre Rakúsko, strednú Európu a východnú Európu</t>
  </si>
  <si>
    <t>Centrála MSD Company
Nádražná 50
900 28 Ivanka pri Dunaji</t>
  </si>
  <si>
    <t>IČO: 35795832
DIČ: 2020214075
IČ DPH: SK 2020214075</t>
  </si>
  <si>
    <t>objednavky@msdcompany.sk  www.msdcompany.sk
+421 901 788 695</t>
  </si>
  <si>
    <t>CENNÍK PRE MONTÁŽNE PRÍSLUŠENSTVO A CHLADIVO
Ceny sú bez DPH a zľavy. Platnosť od 15.11.2024 do odvolania.</t>
  </si>
  <si>
    <t>Cu potrubie 3/8 (9,52) x 0,8 so striebornou izoláciou - 50m/bal</t>
  </si>
  <si>
    <t>4.50 € / m</t>
  </si>
  <si>
    <t>Cu 9,52 x
0,8 silver</t>
  </si>
  <si>
    <t>Cu 6,35 x
0,8</t>
  </si>
  <si>
    <t>Cu potrubie 1/4 (6.35) x 0,8 -
50m/bal</t>
  </si>
  <si>
    <t>2.80 € / m</t>
  </si>
  <si>
    <t>Neizolované medené tyče</t>
  </si>
  <si>
    <t>Cu rura 28 x 1,0</t>
  </si>
  <si>
    <t>Cu rúra 28x1mm tvrdá - 5m/ks           19.00 € / m</t>
  </si>
  <si>
    <t>Medené tvarovky</t>
  </si>
  <si>
    <t>Kolená F/F</t>
  </si>
  <si>
    <t>5090 28                               5090 Cu koleno 90° 28 mm i/i               2.90 € / ks</t>
  </si>
  <si>
    <t>5090 35                               5090 Cu koleno 90° 35 mm i/i               6.98 € / ks</t>
  </si>
  <si>
    <t>5090 42                               5090 Cu koleno 90° 42 mm i/i               7.10 € / ks</t>
  </si>
  <si>
    <t>5090 06                               5090 Cu koleno 90° 06 mm i/i               2.60 € / ks</t>
  </si>
  <si>
    <t>5090 10                               5090 Cu koleno 90° 10 mm i/i               1.60 € / ks</t>
  </si>
  <si>
    <t>5090 12                               5090 Cu koleno 90° 12 mm i/i               0.60 € / ks
1</t>
  </si>
  <si>
    <t>Kód</t>
  </si>
  <si>
    <t>Cena   MJ</t>
  </si>
  <si>
    <t>5090 16</t>
  </si>
  <si>
    <t>5090 Cu koleno 90° 16 mm i/i</t>
  </si>
  <si>
    <t>0.70 € / ks</t>
  </si>
  <si>
    <t>GBC 28s</t>
  </si>
  <si>
    <t>Guľový ventil GBC 28s</t>
  </si>
  <si>
    <t>56.00 € / ks</t>
  </si>
  <si>
    <t>5090 18</t>
  </si>
  <si>
    <t>5090 Cu koleno 90° 18 mm i/i</t>
  </si>
  <si>
    <t>1.10 € / ks</t>
  </si>
  <si>
    <t>GBC 35s</t>
  </si>
  <si>
    <t>Guľový ventil GBC 35s</t>
  </si>
  <si>
    <t>80.00 € / ks</t>
  </si>
  <si>
    <t>Medené príslušenstvo</t>
  </si>
  <si>
    <t>5090 22                               5090 Cu koleno 90° 22 mm i/i               1.30 € / ks</t>
  </si>
  <si>
    <t>Nátrubky F/F</t>
  </si>
  <si>
    <t>5270 16                               5270 Cu hrdlo 16 mm i/i                          0.50 € / ks</t>
  </si>
  <si>
    <t>5270 28                               5270 Cu hrdlo 28 mm i/i                          1.70 € / ks</t>
  </si>
  <si>
    <t>5270 35                               5270 Cu hrdlo 35 mm i/i                          3.50 € / ks</t>
  </si>
  <si>
    <t>5270 42                               5270 Cu hrdlo 42 mm i/i                          6.50 € / ks</t>
  </si>
  <si>
    <t>Sady na ohýbanie potrubia</t>
  </si>
  <si>
    <t>Izolácia K-flex</t>
  </si>
  <si>
    <t>GBC 06s</t>
  </si>
  <si>
    <t>Guľový ventil GBC 06s</t>
  </si>
  <si>
    <t>25.00 € / ks</t>
  </si>
  <si>
    <t>IK EC                                     Izolácia K-flex 42 x 09mm - 2m/ks        1.60 € / m 09X042</t>
  </si>
  <si>
    <t>GBC 10s</t>
  </si>
  <si>
    <t>Guľový ventil GBC 10s</t>
  </si>
  <si>
    <t>27.50 € / ks</t>
  </si>
  <si>
    <t>K-flex pásky</t>
  </si>
  <si>
    <t>GBC 12s</t>
  </si>
  <si>
    <t>Guľový ventil GBC 12s</t>
  </si>
  <si>
    <t>28.00 € / ks</t>
  </si>
  <si>
    <t>IZO011                                 K-Flex páska samolep.15m x               25.50 € / ks 50mm x 3mm</t>
  </si>
  <si>
    <t>GBC 16s</t>
  </si>
  <si>
    <t>Guľový ventil GBC 16s</t>
  </si>
  <si>
    <t>FA 101                                 K- flex lepiaca izolačná páska                7.00 € / ks čierna - 55mm x 10m</t>
  </si>
  <si>
    <t>GBC 22s</t>
  </si>
  <si>
    <t>Guľový ventil GBC 22s</t>
  </si>
  <si>
    <t>40.00 € / ks</t>
  </si>
  <si>
    <t>FA 102                                 Penová lepiaca izolačná páska              7.00 € / ks biela - 55mm x 10m</t>
  </si>
  <si>
    <t>Kód                                      Názov                                                             Cena   MJ            Kód                                      Názov                                                             Cena   MJ</t>
  </si>
  <si>
    <t>0804GC-B                           (Čierny) Spojka kanalu (30ks/krab.)</t>
  </si>
  <si>
    <t>1.40 € / ks</t>
  </si>
  <si>
    <t>0904GC                               Spojka kanalu (30ks/krab.)                     1.58 € / ks</t>
  </si>
  <si>
    <t>Plastové žľaby a príslušenstvo</t>
  </si>
  <si>
    <t>1204GC-W                          (Biely) Spojka kanalu (20ks/krab.)        1.65 € / ks</t>
  </si>
  <si>
    <t>Plastový žľab</t>
  </si>
  <si>
    <t>1204GC                               Spojka kanalu (20ks/krab.)                     1.65 € / ks</t>
  </si>
  <si>
    <t>0612BCF-W                         (Biely) Plastový žlab 06 - 2m/ks             3.05 € / m              1404GC                               Spojka kanalu (20ks/krab.)                     2.07 € / ks</t>
  </si>
  <si>
    <t>0712BCF                              Plastový žlab 07 - 2m/ks (24m/krab.)
0712BCF-W                         (Biely) Plastový žlab 07 - 2m/ks (24m/krab.)
0812BCF-W                         (Biely) Plastový žlab 08 - 2m/ks (16m/krab.)
0812BCF-B                          (Čierny) Plastový žlab 08 - 2m/ks (16m/krab.)
0812BCF-M                         (Hnedý) Plastový žlab 08 - 2m/ks (16m/krab.)
0912BCF                              Plastový žlab 09 - 2m/ks (16m/krab.)
1212BCF-W                         (Biely) Plastový žlab 12 - 2m/ks (8m/krab.)
1212BCF                              Plastový žlab 12 - 2m/ks (8m/krab.)
1412BCF                              Plastový žlab 14 - 2m/ks (8m/krab.)</t>
  </si>
  <si>
    <t>Priechodka</t>
  </si>
  <si>
    <t>3.80 € / m</t>
  </si>
  <si>
    <t>3.80 € / m              0610PM-W                          (Biela) Priechodka (10ks/krab.)              1.95 € / ks</t>
  </si>
  <si>
    <t>4.50 € / m              0710PM                               Priechodka (10ks/krab.)                           2.05 € / ks</t>
  </si>
  <si>
    <t>6.80 € / m              0710PM-W                          (Biela) Priechodka (10ks/krab.)              2.05 € / ks</t>
  </si>
  <si>
    <t>6.50 € / m              0810PM-W                          (Biela) Priechodka (16ks/krab.)              2.31 € / ks</t>
  </si>
  <si>
    <t>5.20 € / m              0810PM-B                           (Čierny) Priechodka (16ks/krab.)           2.43 € / ks</t>
  </si>
  <si>
    <t>6.30 € / m              0810PM-M                           (Hnedý) Priechodka (16ks/krab.)           2.53 € / ks</t>
  </si>
  <si>
    <t>6.30 € / m              0910PM                               Priechodka (8ks/krab.)                             2.49 € / ks</t>
  </si>
  <si>
    <t>9.70 € / m              1210PM-W                          (Biela) Priechodka (8ks/krab.)                3.06 € / ks</t>
  </si>
  <si>
    <t>Spojka kanálu</t>
  </si>
  <si>
    <t>1210PM                               Priechodka (8ks/krab.)                             3.06 € / ks</t>
  </si>
  <si>
    <t>0604GC-W                          (Biela) Spojka kanálu (30ks/krab.)        0.90 € / ks             1410PM                               Priechodka (8ks/krab.)                             4.66 € / ks</t>
  </si>
  <si>
    <t>Rýchlosvorka</t>
  </si>
  <si>
    <t>0704GC                               Spojka kanalu (30ks/krab.)                     1.30 € / ks</t>
  </si>
  <si>
    <t>0704GC-W                          (Biely) Spojka kanalu (30ks/krab.)        1.30 € / ks             0703ST                                Rýchlosvorka (30ks/krab.)                       0.28 € / ks</t>
  </si>
  <si>
    <t>0804GC-W                          (Biely) Spojka kanalu (30ks/krab.)        1.45 € / ks             0803ST                                Rýchlosvorka (30ks/krab.)                       0.38 € / ks</t>
  </si>
  <si>
    <t>0804GC-M                           (Hnedý) Spojka kanalu (30ks/krab.)</t>
  </si>
  <si>
    <t>1.45 € / ks             0903ST                                Rýchlosvorka (30ks/krab.)                       0.55 € / ks
3</t>
  </si>
  <si>
    <t>1203ST</t>
  </si>
  <si>
    <t>Rýchlosvorka (20ks/krab.)</t>
  </si>
  <si>
    <t>0.57 € / ks</t>
  </si>
  <si>
    <t>Koncovka</t>
  </si>
  <si>
    <t>1403ST</t>
  </si>
  <si>
    <t>0.62 € / ks</t>
  </si>
  <si>
    <t>0608TT-W</t>
  </si>
  <si>
    <t>(Biela) Koncovka (12ks/krab.)</t>
  </si>
  <si>
    <t>1.70 € / ks</t>
  </si>
  <si>
    <t>Priechodka roh</t>
  </si>
  <si>
    <t>0708TT</t>
  </si>
  <si>
    <t>Koncovka (12ks/krab.)</t>
  </si>
  <si>
    <t>1.89 € / ks</t>
  </si>
  <si>
    <t>0609CM-W</t>
  </si>
  <si>
    <t>(Biela) Priechodka roh (9ks/krab.)</t>
  </si>
  <si>
    <t>2.55 € / ks</t>
  </si>
  <si>
    <t>0708TT-W</t>
  </si>
  <si>
    <t>0709CM</t>
  </si>
  <si>
    <t>Priechodka roh (9ks/krab.)</t>
  </si>
  <si>
    <t>2.65 € / ks</t>
  </si>
  <si>
    <t>0808TT-W</t>
  </si>
  <si>
    <t>(Biela) Koncovka (9ks/krab.)</t>
  </si>
  <si>
    <t>1.93 € / ks</t>
  </si>
  <si>
    <t>0709CM-W</t>
  </si>
  <si>
    <t>(Biela)Priechodka roh (9ks/krab.)</t>
  </si>
  <si>
    <t>0808TT-B</t>
  </si>
  <si>
    <t>(Čierny) Koncovka (9ks/krab.)</t>
  </si>
  <si>
    <t>2.10 € / ks</t>
  </si>
  <si>
    <t>0809CM-W</t>
  </si>
  <si>
    <t>(Biela) Priechodka roh (6ks/krab.)</t>
  </si>
  <si>
    <t>2.97 € / ks</t>
  </si>
  <si>
    <t>0808TT-M</t>
  </si>
  <si>
    <t>(Hnedý) Koncovka (9ks/krab.)</t>
  </si>
  <si>
    <t>2.03 € / ks</t>
  </si>
  <si>
    <t>0809CM-B                           (Čierny) Priechodka roh (6ks/krab.)</t>
  </si>
  <si>
    <t>3.90 € / ks             0908TT                                Koncovka (9ks/krab.)                                2.11 € / ks</t>
  </si>
  <si>
    <t>0809CM-M                          (Hnedý) Priechodka roh (6ks/krab.)</t>
  </si>
  <si>
    <t>3.68 € / ks</t>
  </si>
  <si>
    <t>0909CM</t>
  </si>
  <si>
    <t>Priechodka roh (6ks/krab.)</t>
  </si>
  <si>
    <t>3.50 € / ks</t>
  </si>
  <si>
    <t>0815VD-W</t>
  </si>
  <si>
    <t>(Biela) Pravý vertikálny odskok</t>
  </si>
  <si>
    <t>4.90 € / ks</t>
  </si>
  <si>
    <t>1209CM-W</t>
  </si>
  <si>
    <t>(Biela) Priechodka roh (4ks/krab.)</t>
  </si>
  <si>
    <t>3.90 € / ks</t>
  </si>
  <si>
    <t>0816RM-W</t>
  </si>
  <si>
    <t>Prechod stenou s redukciou</t>
  </si>
  <si>
    <t>3.30 € / ks</t>
  </si>
  <si>
    <t>1209CM</t>
  </si>
  <si>
    <t>Priechodka roh (4ks/krab.)</t>
  </si>
  <si>
    <t>3.45 € / ks</t>
  </si>
  <si>
    <t>Vonkajší roh</t>
  </si>
  <si>
    <t>1409CM</t>
  </si>
  <si>
    <t>5.79 € / ks</t>
  </si>
  <si>
    <t>0606AE-W</t>
  </si>
  <si>
    <t>(Biely) Vonkajší roh (12ks/krab.)</t>
  </si>
  <si>
    <t>1.80 € / ks</t>
  </si>
  <si>
    <t>Redukcia plastová</t>
  </si>
  <si>
    <t>0706AE</t>
  </si>
  <si>
    <t>Vonkajší roh (12ks/krab.)</t>
  </si>
  <si>
    <t>1.91 € / ks</t>
  </si>
  <si>
    <t>9070RI</t>
  </si>
  <si>
    <t>Redukcia plastová (12ks/krab.)</t>
  </si>
  <si>
    <t>1.67 € / ks</t>
  </si>
  <si>
    <t>0706AE-W</t>
  </si>
  <si>
    <t>1280RI-W</t>
  </si>
  <si>
    <t>(Biely) Redukcia plastová</t>
  </si>
  <si>
    <t>1.88 € / ks</t>
  </si>
  <si>
    <t>0806AE-W</t>
  </si>
  <si>
    <t>(Biely) Vonkajší roh (9ks/krab.)</t>
  </si>
  <si>
    <t>2.20 € / ks</t>
  </si>
  <si>
    <t>1290RI</t>
  </si>
  <si>
    <t>Redukcia plastová (8ks/krab.)</t>
  </si>
  <si>
    <t>2.15 € / ks</t>
  </si>
  <si>
    <t>0806AE-B</t>
  </si>
  <si>
    <t>(Čierny) Vonkajší roh (9ks/krab.)</t>
  </si>
  <si>
    <t>2.50 € / ks</t>
  </si>
  <si>
    <t>1412RI</t>
  </si>
  <si>
    <t>3.00 € / ks</t>
  </si>
  <si>
    <t>0806AE-M</t>
  </si>
  <si>
    <t>(Hnedý) Vonkajší roh (9ks/krab.)</t>
  </si>
  <si>
    <t>2.25 € / ks</t>
  </si>
  <si>
    <t>0906AE</t>
  </si>
  <si>
    <t>Vonkajší roh (9ks/krab.)</t>
  </si>
  <si>
    <t>2.16 € / ks</t>
  </si>
  <si>
    <t>1206AE-W</t>
  </si>
  <si>
    <t>(Biely) Vonkajší roh (6ks/krab.)</t>
  </si>
  <si>
    <t>2.82 € / ks</t>
  </si>
  <si>
    <t>1206AE</t>
  </si>
  <si>
    <t>Vonkajší roh (6ks/krab.)</t>
  </si>
  <si>
    <t>0807CP-B</t>
  </si>
  <si>
    <t>(Čierny) Koleno ploché (8ks/krab.)</t>
  </si>
  <si>
    <t>1406AE</t>
  </si>
  <si>
    <t>3.56 € / ks</t>
  </si>
  <si>
    <t>0807CP-M</t>
  </si>
  <si>
    <t>(Hnedý) Koleno ploché (8ks/krab.)</t>
  </si>
  <si>
    <t>2.95 € / ks</t>
  </si>
  <si>
    <t>0821ER-W                           (Biely) Vonkajší roh nastaviteľný (6ks/krab.)</t>
  </si>
  <si>
    <t>2.70 € / ks             0907CP                                Koleno ploché (8ks/krab.)                        2.95 € / ks</t>
  </si>
  <si>
    <t>Vnútorný roh</t>
  </si>
  <si>
    <t>1207CP-W                           (Biely) Koleno ploché (6ks/krab.)           3.70 € / ks</t>
  </si>
  <si>
    <t>0605AI-W                            (Biely) Vnútorný roh (8ks/krab.)            1.75 € / ks             1207CP                                Koleno ploché (6ks/krab.)                        3.70 € / ks</t>
  </si>
  <si>
    <t>0705AI                                 Vnútorný roh (8ks/krab.)                          1.95 € / ks             1407CP                                Koleno ploché (6ks/krab.)                        5.35 € / ks</t>
  </si>
  <si>
    <t>0705AI-W                            (Biely) Vnútorný roh (8ks/krab.)            1.95 € / ks             0822PR-W                           (Biele) nastaviteľné koleno
(6ks/krab.)</t>
  </si>
  <si>
    <t>T-kus</t>
  </si>
  <si>
    <t>0805AI-W                            (Biely) Vnútorný roh (6ks/krab.)            2.10 € / ks</t>
  </si>
  <si>
    <t>0805AI-B                             (Čierny) Vnútorný roh (6ks/krab.)         2.30 € / ks             0813DT-W                           (Biely) T-kus plastový (4ks/krab.)          5.30 € / ks</t>
  </si>
  <si>
    <t>0805AI-M                             (Hnedý) Vnútorný roh (6ks/krab.)         2.25 € / ks             0913DT                                T-kus plastový (4ks/krab.)                       4.86 € / ks</t>
  </si>
  <si>
    <t>0905AI                                 Vnútorný roh (6ks/krab.)                          2.20 € / ks             1213DT-W                           (Biely) T-kus plastový                               5.57 € / ks</t>
  </si>
  <si>
    <t>1205AI-W                            (Biely) Vnútorný roh (4ks/krab.)            2.82 € / ks             1213DT                                T-kus plastový                                            5.57 € / ks</t>
  </si>
  <si>
    <t>1205AI                                 Vnútorný roh (4ks/krab.)                          2.82 € / ks             1413DT                                T-kus plastový (2ks/krab.)                       7.68 € / ks</t>
  </si>
  <si>
    <t>1405AI                                 Vnútorný roh (4ks/krab.)                          3.56 € / ks</t>
  </si>
  <si>
    <t>0820IR-W</t>
  </si>
  <si>
    <t>(Biely) Vnútorný roh nastaviteľný
(4ks/krab.)</t>
  </si>
  <si>
    <t>2.70 € / ks</t>
  </si>
  <si>
    <t>0412BC</t>
  </si>
  <si>
    <t>Lišta pre kondenz - 2m/ks
(64m/krab.)</t>
  </si>
  <si>
    <t>2.22 € / m</t>
  </si>
  <si>
    <t>Koleno ploché</t>
  </si>
  <si>
    <t>0404GC</t>
  </si>
  <si>
    <t>Spojka kanalu pre kondenz</t>
  </si>
  <si>
    <t>1.32 € / ks</t>
  </si>
  <si>
    <t>0607CP-W</t>
  </si>
  <si>
    <t>(Biele) Koleno ploché (10ks/krab.)</t>
  </si>
  <si>
    <t>2.00 € / ks</t>
  </si>
  <si>
    <t>0405AI</t>
  </si>
  <si>
    <t>Vnutorný roh pre kondenz</t>
  </si>
  <si>
    <t>1.20 € / ks</t>
  </si>
  <si>
    <t>0707CP</t>
  </si>
  <si>
    <t>Koleno ploché (10ks/krab.)</t>
  </si>
  <si>
    <t>0406AE</t>
  </si>
  <si>
    <t>Vonkajší roh pre kondenz</t>
  </si>
  <si>
    <t>0707CP-W</t>
  </si>
  <si>
    <t>0407CP</t>
  </si>
  <si>
    <t>Koleno ploché pre kondenz</t>
  </si>
  <si>
    <t>0807CP-W</t>
  </si>
  <si>
    <t>(Biele) Koleno ploché (8ks/krab.)</t>
  </si>
  <si>
    <t>2.80 € / ks</t>
  </si>
  <si>
    <t>0408TT</t>
  </si>
  <si>
    <t>Koncovka pre kondenz</t>
  </si>
  <si>
    <t>2007RU                                Redukcia medzi tvrdou rúrou a flexi hadicou - modrá</t>
  </si>
  <si>
    <t>2.42 € / ks</t>
  </si>
  <si>
    <t>2507RU                                Redukcia medzi tvrdou rúrou a flexi hadicou - zelená</t>
  </si>
  <si>
    <t>3207RU                                Redukcia medzi tvrdou rúrou a flexi hadicou - biela</t>
  </si>
  <si>
    <t>2.53 € / ks</t>
  </si>
  <si>
    <t>Spojka medzi tvrdou rúrou a flexi hadicou</t>
  </si>
  <si>
    <t>2006FR                                Spojka medzi tvrdou rúrou a flexi hadicou</t>
  </si>
  <si>
    <t>0.58 € / ks</t>
  </si>
  <si>
    <t>2506FR                                Spojka medzi tvrdou rúrou a flexi hadicou (20ks/krab.)</t>
  </si>
  <si>
    <t>0.60 € / ks</t>
  </si>
  <si>
    <t>3206FR                                Spojka medzi tvrdou rúrou a flexi hadicou</t>
  </si>
  <si>
    <t>0.65 € / ks</t>
  </si>
  <si>
    <t>0016TU</t>
  </si>
  <si>
    <t>Kondenzná hadica - 30m/bal</t>
  </si>
  <si>
    <t>0.92 € / m</t>
  </si>
  <si>
    <t>MS0130</t>
  </si>
  <si>
    <t>0018TU</t>
  </si>
  <si>
    <t>1.30 € / m</t>
  </si>
  <si>
    <t>PVC
had.pretk.6- 11</t>
  </si>
  <si>
    <t>0020TU</t>
  </si>
  <si>
    <t>1.50 € / m</t>
  </si>
  <si>
    <t>9899-240-01</t>
  </si>
  <si>
    <t>0823KF                                Flexible Kit - prepájacia sada - 80       42.90 € / ks</t>
  </si>
  <si>
    <t>9899-244-01</t>
  </si>
  <si>
    <t>Podomietkový MIKRO trap kit sifón</t>
  </si>
  <si>
    <t>14.46 € / ks</t>
  </si>
  <si>
    <t>1223KF                                Flexible Kit - prepájacia sada - 110    51.70 € / ks x 75 mm</t>
  </si>
  <si>
    <t>HL 138</t>
  </si>
  <si>
    <t>HL 138 sifón podomietkový pre odvod kondenzátu klimatizácie pr. 20-32mm, DN 32</t>
  </si>
  <si>
    <t>37.00 € / KS</t>
  </si>
  <si>
    <t>Redukcia medzi tvrdou rúrou a flexi hadicou</t>
  </si>
  <si>
    <t>0024SF</t>
  </si>
  <si>
    <t>Sifón (10ks/krab.)</t>
  </si>
  <si>
    <t>1.90 € / ks</t>
  </si>
  <si>
    <t>1607RU                                Redukcia medzi tvrdou rúrou a flexi hadicou - žltá</t>
  </si>
  <si>
    <t>2.31 € / ks</t>
  </si>
  <si>
    <t>1807RU                                Redukcia medzi tvrdou rúrou a flexi hadicou - červená</t>
  </si>
  <si>
    <t>Kód                                      Názov                                                             Cena   MJ</t>
  </si>
  <si>
    <t>Kondenzné čerpadlá</t>
  </si>
  <si>
    <t>MC 700</t>
  </si>
  <si>
    <t>Konzola MC700 - 420 x 780 - 140kg</t>
  </si>
  <si>
    <t>50.00 € / pár</t>
  </si>
  <si>
    <t>ACC00208</t>
  </si>
  <si>
    <t>Gumené koleno 90° (9/16) pre SI 2750</t>
  </si>
  <si>
    <t>5.60 € / ks</t>
  </si>
  <si>
    <t>SP 740</t>
  </si>
  <si>
    <t>Konzola podstavec SP740 420 x 400 x 480- 830- 200kg</t>
  </si>
  <si>
    <t>35.00 € / ks</t>
  </si>
  <si>
    <t>FP3326</t>
  </si>
  <si>
    <t>Čerpadlo na kondenz Aspen Silent+ Mini Aqua - max. výtlak: 10 m</t>
  </si>
  <si>
    <t>165.00 € / ks</t>
  </si>
  <si>
    <t>DXL 450</t>
  </si>
  <si>
    <t>Konzola podlahová antivibračná - 450 x 180 x 95 - 430kg zvýšená odolnosť</t>
  </si>
  <si>
    <t>26.00 € / ks</t>
  </si>
  <si>
    <t>Čerpadlo na kondenz Aspen Mini      145.00 € / ks Orange</t>
  </si>
  <si>
    <t>FP2212</t>
  </si>
  <si>
    <t>Mosadzné tvarovky</t>
  </si>
  <si>
    <t>PVC príslušenstvo NIBCO</t>
  </si>
  <si>
    <t>9826F 25-28</t>
  </si>
  <si>
    <t>Príchytka 25-28 mm biela</t>
  </si>
  <si>
    <t>0.47 € / ks</t>
  </si>
  <si>
    <t>9826F 32-35                       Príchytka 32-35 mm biela                       0.58 € / ks</t>
  </si>
  <si>
    <t>Elektroinštalačné prvky</t>
  </si>
  <si>
    <t>Dezinfekčné prostriedky</t>
  </si>
  <si>
    <t>Spol’ahlivý dezinfekčný prostriedok na vnútorné klimatizačné jednotky. Vďaka aktívnym nanočasticiam ničí baktérie, plesne a spóry. Ideálny na dennú aj pravidelnú dezinfekciu. Zabíja 99,9 % baktérií.</t>
  </si>
  <si>
    <t>Špičkový koncentrovaný dezinfekčný prostriedok, ničí vírusy, baktérie a mikróby, riedenie v pomere 1:25, t.j. 1 balenie = 13 litrov hĺbkovej dezinfekcie</t>
  </si>
  <si>
    <t>Voňavý čistiaci a dezinfekčný prostriedok pre výparníky aj iné povrchy. Odstraňuje organické nečistoty, špinu, mastnotu, baktérie a alergény.</t>
  </si>
  <si>
    <t>Profi bezchlórový dezinfekčný prostriedok na okamžité použitie pre dôkladnú dezinfekciu plôch. Ošetrením vznikne na povrchu polymérová
vrstva, ktorá zabezpečí dlhodobú ochranu pred mikroorganizmami.</t>
  </si>
  <si>
    <t>Čistiace produkty - vnút. jed.</t>
  </si>
  <si>
    <t>Spol’ahlivý čistiaci prostriedok na vnútorné a vonkajšie klimatizačné jednotky na odstránenie nahromadeného prachu a nečistôt.</t>
  </si>
  <si>
    <t>Univerzálny parfumovaný čistiaci prostriedok pre výparníky (riedený v pomere 1:6) a vonkajšie jednotky (neriedený). Odstraňuje organické nečistoty a nahromadenú špinu.</t>
  </si>
  <si>
    <t>AB1063.U.01                      POWER CLEAN IN - 600 ml SPREJ -
Vysokotlakový čistiaci prostriedok</t>
  </si>
  <si>
    <t>21.00 € / ks             PM1010.01                         CEILY - A/C COVER - Ochranný PE
kryt v ráme</t>
  </si>
  <si>
    <t>90.00 € / ks</t>
  </si>
  <si>
    <t>Vysokotlakový čistič výparníka v aerosólovej nádobe, rozprašovač, ktorý je efektívny aj na niekoľkometrovú vzdialenosť na ťažko dostupných miestach.</t>
  </si>
  <si>
    <t>Ochranný PE kryt s kovovým rámom špeciálne určený na čistenie stropnej klimatizácie bez znečistenia okolia. Dodáva sa v praktickej prenosnej taške.</t>
  </si>
  <si>
    <t>Účinný čistič špeciálne navrhnutý pre čistenie filtrov všetkých typov vnútorných jednotiek. Odstraňuje baktérie, mikróby, alergény, prach, smog a plesne.</t>
  </si>
  <si>
    <t>Odstraňovanie únikov chladiva</t>
  </si>
  <si>
    <t>TR1163.AL.H
3.S2</t>
  </si>
  <si>
    <t>EXTREME ULTRA 6 ml - Stop mikro
únikom</t>
  </si>
  <si>
    <t>Tesniaci prostriedok na zastavovanie únikov chladiva pre netesnosti do 0,3mm v automobiloch a klimatizačných systémoch do 21 kW.</t>
  </si>
  <si>
    <t>Čistič kondenzačných hadíc - navrhnutý špeciálne na odstránenie nečistôt a usadenín v kondenzačných hadiciach.</t>
  </si>
  <si>
    <t>Tablety s biologicky rozkladným účinkom pre kondenzačné nádoby/hadice v splitoch a fan-coiloch. Zabraňujú hromadeniu / tvorbe nečistôt a mikróbov v odtokových systémoch.</t>
  </si>
  <si>
    <t>Špeciálna dvojzložková pasta na zastavovanie únikov chladiva pre netesnosti do 5 mm, odolná voči zmenám teploty a tlaku od 40 do 57 barov.</t>
  </si>
  <si>
    <t>Sprej na hĺbkové vyčistenie a prípravu povrchu na utesnenie prípravkom EXTERNAL.</t>
  </si>
  <si>
    <t>Maximálne silný neutrálny čistiaci prostriedok pre výparníky - odstraňuje organické nečistoty, mastnotu, minerálny povlak, riedenie v pomere 1:20,
t.j. 1 balenie = 5 litrov čistiaceho prostriedku</t>
  </si>
  <si>
    <t>Čistiace produkty - vonk. jed.</t>
  </si>
  <si>
    <t>Iné chemikálie</t>
  </si>
  <si>
    <t>AB1106.P.01                      NANO ALKALINE CLEANER - 5 L -
Alkalický čistiaci prostriedok</t>
  </si>
  <si>
    <t>Alkalický čistiaci prostriedok pre kondenzátory, ideálny aj na obnovenie zanedbaných zariadení a zlepšenie ich výkonnosti. Riedenie v pomere 1:8</t>
  </si>
  <si>
    <t>COMPRESSOR+ - Doplnkový prostriedok pri výmene kompresora a výplachu systému -
6 ml</t>
  </si>
  <si>
    <t>TR1162.AL.0
1.S2</t>
  </si>
  <si>
    <t>12.50 € / ks</t>
  </si>
  <si>
    <t>Vysokotlakový čistič kondenzátora v aerosólovej nádobe, rozprašovač, ktorý je efektívny aj na niekoľkometrovú vzdialenosť na ťažko dostupných miestach.</t>
  </si>
  <si>
    <t>Alkalický čistiaci prostriedok pre kondenzátory, odmasťuje aj najodolnejšie usadeniny organických nečistôt, mastnoty, prachu, peľu a smogu, riediť v pomere 1:20, 1 balenie = 5 litrov čistiaceho prostriedku</t>
  </si>
  <si>
    <t>Vône</t>
  </si>
  <si>
    <t>Ochranné obaly na vnút. jed.</t>
  </si>
  <si>
    <t>PM1006.01                         WALLY IN BUCKET - Ochranný PE
obal - 15ks/bal</t>
  </si>
  <si>
    <t>20.00 € / ks</t>
  </si>
  <si>
    <t>Ochranný PE obal na vnútornú jednotku - slúži na ochranu okolitého priestoru počas čistenia/servisu klimatizácie.</t>
  </si>
  <si>
    <t>Rýchlo a účinne neutralizuje nepríjemné pachy. Sprej sa aplikuje na umývateľné povrchy, nie do vzduchu.</t>
  </si>
  <si>
    <t>77-007</t>
  </si>
  <si>
    <t>Clinex AIR Plus Oriental 650 ml</t>
  </si>
  <si>
    <t>8.90 € / ks</t>
  </si>
  <si>
    <t>150005</t>
  </si>
  <si>
    <t>Flaša na R1234yf - 5kg - záloha</t>
  </si>
  <si>
    <t>60.00 € / ks</t>
  </si>
  <si>
    <t>Spojovací materiál</t>
  </si>
  <si>
    <t>Flaša na R134A - 12 ltr. - záloha</t>
  </si>
  <si>
    <t>Srovbytex</t>
  </si>
  <si>
    <t>R407C</t>
  </si>
  <si>
    <t>Chladivo R407C - 10kg/fľ.</t>
  </si>
  <si>
    <t>59.00 € / kg</t>
  </si>
  <si>
    <t>Tex 4,2X16</t>
  </si>
  <si>
    <t>Flaša na R407C - 10 kg - záloha</t>
  </si>
  <si>
    <t>Tex 4,2x19</t>
  </si>
  <si>
    <t>R1234yf</t>
  </si>
  <si>
    <t>Chladivo R1234yf - 5kg/fľ.</t>
  </si>
  <si>
    <t>105.71 € / kg</t>
  </si>
  <si>
    <t>Gripple</t>
  </si>
  <si>
    <t>Skrutka do dreva 5,0x60</t>
  </si>
  <si>
    <t>0.05 € / ks</t>
  </si>
  <si>
    <t>UGR22SP</t>
  </si>
  <si>
    <t>UniGrip - centrálne výstupné kĺbové upevnenie (SP)</t>
  </si>
  <si>
    <t>11.20 € / ks</t>
  </si>
  <si>
    <t>Skrutka do dreva 6,0x60</t>
  </si>
  <si>
    <t>UGR25SP</t>
  </si>
  <si>
    <t>UniGrip - centrálny výstup s otočným koncovým upevnením (SP)</t>
  </si>
  <si>
    <t>14.30 € / ks</t>
  </si>
  <si>
    <t>UniGrip - centrálne výstupné</t>
  </si>
  <si>
    <t>Kotva M 8 mosadzná</t>
  </si>
  <si>
    <t>0.50 € / ks</t>
  </si>
  <si>
    <t>UGR22EF8</t>
  </si>
  <si>
    <t>koncové upevnenie na konci čapu</t>
  </si>
  <si>
    <t>M8 x 45 mm (EF8)</t>
  </si>
  <si>
    <t>Kotva M 10 mosadzná</t>
  </si>
  <si>
    <t>0.75 € / ks</t>
  </si>
  <si>
    <t>UGR25EF8</t>
  </si>
  <si>
    <t>Závitova tyč M 8x1000</t>
  </si>
  <si>
    <t>XP12SP</t>
  </si>
  <si>
    <t>HF Express lankový záves (SP)</t>
  </si>
  <si>
    <t>7.30 € / ks</t>
  </si>
  <si>
    <t>Tepelné čerpadlá príslušenstvo</t>
  </si>
  <si>
    <t>ETT-M-2,0 Ohrevné teleso 2kW, G    210.00 € / ks 6/4`s plast.term.hl.</t>
  </si>
  <si>
    <t>90376</t>
  </si>
  <si>
    <t>Nástroj na vyťahovanie ventilčekov s náhradnými</t>
  </si>
  <si>
    <t>10.18 € / ks</t>
  </si>
  <si>
    <t>ventilčekmi</t>
  </si>
  <si>
    <t>ETT-M-3,0 Ohrevné teleso 3kW, G
6/4`s plast.term.hl. aj na OPV,do      215.00 € / KS zasuvky</t>
  </si>
  <si>
    <t>91498</t>
  </si>
  <si>
    <t>Nástroj na výmenu vnútra ventilov</t>
  </si>
  <si>
    <t>85.51 € / ks</t>
  </si>
  <si>
    <t>MBA132 G5/4 m/m/m 230VAC - 3-   210.00 € / ks
cestný ventil</t>
  </si>
  <si>
    <t>90925</t>
  </si>
  <si>
    <t>Hrebeň na kondenzátorové lamely</t>
  </si>
  <si>
    <t>18.87 € / ks</t>
  </si>
  <si>
    <t>CSC2K/40 2m/80W ohrev                      60.00 € / ks odvod.vedenia</t>
  </si>
  <si>
    <t>71600-A</t>
  </si>
  <si>
    <t>Sada expander (7 hláv od rozmerov 3/8 po 1 1/8 “) - NA OBJEDNÁVKU</t>
  </si>
  <si>
    <t>739.71 € / ks</t>
  </si>
  <si>
    <t>CSC2K/40 3m/120W ohrev                   70.00 € / ks odvod.vedenia</t>
  </si>
  <si>
    <t>71650-A</t>
  </si>
  <si>
    <t>Sada expander (10 hláv od rozmerov 3/8 po 2 1/8 “) - NA OBJEDNÁVKU</t>
  </si>
  <si>
    <t>914.09 € / ks</t>
  </si>
  <si>
    <t>Elektronická váha na presné plnenie chladiva so solenoidným ventilom s bezdrôtovým ovládačom</t>
  </si>
  <si>
    <t>515.80 € / ks</t>
  </si>
  <si>
    <t>RAC
Line Up 2025</t>
  </si>
  <si>
    <t>2025
Strategické pilíře</t>
  </si>
  <si>
    <t xml:space="preserve">To, co očekáváte nestačí.
Vyzkoušejte novou
klimatizaci s unikátní technologií
WindFree™
</t>
  </si>
  <si>
    <t>Benefity</t>
  </si>
  <si>
    <t>Chlazení/Vytápění</t>
  </si>
  <si>
    <t>Úspora</t>
  </si>
  <si>
    <t>Hygiena</t>
  </si>
  <si>
    <t>Chytré ovládání</t>
  </si>
  <si>
    <t>Hlučnost</t>
  </si>
  <si>
    <t>Chlazení bez průvanu</t>
  </si>
  <si>
    <t>Úspora energie</t>
  </si>
  <si>
    <t>Čistý vzduch</t>
  </si>
  <si>
    <t>Inteligentní Asistent</t>
  </si>
  <si>
    <t>Nerušené
prostředí</t>
  </si>
  <si>
    <t>WindFreeTM</t>
  </si>
  <si>
    <t>Klíčové vlastnosti</t>
  </si>
  <si>
    <t>WindFreeTM Technologie
Vytápění</t>
  </si>
  <si>
    <t>A+++ a MDS</t>
  </si>
  <si>
    <t>Freeze Wash</t>
  </si>
  <si>
    <t>AI Auto Cooling</t>
  </si>
  <si>
    <t>Tri-Care filter</t>
  </si>
  <si>
    <t>Welcome Cooling</t>
  </si>
  <si>
    <t>Easy filter</t>
  </si>
  <si>
    <t>SmartThings</t>
  </si>
  <si>
    <t>3step Auto clean</t>
  </si>
  <si>
    <t>Bixby 2.0</t>
  </si>
  <si>
    <t>Potřeby</t>
  </si>
  <si>
    <t>Příjemné prostředí bez pocitu chladu + možnost vytápění</t>
  </si>
  <si>
    <t>Chladit/vytápět bez obav z účtů za elektřinu</t>
  </si>
  <si>
    <t>Dýchat čistý vzduch</t>
  </si>
  <si>
    <t>Usnadnit si život</t>
  </si>
  <si>
    <t>Příjemná a klidná domácnost</t>
  </si>
  <si>
    <t>2025
WindFree™ ELITE</t>
  </si>
  <si>
    <t>Výkonové řady</t>
  </si>
  <si>
    <t>2,0            2,5            3,5</t>
  </si>
  <si>
    <t>Třída energetické účinnosti
A+++             A+++</t>
  </si>
  <si>
    <t>Vybavení
•   Tri-Care Filter
•   MDS
•   4Way Swing
•</t>
  </si>
  <si>
    <t>•   Solární ovladač
•   Wi-Fi
•   Smart Energy
•</t>
  </si>
  <si>
    <t>Bílý displej</t>
  </si>
  <si>
    <t>Novinka    2,0      RAC &amp; FJM    2,0     Pouze RAC    2,0     Pouze FJM</t>
  </si>
  <si>
    <t>2025
WindFree™ AVANT</t>
  </si>
  <si>
    <t>2,5          3,5          4,2          5,2          6,8</t>
  </si>
  <si>
    <t>Třída energetické účinnosti</t>
  </si>
  <si>
    <t>A+++              A++</t>
  </si>
  <si>
    <t>Vybavení
•   Tri-Care Filter
•   4Way Swing
•   Freeze Wash</t>
  </si>
  <si>
    <t>•
•   Wi-Fi
•   Smart Energy</t>
  </si>
  <si>
    <t>2,0          2,5          3,5</t>
  </si>
  <si>
    <t>•   Solární ovladač
•   Wi-Fi
•   Smart Energy</t>
  </si>
  <si>
    <t>2025
WindFree™ COMFORT</t>
  </si>
  <si>
    <t>2,0          2,5          3,5          5,2          6,8</t>
  </si>
  <si>
    <t>A++               A++
Vybavení</t>
  </si>
  <si>
    <t>Vnitřní jednotka</t>
  </si>
  <si>
    <t>•   Easy Filter Plus
•   4Way Swing
•   Freeze Wash</t>
  </si>
  <si>
    <t>•   Nové opláštění
Venkovní jednotka
•   Nové opláštění - Kovová</t>
  </si>
  <si>
    <t>2025
CEBU</t>
  </si>
  <si>
    <t>2,0          2,5          3,5          4,2          5,2          6,8</t>
  </si>
  <si>
    <t>A++                A+
Vybavení</t>
  </si>
  <si>
    <t>•   Easy Filter Plus
•   4Way Swing</t>
  </si>
  <si>
    <t>•   Wi-Fi
•   Smart Energy
•</t>
  </si>
  <si>
    <t>2025
LUZON</t>
  </si>
  <si>
    <t>•
•
•</t>
  </si>
  <si>
    <t>•   Nové opláštění - Kovová</t>
  </si>
  <si>
    <t>2025
AR30 / AR35
Beze změn</t>
  </si>
  <si>
    <t>2,6          3,5          5,2          7,0</t>
  </si>
  <si>
    <t>Třída energetické účinnosti
A++                A+</t>
  </si>
  <si>
    <t>Vybavení
•   IR ovladač</t>
  </si>
  <si>
    <t>2025
Připojovací potrubí</t>
  </si>
  <si>
    <t>WindFree™ ELITE WindFree™ AVANT WindFree™ COMFORT CEBU</t>
  </si>
  <si>
    <t>2,0          2,5          3,5          4,2
Délka potrubí
20 m</t>
  </si>
  <si>
    <t>LUZON</t>
  </si>
  <si>
    <t>Převýšení</t>
  </si>
  <si>
    <t>10 m
Náplň chladiva</t>
  </si>
  <si>
    <t>7,5 m</t>
  </si>
  <si>
    <t>2025
Nové modelové kódy</t>
  </si>
  <si>
    <t>WindFree™ Elite</t>
  </si>
  <si>
    <t>AR70F07CAAWNEU</t>
  </si>
  <si>
    <t>AR70F09CAAWXEU</t>
  </si>
  <si>
    <t>AR70F09CAAWNEU</t>
  </si>
  <si>
    <t>AR70F12CAAWXEU</t>
  </si>
  <si>
    <t>AR70F12CAAWNEU</t>
  </si>
  <si>
    <t>WindFree™ Avant</t>
  </si>
  <si>
    <t>AR70F07C1AWXEU</t>
  </si>
  <si>
    <t>AR70F07C1AWNEU</t>
  </si>
  <si>
    <t>AR70F09C1AWXEU</t>
  </si>
  <si>
    <t>AR70F09C1AWNEU</t>
  </si>
  <si>
    <t>AR70F12C1AWXEU</t>
  </si>
  <si>
    <t>AR70F12C1AWNEU</t>
  </si>
  <si>
    <t>AR70F15C1AWXEU</t>
  </si>
  <si>
    <t>AR70F15C1AWNEU</t>
  </si>
  <si>
    <t>AR70F18C1AWXEU</t>
  </si>
  <si>
    <t>AR70F18C1AWNEU</t>
  </si>
  <si>
    <t>AR70F24C1AWXEU</t>
  </si>
  <si>
    <t>AR70F24C1AWNEU</t>
  </si>
  <si>
    <t>WindFree™ Comfort</t>
  </si>
  <si>
    <t>AR60F09C1AWXEU</t>
  </si>
  <si>
    <t>WindFree™ Avant (black)</t>
  </si>
  <si>
    <t>AR70F07C1ABNEU</t>
  </si>
  <si>
    <t>AR60F12C1AWXEU</t>
  </si>
  <si>
    <t>AR70F09C1ABNEU</t>
  </si>
  <si>
    <t>AR60F18C1AWXEU</t>
  </si>
  <si>
    <t>AR70F12C1ABNEU</t>
  </si>
  <si>
    <t>AR60F24C1AWXEU</t>
  </si>
  <si>
    <t>AR60F07C1AWNEU</t>
  </si>
  <si>
    <t>Cebu</t>
  </si>
  <si>
    <t>AR50F07C1AHXEU</t>
  </si>
  <si>
    <t>AR60F09C1AWNEU</t>
  </si>
  <si>
    <t>AR50F09C1AHXEU</t>
  </si>
  <si>
    <t>AR60F12C1AWNEU</t>
  </si>
  <si>
    <t>AR50F12C1AHXEU</t>
  </si>
  <si>
    <t>AR60F18C1AWNEU</t>
  </si>
  <si>
    <t>AR50F15C1AHXEU</t>
  </si>
  <si>
    <t>AR60F24C1AWNEU</t>
  </si>
  <si>
    <t>AR50F18C1AHXEU</t>
  </si>
  <si>
    <t>AR50F07C1AHNEU</t>
  </si>
  <si>
    <t>AR50F24C1AHXEU</t>
  </si>
  <si>
    <t>AR50F09C1AHNEU</t>
  </si>
  <si>
    <t>Luzon</t>
  </si>
  <si>
    <t>AR50F09C1BHXEU</t>
  </si>
  <si>
    <t>AR50F12C1AHNEU</t>
  </si>
  <si>
    <t>AR50F12C1BHXEU</t>
  </si>
  <si>
    <t>AR50F15C1AHNEU</t>
  </si>
  <si>
    <t>AR50F18C1BHXEU</t>
  </si>
  <si>
    <t>AR50F18C1AHNEU</t>
  </si>
  <si>
    <t>AR50F24C1BHXEU</t>
  </si>
  <si>
    <t>AR50F24C1AHNEU</t>
  </si>
  <si>
    <t>AR50F07C1BHNEU</t>
  </si>
  <si>
    <t>AR50F09C1BHNEU</t>
  </si>
  <si>
    <t>AR50F12C1BHNEU</t>
  </si>
  <si>
    <t>AR50F18C1BHNEU</t>
  </si>
  <si>
    <t>AR50F24C1BHNEU</t>
  </si>
  <si>
    <t>2025
EHS Split R32</t>
  </si>
  <si>
    <t>12,5        16,0</t>
  </si>
  <si>
    <t>EHS
High Capacity  Split 2025</t>
  </si>
  <si>
    <t>Dostupnost</t>
  </si>
  <si>
    <t>Q2 2025</t>
  </si>
  <si>
    <t>Cenník produktov
Rezidenčné klimatizácie Malé komerčné aplikácie</t>
  </si>
  <si>
    <t>Obsah
4.           Prehľad produktov
6.           1novácie v detailu
8.           Rezidenčný Split (RAC}
9.            WindFreeTM Elite S2
9.            WindFreeTM Avant S2 Black
10.          WindFreeTM Avant S2
10.          WindFreeTM Comfort S2
11.           Cebu S2
11.           Luzon S2
12.          AR35
12.          AR30
13.          Technické parametre RAC
14.         Multi Split (FJM}
15.          Vonkajšie jednotky
15.          WindFreeTM Elite S2
16.          WindFreeTM Avant S2 Black
16.          WindFreeTM Avant S2
16.          WindFreeTM Comfort S2
17.           Cebu S2
17.           Luzon S2
18.          WindFreeTM Mini 4-Way Cassette
18.          WindFreeTM 1-Way Cassette
19.           LSP Slim Duct
19.           MSP Duct
20.          Console
20.          Technické parametre FJM
21.           FJM kombinačná tabuľka
22.         Komerčný split (CAC}
23.          360 Cassette
24.          360 Cassette HighEE
25.          WindFreeTM 1-Way Cassette
26.          WindFreeTM Mini 4-Way Cassette
27.           WindFreeTM Mini 4-Way Cassette HighEE
28.          WindFreeTM 4-Way Cassette
29.          WindFreeTM 4-Way Cassette HighEE
30.          WindFreeTM QMD Wallmounted
30.          Wallmounted Max
31.          WindFreeTM QMD Wallmounted HighEE
31.          Wallmounted Max HighEE
32.          Console
33.          LSP Slim Duct
34.          MSP Duct
35.          MSP Duct HighEE
36.          HSP Duct
38.          Ceiling
39.          Ceiling HighEE
40.          Floor Standing
41.          Kondenzačné jednotky pre VZT (R410a)
42.          Kondenzačné jednotky pre VZT (R32)
42.          Kondenzačné jednotky pre VZT (R32) HighEE
43.          DPM kombinačná tabuľka
44.          Refnety
44.          Technické parametre pre malé komerčné aplikácie
46.         Príslušenstvo a riadiace systémy
46.          Individuálny ovladač
46.          Centrálne riadiace systémy
47.           Riadiace systémy budov
47.           Ostatné</t>
  </si>
  <si>
    <t>Přehľad produktov</t>
  </si>
  <si>
    <t>Samsung</t>
  </si>
  <si>
    <t>Rezidenčný Split (RAC)</t>
  </si>
  <si>
    <t>Rezidenčné nástenné jednotky Samsung sa inštalujú pomerne jednoducho. Ide
o ideálne riešenie na chladenie alebo vykurovanie jednej miestnosti od
obývačky až po spálňu.</t>
  </si>
  <si>
    <t>Multi Split (FJM)</t>
  </si>
  <si>
    <t>Multi Split systém Samsung umožňuje pripojenie až 5 vnútorných jednotiek
k jednej vonkajšej jednotke. Tento systém je vhodný pre viacero miestností, v ktorých sa vyžaduje individuálna regulácia teploty v rovnakom režime, najmä napríklad v rodinných domoch alebo malých komerčných priestoroch.</t>
  </si>
  <si>
    <t>                 </t>
  </si>
  <si>
    <t>Vnútorná Jednotka</t>
  </si>
  <si>
    <t>Komerčný Split (CAC)</t>
  </si>
  <si>
    <t>Komerčná klimatizácia Samsung je navrhnutá na chladenie alebo vykurovanie veľkých priestorov, na pokrytie veľkých výkonov a vo
viacsystémovom zapojení viacerých vnútorných jednotiek v tom istom systéme v rovnakom režime. Ide
o optimálne riešenie pre menšie komerčné
aplikácie, ako aj pre stredne veľké obchodné priestory alebo kancelárie.</t>
  </si>
  <si>
    <t>Vnútorné Jednotky</t>
  </si>
  <si>
    <t>Riadiace Systémy</t>
  </si>
  <si>
    <t>Infračervené
Centrálne</t>
  </si>
  <si>
    <t>Káblové</t>
  </si>
  <si>
    <t>Nástenné</t>
  </si>
  <si>
    <t>360 Cassette</t>
  </si>
  <si>
    <t>4-Way Cassette</t>
  </si>
  <si>
    <t>1-Way Cassette</t>
  </si>
  <si>
    <t>Parapetné</t>
  </si>
  <si>
    <t>Kanálové</t>
  </si>
  <si>
    <t>Opláštené</t>
  </si>
  <si>
    <t>Inovácie v detaile
WindFreeTM technológia
WindFreeTM chladenie účinne udržiava príjemnú mikroklímu bez nepríjemného pocitu studeného prievanu. Chladný vzduch sa totiž jemne rozptyľuje cez mikrootvory v prednom paneli nástennej jednotky alebo cez lamelu(y) 4-cestnej alebo 1-cestnej kazetovej jednotky.</t>
  </si>
  <si>
    <t>Krok 1                           Krok 2                          Krok 3
Predný panel nástenných jednotiek</t>
  </si>
  <si>
    <t>Režim rychlého chlazení</t>
  </si>
  <si>
    <t>Režim odvlhčování</t>
  </si>
  <si>
    <t>Režim
WindFreeTM</t>
  </si>
  <si>
    <t>štvorcestné kazetové jednotky rozptyľujú vzduch cez 15 700 mikrootvorov vo svojich lamelách. Lamely 4-cestnej kazetovej jednotky s rozmermi 600x600 mm obsahujú spolu 9 000 mikrootvorov.
Kazetové jednotky 1-cestné majú v lamelách 13 000 mikrootvorov.
Tieto mikrootvory pre technológiu WindFreeTM sú potrebné na vytvorenie takzvaného ,kľudného vzduchu "1, ktorý ochladzuje miestnosť bez pocitu studeného prievanu.
1 Definované podľa normy ASHRAE, ktorá špecifikuje rýchlosti prúdenia vzduchu do 0,15 ms-1 ako ,kľudný vzduch".</t>
  </si>
  <si>
    <t>Smart ovládanie</t>
  </si>
  <si>
    <t xml:space="preserve">Teplotu v miestnosti možno nastaviť na diaľku pomocou aplikácie SmartThings1. Zapnutie alebo vypnutie, nastavenie režimu chladenia alebo vykurovania, ako aj monitorovanie spotreby energie je možné vykonať stlačením jediného tlačidla. Umelá inteligencia (AI) Bixby 2.02 analyzuje
a predpovedá vaše potreby a zvyky, aby nastavila čo najpríjemnejšie vnútorné prostredie.
1 K dispozícii pre zariadenia so systémom Android a iOS. Vyžaduje sa pripojenie Wi-Fi a konto Samsung SmartThings.
2 Hlasové ovládanie je podporované v angličtine (USA, Veľká Británia, India), čínštine, kórejčine, francúzštine, nemčine, taliančine, španielčine a portugalčine. Umelá inteligencia len vo vybraných modeloch.
</t>
  </si>
  <si>
    <t>Ovládání klimatizace                  Monitoring spotreby energie</t>
  </si>
  <si>
    <t>Infračervený solárny ovládač</t>
  </si>
  <si>
    <t>Rezidenčný Split
Room Air Conditioner
(RAC)
www.samsung-climatesolutions.com</t>
  </si>
  <si>
    <t>WindFreeTM Elite S2
Nástenná klimatizačná jednotka</t>
  </si>
  <si>
    <t>GEO</t>
  </si>
  <si>
    <t>•     Dvojstupňové chladenie - WindFreeTM režim a režim rýchle
•     Tri-care filter + Easy Filter Plus
•     Freeze Wash
•     Ovládanie pomocou umelej inteligencie (AI)
•     Integrovaný senzor pohybu (MDS)
•     Wi-Fi - Samsung SmartThings
•     Infračervený solárny ovládač je súčasťou balenia</t>
  </si>
  <si>
    <t>o chladenia</t>
  </si>
  <si>
    <t>Rezidenčný Split</t>
  </si>
  <si>
    <t>Nominálny výkon</t>
  </si>
  <si>
    <t>Rozmery š x v x h (mm)</t>
  </si>
  <si>
    <t>Hmotnosť (kg)</t>
  </si>
  <si>
    <t>Pripojovacie potrubie</t>
  </si>
  <si>
    <t>Napájanie (f/V/Hz)</t>
  </si>
  <si>
    <t>Energetická účinnosť</t>
  </si>
  <si>
    <t>MOC za set bez DPH</t>
  </si>
  <si>
    <t>Chladenie (kW)</t>
  </si>
  <si>
    <t>Vykurovanie (kW)</t>
  </si>
  <si>
    <t>Kvapalina 0 (mm)</t>
  </si>
  <si>
    <t>Plyn 0 (mm)</t>
  </si>
  <si>
    <t>Chladenie SEER</t>
  </si>
  <si>
    <t>Vykurovanie SCOP</t>
  </si>
  <si>
    <t>AR70F09CAAWNEU
AR70F12CAAWNEU</t>
  </si>
  <si>
    <t>2,50           3,20
3,50          4,00</t>
  </si>
  <si>
    <t>Vnútorná        889x299x215              10,5
Vnútorná        889x299x215              10,5</t>
  </si>
  <si>
    <t>6,35                  9,52
6,35                  9,52</t>
  </si>
  <si>
    <t>1f                  9,50
1f                  8,80</t>
  </si>
  <si>
    <t>5,10
5,10</t>
  </si>
  <si>
    <t>1 739 €
1 930 €</t>
  </si>
  <si>
    <t>WindFreeTM Avant S2 Black
Nástenná klimatizačná jednotka                                                                             AIRISE
•     Dvojstupňové chladenie - WindFreeTM režim a režim rýchleho chladenia
•     Tri-care filter + Easy Filter Plus
•     Freeze Wash
•     Ovládanie pomocou umelej inteligencie (AI)
•     Wi-Fi - Samsung SmartThings
•     Infračervený solárny ovládač je súčasťou balenia</t>
  </si>
  <si>
    <t>AR70F07C1ABNEU AR70F09C1ABNEU
AR70F12C1ABNEU</t>
  </si>
  <si>
    <t>2,00          2,20
2,50           3,20
3,50          4,00</t>
  </si>
  <si>
    <t>Vnútorná        889x299x215               9,9
Vnútorná        889x299x215               9,9
Vnútorná        889x299x215               9,9</t>
  </si>
  <si>
    <t>6,35                  9,52
6,35                  9,52
6,35                  9,52</t>
  </si>
  <si>
    <t>1f                  9,00
1f                  8,80
1f                  8,60</t>
  </si>
  <si>
    <t>4,80
4,80
4,80</t>
  </si>
  <si>
    <t>1 427 €
1 531 €
1 701 €</t>
  </si>
  <si>
    <t xml:space="preserve">Kompatibilné Príslušenstvo
Voliteľné
</t>
  </si>
  <si>
    <t>Model</t>
  </si>
  <si>
    <t>Káblový ovládač           Káblový dotykový       Adaptér na napojenie      Adaptér na napojenie SK/CZ                          ovládač                káblového ovládača      nadradeného systému
MWR-WG01KN      MWR-SH11N        MIM-A00N          MIM-R10N</t>
  </si>
  <si>
    <t>MOC bez DPH</t>
  </si>
  <si>
    <t>206 €                 158 €                  39 €                  285 €</t>
  </si>
  <si>
    <t>WindFreeTM Avant S2
Nástenná klimatizačná jednotka
•     Dvojstupňové chladenie - WindFreeTM režim a režim rýchleho chladenia
•     Tri-care filter + Easy Filter Plus
•     Freeze Wash
•     Ovládanie pomocou umelej inteligencie (AI)
•     Wi-Fi - Samsung SmartThings
•     Infračervený solárny ovládač je súčasťou balenia</t>
  </si>
  <si>
    <t>AR70F07C1AWNEU AR70F09C1AWNEU AR70F12C1AWNEU
AR70F15C1AWNEU</t>
  </si>
  <si>
    <t>Vnútorná        889x299x219               9,9
Vnútorná        889x299x219               9,9
Vnútorná        889x299x219               9,9
Vnútorná        889x299x219               9,9</t>
  </si>
  <si>
    <t>1f                  9,00</t>
  </si>
  <si>
    <t>2,00          2,20
2,50           3,20
3,50          4,00
4,25           4,70</t>
  </si>
  <si>
    <t>6,35                  9,52
6,35                  9,52
6,35                  9,52
6,35                  9,52</t>
  </si>
  <si>
    <t>1 402 €
1 504 €
1 671 €
2 106 €</t>
  </si>
  <si>
    <t>1f                  8,80</t>
  </si>
  <si>
    <t>1f                  8,60</t>
  </si>
  <si>
    <t>1f                  8,00</t>
  </si>
  <si>
    <t>AR70F18C1AWNEU
AR70F24C1AWNEU</t>
  </si>
  <si>
    <t>5,00          6,00
6,50           7,40</t>
  </si>
  <si>
    <t>Vnútorná       1 055x299x215             12,3
Vnútorná       1 055x299x215             12,3</t>
  </si>
  <si>
    <t>6,35                 12,70
6,35                 15,88</t>
  </si>
  <si>
    <t>2 571 €
3 396 €</t>
  </si>
  <si>
    <t>1f                   7,20           4,10</t>
  </si>
  <si>
    <t>1f                   7,00           4,30</t>
  </si>
  <si>
    <t>WindFreeTM Comfort S2
Nástenná klimatizačná jednotka                                                                                 GEO
•     Dvojstupňové chladenie - WindFreeTM režim a režim rýchleho chladeni
•     Easy Filter Plus
•     Freeze Wash
•     Ovládanie pomocou umelej inteligencie (AI)
•     Wi-Fi - Samsung SmartThings
•     Infračervený solárny ovládač je súčasťou balenia</t>
  </si>
  <si>
    <t>AR60F09C1AWNEU
AR60F12C1AWNEU</t>
  </si>
  <si>
    <t>Vnútorná        889x299x215               9,9
Vnútorná        889x299x215               9,9</t>
  </si>
  <si>
    <t>1f                   7,90</t>
  </si>
  <si>
    <t>1 221 €
1 357 €</t>
  </si>
  <si>
    <t>1f                   7,60</t>
  </si>
  <si>
    <t>5,00          6,00</t>
  </si>
  <si>
    <t>Vnútorná       1 055x299x215             12,3</t>
  </si>
  <si>
    <t>6,35                 12,70</t>
  </si>
  <si>
    <t>2 088 €</t>
  </si>
  <si>
    <t>AR60F18C1AWXEU                                      Vonkajšia        880x638x310             36,8                                                           220-240/50</t>
  </si>
  <si>
    <t>Cebu S2
Nástenná klimatizačná jednotka
•     Easy Filter Plus
•     Ovládanie pomocou umelej inteligencie (AI)
•     Wi-Fi - Samsung SmartThings
•     Infračervený solárny ovládač je súčasťou balenia</t>
  </si>
  <si>
    <t>AR50F07C1AHNEU
AR50F09C1AHNEU AR50F12C1AHNEU</t>
  </si>
  <si>
    <t>2,00          2,20
2,50           3,20
3,50          3,50</t>
  </si>
  <si>
    <t>Vnútorná        820x299x215               9,1
Vnútorná        820x299x215               9,1
Vnútorná        820x299x215               9,1</t>
  </si>
  <si>
    <t>1f                   7,60
1f                   7,40
1f                   7,00</t>
  </si>
  <si>
    <t>4,20
4,20
4,20</t>
  </si>
  <si>
    <t>960 €
1 028 €
1 142 €</t>
  </si>
  <si>
    <t>AR50F15C1AHNEU
AR50F18C1AHNEU AR50F24C1AHNEU</t>
  </si>
  <si>
    <t>4,25           4,30
5,00          6,00
6,50           7,40</t>
  </si>
  <si>
    <t>Vnútorná        820x299x215               9,1
Vnútorná       1 055x299x215             12,5
Vnútorná       1 055x299x215             12,5</t>
  </si>
  <si>
    <t>6,35                  9,52
6,35                 12,70
6,35                 15,88</t>
  </si>
  <si>
    <t>1f                   7,60           4,50
1f                   7,00           4,10
1f                  6,80          4,30</t>
  </si>
  <si>
    <t>1 439 €
1 759 €
2 320 €</t>
  </si>
  <si>
    <t>AR50F24C1AHXEU                                       Vonkajšia        880x638x310             38,6                                                           220-240/50
Luzon S2
Nástenná klimatizačná jednotka
•     Easy Filter Plus
•     Ovládanie pomocou umelej inteligencie (AI)
•     Wi-Fi - Samsung SmartThings
•     Infračervený ovládač je súčasťou balenia</t>
  </si>
  <si>
    <t>AR50F09C1BHNEU
AR50F12C1BHNEU</t>
  </si>
  <si>
    <t>2,50           3,20
3,50          3,50</t>
  </si>
  <si>
    <t>Vnútorná        820x299x215               9,1
Vnútorná        820x299x215               9,1</t>
  </si>
  <si>
    <t>1f                  6,70
1f                  6,60</t>
  </si>
  <si>
    <t>4,00
4,00</t>
  </si>
  <si>
    <t>990 €
1 099 €</t>
  </si>
  <si>
    <t xml:space="preserve">AR50F18C1BHNEU
AR50F24C1BHNEU
</t>
  </si>
  <si>
    <t xml:space="preserve">Vnútorná       1 055x299x215             12,5
Vnútorná       1 055x299x215             12,5
</t>
  </si>
  <si>
    <t>1f                   7,00           4,10
1f                  6,80          4,30</t>
  </si>
  <si>
    <t>1 692 €
2 234 €
11</t>
  </si>
  <si>
    <t>Káblový ovládač           Káblový dotykový       Adaptér na napojenie      Adaptér na napojenie SK/CZ                          ovládač                káblového ovládača      nadradeného systému</t>
  </si>
  <si>
    <t>MWR-WG01KN      MWR-SH11N        MIM-A00N          MIM-R10N</t>
  </si>
  <si>
    <t>AR35
Nástenná klimatizačná jednotka
•     Infračervený ovládač je súčasťou balenia</t>
  </si>
  <si>
    <t>AR09TXHQASINEU
AR12TXHQASINEU</t>
  </si>
  <si>
    <t>Vnútorná        805x285x194               8,1
Vnútorná        805x285x194               8,1</t>
  </si>
  <si>
    <t>1f                  6,30</t>
  </si>
  <si>
    <t>2,6            2,9
3,5            3,8</t>
  </si>
  <si>
    <t>756 €
839 €</t>
  </si>
  <si>
    <t>1f                   6,10</t>
  </si>
  <si>
    <t>AR18BXHQASINEU
AR24BXHQASINEU</t>
  </si>
  <si>
    <t>5,2            5,2
7,0             7,3</t>
  </si>
  <si>
    <t>Vnútorná        957x300x213              10,5
Vnútorná       1 040x327x220             12,5</t>
  </si>
  <si>
    <t>6,35                 12,70
9,52                 15,88</t>
  </si>
  <si>
    <t>1 475 €
1 776 €</t>
  </si>
  <si>
    <t>1f                   7,10           4,00</t>
  </si>
  <si>
    <t>1f                   6,10           3,90</t>
  </si>
  <si>
    <t>AR30
Nástenná klimatizačná jednotka
•     Infračervený ovládač je súčasťou balenia</t>
  </si>
  <si>
    <t>AR09TXHQBWKNEU
AR12TXHQBWKNEU</t>
  </si>
  <si>
    <t>www.samsung-climatesolutions.com
Viac informácií o rezidenčných split jednotkách
nájdete na webovej stránke (naskenujte QR kód)</t>
  </si>
  <si>
    <t>Prevádzkový rozsah v režime chladenia od -10 °C do +46 °C Prevádzkový rozsah v režime vykurovania od - 15 °C do + 24 °C
Odporúčaný tienený komunikačný kábel.</t>
  </si>
  <si>
    <t>Riada</t>
  </si>
  <si>
    <t>DÍžky potrubia</t>
  </si>
  <si>
    <t>Elektrické dáta</t>
  </si>
  <si>
    <t>Doporučené istenie (A/f/charak)</t>
  </si>
  <si>
    <t>Elektrické napájanie</t>
  </si>
  <si>
    <t>Chlad. (kW)</t>
  </si>
  <si>
    <t>Vyk. (kW)</t>
  </si>
  <si>
    <t>Celková (m)</t>
  </si>
  <si>
    <t>Minimálna (m)</t>
  </si>
  <si>
    <t>Prevýšenie (m)</t>
  </si>
  <si>
    <t>Náplň z výroby
(kg)</t>
  </si>
  <si>
    <t>Predplnené (m)</t>
  </si>
  <si>
    <t>Doplnenie (g/m)</t>
  </si>
  <si>
    <t>Elektrický príkon (kW)</t>
  </si>
  <si>
    <t>Pdesign (chladenie)</t>
  </si>
  <si>
    <t>Napájacie káble</t>
  </si>
  <si>
    <t>Komunikačný kábel</t>
  </si>
  <si>
    <t>Vnútorná/ Vonkajšia (dB(A) v 1m)</t>
  </si>
  <si>
    <t>Vonkajšia-vnút</t>
  </si>
  <si>
    <t>AR12TXHQBWKXEU</t>
  </si>
  <si>
    <t>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
CYKY
3x1,5mm2</t>
  </si>
  <si>
    <t>JYTY 2x1,0mm2            16/45
JYTY 2x1,0mm2            16/46
JYTY 2x1,0mm2            16/45
JYTY 2x1,0mm2            16/45
JYTY 2x1,0mm2            16/46
JYTY 2x1,0mm2            16/45
JYTY 2x1,0mm2            16/45
JYTY 2x1,0mm2            16/46
JYTY 2x1,0mm2            25/48
JYTY 2x1,0mm2            25/51
JYTY 2x1,0mm2            27/54
JYTY 2x1,0mm2            16/45
JYTY 2x1,0mm2            16/46
JYTY 2x1,0mm2            25/51
JYTY 2x1,0mm2            27/54
JYTY 2x1,0mm2            19/45
JYTY 2x1,0mm2            19/45
JYTY 2x1,0mm2            19/46
JYTY 2x1,0mm2            25/48
JYTY 2x1,0mm2            25/51
JYTY 2x1,0mm2            27/54
JYTY 2x1,0mm2            19/45
JYTY 2x1,0mm2            19/46
JYTY 2x1,0mm2            25/51
JYTY 2x1,0mm2            27/54
JYTY 2x1,0mm2            20/55
JYTY 2x1,0mm2            22/55
JYTY 2x1,0mm2            25/56
JYTY 2x1,0mm2            28/60
JYTY 2x1,0mm2            20/55
JYTY 2x1,0mm2            22/55</t>
  </si>
  <si>
    <t>AR70F09CAAWNEU
2,50
AR70F09CAAWXEU</t>
  </si>
  <si>
    <t>0,54</t>
  </si>
  <si>
    <t>16A/1f/typ C</t>
  </si>
  <si>
    <t>3x2,5mm2</t>
  </si>
  <si>
    <t>AR70F12CAAWNEU
3,50
AR70F12CAAWXEU</t>
  </si>
  <si>
    <t>0,86</t>
  </si>
  <si>
    <t>AR70F07C1ABNEU
2,00
AR70F07C1ABXEU</t>
  </si>
  <si>
    <t>0,43</t>
  </si>
  <si>
    <t>AR70F09C1ABNEU
2,50
AR70F09C1ABXEU</t>
  </si>
  <si>
    <t>0,57</t>
  </si>
  <si>
    <t>AR70F12C1ABNEU
3,50
AR70F12C1ABXEU</t>
  </si>
  <si>
    <t>0,91</t>
  </si>
  <si>
    <t>AR70F07C1AWNEU
2,00
AR70F07C1AWXEU</t>
  </si>
  <si>
    <t>AR70F09C1AWNEU
2,50
AR70F09C1AWXEU</t>
  </si>
  <si>
    <t>AR70F12C1AWNEU
3,50
AR70F12C1AWXEU</t>
  </si>
  <si>
    <t>AR70F15C1AWNEU
4,25
AR70F15C1AWXEU</t>
  </si>
  <si>
    <t>20A/1f/typ C</t>
  </si>
  <si>
    <t>3x4,0mm2</t>
  </si>
  <si>
    <t>AR70F18C1AWNEU
5,00
AR70F18C1AWXEU</t>
  </si>
  <si>
    <t>AR70F24C1AWNEU
6,50
AR70F24C1AWXEU</t>
  </si>
  <si>
    <t>AR60F09C1AWNEU
2,50
AR60F09C1AWXEU</t>
  </si>
  <si>
    <t>0,63</t>
  </si>
  <si>
    <t>AR60F12C1AWNEU
3,50
AR60F12C1AWXEU</t>
  </si>
  <si>
    <t>0,99</t>
  </si>
  <si>
    <t>AR60F18C1AWNEU
5,00
AR60F18C1AWXEU</t>
  </si>
  <si>
    <t>AR60F24C1AWNEU
6,50
AR60F24C1AWXEU</t>
  </si>
  <si>
    <t>AR50F07C1AHNEU
2,00
AR50F07C1AHXEU</t>
  </si>
  <si>
    <t>0,46</t>
  </si>
  <si>
    <t>AR50F09C1AHNEU
2,50
AR50F09C1AHXEU</t>
  </si>
  <si>
    <t>0,6</t>
  </si>
  <si>
    <t>AR50F12C1AHNEU
3,50
AR50F12C1AHXEU</t>
  </si>
  <si>
    <t>1,06</t>
  </si>
  <si>
    <t>AR50F15C1AHNEU
4,25
AR50F15C1AHXEU</t>
  </si>
  <si>
    <t>1,27</t>
  </si>
  <si>
    <t>AR50F18C1AHNEU
5,00
AR50F18C1AHXEU</t>
  </si>
  <si>
    <t>AR50F24C1AHNEU
6,50
AR50F24C1AHXEU</t>
  </si>
  <si>
    <t>AR50F09C1BHNEU
2,50
AR50F09C1BHXEU</t>
  </si>
  <si>
    <t>0,76</t>
  </si>
  <si>
    <t>AR50F12C1BHNEU
3,50
AR50F12C1BHXEU</t>
  </si>
  <si>
    <t>1,36</t>
  </si>
  <si>
    <t>AR50F18C1BHNEU
5,00
AR50F18C1BHXEU</t>
  </si>
  <si>
    <t>AR50F24C1BHNEU
6,50
AR50F24C1BHXEU</t>
  </si>
  <si>
    <t>AR09TXHQASINEU
2,6
AR09TXHQASIXEU</t>
  </si>
  <si>
    <t>0,77</t>
  </si>
  <si>
    <t>AR12TXHQASINEU
3,5
AR12TXHQASIXEU</t>
  </si>
  <si>
    <t>AR18BXHQASINEU
5,2
AR18BXHQASIXEU</t>
  </si>
  <si>
    <t>AR24BXHQASINEU
7,0
AR24BXHQASIXEU</t>
  </si>
  <si>
    <t>2,45</t>
  </si>
  <si>
    <t>AR09TXHQBWKNEU
2,6
AR09TXHQBWKXEU</t>
  </si>
  <si>
    <t>AR12TXHQBWKNEU
3,5</t>
  </si>
  <si>
    <t>Tieto technické parametre sú orientačné a nenahrádzajú technický databook a inštalačnú príručku. Pred inštaláciou je potrebné skontrolovať technické parametre v databooku a inštalačnej príručke.
Rozmery ističov, typy a prierezy elektrických káblov musia byť navrhnuté elektrotechnickou profesiou podľa pokynov v inštalačnej príručke výrobcu a musia byť v súlade s miestnymi normami ČSN/STN a EN.</t>
  </si>
  <si>
    <t>Multi Split
Free Joint Multi
(FJM)
www.samsung-climatesolutions.com</t>
  </si>
  <si>
    <t>Vonkajšie jednotky
•     Pripojenie až 5 vnútorných jednotiek
•     Kombinácia nástenných, kazetových, kanálových a parapetných vnútorných jednotiek
•     Pripojovací pomer až 176%
•     Komunikačný protokol NASA
AJ040TXJ2KG/EU        4,00         4,20            2               790x548x285             32,0               2x6,35                2x9,52            1f/220-240/50     8,54</t>
  </si>
  <si>
    <t>1 654 €</t>
  </si>
  <si>
    <t>Počet vnútorných jednotiek</t>
  </si>
  <si>
    <t>MOC
bez DPH</t>
  </si>
  <si>
    <t>WindFreeTM Elite S2                   GEO Nástenná vnútorná jednotka
•     Dvojstupňové chladenie - WindFreeTM režim a režim rýchle  o
•     Tri-care filter + Easy Filter Plus
•     Ovládanie pomocou umelej inteligencie (AI)
•     Integrovaný senzor pohybu (MDS)
•     Wi-Fi - Samsung SmartThings
•     Infračervený solárny ovládač je súčasťou balenia</t>
  </si>
  <si>
    <t>Multi Split</t>
  </si>
  <si>
    <t>Nominálny výkon                           Rozmery               Hmotnosť                Pripojovacie potrubie                  Napájanie                      MOC</t>
  </si>
  <si>
    <t>Vykurovanie                š x v x h                     (kg) (kW)                        (mm)</t>
  </si>
  <si>
    <t>Plyn 0                 (f/V/Hz)                     bez DPH (mm)</t>
  </si>
  <si>
    <t>Kompatibilné Príslušenstvo
Vonkajšie jednotky - voliteľné                                                                WindFreeTM Elite S2 - voliteľné</t>
  </si>
  <si>
    <t>Model
Typ MOC bez DPH</t>
  </si>
  <si>
    <t>WiFi Kit                        Modbus
MIM-H04EN         MIM-B19N 231 €                  115 €</t>
  </si>
  <si>
    <t>Káblový ovládač           Káblový dotykový       Adaptér na pripojenie SK/CZ                          ovládač               káblového ovládača
MWR-WG01KN      MWR-SH11N        MIM-A00N 206 €                 158 €                  39 €</t>
  </si>
  <si>
    <t>889x299x215</t>
  </si>
  <si>
    <t>1f/220-240/50</t>
  </si>
  <si>
    <t>WindFreeTM Avant S2 Black
Nástenná vnútorná jednotka
•     Dvojstupňové chladenie - WindFreeTM režim a režim rýchleho chladenia
•     Tri-care filter + Easy Filter Plus
•     Ovládanie pomocou umelej inteligencie (AI)
•     Wi-Fi - Samsung SmartThings
•     Infračervený solárny ovládač je súčasťou balenia</t>
  </si>
  <si>
    <t>WindFreeTM Avant S2
Nástenná vnútorná jednotka
•     Dvojstupňové chladenie - WindFreeTM režim a režim rýchleho chladenia
•     Tri-care filter + Easy Filter Plus
•     Ovládanie pomocou umelej inteligencie (AI)
•     Wi-Fi - Samsung SmartThings
•     Infračervený solárny ovládač je súčasťou balenia</t>
  </si>
  <si>
    <t>889x299x219</t>
  </si>
  <si>
    <t>1 055x299x215</t>
  </si>
  <si>
    <t>1 157 €</t>
  </si>
  <si>
    <t>1 528 €</t>
  </si>
  <si>
    <t>WindFreeTM Comfort S2
Nástenná vnútorná jednotka
•     Dvojstupňové chladenie - WindFreeTM režim a režim rýchleho chladenia
•     Easy Filter Plus
•     Ovládanie pomocou umelej inteligencie (AI)
•     Wi-Fi - Samsung SmartThings
•     Infračervený solárny ovládač je súčasťou balenia</t>
  </si>
  <si>
    <t>Jmenovitý výkon</t>
  </si>
  <si>
    <t>Hmotnost (kg)</t>
  </si>
  <si>
    <t>Napájení (f/V/Hz)</t>
  </si>
  <si>
    <t>Chlazení (kW)</t>
  </si>
  <si>
    <t>Vytápení (kW)</t>
  </si>
  <si>
    <t>1 103 €</t>
  </si>
  <si>
    <t>Cebu S2
Nástenná vnútorná jednotka
•     Easy Filter Plus
•     Ovládanie pomocou umelej inteligencie (AI)
•     Wi-Fi - Samsung SmartThings
•     Infračervený solárny ovládač je súčasťou balenia</t>
  </si>
  <si>
    <t>820x299x215</t>
  </si>
  <si>
    <t>Luzon S2
Nástenná vnútorná jednotka
•     Easy Filter Plus
•     Ovládanie pomocou umelej inteligencie (AI)
•     Wi-Fi - Samsung SmartThings
•     Infračervený ovládač je súčasťou balenia</t>
  </si>
  <si>
    <t>Káblový ovládač           Káblový dotykový       Adaptér na pripojenie SK/CZ                          ovládač               káblového ovládača</t>
  </si>
  <si>
    <t>MWR-WG01KN      MWR-SH11N        MIM-A00N</t>
  </si>
  <si>
    <t>206 €                 158 €                  39 €</t>
  </si>
  <si>
    <t>štruktúra menu Káblového dotykového ovládača MWR-SH11N
17</t>
  </si>
  <si>
    <t>WindFreeTM Mini 4-Way Cassette
Kazetová vnútorná jednotka
•     Dvojstupňové chladenie - WindFreeTM režim a režim rýchleho chladenia
•     Nezávislé nastavenie jednotlivých lamiel
•     Vstavané čerpadlo kondenzátu - výtlačná výška 550mm
•     Vstavaný senzor teploty a vlhkosti
•     Pre prevádzku systému je nevyhnutné dokúpiť dekoračný panel a aspoň jeden ovládač</t>
  </si>
  <si>
    <t>AJ016TNNDKG/EU</t>
  </si>
  <si>
    <t>575x250x575</t>
  </si>
  <si>
    <t>AJ020TNNDKG/EU</t>
  </si>
  <si>
    <t>AJ026TNNDKG/EU</t>
  </si>
  <si>
    <t>AJ035TNNDKG/EU</t>
  </si>
  <si>
    <t>AJ052TNNDKG/EU</t>
  </si>
  <si>
    <t>WindFreeTM 1-Way Cassette
Kazetová vnútorná jednotka
•     Dvojstupňové chladenie - WindFreeTM režim a režim rýchleho chladenia
•     100mm široká lamela s nastavením 37° až 87°
•     Vstavané čerpadlo kondenzátu - výtlačná výška 550mm
•     Vstavaný senzor teploty a vlhkosti
•     Pre prevádzku systému je nevyhnutné dokúpiť dekoračný panel a aspoň jeden ovlád</t>
  </si>
  <si>
    <t>AJ026TN1DKG/EU</t>
  </si>
  <si>
    <t>970x135x410</t>
  </si>
  <si>
    <t>AJ035TN1DKG/EU</t>
  </si>
  <si>
    <t>Kompatibilné Príslušenstvo
Nutné pre prevádzku</t>
  </si>
  <si>
    <t>Voliteľné</t>
  </si>
  <si>
    <t>Kompatibilita</t>
  </si>
  <si>
    <t>Dekoračný panel 4-Way Cassette
PC4SUFMAN</t>
  </si>
  <si>
    <t>Dekoračný panel 1-Way Cassette
PC1NWFMAN</t>
  </si>
  <si>
    <t>Kompatibita</t>
  </si>
  <si>
    <t>Infračervený ovládač         Káblový ovládač           Káblový dotykový            Senzor pohybu SK/CZ                          ovládač
AR-EH03E       MWR-WG01KN      MWR-SH11N         MCR-SMD</t>
  </si>
  <si>
    <t>620x620x57</t>
  </si>
  <si>
    <t>1 198x500x35</t>
  </si>
  <si>
    <t>76 €                  206 €                 158 €                  125 €</t>
  </si>
  <si>
    <t>LSP Slim Duct
Kanálová vnútorná jednotka s integrovaným čerpadlom kondenzátu
•     Long-Life filtr
•     Vstavané čerpadlo kondenzátu-výtlačná výška 1200mm
•     Externý statický tlak motora ventilátora do 39 Pa
•     Pre prevádzku systému je nevyhnutné dokúpiť aspoň jeden ovládač</t>
  </si>
  <si>
    <t>AJ026TNLPEG/EU</t>
  </si>
  <si>
    <t>700x199x440</t>
  </si>
  <si>
    <t>AJ035TNLPEG/EU</t>
  </si>
  <si>
    <t>MSP Duct
Kanálová vnútorná jednotka
•     Long-life filtr
•     Externý statický tlak motora ventilátora do 50Pa
•     Pre prevádzku systému je nevyhnutné dokúpiť aspoň jeden ovládač</t>
  </si>
  <si>
    <t>AJ052BNMDEG/EU           5,20                  5,60               900x199x440                     18,9                        6,35                        12,70                  1f/220-240/50                               1 001 €</t>
  </si>
  <si>
    <t>Kompatibilné Príslušenstvo
Voliteľné
*pre prevádzku infračerveného ovládača je potrebné použiť prijímač IR signálu</t>
  </si>
  <si>
    <t>MSD Duct</t>
  </si>
  <si>
    <t>Infračervený ovládač*     Prijímač IR signálu*         Káblový ovladač           Káblový dotykový                Čerpadlo
SK/CZ                          ovládač                     kondenzátu</t>
  </si>
  <si>
    <t>AR-EH03E          MRK-A10N       MWR-WG01KN      MWR-SH11N     MDP-Z075SZED</t>
  </si>
  <si>
    <t>76 €                   54 €                  206 €                 158 €                  132 €</t>
  </si>
  <si>
    <t>Kanálová jednotka FJM
19</t>
  </si>
  <si>
    <t>Console
Parapetná vnútorná jednotka
•     Ionizér (SPi)
•     HÍbka iba 199 mm
•     Infračervený ovládač je súčasťou balenia</t>
  </si>
  <si>
    <t>AJ026TNJDKG/EU</t>
  </si>
  <si>
    <t>720x620x199</t>
  </si>
  <si>
    <t>AJ035TNJDKG/EU</t>
  </si>
  <si>
    <t>AJ052TNJDKG/EU</t>
  </si>
  <si>
    <t>Technické parametre
Rezidenčné multi split vonkajšie jednotky</t>
  </si>
  <si>
    <t>DÍžka potrubia</t>
  </si>
  <si>
    <t>Doporučené istenie (A/f/charak.)</t>
  </si>
  <si>
    <t>Maximálna 1 trasa
(m)</t>
  </si>
  <si>
    <t>Prevýšenie* (m)</t>
  </si>
  <si>
    <t>Komunikačné káble</t>
  </si>
  <si>
    <t>Vonkajšia (dB(A) v 1m)</t>
  </si>
  <si>
    <t>Vnútorná z vonkajšie</t>
  </si>
  <si>
    <t>Vonkajšia- vnútorná</t>
  </si>
  <si>
    <t>15 / 7,5</t>
  </si>
  <si>
    <t>CYKY 3x1,5mm2</t>
  </si>
  <si>
    <t>JYTY 2x1,0mm2</t>
  </si>
  <si>
    <t>1,25</t>
  </si>
  <si>
    <t>1,8</t>
  </si>
  <si>
    <t>1,97</t>
  </si>
  <si>
    <t>2,75</t>
  </si>
  <si>
    <t>25A/1f/typ C</t>
  </si>
  <si>
    <t>www.samsung-climatesolutions.com
Viac informácií o multi split jednotkách nájdete na webovej stránke (naskenujte QR kód)</t>
  </si>
  <si>
    <t>Kompatibilné Príslušenstvo
Voliteľné</t>
  </si>
  <si>
    <t>Káblový ovládač           Káblový dotykový        Adaptér na pripojenie SK/CZ                          ovládač                káblového ovládača</t>
  </si>
  <si>
    <t>MWR-WG01KN      MWR-SH11N         MIM-A00N</t>
  </si>
  <si>
    <t>206 €                 158 €                   39 €</t>
  </si>
  <si>
    <t>FJM Kombinačná tabuľka
Povolené kombinácie vnútorná-vonkajšia jednotka</t>
  </si>
  <si>
    <t>Nominálny chladiaci výkon (kW)</t>
  </si>
  <si>
    <t>WindFreeTM
Elite S2</t>
  </si>
  <si>
    <t>2,50
3,50</t>
  </si>
  <si>
    <t>WindFreeTM
Avant S2 Black</t>
  </si>
  <si>
    <t>2,00
2,50</t>
  </si>
  <si>
    <t>WindFreeTM
Avant S2</t>
  </si>
  <si>
    <t>•
•
•
-
-</t>
  </si>
  <si>
    <t>•
•
•
•
-</t>
  </si>
  <si>
    <t>•
•
•
•
•</t>
  </si>
  <si>
    <t>5,00
6,50</t>
  </si>
  <si>
    <t>WindFreeTM
Comfort S2</t>
  </si>
  <si>
    <t>3,50
5,00</t>
  </si>
  <si>
    <t>Cebu S2</t>
  </si>
  <si>
    <t>Luzon S2</t>
  </si>
  <si>
    <t>3,50
5,00
6,50</t>
  </si>
  <si>
    <t>WindFreeTM
4-Way Mini Cassette</t>
  </si>
  <si>
    <t>-
-
-
-
-</t>
  </si>
  <si>
    <t>2,60
3,50</t>
  </si>
  <si>
    <t>WindFreeTM
1-Way Cassette</t>
  </si>
  <si>
    <t>•
•</t>
  </si>
  <si>
    <t>Duct</t>
  </si>
  <si>
    <t>-
-
-</t>
  </si>
  <si>
    <t>•
•
-</t>
  </si>
  <si>
    <t>3,50
5,20</t>
  </si>
  <si>
    <t>Console</t>
  </si>
  <si>
    <t>•                      -
•                      -
•                      -</t>
  </si>
  <si>
    <t>Komečný Split
Comercial Air Conditioner
(CAC)</t>
  </si>
  <si>
    <t>www.samsung-climatesolutions.com</t>
  </si>
  <si>
    <t>360 Cassette
Kruhová kazetová klimatizačná jednotka
•     360° distribúcia vzduchu
•     Bezlamelový výfuk pomocou 3 booster ventilátorov
•     Vstavané čerpadlo kondenzátu - výtlačná výška 750mm
•     Pre prevádzku systému je potrebné zakúpiť dekoratívny panel a aspoň jeden ovládač</t>
  </si>
  <si>
    <t>Plyn 0
(mm)</t>
  </si>
  <si>
    <t>AC071RN4PKG/EU AC100RN4PKG/EU AC100RN4PKG/EU AC120RN4PKG/EU
AC120RN4PKG/EU</t>
  </si>
  <si>
    <t>7,1             8,0
10,0           11,2
10,0           11,2
12,0           13,0
12,0           13,0</t>
  </si>
  <si>
    <t>Vnútorná        947x281x947              20,2
Vnútorná        947x365x947              23,5
Vnútorná        947x365x947              23,5
Vnútorná        947x365x947              23,5
Vnútorná        947x365x947              23,5</t>
  </si>
  <si>
    <t>6,35                 15,88
9,52                 15,88
9,52                 15,88
9,52                 15,88
9,52                 15,88</t>
  </si>
  <si>
    <t>1f                    6,7
1f                   6,8
3f                   6,8
1f                   6,0
3f                   6,0</t>
  </si>
  <si>
    <t>4,2
4,3
4,3
4,0
4,0</t>
  </si>
  <si>
    <t>1 299 €
1 392 €
1 392 €
1 538 €
1 538 €</t>
  </si>
  <si>
    <t>AC140RN4PKG/EU                                       Vnútorná        947x365x947              25,5                                                                  1f                    6,4
13,4           15,5                                                                 9,52                 15,88</t>
  </si>
  <si>
    <t>1 626 €</t>
  </si>
  <si>
    <t>AC140RXADKG/EU                                      Vonkajšia       940x1 210x330             87,0                                                           220-240/50</t>
  </si>
  <si>
    <t>COP</t>
  </si>
  <si>
    <t>2 998 €</t>
  </si>
  <si>
    <t>AC140RN4PKG/EU                                       Vnútorná        947x365x947              25,5                                                                  3f                   6,4
13,4           15,5                                                                 9,52                 15,88</t>
  </si>
  <si>
    <t>AC140RXADNG/EU                                      Vonkajšia       940x1 210x330             87,0                                                           380-415/50</t>
  </si>
  <si>
    <t>3 148 €</t>
  </si>
  <si>
    <t xml:space="preserve">Kompatibilné Príslušenstvo
Nutné pre prevádzku - dekoračné panely
</t>
  </si>
  <si>
    <t>Dekoračný panel           Dekoračný panel           Dekoračný panel           Dekoračný panel           Dekoračný panel           Dekoračný panel štvorec biely                   kruh biely                  štvorec čierny                 kruh čierny                Air Purification              Auto Elevation</t>
  </si>
  <si>
    <t>PC4NUDMAN      PC4NUNMAN      PC4NBDMAN      PC4NBNMAN       PC6EUCMAN       PC6EUXMAN</t>
  </si>
  <si>
    <t>Rozmer (mm)</t>
  </si>
  <si>
    <t>1000x1000x66        01050x94        1000x1000x66        01050x94           01050x102          01050x102</t>
  </si>
  <si>
    <t>256 €                 256 €                 256 €                 256 €                  751 €                  704 €</t>
  </si>
  <si>
    <t>Solárny infračervený         Káblový ovládač           Dotykový káblový                Wi-Fi Kit                Senzor pohybu pre ovládač                          SK/CZ                          ovládač                       Centrálny                  PC4NUDMAN
AR-CH01E       MWR-WG01KN      MWR-SH11N        MIM-H04EN         MCR-SME</t>
  </si>
  <si>
    <t>99 €                  206 €                 158 €                  231 €                  125 €</t>
  </si>
  <si>
    <t>360 Cassette HighEE
Kruhová kazetová klimatizačná jednotka s vysokou účinnosťou
•     360° distribúcia vzduchu
•     Bezlamelový výfuk pomocou 3 booster ventilátorov
•     Vstavané čerpadlo kondenzátu - výtlačná výška 750mm
•     Prevádzkový rozsah chladenia -20-52°C/vykurovanie -25-24°C
•     Prevádzkový rozsah vnútornej teploty vykurovania od 8°C
•     Pre prevádzku systému je potrebné zakúpiť dekoratívny panel a aspoň jeden ovládač</t>
  </si>
  <si>
    <t>AC052BN6PKG/EU AC071BN6PKG/EU
AC071BN6PKG/EU</t>
  </si>
  <si>
    <t>5,0            6,0
7,1             8,0
7,1             8,0</t>
  </si>
  <si>
    <t>Vnútorná        947x281x947              20,2
Vnútorná        947x365x947              25,5
Vnútorná        947x365x947              25,5</t>
  </si>
  <si>
    <t>6,35                 12,70
9,52                 15,88
9,52                 15,88</t>
  </si>
  <si>
    <t>1f                   8,3
1f                    7,8
3f                    7,8</t>
  </si>
  <si>
    <t>4,6
4,6
4,6</t>
  </si>
  <si>
    <t>1 260 €
1 299 €
1 299 €</t>
  </si>
  <si>
    <t>Dekoračný panel           Dekoračný panel           Dekoračný panel           Dekoračný panel           Dekoračný panel           Dekoračný panel štvorec biely s WiFi         kruh biely s WiFi        štvorec čierny s WiFi       kruh čierny s WiFi      Air Purification s WiFi    Auto Elevation s WiFi</t>
  </si>
  <si>
    <t>PC6NUSMANW    PC6EUSMANW    PC6NBSMANW    PC6EBSMANW    PC6EUCMANW    PC6EUXMANW</t>
  </si>
  <si>
    <t>Kompatibilné Príslušenstvo
Voliteľné
24</t>
  </si>
  <si>
    <t>Solárny infračervený         Káblový ovládač           Dotykový káblový                Wi-Fi Kit                Senzor pohybu pre ovládač                          SK/CZ                          ovládač                       Centrálny                 PC6NUSMANW</t>
  </si>
  <si>
    <t>AR-CH01E       MWR-WG01KN      MWR-SH11N        MIM-H04EN         MCR-SME</t>
  </si>
  <si>
    <t>WindFreeTM 1-Way Cassette
Kazetová klimatizačná jednotka
•     Dvojstupňové chladenie- WindFreeTM režim a režim rýchleho chladenia
•     Vstavané čerpadlo kondenzátu - výtlačná výška 750mm
•     Vstavaný senzor teploty a vlhkosti
•     Pre prevádzku systému je potrebné zakúpiť dekoratívny panel a aspoň jeden ovládač</t>
  </si>
  <si>
    <t xml:space="preserve">AC026RN1DKG/EU
AC035RN1DKG/EU
</t>
  </si>
  <si>
    <t>2,6            3,4
3,5            4,0</t>
  </si>
  <si>
    <t>Vnútorná        970x135x410               9,2
Vnútorná        970x135x410               9,2</t>
  </si>
  <si>
    <t>1f                    6,4
1f                    6,2</t>
  </si>
  <si>
    <t>4,0
4,0</t>
  </si>
  <si>
    <t>745 €
782 €
25</t>
  </si>
  <si>
    <t xml:space="preserve">Kompatibilné Príslu  enstvo
Nutné pre prevádzku - dekoračný panel
</t>
  </si>
  <si>
    <t>Infračervený ovládač     Solárny infračervený         Káblový ovládač           Dotykový káblový                Wi-Fi Kit ovládač                          SK/CZ                          ovládač                       Centrálny
AR-EH03E          AR-CH01E       MWR-WG01KN      MWR-SH11N        MIM-H04EN 76 €                   99 €                  206 €                 158 €                  231 €</t>
  </si>
  <si>
    <t>WindFreeTM Mini 4-Way Cassette
Kazetová klimatizačná jednotka
•     Dvojstupňové chladenie - WindFreeTM režim a režim rýchleho chladenia
•     Nezávislé nastavenie jednotlivých lamiel
•     Vstavané čerpadlo kondenzátu - výtlačná výška 750mm
•     Vstavaný senzor teploty a vlhkosti
•     Pre prevádzku systému je potrebné zakúpiť dekoratívny panel a aspoň jeden ovládač</t>
  </si>
  <si>
    <t>AC026RNNDKG/EU AC035RNNDKG/EU AC052RNNDKG/EU
AC071RNNDKG/EU</t>
  </si>
  <si>
    <t>2,6            3,4
3,5            4,0
5,0            5,5
6,8             7,5</t>
  </si>
  <si>
    <t>Vnútorná        575x250x575              11,5
Vnútorná        575x250x575              11,5
Vnútorná        575x250x575              12,0
Vnútorná        575x250x575              12,0</t>
  </si>
  <si>
    <t>6,35                  9,52
6,35                  9,52
6,35                 12,70
6,35                 15,88</t>
  </si>
  <si>
    <t>1f                    7,1
1f                    7,0
1f                    6,7
1f                    6,1</t>
  </si>
  <si>
    <t>4,3
4,3
4,2
3,8</t>
  </si>
  <si>
    <t>481 €
561 €
664 €
828 €</t>
  </si>
  <si>
    <t xml:space="preserve">Kompatibilné Príslušenstvo
Nutné pre prevádzku - dekoračný panel
</t>
  </si>
  <si>
    <t>Dekoračný panel Mini 4-Way Cassette
PC4SUFMAN</t>
  </si>
  <si>
    <t>Kompatibilné Príslušenstvo
Voliteľné
26</t>
  </si>
  <si>
    <t>Infračervený ovládač     Solárny infračervený         Káblový ovládač           Dotykový káblový                Wi-Fi Kit                   Senzor pohybu ovládač                          SK/CZ                          ovládač                       Centrálny
AR-EH03E          AR-CH01E       MWR-WG01KN      MWR-SH11N        MIM-H04EN         MCR-SMD</t>
  </si>
  <si>
    <t>76 €                   99 €                  206 €                 158 €                  231 €                  125 €</t>
  </si>
  <si>
    <t>WindFreeTM Mini 4-Way Cassette</t>
  </si>
  <si>
    <t>Kazetová klimatizačná jednotka s vysokou účinnosťou</t>
  </si>
  <si>
    <t>HighEE</t>
  </si>
  <si>
    <t>•     Dvojstupňové chladenie - WindFreeTM režim a režim rýchleho chladenia
•     Nezávislé nastavenie jednotlivých lamiel
•     Vstavané čerpadlo kondenzátu - výtlačná výška 750mm
•     Vstavaný senzor teploty a vlhkosti
•     Prevádzkový rozsah chladenie -20-52°C/vykurovanie -25-24°C
•     Prevádzkový rozsah vnútornej teploty vykurovania od 8°C
•     Pre prevádzku systému je potrebné zakúpiť dekoratívny panel a aspoň jeden ovládač</t>
  </si>
  <si>
    <t xml:space="preserve">AC026BNNPKG/EU AC035BNNPKG/EU
AC052BNNPKG/EU
</t>
  </si>
  <si>
    <t xml:space="preserve">2,6            3,4
3,5            4,0
5,0            5,5
</t>
  </si>
  <si>
    <t>Vnútorná        575x250x575              11,6
Vnútorná        575x250x575              11,6
Vnútorná        575x250x575              11,6</t>
  </si>
  <si>
    <t xml:space="preserve">6,35                  9,52
6,35                  9,52
6,35                 12,70
</t>
  </si>
  <si>
    <t>1f                    7,1
1f                    7,2
1f                    7,0</t>
  </si>
  <si>
    <t>4,3
4,3
4,3</t>
  </si>
  <si>
    <t>481 €
561 €
664 €
27</t>
  </si>
  <si>
    <t>Dekoračný panel Mini 4-Way Cassette s WiFi</t>
  </si>
  <si>
    <t>PC4SUFMANW</t>
  </si>
  <si>
    <t>Solárny infračervený         Káblový ovládač           Dotykový káblový                Wi-Fi Kit                Senzor pohybu pre ovládač                          SK/CZ                          ovládač                       Centrálny                  PC4SUFMANW
AR-CH01E       MWR-WG01KN      MWR-SH11N        MIM-H04EN         MCR-SMD 99 €                  206 €                 158 €                  231 €                  125 €</t>
  </si>
  <si>
    <t>WindFreeTM 4-Way Cassette
Kazetová klimatizačná jednotka
•     Dvojstupňové chladenie - WindFreeTM režim a režim rýchleho chladenia
•     Nezávislé nastavenie jednotlivých lamiel
•     Vstavané čerpadlo kondenzátu - výtlačná výška 750mm
•     Vstavaný senzor teploty a vlhkosti
•     Pre prevádzku systému je potrebné zakúpiť dekoratívny panel a aspoň jeden ovládač</t>
  </si>
  <si>
    <t>AC052RN4DKG/EU AC071RN4DKG/EU AC100RN4DKG/EU AC100RN4DKG/EU AC120RN4DKG/EU
AC120RN4DKG/EU</t>
  </si>
  <si>
    <t>5,0            6,0
7,1             8,0
10,0           11,2
10,0           11,2
12,0           13,0
12,0           13,0</t>
  </si>
  <si>
    <t>Vnútorná        840x204x840             14,5
Vnútorná        840x204x840             14,5
Vnútorná        840x288x840             18,0
Vnútorná        840x288x840             18,0
Vnútorná        840x288x840             18,0
Vnútorná        840x288x840             18,0</t>
  </si>
  <si>
    <t>6,35                 12,70
6,35                 15,88
9,52                 15,88
9,52                 15,88
9,52                 15,88
9,52                 15,88</t>
  </si>
  <si>
    <t>1f                    7,6
1f                    6,7
1f                    7,0
3f                    7,0
1f                   6,0
3f                   6,0</t>
  </si>
  <si>
    <t>4,3
4,2
4,3
4,3
4,0
4,0</t>
  </si>
  <si>
    <t>917 €
942 €
1 009 €
1 009 €
1 116 €
1 116 €</t>
  </si>
  <si>
    <t>AC140RN4DKG/EU</t>
  </si>
  <si>
    <t>14,0           15,3</t>
  </si>
  <si>
    <t>Vnútorná        840x288x840             20,0</t>
  </si>
  <si>
    <t>9,52                 15,88</t>
  </si>
  <si>
    <t>1f                    6,6            4,3               1 181 €</t>
  </si>
  <si>
    <t>AC140RXADKG/EU                                      Vonkajšia       940x1 210x330             87,0                                                           220-240/50            EER             COP               2 998 €</t>
  </si>
  <si>
    <t>Dekoračný panel           Dekoračný panel           Dekoračný panel 4-Way Cassette             Air Purification              Auto Elevation
PC4NUFMAN       PC4NUCEAN       PC4NUXMAN</t>
  </si>
  <si>
    <t>950x950x64        950x950x48        950x950x48</t>
  </si>
  <si>
    <t>270 €                 845 €                 587 €</t>
  </si>
  <si>
    <t>Kompatibilné Príslušenstvo
Voliteľné
28</t>
  </si>
  <si>
    <t>Infračervený ovládač      Solární infračervený         Káblový ovládač           Dotykový káblový                Wi-Fi Kit                   Senzor pohybu ovladač                          SK/CZ                          ovládač                       Centrálny</t>
  </si>
  <si>
    <t>AR-EH03E          AR-CH01E       MWR-WG01KN      MWR-SH11N        MIM-H04EN         MCR-SMC</t>
  </si>
  <si>
    <t>WindFreeTM 4-Way Cassette</t>
  </si>
  <si>
    <t>HighE</t>
  </si>
  <si>
    <t xml:space="preserve">AC071BN4PKG/EU AC071BN4PKG/EU AC100BN4PKG/EU AC100BN4PKG/EU
AC140BN4PKG/EU
</t>
  </si>
  <si>
    <t>7,1             8,0
7,1             8,0
10,0           11,2
10,0           11,2
13,4           15,5</t>
  </si>
  <si>
    <t>Vnútorná        840x288x840             21,5
Vnútorná        840x288x840             21,5
Vnútorná        840x288x840             21,5
Vnútorná        840x288x840             21,5
Vnútorná        840x288x840             21,5</t>
  </si>
  <si>
    <t>1f                   8,5
3f                   8,5
1f                   8,0
3f                   8,0
3f                   8,0</t>
  </si>
  <si>
    <t>4,8
4,8
4,8
4,8
4,7</t>
  </si>
  <si>
    <t>942 €
942 €
1 009 €
1 009 €
1 181 €
29</t>
  </si>
  <si>
    <t xml:space="preserve">-      Kompatibilné Príslušenstvo
Nutné pre prevádzku - dekoračný panel
</t>
  </si>
  <si>
    <t>Dekoračný panel           Dekoračný panel           Dekoračný panel           Dekoračný panel 4-Way Cassette             4-Way Cassette             Air Purification              Auto Elevation
s WiFi                     černý s WiFi                     s WiFi                         s WiFi
PC4NUFMANW    PC4NBFMANW    PC4NUCMANW    PC4NUXMANW</t>
  </si>
  <si>
    <t>950x950x64        950x950x64        950x950x48        950x950x48</t>
  </si>
  <si>
    <t>270 €                 270 €                 845 €                 587 €</t>
  </si>
  <si>
    <t>Solárny infračervený         Káblový ovládač           Dotykový káblový                Wi-Fi Kit                   Senzor pohybu ovládač                          SK/CZ                          ovládač                       Centrálny                 pre biele panely
AR-CH01E       MWR-WG01KN      MWR-SH11N        MIM-H04EN         MCR-SMC 99 €                  206 €                 158 €                  231 €                  125 €</t>
  </si>
  <si>
    <t>WindFreeTM QMD
Nástenná klimatizačná jednotka</t>
  </si>
  <si>
    <t>•     Dvojstupňové chladenie - WindFreeTM režim a režim rýchle
•     Vstavaný senzor teploty a vlhkosti
•     Infračervený ovládač je súčasťou balenia</t>
  </si>
  <si>
    <t>AC026TNXDKG/EU AC035TNXDKG/EU AC052TNXDKG/EU
AC071TNXDKG/EU</t>
  </si>
  <si>
    <t>2,6            3,3
3,5            4,0
5,0            6,0
7,1             8,0</t>
  </si>
  <si>
    <t>Vnútorná         820x215x29                9,1
Vnútorná         820x215x29                9,1
Vnútorná       1 050x215x299             11,7
Vnútorná       1 050x215x299             12,7</t>
  </si>
  <si>
    <t>1f                    7,0
1f                    6,9
1f                    6,9
1f                   6,8</t>
  </si>
  <si>
    <t>4,1
4,1
3,9
4,0</t>
  </si>
  <si>
    <t>503 €
556 €
698 €
810 €</t>
  </si>
  <si>
    <t>Wallmounted Max
Nástenná klimatizačná jednotka
•     Infračervený ovládač je súčasťou balenia</t>
  </si>
  <si>
    <t>AC100RNTDKG/EU</t>
  </si>
  <si>
    <t>9,5            10,8</t>
  </si>
  <si>
    <t>Vnútorná       1 280x345x253            18,5</t>
  </si>
  <si>
    <t>1f                    5,9</t>
  </si>
  <si>
    <t>1 173</t>
  </si>
  <si>
    <t>AC100RXADKG/EU                                      Vonkajšia        940x998x330             75,0</t>
  </si>
  <si>
    <t>A++                                A+</t>
  </si>
  <si>
    <t>2 652</t>
  </si>
  <si>
    <t>3f                    5,9</t>
  </si>
  <si>
    <t>AC100RXADNG/EU                                      Vonkajšia        940x998x330             74,0</t>
  </si>
  <si>
    <t>380-415/50</t>
  </si>
  <si>
    <t>2 784</t>
  </si>
  <si>
    <t>Kompatibilné Príslušenstvo
Voliteľné
30</t>
  </si>
  <si>
    <t>Solárny infračervený         Káblový ovládač           Dotykový káblový                Wi-Fi Kit ovládač                          SK/CZ                          ovládač                       Centrálny
AR-CH01E       MWR-WG01KN      MWR-SH11N        MIM-H04EN 99 €                  206 €                 158 €                  231 €</t>
  </si>
  <si>
    <t>Vnútorná nástenná jednotka WindFreeTM QMD</t>
  </si>
  <si>
    <t>WindFreeTM QMD HighEE
Nástenná klimatizačná jednotka s vysokou účinnosťou
•     Dvojstupňové chladenie - WindFreeTM režim a režim rýchleho chladenia
•     Vstavaný senzor teploty a vlhkosti
•     Prevádzkový rozsah chladenia -20-52°C/vykurovania -25-24°C
•     Prevádzkový rozsah vnútornej teploty vykurovania od 8°C
•     Pre prevádzku systému je potrebné zakúpiť aspoň jeden ovládač</t>
  </si>
  <si>
    <t>AC026BNAPKG/EU AC035BNAPKG/EU AC052BNAPKG/EU
AC071BNAPKG/EU</t>
  </si>
  <si>
    <t>Vnútorná        889x215x299              10,6
Vnútorná        889x215x299              10,6
Vnútorná       1 055x215x299             12,7
Vnútorná       1 055x215x299             12,7</t>
  </si>
  <si>
    <t>6,35                  9,52
6,35                  9,52
6,35                 12,70
9,52                 15,88</t>
  </si>
  <si>
    <t>1f                    7,2
1f                    7,7
1f                    7,5
1f                    7,0</t>
  </si>
  <si>
    <t>4,3
4,6
4,6
4,3</t>
  </si>
  <si>
    <t>AC071BNAPKG/EU</t>
  </si>
  <si>
    <t>7,1             8,0</t>
  </si>
  <si>
    <t>Vnútorná       1 055x215x299             12,7</t>
  </si>
  <si>
    <t>3f                    7,0             4,3                810 €</t>
  </si>
  <si>
    <t>Wallmounted Max
Nástenná klimatizačná jednotka s vysokou účinnosťou
•     Pre prevádzku systému je potrebné zakúpiť aspoň jeden ovládač</t>
  </si>
  <si>
    <t>AC100BNTPKG/EU</t>
  </si>
  <si>
    <t>1f                    6,9</t>
  </si>
  <si>
    <t>1 173 €</t>
  </si>
  <si>
    <t>Console
Parapetná klimatizačná jednotka
•     Ionizér (SPi)
•     HÍbka len 199mm
•     Infračervený ovládač je súčasťou balenia</t>
  </si>
  <si>
    <t>AC026RNJDKG/EU AC035RNJDKG/EU
AC052RNJDKG/EU</t>
  </si>
  <si>
    <t>2,6            3,5
3,5            4,0
5,0            5,6</t>
  </si>
  <si>
    <t>Vnútorná        720x620x199              16,0
Vnútorná        720x620x199              16,0
Vnútorná        720x620x199              16,0</t>
  </si>
  <si>
    <t>6,35                  9,52
6,35                  9,52
6,35                 12,70</t>
  </si>
  <si>
    <t>1f                    6,4
1f                    6,1
1f                    5,9</t>
  </si>
  <si>
    <t>4,2
4,1
4,0</t>
  </si>
  <si>
    <t>634 €
785 €
911 €</t>
  </si>
  <si>
    <t>Vnútorná parapetná jednotka</t>
  </si>
  <si>
    <t>Kompatibilné Príslušenstvo
Voliteľné
32</t>
  </si>
  <si>
    <t>Káblový ovládač           Dotykový káblový      Adaptér pre pripojenie             Wi-Fi Kit SK/CZ                          ovládač               káblového ovládača              Centrálny
MWR-WG01KN      MWR-SH11N        MIM-A00N         MIM-H04EN</t>
  </si>
  <si>
    <t>206 €                 158 €                  39 €                  231 €</t>
  </si>
  <si>
    <t>LSP Slim Duct
Kanálová klimatizačná jednotka
•     Umývateľný filter
•     Nízka konštrukčná výška len 199mm
•     Externý statický tlak motora ventilátora do 40Pa
•     Pre prevádzku systému je potrebné zakúpiť aspoň jeden ovládač</t>
  </si>
  <si>
    <t>AC026BNLDKG/EU
AC035BNLDKG/EU</t>
  </si>
  <si>
    <t>2,6            3,3
3,5            4,0</t>
  </si>
  <si>
    <t>Vnútorná        900x199x440             18,2
Vnútorná        900x199x440             18,2</t>
  </si>
  <si>
    <t>1f                    6,2
1f                    6,1</t>
  </si>
  <si>
    <t>725 €
750 €</t>
  </si>
  <si>
    <t>AC035RXADKG/EU                                      Vonkajšia        790x548x285             32,5                                                           220-240/50                                                               1 285 €</t>
  </si>
  <si>
    <t>A+                                  A</t>
  </si>
  <si>
    <t>Vnútorná kanálová jednotka LSP</t>
  </si>
  <si>
    <t>Kompatibilné Príslušenstvo
Voliteľné
Model                                                    ovládač                                                             SK/CZ                          ovládač                     kondenzátu                    Centrálny
Typ                   AR-EH03E          AR-CH01E          MRK-A10N       MWR-WG01KN      MWR-SH11N     MDP-Z075SZED     MIM-H04EN
MOC bez DPH                 76 €                   99 €                   54 €                  206 €                 158 €                  132 €                  231 €</t>
  </si>
  <si>
    <t>MSP Duct
Kanálová klimatizačná jednotka
•     Umývateľný filter s dlhou životnosťou
•     Externý statický tlak motora ventilátora do 147Pa
•     Pre prevádzku systému je potrebné zakúpiť aspoň jeden ovládač</t>
  </si>
  <si>
    <t>Pripojovacie p  trubie</t>
  </si>
  <si>
    <t>AC035RNMDKG/EU AC052RNMDKG/EU AC071RNMDKG/EU AC100RNMDKG/EU
AC100RNMDKG/EU</t>
  </si>
  <si>
    <t>Vnútorná        850x250x700             26,5
Vnútorná        850x250x700             26,5
Vnútorná        850x250x700             26,5
Vnútorná       1 200x250x700            34,0
Vnútorná       1 200x250x700            34,0</t>
  </si>
  <si>
    <t>1f                    6,4</t>
  </si>
  <si>
    <t>739 €
771 €
845 €
998 €
998 €</t>
  </si>
  <si>
    <t>3,5            4,0
5,0            6,0
6,8            8,0
10,0           11,2
10,0           11,2</t>
  </si>
  <si>
    <t>1f                    6,3</t>
  </si>
  <si>
    <t>1f                    6,1</t>
  </si>
  <si>
    <t>940x998x330             72,0                                                           380-415/50            A+                                 A+</t>
  </si>
  <si>
    <t>AC100RXADNG/EU                                      Vonkajšia</t>
  </si>
  <si>
    <t>AC120RNMDKG/EU</t>
  </si>
  <si>
    <t>12,0           13,0</t>
  </si>
  <si>
    <t>1 300x300x700            38,5</t>
  </si>
  <si>
    <t>1f                    5,8</t>
  </si>
  <si>
    <t>AC120RXADKG/EU                                       Vonkajšia</t>
  </si>
  <si>
    <t>940x998x330             77,0                                                           220-240/50            A+                                 A+</t>
  </si>
  <si>
    <t>2 922</t>
  </si>
  <si>
    <t>3f                   5,8</t>
  </si>
  <si>
    <t>AC120RXADNG/EU                                      Vonkajšia</t>
  </si>
  <si>
    <t>940x998x330             77,0                                                           380-415/50            A+                                 A+</t>
  </si>
  <si>
    <t>3 067</t>
  </si>
  <si>
    <t>AC140RNMDKG/EU                                      Vnútorná
13,4           15,5</t>
  </si>
  <si>
    <t>1 300x300x700            38,5                                                                  1f                   6,0
9,52                 15,88</t>
  </si>
  <si>
    <t>1 128</t>
  </si>
  <si>
    <t>AC140RXADKG/EU                                      Vonkajšia</t>
  </si>
  <si>
    <t>940x1 210x330             87,0                                                           220-240/50</t>
  </si>
  <si>
    <t>1 300x300x700            38,5                                                                  3f                   6,0
9,52                 15,88</t>
  </si>
  <si>
    <t>AC140RXADNG/EU                                      Vonkajšia</t>
  </si>
  <si>
    <t>940x1 210x330             87,0                                                           380-415/50</t>
  </si>
  <si>
    <t>3 148</t>
  </si>
  <si>
    <t>Vnútorná kanálová jednotka MSP</t>
  </si>
  <si>
    <t>Infračervený ovládač</t>
  </si>
  <si>
    <t>Solárny infračervený ovládač</t>
  </si>
  <si>
    <t>Prijímač IR signálu</t>
  </si>
  <si>
    <t>Káblový ovládač SK/CZ</t>
  </si>
  <si>
    <t>Dotykový káblový ovládač</t>
  </si>
  <si>
    <t>Čerpadlo kondenzátu (externé)</t>
  </si>
  <si>
    <t>Čerpadlo kondenzátu (interné)</t>
  </si>
  <si>
    <t>Wi-Fi Kit Centrálny</t>
  </si>
  <si>
    <t>AR-EH03E</t>
  </si>
  <si>
    <t>AR-CH01E</t>
  </si>
  <si>
    <t>MRK-A10N</t>
  </si>
  <si>
    <t>MWR-WG01KN</t>
  </si>
  <si>
    <t>MWR-SH11N</t>
  </si>
  <si>
    <t>MDP-G075SP</t>
  </si>
  <si>
    <t>MDP-G075SQ</t>
  </si>
  <si>
    <t>MIM-H04EN</t>
  </si>
  <si>
    <t>MSP Duct HighEE
Kanálová klimatizačná jednotka s vysokou účinnosťou
•     Umývateľný filter s dlhou životnosťou
•     Externý statický tlak motora ventilátora do 147Pa
•     Prevádzkový rozsah chladenia -20-52°C/vykurovania -25-24°C
•     Prevádzkový rozsah vnútornej teploty vykurovania od 8°C
•     Pre prevádzku systému je potrebné zakúpiť aspoň jeden ovládač</t>
  </si>
  <si>
    <t>AC052BNMPKG/EU AC071BNMPKG/EU AC071BNMPKG/EU
AC100BNMPKG/EU</t>
  </si>
  <si>
    <t>5,0            6,0
6,8            8,0
6,8            8,0
10,0           11,2</t>
  </si>
  <si>
    <t>Vnútorná        850x250x700             26,5
Vnútorná       1 200x250x700            34,5
Vnútorná       1 200x250x700            34,5
Vnútorná       1 300x300x700            38,5</t>
  </si>
  <si>
    <t>6,35                 12,70
9,52                 15,88
9,52                 15,88
9,52                 15,88</t>
  </si>
  <si>
    <t>1f                    7,0
1f                    7,3
3f                    7,3
1f                    7,6</t>
  </si>
  <si>
    <t>4,6
4,3
4,3
4,4</t>
  </si>
  <si>
    <t>771 €
845 €
845 €
998 €</t>
  </si>
  <si>
    <t>Kompatibilné Príslušenstvo
Voliteľné
35</t>
  </si>
  <si>
    <t>Solárny infračervený       Prijímač IR signálu          Káblový ovládač           Dotykový káblový                Čerpadlo                       Čerpadlo                       Wi-Fi Kit ovládač                                                             SK/CZ                          ovládač               kondenzátu (externé)     kondenzátu (interné)             Centrálny
AR-CH01E          MRK-A10N       MWR-WG01KN      MWR-SH11N       MDP-G075SP      MDP-G075SQ       MIM-H04EN 99 €                   54 €                  206 €                 158 €                  123 €                  123 €                  231 €</t>
  </si>
  <si>
    <t>HSP Duct
Kanálová klimatizačná jednotka
•     Jednotka pracuje s chladivom R410a
•     Jednotka nie je vybavená vzduchovým filtrom
•     Externý statický tlak motora ventilátora do 200Pa
•     Pre prevádzku systému je potrebné zakúpiť aspoň jeden ovládač</t>
  </si>
  <si>
    <t>AC200KNHPKH/EU</t>
  </si>
  <si>
    <t>Vnútorná       1 350x450x910            82,5</t>
  </si>
  <si>
    <t>1f 220-240/50           3,10</t>
  </si>
  <si>
    <t>2 977 €</t>
  </si>
  <si>
    <t>AC200KXAPNH/EU</t>
  </si>
  <si>
    <t>20,0           23,0</t>
  </si>
  <si>
    <t>Vonkajšia       940x1 630x460           154,0</t>
  </si>
  <si>
    <t>9,52                 19,00</t>
  </si>
  <si>
    <t>3f 380-415/50</t>
  </si>
  <si>
    <t>5 595 €</t>
  </si>
  <si>
    <t>AC250KNHPKH/EU</t>
  </si>
  <si>
    <t>1f 220-240/50           2,61</t>
  </si>
  <si>
    <t>3 425 €</t>
  </si>
  <si>
    <t>AC250KXAPNH/EU</t>
  </si>
  <si>
    <t>25,0           27,0</t>
  </si>
  <si>
    <t>9,52                 22,22</t>
  </si>
  <si>
    <t>6 429 €</t>
  </si>
  <si>
    <t>Kompatibilné Príslušenstvo
Voliteľné
36</t>
  </si>
  <si>
    <t>Infračervený ovládač     Solárny infračervený       Prijímač IR signálu          Káblový ovládač           Dotykový káblový                Čerpadlo                       Wi-Fi Kit ovládač                                                             SK/CZ                          ovládač               kondenzátu (externé)             Centrálny
AR-EH03E          AR-CH01E          MRK-A10N       MWR-WG01KN      MWR-SH11N       MDP-G075SP       MIM-H04EN</t>
  </si>
  <si>
    <t>76 €                   99 €                   54 €                  206 €                 158 €                  123 €                  231 €</t>
  </si>
  <si>
    <t>..•. ,•</t>
  </si>
  <si>
    <t>•• •..   ..</t>
  </si>
  <si>
    <t>. • . .</t>
  </si>
  <si>
    <t>•     •                •     ..           ,</t>
  </si>
  <si>
    <t>. .•. .</t>
  </si>
  <si>
    <t>•                     .-.   •</t>
  </si>
  <si>
    <t>..••</t>
  </si>
  <si>
    <t>._     .  .:</t>
  </si>
  <si>
    <t>- .- .</t>
  </si>
  <si>
    <t>....</t>
  </si>
  <si>
    <t>...</t>
  </si>
  <si>
    <t>. ...          ..</t>
  </si>
  <si>
    <t>•             ..· ..</t>
  </si>
  <si>
    <t>'•</t>
  </si>
  <si>
    <t>.•  .•.· .-.      •
..</t>
  </si>
  <si>
    <t>... ..            ·</t>
  </si>
  <si>
    <t>:
. .          -.</t>
  </si>
  <si>
    <t>•     •
.--.</t>
  </si>
  <si>
    <t>•
-.  -</t>
  </si>
  <si>
    <t xml:space="preserve">•          ...
•
</t>
  </si>
  <si>
    <t>•   .•</t>
  </si>
  <si>
    <t>-.
. .          -··      ..  -.</t>
  </si>
  <si>
    <t>.!- -   ---=--=-..:....!......:..</t>
  </si>
  <si>
    <t>..                  ..     ·-    . :
-.</t>
  </si>
  <si>
    <t>•.   - .  -</t>
  </si>
  <si>
    <t>-·
·-  ,
. •·.
•</t>
  </si>
  <si>
    <t>Ceiling
Podstropná klimatizačná jednotka
•     Jednotky nie sú vybavené čerpadlom kondenzátu
•     Pre prevádzku systému je potrebné zakúpiť aspoň jeden ovládač</t>
  </si>
  <si>
    <t>AC052RNCDKG/EU AC071RNCDKG/EU AC100RNCDKG/EU AC100RNCDKG/EU AC120RNCDKG/EU
AC120RNCDKG/EU</t>
  </si>
  <si>
    <t>Vnútorná       1 000x200x650            20,0
Vnútorná       1 000x200x650            20,0
Vnútorná       1 650x235x675            42,0
Vnútorná       1 650x235x675            42,0
Vnútorná       1 650x235x675             41,5
Vnútorná       1 650x235x675             41,5</t>
  </si>
  <si>
    <t>1f                    6,4
1f                    5,6
1f                    6,1
3f                    6,1
1f                    5,9
3f                    5,9</t>
  </si>
  <si>
    <t>3,9
3,9
4,0
4,0
4,0
4,0</t>
  </si>
  <si>
    <t>761 €
802 €
1 794 €
1 794 €
1 984 €
1 984 €</t>
  </si>
  <si>
    <t>AC140RNCDKG/EU                                       Vnútorná       1 650x235x675             41,5                                                                  1f                    6,1
13,4           15,3                                                                 9,52                 15,88</t>
  </si>
  <si>
    <t>2 167 €</t>
  </si>
  <si>
    <t>AC140RNCDKG/EU                                       Vnútorná       1 650x235x675             41,5                                                                  3f                    6,1
13,4           15,3                                                                 9,52                 15,88</t>
  </si>
  <si>
    <t>Kompatibilné Príslušenstvo
Voliteľné
38</t>
  </si>
  <si>
    <t>Infračervený ovládač     Solárny infračervený         Káblový ovládač           Dotykový káblový                Wi-Fi Kit ovládač                          SK/CZ                          ovládač                       Centrálny
AR-EH03E          AR-CH01E       MWR-WG01KN      MWR-SH11N        MIM-H04EN</t>
  </si>
  <si>
    <t>76 €                   99 €                  206 €                 158 €                  231 €</t>
  </si>
  <si>
    <t>Ceiling HighEE
Podstropná klimatizačná jednotka s vysokou účinnosťou
•     Jednotky nie sú vybavené čerpadlom kondenzátu
•     Prevádzkový rozsah chladenia -20-52°C/vykurovania -25-24°C
•     Prevádzkový rozsah vnútornej teploty vykurovania od 8°C
•     Pre prevádzku systému je potrebné zakúpiť aspoň jeden ovládač</t>
  </si>
  <si>
    <t xml:space="preserve">AC071BNCPKG/EU
AC071BNCPKG/EU
</t>
  </si>
  <si>
    <t>7,1             8,0
7,1             8,0</t>
  </si>
  <si>
    <t>Vnútorná       1 350x235x675            33,0
Vnútorná       1 350x235x675            33,0</t>
  </si>
  <si>
    <t>9,52                 15,88
9,52                 15,88</t>
  </si>
  <si>
    <t>1f                    7,1
3f                    7,1</t>
  </si>
  <si>
    <t>4,4
4,4</t>
  </si>
  <si>
    <t>802 €
802 €
39</t>
  </si>
  <si>
    <t>Floor Standing
Skriňová klimatizačná jednotka
•     Jednotka pracuje s chladivom R410a
•     Tichá prevádzka (30-32dB(A) nízké otáčky ventilátora)
•     Long-life umývateľný filter
•     Funkcia auto restart
•     Infračervený ovládač je súčasťou balenia</t>
  </si>
  <si>
    <t>AC100BNPDKH/EU
AC140BNPDKH/EU</t>
  </si>
  <si>
    <t>10,0           11,2</t>
  </si>
  <si>
    <t>Vnútorná       610x1 850x400            43,0
Vnútorná       610x1 850x400            44,5</t>
  </si>
  <si>
    <t>1f                    5,8
3f                    3,1</t>
  </si>
  <si>
    <t>4,1
3,44</t>
  </si>
  <si>
    <t>1 096 €
1 234 €</t>
  </si>
  <si>
    <t>AC140BXPDNH/EU</t>
  </si>
  <si>
    <t>13,4           15,5</t>
  </si>
  <si>
    <t>Vonkajšia       940x1 210x330            86,5</t>
  </si>
  <si>
    <t>Kompatibilné Príslušenstvo
Voliteľné
40</t>
  </si>
  <si>
    <t>Detail vnútornej skriňovej jednotky</t>
  </si>
  <si>
    <t>Solárny infračervený ovládač
AR-CH01E</t>
  </si>
  <si>
    <t>Externý senzor teploty
MRW-TA</t>
  </si>
  <si>
    <t>Wi-Fi Kit Centrálny
MIM-H04EN</t>
  </si>
  <si>
    <t>Kondenzačné jednotky pre VZT
•     Jednotka pracuje s chladivom R410a
•     AHU Kit obsahuje 3 senzory - výparník IN/OUT, prostorové alebo na výfuku (10 m)
•     Regulácia 0-10V na základe teploty (v prostoru / odsávaného vzduchu / za výparníkem)
•     Pre AHU Kit sa odporúča objednať káblový ovládač</t>
  </si>
  <si>
    <t>Objem výparníka</t>
  </si>
  <si>
    <t>Min (dm3)</t>
  </si>
  <si>
    <t>Max (dm3)</t>
  </si>
  <si>
    <t>AC100BXPDKH/EU</t>
  </si>
  <si>
    <t>Vonkajšia</t>
  </si>
  <si>
    <t>940x998x330</t>
  </si>
  <si>
    <t>2 652 €</t>
  </si>
  <si>
    <t>13,4</t>
  </si>
  <si>
    <t>940x1 210x330</t>
  </si>
  <si>
    <t>3f/380-415/50</t>
  </si>
  <si>
    <t>3,24</t>
  </si>
  <si>
    <t>940x1 630x460</t>
  </si>
  <si>
    <t>940x 1 630x460</t>
  </si>
  <si>
    <t>MXD-K100XN</t>
  </si>
  <si>
    <t>10,0-25,0</t>
  </si>
  <si>
    <t>11,2-27,0</t>
  </si>
  <si>
    <t>AHU Kit</t>
  </si>
  <si>
    <t>380x130x280</t>
  </si>
  <si>
    <t>Káblový ovládač           Dotykový káblový SK/CZ                          ovládač
MWR-WG01KN      MWR-SH11N 206 €                     158</t>
  </si>
  <si>
    <t>Kondenzační jednotky pro VZT
•     Jednotka pracuje s chladivom R32
•     AHU Kit obsahuje 3 senzory - výparník IN/OUT, prostorové alebo na výfuku (10 m)
•     Regulácia 0-10V na základe teploty (v prostoru / odsávaného vzduchu / za výparníkem)
•     Regulácia výkonu 0-10V
•     Pre AHU Kit sa odporúča objednať káblový ovládač</t>
  </si>
  <si>
    <t>AC026RXADKG/EU</t>
  </si>
  <si>
    <t>790x548x285</t>
  </si>
  <si>
    <t>1 156 €</t>
  </si>
  <si>
    <t>AC035RXADKG/EU</t>
  </si>
  <si>
    <t>1,14</t>
  </si>
  <si>
    <t>1 285 €</t>
  </si>
  <si>
    <t>AC052RXADKG/EU</t>
  </si>
  <si>
    <t>880x638x310</t>
  </si>
  <si>
    <t>1,23</t>
  </si>
  <si>
    <t>1 513 €</t>
  </si>
  <si>
    <t>AC071RXADKG/EU</t>
  </si>
  <si>
    <t>880x798x310</t>
  </si>
  <si>
    <t>1 960 €</t>
  </si>
  <si>
    <t>AC100RXADKG/EU</t>
  </si>
  <si>
    <t>AC100RXADNG/EU</t>
  </si>
  <si>
    <t>2 784 €</t>
  </si>
  <si>
    <t>AC120RXADKG/EU</t>
  </si>
  <si>
    <t>2 922 €</t>
  </si>
  <si>
    <t>AC120RXADNG/EU</t>
  </si>
  <si>
    <t>3 067 €</t>
  </si>
  <si>
    <t>AC140RXADKG/EU</t>
  </si>
  <si>
    <t>AC140RXADNG/EU</t>
  </si>
  <si>
    <t>MXD-K100XN1</t>
  </si>
  <si>
    <t>2,6-13,4</t>
  </si>
  <si>
    <t>3,3-15,5</t>
  </si>
  <si>
    <t>Kondenzační jednotky pro VZT HighEE
•     Jednotka pracuje s chladivom R32
•     AHU Kit obsahuje 3 senzory - výparník IN/OUT, prostorové alebo na výfuku (10 m)
•     Regulácia 0-10V na základe teploty (v prostoru / odsávaného vzduchu / za výparníkem)
•     Regulácia výkonu 0-10V
•     Pre AHU Kit sa odporúča objednať káblový ovládač</t>
  </si>
  <si>
    <t>AC026BXAPKG/EU</t>
  </si>
  <si>
    <t>1 587 €</t>
  </si>
  <si>
    <t>AC035BXAPKG/EU</t>
  </si>
  <si>
    <t>1 764 €</t>
  </si>
  <si>
    <t>AC052BXAPKG/EU</t>
  </si>
  <si>
    <t>2 071 €</t>
  </si>
  <si>
    <t>AC071BXAPKG/EU</t>
  </si>
  <si>
    <t>2,4</t>
  </si>
  <si>
    <t>2 654 €</t>
  </si>
  <si>
    <t>AC071BXAPNG/EU</t>
  </si>
  <si>
    <t>2 787 €</t>
  </si>
  <si>
    <t>AC100BXAPKG/EU</t>
  </si>
  <si>
    <t>940x1 420x330</t>
  </si>
  <si>
    <t>3 561 €</t>
  </si>
  <si>
    <t>AC100BXAPNG/EU</t>
  </si>
  <si>
    <t>3 722 €</t>
  </si>
  <si>
    <t>AC120BXAPNG/EU</t>
  </si>
  <si>
    <t>4 099 €</t>
  </si>
  <si>
    <t>AC140BXAPNG/EU</t>
  </si>
  <si>
    <t>4 213 €</t>
  </si>
  <si>
    <t>Kompatibilné Príslušenstvo
Voliteľné
42</t>
  </si>
  <si>
    <t>Káblový ovládač           Dotykový káblový SK/CZ                          ovládač
MWR-WG01KN      MWR-SH11N 206 €                 158 €</t>
  </si>
  <si>
    <t>DPM Kombinačná tabuľka
Systém Twin/Triple/Quad
•     Pripojenie 2 -3-4 vnútorných jednotiek na jednu vonkajšiu jednotku ovládaných spoločným ovládačom</t>
  </si>
  <si>
    <t>Vnútorné jednotky</t>
  </si>
  <si>
    <t>Vonkajšie jednotky</t>
  </si>
  <si>
    <t>AC100RXADKG/EU AC100RXADNG/EU</t>
  </si>
  <si>
    <t>AC120RXADKG/EU AC120RXADNG/EU</t>
  </si>
  <si>
    <t>AC140RXADKG/EU AC140RXADNG/EU</t>
  </si>
  <si>
    <t>WindFreeTM
Mini 4-Way Cassette</t>
  </si>
  <si>
    <t>WindFreeTM
4-Way Cassette</t>
  </si>
  <si>
    <t>WindFreeTM
QMD Wallmounted</t>
  </si>
  <si>
    <t>LSP Slim Duct</t>
  </si>
  <si>
    <t>MSP Duct</t>
  </si>
  <si>
    <t>Ceiling</t>
  </si>
  <si>
    <t>Systém Twin/Triple/Quad HighEE
•     Pripojenie 2 -3-4 vnútorných jednotiek na jednu vonkajšiu jednotku ovládaných spoločným ovládačom</t>
  </si>
  <si>
    <t>AC071BXAPKG/EU AC071BXAPNG/EU</t>
  </si>
  <si>
    <t>AC100BXAPKG/EU AC100BXAPNG/EU</t>
  </si>
  <si>
    <t>Refnety pro CAC DPM</t>
  </si>
  <si>
    <t>Počet vnutorných jednotiek (DPM)</t>
  </si>
  <si>
    <t>MXJ-2D2509K</t>
  </si>
  <si>
    <t>Refnet (pro 2 jednotky)</t>
  </si>
  <si>
    <t>MXJ-3D2509K</t>
  </si>
  <si>
    <t>Refnet (pro 3 jednotky)</t>
  </si>
  <si>
    <t>MXJ-4D2509K</t>
  </si>
  <si>
    <t>Refnet (pro 4 jednotky)</t>
  </si>
  <si>
    <t>Technické parametre
Komerčný Split (Chladivo R32)</t>
  </si>
  <si>
    <t>Nominály výkon</t>
  </si>
  <si>
    <t>Celková
(m)</t>
  </si>
  <si>
    <t>Minimálna
(m)</t>
  </si>
  <si>
    <t>Prevýšenie
(m)</t>
  </si>
  <si>
    <t>Predplnené
(m)</t>
  </si>
  <si>
    <t>Max. el. prúd MCA (A)</t>
  </si>
  <si>
    <t>5x2,5mm2</t>
  </si>
  <si>
    <t>13,2</t>
  </si>
  <si>
    <t>15,5</t>
  </si>
  <si>
    <t>3x6,0mm2</t>
  </si>
  <si>
    <t>Prevádzkový rozsah v režime chladenia od -15 °C do +46 °C (AC026, AC035) Prevádzkový rozsah v režime chladenia od -15 °C do +50 °C (AC052-AC140) Prevádzkový rozsah v režime vykurovania od -20 °C do +24 °C
Odporúčaný komunikačný kábel tienený.</t>
  </si>
  <si>
    <t>Komerčný Split (Chladivo R410a)</t>
  </si>
  <si>
    <t>3x4,0mm2          CYKY 3x1</t>
  </si>
  <si>
    <t>5x2,5mm2          CYKY 3x1</t>
  </si>
  <si>
    <t>23</t>
  </si>
  <si>
    <t>5x6,0mm2                     vnitr samost</t>
  </si>
  <si>
    <t>JYTY 2x1,5mm2</t>
  </si>
  <si>
    <t>,5mm2</t>
  </si>
  <si>
    <t>,5mm2
ní atne
ní atne</t>
  </si>
  <si>
    <t>Prevádzkový rozsah v režime chladenia od -15 °C do +50 °C (AC100-AC140) Prevádzkový rozsah v režime chladenia od -20 °C do +50 °C (AC200-AC250) Prevádzkový rozsah v režime vykurovania od -20 °C do +24 °C
Odporúčaný komunikačný kábel tienený.</t>
  </si>
  <si>
    <t>Technické parametre
Komerčný Split HighEE (Chladivo R32)</t>
  </si>
  <si>
    <t>0,92</t>
  </si>
  <si>
    <t>1,71</t>
  </si>
  <si>
    <t>20A/3f/typ C</t>
  </si>
  <si>
    <t>5x4,0mm2</t>
  </si>
  <si>
    <t>32A/1f/typ C</t>
  </si>
  <si>
    <t>3,65</t>
  </si>
  <si>
    <t>Prevádzkový rozsah v režime chladenia od -20 °C do +52 °C Prevádzkový rozsah v režime vykurovania od -25 °C do +24 °C
Odporúčaný komunikačný kábel tienený.</t>
  </si>
  <si>
    <t>www.samsung-climatesolutions.com
Viac informácií o komerčných split jednotkách
nájdete na webovej stránke (naskenujte QR kód)
45</t>
  </si>
  <si>
    <t>Individuálne ovládače</t>
  </si>
  <si>
    <t>RAC1</t>
  </si>
  <si>
    <t>FJM</t>
  </si>
  <si>
    <t>CAC</t>
  </si>
  <si>
    <t>Infračervený diaľkový ovládač s funkciou WindFreeTM</t>
  </si>
  <si>
    <t>Solárny Infračervený diaľkový ovládač</t>
  </si>
  <si>
    <t>99</t>
  </si>
  <si>
    <t>Káblový ovládač (SK/CZ lokalizácia)</t>
  </si>
  <si>
    <t>206</t>
  </si>
  <si>
    <t>Káblový dotykový ovládač</t>
  </si>
  <si>
    <t>158</t>
  </si>
  <si>
    <t>MIM-H14EN</t>
  </si>
  <si>
    <t>Individuálny Wi-Fi Kit (NASA) pre CAC HighEE2</t>
  </si>
  <si>
    <t>81</t>
  </si>
  <si>
    <t>Centrálne riadiace systémy</t>
  </si>
  <si>
    <t>MCM-A202DN</t>
  </si>
  <si>
    <t>Prepínač ON/OFF (NASA</t>
  </si>
  <si>
    <t>173</t>
  </si>
  <si>
    <t>MCM-A300BN</t>
  </si>
  <si>
    <t>Centrálny dotykový ovládač</t>
  </si>
  <si>
    <t>1 485 €</t>
  </si>
  <si>
    <t>Wi-Fi Kit (NASA)</t>
  </si>
  <si>
    <t>231</t>
  </si>
  <si>
    <t>MIM-D01AN</t>
  </si>
  <si>
    <t>Centrálny riadiaci systém DMS2.5</t>
  </si>
  <si>
    <t>1 946 €</t>
  </si>
  <si>
    <t>MST-P3P</t>
  </si>
  <si>
    <t>S-NET3</t>
  </si>
  <si>
    <t>3 139 €</t>
  </si>
  <si>
    <t>MIM-B16N</t>
  </si>
  <si>
    <t>Pulzný modul pre rozpočítavanie spotreby elektrickej energie (PIM)</t>
  </si>
  <si>
    <t>514</t>
  </si>
  <si>
    <t>1) Neplatí pre AR30/AR35
2) Single Wi-Fi kompatibilný len s dekoratívnymi panelmi CAC HEE CST (bez ,W" na konci)
46</t>
  </si>
  <si>
    <t>Systémy riadenia budov (BMS)</t>
  </si>
  <si>
    <t>MIM-B17BN</t>
  </si>
  <si>
    <t>BACnet brána</t>
  </si>
  <si>
    <t>3 317 €</t>
  </si>
  <si>
    <t>MIM-B18BN</t>
  </si>
  <si>
    <t>LonWorks brána</t>
  </si>
  <si>
    <t>3 370 €</t>
  </si>
  <si>
    <t>MIM-B19N</t>
  </si>
  <si>
    <t>Modbus interface modul</t>
  </si>
  <si>
    <t>Ostatné</t>
  </si>
  <si>
    <t>MRW-TA</t>
  </si>
  <si>
    <t>Externý senzor teploty</t>
  </si>
  <si>
    <t>MIM-A00N</t>
  </si>
  <si>
    <t>Adaptér na pripojenie káblového ovládača (vnútorné nástenné jednotky)</t>
  </si>
  <si>
    <t>MIM-R10N</t>
  </si>
  <si>
    <t>Adaptér na pripojenie nadradeného systému (vonkajšia jednotka)</t>
  </si>
  <si>
    <t>•2</t>
  </si>
  <si>
    <t>MIM-B14</t>
  </si>
  <si>
    <t>Adaptér pre externý kontakt (ZAP/VYP, porucha/chod)</t>
  </si>
  <si>
    <t>MIM-C02N</t>
  </si>
  <si>
    <t>S-Converter (určené pre servisné účely)</t>
  </si>
  <si>
    <t>Prijímač IR signálu vrátane kábla</t>
  </si>
  <si>
    <t>MCR-SMD</t>
  </si>
  <si>
    <t>MDS / Senzor pohybu WindFreeTM
Mini 4Way (620x620mm)</t>
  </si>
  <si>
    <t>MCR-SMC</t>
  </si>
  <si>
    <t>MDS / Senzor pohybu WindFreeTM 4Way</t>
  </si>
  <si>
    <t>MCR-SME</t>
  </si>
  <si>
    <t>MDS / Senzor pohybu 360 Cassette</t>
  </si>
  <si>
    <t>1) Neplatí pre AR30/AR35
2) Podľa kompatibility jednotlivých sérií RAC
47</t>
  </si>
  <si>
    <t>Objav svou pohodu.</t>
  </si>
  <si>
    <t>1. vydanie
Platnosť cien od 1. 1. 2025
Ceny alebo technické špecifikácie sa môžu zmeniť. Ceny sú uvedené bez DPH a recyklačných poplatkov.
Viac informácií nájdete na webovej stránke:
www.samsung.com
www.samsung-climatesolutions.com
Copyright © 2025 Samsung Electronics Air Conditioner Europe B.V. All rights reserved. Samsung is a registered trademark of Samsung Electronics Co., Ltd. Specifications and designs are subject to change without notice and may include preliminary information. Non-metric weights and measurements are approximate. All data was deemed correct at the time of creation. Samsung is not liable for errors or omissions. Some images may be digitally altered. All brand, product, service names and logos are trademarks and/or registered trademarks of their respective owners and are hereby recognised and acknowledged.
Samsung Electronics Co., Ltd. participates in the Eurovent Certification Programme (ECP) for Air Conditioners (AC), Variable Refrigerant Flow (VRF) and Liquid Chilling Packages Heat Pump (LCP- HP). To check the ongoing validity of certification, please visit: www.eurovent-certification.com
Samsung Electronics Air Conditioner Europe B.V.
Evert van de Beekstraat 310, 1118 CX Schiphol
P.O. Box 75810, 1118 ZZ Schiphol
+31 (0)8 81 41 61 00
The Netherlands</t>
  </si>
  <si>
    <t>Item number                              Typ                                                       Description                                                       List price new €</t>
  </si>
  <si>
    <t>Toshiba outdoor unit</t>
  </si>
  <si>
    <t>Outdoor unit, 4 kW</t>
  </si>
  <si>
    <t>1.985,–</t>
  </si>
  <si>
    <t>Outdoor unit, 6 kW</t>
  </si>
  <si>
    <t>2.210,–</t>
  </si>
  <si>
    <t>Outdoor unit, 8 kW</t>
  </si>
  <si>
    <t>3.885,–</t>
  </si>
  <si>
    <t>HWT-801H8W-E</t>
  </si>
  <si>
    <t>Outdoor unit, 8 kW, 3-phase</t>
  </si>
  <si>
    <t>5.275,–</t>
  </si>
  <si>
    <t>Outdoor unit, 11 kW</t>
  </si>
  <si>
    <t>4.350,–</t>
  </si>
  <si>
    <t>Outdoor unit, 11 kW, 3-phase</t>
  </si>
  <si>
    <t>5.985,–</t>
  </si>
  <si>
    <t>HWT-1401HW-E</t>
  </si>
  <si>
    <t>Outdoor unit, 14 kW</t>
  </si>
  <si>
    <t>5.510,–</t>
  </si>
  <si>
    <t>HWT-1401H8W-E</t>
  </si>
  <si>
    <t>Outdoor unit, 14 kW, 3-phase</t>
  </si>
  <si>
    <t>7.010,–</t>
  </si>
  <si>
    <t>&gt;   1-phase / 3-phase
&gt;   Energy efficiency class A+++
&gt;   Operating range -25 to +43°C
&gt;   LWT heating up to +65°C
&gt;   Backup heater 6 / 9 kW</t>
  </si>
  <si>
    <t>Hydrobox Compact</t>
  </si>
  <si>
    <t>Description                               Typ                                                       Description                                                        List price new €</t>
  </si>
  <si>
    <t>Toshiba Hydro indoor unit</t>
  </si>
  <si>
    <t>Hydrobox Compact, 6 kW</t>
  </si>
  <si>
    <t>3.875,–</t>
  </si>
  <si>
    <t>4.390,–</t>
  </si>
  <si>
    <t>Hydrobox Compact, 9 kW</t>
  </si>
  <si>
    <t>4.610,–</t>
  </si>
  <si>
    <t>HWT-1401XWHT9W-E</t>
  </si>
  <si>
    <t>5.180,–</t>
  </si>
  <si>
    <t>&gt;   1-phase / 3-phase
&gt;   Energy efficiency class A+++
&gt;   Operating range -25 to +43°C
&gt;   LWT heating up to +65°C
&gt;   Backup heater 3 / 6 / 9 kW
&gt;   Integrated domestic hot water tank (210 litres)</t>
  </si>
  <si>
    <t>Indoor unit                                Typ                                                       Description                                                        List price new €</t>
  </si>
  <si>
    <t>HWT-602S21SM3W-E</t>
  </si>
  <si>
    <t>Toshiba  AIO Tank Capacity 210l</t>
  </si>
  <si>
    <t>Hot water cylinder, 3 kW, 1-zone</t>
  </si>
  <si>
    <t>7.485,–</t>
  </si>
  <si>
    <t>HWT-602S21ST6W-E</t>
  </si>
  <si>
    <t>Hot water cylinder, 6 kW, 1-zone</t>
  </si>
  <si>
    <t>7.530,–</t>
  </si>
  <si>
    <t>HWT-1102S21ST9W-E</t>
  </si>
  <si>
    <t>Hot water cylinder, 9 kW, 1-zone</t>
  </si>
  <si>
    <t>7.640,–</t>
  </si>
  <si>
    <t>Hot water cylinder, 9 kW, 2-zonen</t>
  </si>
  <si>
    <t>8.580,–</t>
  </si>
  <si>
    <t>HWT-1402S21ST9W-E</t>
  </si>
  <si>
    <t>8.075,–</t>
  </si>
  <si>
    <t>Valid until 31 March 2025 or until revoked                                                                                              The general terms and conditions of AIR-COND International apply.</t>
  </si>
  <si>
    <t>Dátum</t>
  </si>
  <si>
    <t>Meno Zákazníka</t>
  </si>
  <si>
    <t>Telefónne číslo</t>
  </si>
  <si>
    <t>Platba</t>
  </si>
  <si>
    <t>Druh Zásahu</t>
  </si>
  <si>
    <t>Platba_partner</t>
  </si>
  <si>
    <t>Suma</t>
  </si>
  <si>
    <t>PODIEL KLIMAZONE</t>
  </si>
  <si>
    <t>PODIEL KLIMAFRESH</t>
  </si>
  <si>
    <t>KOMENTY</t>
  </si>
  <si>
    <t>Iné info</t>
  </si>
  <si>
    <t>Adresa</t>
  </si>
  <si>
    <t>Mesiac</t>
  </si>
  <si>
    <t>Kategória</t>
  </si>
  <si>
    <t>De Paul Miko</t>
  </si>
  <si>
    <t>faktura</t>
  </si>
  <si>
    <t>Montaz</t>
  </si>
  <si>
    <t>zistit</t>
  </si>
  <si>
    <t>Muskatova 20, Jur</t>
  </si>
  <si>
    <t>2024-01</t>
  </si>
  <si>
    <t>Iné</t>
  </si>
  <si>
    <t>Rudolf Herenyi</t>
  </si>
  <si>
    <t>neznáme</t>
  </si>
  <si>
    <t>Servis 2+1</t>
  </si>
  <si>
    <t>pan chce chladivo doplnit do 4 jednotiek minimalne do 2x - cena za plnenie je 100eur na jednotku</t>
  </si>
  <si>
    <t>Servis</t>
  </si>
  <si>
    <t>Marek Bican</t>
  </si>
  <si>
    <t>hotovost</t>
  </si>
  <si>
    <t>Jozef Stuska</t>
  </si>
  <si>
    <t>nic</t>
  </si>
  <si>
    <t>Stubna S</t>
  </si>
  <si>
    <t>Svetlana Durisova</t>
  </si>
  <si>
    <t>Servis 4+1</t>
  </si>
  <si>
    <t>fa</t>
  </si>
  <si>
    <t>Lavicanova</t>
  </si>
  <si>
    <t>++421911105075 , ++421904252612</t>
  </si>
  <si>
    <t>Pavla Krauspe</t>
  </si>
  <si>
    <t>Servis 1+1</t>
  </si>
  <si>
    <t>Petra Adams</t>
  </si>
  <si>
    <t>2024-02</t>
  </si>
  <si>
    <t>Viera Fudincova</t>
  </si>
  <si>
    <t>FA</t>
  </si>
  <si>
    <t>Farkasova andrea</t>
  </si>
  <si>
    <t>objednat cerpadlo a vymenit ho cena 200 eur</t>
  </si>
  <si>
    <t>Petra Puhovychova</t>
  </si>
  <si>
    <t>Barbora Kominova</t>
  </si>
  <si>
    <t>Fa</t>
  </si>
  <si>
    <t>Pavel Bjadinsky</t>
  </si>
  <si>
    <t>Monika Le</t>
  </si>
  <si>
    <t>Zuzana Litvova</t>
  </si>
  <si>
    <t>Serivs 1+1</t>
  </si>
  <si>
    <t>Cistenie a mozno doplnit navyse?</t>
  </si>
  <si>
    <t>2024-03</t>
  </si>
  <si>
    <t>Olga Znachorova</t>
  </si>
  <si>
    <t>Lubica Bednarova</t>
  </si>
  <si>
    <t>Marek Palkech</t>
  </si>
  <si>
    <t>Pokrivcakova Petra</t>
  </si>
  <si>
    <t>Maria Fecerova</t>
  </si>
  <si>
    <t>NEDVIHALA</t>
  </si>
  <si>
    <t>Kandlova Katarina</t>
  </si>
  <si>
    <t>Doplnit chladivo</t>
  </si>
  <si>
    <t>Dusan Vavro</t>
  </si>
  <si>
    <t>Durovcik D</t>
  </si>
  <si>
    <t>Servis 2+1 + diagnostika</t>
  </si>
  <si>
    <t>objednat 6 ovladacov od klimatizacie RC08A Airwell ovladac, a 2x ovladac od vnutornej jednotky AWSI-HND018-N11</t>
  </si>
  <si>
    <t>Miro Bilik</t>
  </si>
  <si>
    <t>Juraj Chandoga</t>
  </si>
  <si>
    <t>2024-04</t>
  </si>
  <si>
    <t>Juraj Fruhwald</t>
  </si>
  <si>
    <t>Jager Jozef</t>
  </si>
  <si>
    <t>vyjazd 75km, nacenit mu novu 1+1 klimu 3.5 kw a dohodnut montaz</t>
  </si>
  <si>
    <t>Sobolik S</t>
  </si>
  <si>
    <t>Tomasikova 50/A</t>
  </si>
  <si>
    <t>Red Lion Bar</t>
  </si>
  <si>
    <t>Potocky P</t>
  </si>
  <si>
    <t>Servis 3+1</t>
  </si>
  <si>
    <t>Mierova 27</t>
  </si>
  <si>
    <t>Katarina Sarkozi</t>
  </si>
  <si>
    <t>Haburska 18, Ruzinov</t>
  </si>
  <si>
    <t>Martin Pavelek</t>
  </si>
  <si>
    <t>Monika</t>
  </si>
  <si>
    <t>++421903469884 , ++421902705618 , ++421944169071 , ++421901737787</t>
  </si>
  <si>
    <t>Mmgbenzo</t>
  </si>
  <si>
    <t>Miriam</t>
  </si>
  <si>
    <t>Ivan</t>
  </si>
  <si>
    <t>++421915574846 , ++421902705618</t>
  </si>
  <si>
    <t>Miro</t>
  </si>
  <si>
    <t>Ivana</t>
  </si>
  <si>
    <t>Husarovaservis</t>
  </si>
  <si>
    <t>Jan</t>
  </si>
  <si>
    <t>++421948828105 , ++421903826027</t>
  </si>
  <si>
    <t>Krasnohorska 22</t>
  </si>
  <si>
    <t>Jakub</t>
  </si>
  <si>
    <t>Konvalinkova 2</t>
  </si>
  <si>
    <t>Jagerjager</t>
  </si>
  <si>
    <t>Jager</t>
  </si>
  <si>
    <t>Inna</t>
  </si>
  <si>
    <t>J</t>
  </si>
  <si>
    <t>Mmgbarber</t>
  </si>
  <si>
    <t>Sona</t>
  </si>
  <si>
    <t>H</t>
  </si>
  <si>
    <t>Durovcik</t>
  </si>
  <si>
    <t>Dusan</t>
  </si>
  <si>
    <t>Dusanvavro</t>
  </si>
  <si>
    <t>Zuzana</t>
  </si>
  <si>
    <t>++421902705618 , ++421908515148 , ++421903572188 , ++421907717397</t>
  </si>
  <si>
    <t>Grosslingova 47, BA</t>
  </si>
  <si>
    <t>Zelinka</t>
  </si>
  <si>
    <t>1+1 servis</t>
  </si>
  <si>
    <t>Stavbarska 36</t>
  </si>
  <si>
    <t>Eduard</t>
  </si>
  <si>
    <t>Juraja fandlyho 36</t>
  </si>
  <si>
    <t>Eliska</t>
  </si>
  <si>
    <t>Kunakova</t>
  </si>
  <si>
    <t>P</t>
  </si>
  <si>
    <t>++421949104885 , ++421903321928 , ++421902349977 , ++421905586995 , ++421911391747 , ++421911201535 , ++421910810253 , ++421918637556 , ++421902180795 , ++421903777307 , ++421944154176 , ++421908722933 , ++421905319932 , ++421903763042 , ++421905462027</t>
  </si>
  <si>
    <t>Valivova 14</t>
  </si>
  <si>
    <t>Olsak</t>
  </si>
  <si>
    <t>Farkasova</t>
  </si>
  <si>
    <t>Hedvig</t>
  </si>
  <si>
    <t>Filip</t>
  </si>
  <si>
    <t>Povazska 5</t>
  </si>
  <si>
    <t>Zajacovadiagnostika</t>
  </si>
  <si>
    <t>Olibik</t>
  </si>
  <si>
    <t>Obhliadka</t>
  </si>
  <si>
    <t>Galova</t>
  </si>
  <si>
    <t>Nikoleta</t>
  </si>
  <si>
    <t>Nikola</t>
  </si>
  <si>
    <t>Girgel</t>
  </si>
  <si>
    <t>Nikol</t>
  </si>
  <si>
    <t>Konopna 13</t>
  </si>
  <si>
    <t>Glaserova</t>
  </si>
  <si>
    <t>Nasklient</t>
  </si>
  <si>
    <t>++421903722288 , ++421910620248</t>
  </si>
  <si>
    <t>Muchvova</t>
  </si>
  <si>
    <t>Findurova</t>
  </si>
  <si>
    <t>2x hĺbkové čistenie</t>
  </si>
  <si>
    <t>vyčiestené, pravdepodobne bude iný problém, reklamacia servisu</t>
  </si>
  <si>
    <t>Námestie hraničiarov</t>
  </si>
  <si>
    <t>Milko</t>
  </si>
  <si>
    <t>Matej</t>
  </si>
  <si>
    <t>++421918235545 , ++421911255730</t>
  </si>
  <si>
    <t>Jana</t>
  </si>
  <si>
    <t>++421902705618 , ++421905684306</t>
  </si>
  <si>
    <t>Vlastenecke namestie 7</t>
  </si>
  <si>
    <t>Klima</t>
  </si>
  <si>
    <t>Klimafresh</t>
  </si>
  <si>
    <t>Kmec</t>
  </si>
  <si>
    <t>M</t>
  </si>
  <si>
    <t>++421915574846 , ++421903425584 , ++421911606156 , ++421944937552 , ++421903402814 , ++421911773957</t>
  </si>
  <si>
    <t>Kmecik</t>
  </si>
  <si>
    <t>Plynárenská 3a, 821 09 Bratislava-Ružinov, Slovensko</t>
  </si>
  <si>
    <t>Lukas</t>
  </si>
  <si>
    <t>Medvedovej 20</t>
  </si>
  <si>
    <t>Usmevakodar</t>
  </si>
  <si>
    <t>Viktor</t>
  </si>
  <si>
    <t>Kollaty</t>
  </si>
  <si>
    <t>Lubica</t>
  </si>
  <si>
    <t>++421905828569 , ++421902705618</t>
  </si>
  <si>
    <t>V</t>
  </si>
  <si>
    <t>Lenka</t>
  </si>
  <si>
    <t>Vychovskehko 5</t>
  </si>
  <si>
    <t>Kosicky</t>
  </si>
  <si>
    <t>Rekreacny rad</t>
  </si>
  <si>
    <t>Lauda</t>
  </si>
  <si>
    <t>Kretter</t>
  </si>
  <si>
    <t>Kristina</t>
  </si>
  <si>
    <t>++421902705618 , ++421915730855</t>
  </si>
  <si>
    <t>Sona Sadtnera 39</t>
  </si>
  <si>
    <t>++421949590014 , ++421907701068</t>
  </si>
  <si>
    <t>Vaskova</t>
  </si>
  <si>
    <t>Kristlova</t>
  </si>
  <si>
    <t>10+1 servis + 2x diagnostika</t>
  </si>
  <si>
    <t>Nova Roznavska 3</t>
  </si>
  <si>
    <t>Kurucz</t>
  </si>
  <si>
    <t>Kristof</t>
  </si>
  <si>
    <t>29 augusta</t>
  </si>
  <si>
    <t>Kubala</t>
  </si>
  <si>
    <t>bude sa robit v pondelok -</t>
  </si>
  <si>
    <t>Racianska 69/b</t>
  </si>
  <si>
    <t>U</t>
  </si>
  <si>
    <t>Vlasta</t>
  </si>
  <si>
    <t>Machotka</t>
  </si>
  <si>
    <t>Klajnova</t>
  </si>
  <si>
    <t>MAJITEL SA ROZHODOL ZE NIC</t>
  </si>
  <si>
    <t>Niciva 3</t>
  </si>
  <si>
    <t>Mihalovic</t>
  </si>
  <si>
    <t>Michalekerik</t>
  </si>
  <si>
    <t>Jankubala</t>
  </si>
  <si>
    <t>Janosovakondenz</t>
  </si>
  <si>
    <t>Jarko</t>
  </si>
  <si>
    <t>Michal</t>
  </si>
  <si>
    <t>++421902705618 , ++421904277559 , ++421903521330</t>
  </si>
  <si>
    <t>Nabelkova 4</t>
  </si>
  <si>
    <t>anislav</t>
  </si>
  <si>
    <t>Martina</t>
  </si>
  <si>
    <t>Juraj</t>
  </si>
  <si>
    <t>++421902705618 , ++421911992459</t>
  </si>
  <si>
    <t>Z</t>
  </si>
  <si>
    <t>++421902610066 , ++421911611107 , ++421903938958 , ++421902733832</t>
  </si>
  <si>
    <t>Martin</t>
  </si>
  <si>
    <t>++421902705618 , ++421907765621 , ++421908549 ++421 , ++421904766000 , ++421903714382</t>
  </si>
  <si>
    <t>Opletalova 96</t>
  </si>
  <si>
    <t>Milan</t>
  </si>
  <si>
    <t>Cilizska 26</t>
  </si>
  <si>
    <t>Marian</t>
  </si>
  <si>
    <t>Kalas</t>
  </si>
  <si>
    <t>Xavier</t>
  </si>
  <si>
    <t>Hany Melickovej</t>
  </si>
  <si>
    <t>Sonaunova</t>
  </si>
  <si>
    <t>Kandlova</t>
  </si>
  <si>
    <t>Karin</t>
  </si>
  <si>
    <t>Karol</t>
  </si>
  <si>
    <t>Katarina</t>
  </si>
  <si>
    <t>Grosslingova 46</t>
  </si>
  <si>
    <t>Maria</t>
  </si>
  <si>
    <t>++421907396866 , ++421908224423 , ++421902705618 , ++421904941256</t>
  </si>
  <si>
    <t>Ligurcekova 25</t>
  </si>
  <si>
    <t>Marencak</t>
  </si>
  <si>
    <t>Marek</t>
  </si>
  <si>
    <t>++421902705618 , ++421908420581 , ++421903588188 , ++421910376282 , ++421905856934</t>
  </si>
  <si>
    <t>Odeska 5 - Biskupice</t>
  </si>
  <si>
    <t>Makoviny</t>
  </si>
  <si>
    <t>K</t>
  </si>
  <si>
    <t>denisaskrobakova</t>
  </si>
  <si>
    <t>Emilia</t>
  </si>
  <si>
    <t>Boris</t>
  </si>
  <si>
    <t>++421904880471 , ++421908481059</t>
  </si>
  <si>
    <t>Hrobakova 1</t>
  </si>
  <si>
    <t>Rado</t>
  </si>
  <si>
    <t>Stare Grunty</t>
  </si>
  <si>
    <t>Antonin</t>
  </si>
  <si>
    <t>++421907518117 , ++421908212957</t>
  </si>
  <si>
    <t>R</t>
  </si>
  <si>
    <t>++421915385056 , ++421918504050 , ++421948900830</t>
  </si>
  <si>
    <t>Prysiashnyi</t>
  </si>
  <si>
    <t>Potocky</t>
  </si>
  <si>
    <t>Barbora</t>
  </si>
  <si>
    <t>++421905126357 , ++421902705618 , ++421917962640</t>
  </si>
  <si>
    <t>Frankovska 8</t>
  </si>
  <si>
    <t>Pokrivcakova</t>
  </si>
  <si>
    <t>Petra</t>
  </si>
  <si>
    <t>Barboraunacka</t>
  </si>
  <si>
    <t>Theredlion</t>
  </si>
  <si>
    <t>Bohm</t>
  </si>
  <si>
    <t>Peter</t>
  </si>
  <si>
    <t>Pec</t>
  </si>
  <si>
    <t>Bohumil</t>
  </si>
  <si>
    <t>Bohuslavova</t>
  </si>
  <si>
    <t>Pavla</t>
  </si>
  <si>
    <t>Timotej</t>
  </si>
  <si>
    <t>evasulikova</t>
  </si>
  <si>
    <t>Pavel</t>
  </si>
  <si>
    <t>Patrik</t>
  </si>
  <si>
    <t>++421903494959 , ++421948223727</t>
  </si>
  <si>
    <t>Mesačna 895/14a</t>
  </si>
  <si>
    <t>Parsiak</t>
  </si>
  <si>
    <t>Na krizovatkach 37/F</t>
  </si>
  <si>
    <t>Pan</t>
  </si>
  <si>
    <t>Cvacho</t>
  </si>
  <si>
    <t>Radovan</t>
  </si>
  <si>
    <t>Anton</t>
  </si>
  <si>
    <t>Slavomírová 9</t>
  </si>
  <si>
    <t>Redlionbar</t>
  </si>
  <si>
    <t>Sobolik</t>
  </si>
  <si>
    <t>++421905972882 , ++421951254864 , ++421905254960</t>
  </si>
  <si>
    <t>Sopoci</t>
  </si>
  <si>
    <t>Stanislav</t>
  </si>
  <si>
    <t>Jarabinkova 6, Ruzinov</t>
  </si>
  <si>
    <t>Adam</t>
  </si>
  <si>
    <t>++421911864865 , ++421949005480 , ++421907278814 , ++421948455448</t>
  </si>
  <si>
    <t>Sinkovske 45</t>
  </si>
  <si>
    <t>Selicka</t>
  </si>
  <si>
    <t>FA- klara.belekova -Poslane</t>
  </si>
  <si>
    <t>2x servis</t>
  </si>
  <si>
    <t>Mlynské nivy 80c</t>
  </si>
  <si>
    <t>Saina</t>
  </si>
  <si>
    <t>S</t>
  </si>
  <si>
    <t>Rzonkova</t>
  </si>
  <si>
    <t>Adambajuzik</t>
  </si>
  <si>
    <t>svetlanadurisinova</t>
  </si>
  <si>
    <t>Adriana</t>
  </si>
  <si>
    <t>Bosákova3788/7</t>
  </si>
  <si>
    <t>stuzska</t>
  </si>
  <si>
    <t>Agapia</t>
  </si>
  <si>
    <t>Rudolf</t>
  </si>
  <si>
    <t>Rodina</t>
  </si>
  <si>
    <t>Akdental</t>
  </si>
  <si>
    <t>Andrea</t>
  </si>
  <si>
    <t>Bazovskeho 13</t>
  </si>
  <si>
    <t>Richard</t>
  </si>
  <si>
    <t>Jasikova 17</t>
  </si>
  <si>
    <t>Andrej</t>
  </si>
  <si>
    <t>T</t>
  </si>
  <si>
    <t>Rekl</t>
  </si>
  <si>
    <t>Reka</t>
  </si>
  <si>
    <t>Taitana</t>
  </si>
  <si>
    <t>Anna</t>
  </si>
  <si>
    <t>++421902705618 , ++421902056447</t>
  </si>
  <si>
    <t>Blagoevova 2678/24</t>
  </si>
  <si>
    <t>Dana</t>
  </si>
  <si>
    <t>Veronika</t>
  </si>
  <si>
    <t>jurajvyskocil</t>
  </si>
  <si>
    <t>monikasmirdsova</t>
  </si>
  <si>
    <t>pan</t>
  </si>
  <si>
    <t>miroslavarzsonkova</t>
  </si>
  <si>
    <t>Dlhy</t>
  </si>
  <si>
    <t>Daniela</t>
  </si>
  <si>
    <t>++421918590022 , ++421905273241</t>
  </si>
  <si>
    <t>Zuzany Chalupovej 9</t>
  </si>
  <si>
    <t>mikulic</t>
  </si>
  <si>
    <t>michalmajercak</t>
  </si>
  <si>
    <t>Diana</t>
  </si>
  <si>
    <t>imrichslovak</t>
  </si>
  <si>
    <t>Kaol kalig</t>
  </si>
  <si>
    <t>2024-05</t>
  </si>
  <si>
    <t>Radovan Jurek</t>
  </si>
  <si>
    <t>sviatok</t>
  </si>
  <si>
    <t>pan ZVONAR</t>
  </si>
  <si>
    <t>FA-iČO: 35846909</t>
  </si>
  <si>
    <t>Servis a diagnostika jednotiek 3x plnenie jednotiek</t>
  </si>
  <si>
    <t>Mato bol spravit diagnostiku boli ste dohodnuty na 325 + dph</t>
  </si>
  <si>
    <t>Gundulicova</t>
  </si>
  <si>
    <t>Maria Gunisova</t>
  </si>
  <si>
    <t>Jaskovy rad 191</t>
  </si>
  <si>
    <t>Grigel daniel</t>
  </si>
  <si>
    <t>nebol</t>
  </si>
  <si>
    <t>buduci tyzden</t>
  </si>
  <si>
    <t>Miletičova 60</t>
  </si>
  <si>
    <t>Emilia Grafova</t>
  </si>
  <si>
    <t>sviatok a vyjazd 20km</t>
  </si>
  <si>
    <t>Keltska 71</t>
  </si>
  <si>
    <t>Eliska Hatinova</t>
  </si>
  <si>
    <t>sviatok a vyjazd 20km, nacenit novu klimu 1+1, / nacenit nove Tepelne Cerpadlo ar12txeaawkx samsung 3.5kw , oprava fancoil, servis a dezinfekcie klimy v karavane este = cakam na nacenenie</t>
  </si>
  <si>
    <t>Vojtekova Sona</t>
  </si>
  <si>
    <t>pokazeny ventil treba nacenit a predat vonkajsiu jednotku</t>
  </si>
  <si>
    <t>PARTNER/Martin Holik /(Madarasova Madarasova)</t>
  </si>
  <si>
    <t>&lt;b&gt;Rezervoval(a)&lt;/b&gt;\nMadarasova Madarasova\ninfo@klimazone.sk\</t>
  </si>
  <si>
    <t>Madarasova</t>
  </si>
  <si>
    <t>ZSE / David Kocák Servis (Sojáková Sojáková)</t>
  </si>
  <si>
    <t>&lt;b&gt;Rezervoval(a)&lt;/b&gt;\nSojáková Sojáková\nservice.klimafresh@gma</t>
  </si>
  <si>
    <t>Holibia 1/A</t>
  </si>
  <si>
    <t>ZSE / David Kocák Servis (Melichárová Melichárová )</t>
  </si>
  <si>
    <t>&lt;b&gt;Rezervoval(a)&lt;/b&gt;\nMelichárová Melichárová \nservice.klimafr</t>
  </si>
  <si>
    <t>ZSE / David Kocák Servis (Kovácsová Kovácsová)</t>
  </si>
  <si>
    <t>&lt;b&gt;Rezervoval(a)&lt;/b&gt;\nKovácsová Kovácsová\nservice.klimafresh@g</t>
  </si>
  <si>
    <t>Jána Stanislava 3531/26, 841 05 Bratislava-Karlova Ves, Slovensko</t>
  </si>
  <si>
    <t>?</t>
  </si>
  <si>
    <t>PARTNER/Peter Gedi / Jana Schramova</t>
  </si>
  <si>
    <t>&lt;b&gt;Rezervoval(a)&lt;/b&gt;\nJana Schramova\ninfo@klimazone.sk\n+ ++421</t>
  </si>
  <si>
    <t>Keltska 37</t>
  </si>
  <si>
    <t>ZSE / Peter Gedeon / Szabová</t>
  </si>
  <si>
    <t>&lt;b&gt;Rezervoval(a)&lt;/b&gt;\nSzabová Szabová\nservice.klimafresh@gmail</t>
  </si>
  <si>
    <t>ZSE / Tomaš Brodek (Monika Balgová)</t>
  </si>
  <si>
    <t>&lt;b&gt;Rezervoval(a)&lt;/b&gt;\nMonika Balgová\nserviceklimafresh@gmail.c</t>
  </si>
  <si>
    <t>Kamila Heribanova</t>
  </si>
  <si>
    <t>servis 1+1</t>
  </si>
  <si>
    <t>Peter Lukacka</t>
  </si>
  <si>
    <t>Landererova</t>
  </si>
  <si>
    <t>ZSE Tomaš Brodek (SVIŇA GRUNZOVÁ)</t>
  </si>
  <si>
    <t>FA - iČO 52603156</t>
  </si>
  <si>
    <t>Prasknuta vanicka, vymenna</t>
  </si>
  <si>
    <t>&lt;b&gt;Rezervoval(a)&lt;/b&gt;\nOBILNÁ GRUNZOVÁ\nserviceklimafresh@gmail.</t>
  </si>
  <si>
    <t>Plynarenska</t>
  </si>
  <si>
    <t>Simon Kompas</t>
  </si>
  <si>
    <t>PARTNER / Peter Gedi / Simon Kopas</t>
  </si>
  <si>
    <t>diagnostika</t>
  </si>
  <si>
    <t>*doplním info od technika</t>
  </si>
  <si>
    <t>&lt;b&gt;Rezervoval(a)&lt;/b&gt;\nSimon Kompas\ninfo@klimazone.sk\n0915158</t>
  </si>
  <si>
    <t>Závodná 3</t>
  </si>
  <si>
    <t>PARTNER/Tomáš Brodek/Kamila Heribanova</t>
  </si>
  <si>
    <t>Chotárna 260/35, 851 10 Bratislava-Jarovce, Slovensko</t>
  </si>
  <si>
    <t>&lt;b&gt;Rezervoval(a)&lt;/b&gt;\nKamila Heribanová\nfreshzoneservis@gmail</t>
  </si>
  <si>
    <t>PARTNER / Tomáš Brodek / Peter Lukacka</t>
  </si>
  <si>
    <t>&lt;b&gt;Rezervoval(a)&lt;/b&gt;\nPeter Lukacka\nservice.klimafresh@gmail.c</t>
  </si>
  <si>
    <t>Miro Kobilska</t>
  </si>
  <si>
    <t>Montaz ako skoncila tato montaz? Kto prijal hotovost - DONAT HORNIK / HOTOVO / VYROVNANE</t>
  </si>
  <si>
    <t>Tematínska 4</t>
  </si>
  <si>
    <t>ZSE/Tomaš Brodek (Jaroslav Mikus)</t>
  </si>
  <si>
    <t>&lt;b&gt;Rezervoval(a)&lt;/b&gt;\nJaroslav Mikus\nserviceklimafresh@gmail.c</t>
  </si>
  <si>
    <t>Račianska 1522/69</t>
  </si>
  <si>
    <t>ZSE/Tomaš Brodek (RADOVAN BOBČEK)</t>
  </si>
  <si>
    <t>&lt;b&gt;Rezervoval(a)&lt;/b&gt;\nRADOVAN BOBČEK\nserviceklimafresh@gmail.c</t>
  </si>
  <si>
    <t>ZSE/Tomaš Brodek (JURAJ MIKULÁŠ)</t>
  </si>
  <si>
    <t>&lt;b&gt;Rezervoval(a)&lt;/b&gt;\nJURAJ MIKULÁŠ\nserviceklimafresh@gmail.co</t>
  </si>
  <si>
    <t>ZSE/Tomaš Brodek (Tibor Kovac)</t>
  </si>
  <si>
    <t>&lt;b&gt;Rezervoval(a)&lt;/b&gt;\nTibor Kovac\ntmbrodek@gmail.com\n+ ++4219049</t>
  </si>
  <si>
    <t>Tri vody II. 13</t>
  </si>
  <si>
    <t>PARTNER / M.H + Peter Gedi / Mohamed Kebab</t>
  </si>
  <si>
    <t>&lt;b&gt;Rezervoval(a)&lt;/b&gt;\nMohamed Kebab\n&lt;a href="mailto:servicekli</t>
  </si>
  <si>
    <t>Závodná 3/B</t>
  </si>
  <si>
    <t>Mohammed Kebab</t>
  </si>
  <si>
    <t>viď. email</t>
  </si>
  <si>
    <t>Kozia 599/7</t>
  </si>
  <si>
    <t>Stanivslav Dlhan</t>
  </si>
  <si>
    <t>Sarmir</t>
  </si>
  <si>
    <t>Nestalo sa</t>
  </si>
  <si>
    <t>PARTNER/David Kocák Servis (Stanislav Dlháň)</t>
  </si>
  <si>
    <t>&lt;b&gt;Rezervoval(a)&lt;/b&gt;&lt;br&gt;Stanislav Dlháň&lt;br&gt;&lt;a href="mailto:serv</t>
  </si>
  <si>
    <t>Zuzany Chalupovej</t>
  </si>
  <si>
    <t>David Kocák Servis (Sárközi Detto)</t>
  </si>
  <si>
    <t>&lt;b&gt;Rezervoval(a)&lt;/b&gt;\nSárközi Detto\nnic@gmail.com\n0904872526\</t>
  </si>
  <si>
    <t>Vyšehradská 3732/18</t>
  </si>
  <si>
    <t>PARTNER / Peter Gedi / Marián Fridrich</t>
  </si>
  <si>
    <t>&lt;b&gt;Rezervoval(a)&lt;/b&gt;\nMarián Fridrich\nservice.klimafresh@gmail</t>
  </si>
  <si>
    <t>David Kocák Servis (Lévai detto)</t>
  </si>
  <si>
    <t>&lt;b&gt;Rezervoval(a)&lt;/b&gt;\nLévai detto\nnic@gmail.com\n0918993123\n&lt;</t>
  </si>
  <si>
    <t>Kubániho 3643/14</t>
  </si>
  <si>
    <t>David Kocák Servis (Németh detto)</t>
  </si>
  <si>
    <t>&lt;b&gt;Rezervoval(a)&lt;/b&gt;\nNémeth detto\nnic@gmail.com\n0905266678\n</t>
  </si>
  <si>
    <t>David Kocák Servis (Szucs detto)</t>
  </si>
  <si>
    <t>&lt;b&gt;Rezervoval(a)&lt;/b&gt;\nSzucs detto\nnic@gmail.com\n0918497788\n&lt;</t>
  </si>
  <si>
    <t>Považanova 1857/4</t>
  </si>
  <si>
    <t>Slavomir Dudek</t>
  </si>
  <si>
    <t>Alfa piváreň, Jiráskova 995/1</t>
  </si>
  <si>
    <t>ZSE/ Tomaš Brodek / TOMÁŠNAGY</t>
  </si>
  <si>
    <t>&lt;b&gt;Rezervoval(a)&lt;/b&gt;&lt;br&gt;&lt;b&gt;TOMAŠ NAGY&lt;br&gt;&lt;/b&gt;&lt;a href="mailto:se</t>
  </si>
  <si>
    <t>Žihárec, 925 83 Žihárec, Slovensko</t>
  </si>
  <si>
    <t>David Kocák Servis (Bukovčáková Detto)</t>
  </si>
  <si>
    <t>&lt;b&gt;Rezervoval(a)&lt;/b&gt;\nBukovčáková Detto\nnic@gmail.com\n091518</t>
  </si>
  <si>
    <t>Obchodná 881/12, Zohor</t>
  </si>
  <si>
    <t>Marian Fridrich</t>
  </si>
  <si>
    <t>ZSE/Tomaš Brodek/BRANISLAV NOVOSEDLÍK</t>
  </si>
  <si>
    <t>&lt;b&gt;Rezervoval(a)&lt;/b&gt;\nBRANISLAV NOVOSEDLÍK\nserviceklimafresh@g</t>
  </si>
  <si>
    <t>Mlýnske nivy 82</t>
  </si>
  <si>
    <t>David Kocák Servis (Takáč detto)</t>
  </si>
  <si>
    <t>&lt;b&gt;Rezervoval(a)&lt;/b&gt;\nTakáč detto\nnic@gmail.com\n0915989772\n&lt;</t>
  </si>
  <si>
    <t>Kadnárova 2518/55</t>
  </si>
  <si>
    <t>David Kocák Servis (Drgonec detto)</t>
  </si>
  <si>
    <t>&lt;b&gt;Rezervoval(a)&lt;/b&gt;\nDrgonec detto\nnic@gmail.com\n0918333096\</t>
  </si>
  <si>
    <t>David Kocák Servis (Bachčovanov detto)</t>
  </si>
  <si>
    <t>&lt;b&gt;Rezervoval(a)&lt;/b&gt;\nBachčovanov detto\nnic@gmail.com\n0905449</t>
  </si>
  <si>
    <t>Ďatelinová 5530/4</t>
  </si>
  <si>
    <t>PARTNER / Peter Gedi / Slavomír Dudek</t>
  </si>
  <si>
    <t>&lt;b&gt;Rezervoval(a)&lt;/b&gt;\nSlavomír Dudek\nserviceklimafresh@gmail.</t>
  </si>
  <si>
    <t>David Kocák Servis (Bokes Bokes ZSE)</t>
  </si>
  <si>
    <t>&lt;b&gt;Rezervoval(a)&lt;/b&gt;\nBokes Bokes ZSE\nnic@gmail.com\n090243035</t>
  </si>
  <si>
    <t>PARTNER/David Kocák Servis (Anna Dzundova)</t>
  </si>
  <si>
    <t>&lt;b&gt;Rezervoval(a)&lt;/b&gt;\nAnna Dzundova\nserviceklimafresh@gmail.co</t>
  </si>
  <si>
    <t>Dana Bojnakova</t>
  </si>
  <si>
    <t>Vycistit/ izolacia / kondenz</t>
  </si>
  <si>
    <t>PARTNER/David Kocák Servis (Beata Moravcova)</t>
  </si>
  <si>
    <t>Rezervoval(a)\nBeata Moravcova\nserviceklimafresh@gmail.com\n09</t>
  </si>
  <si>
    <t>Karadžičova 4112/52</t>
  </si>
  <si>
    <t>ZSE / Peter Gedi Servis (ZSE Štefan Surovsky)</t>
  </si>
  <si>
    <t>&lt;b&gt;Rezervoval(a)&lt;/b&gt;\nZSE Štefan Surovsky\nservice.klimafresh@</t>
  </si>
  <si>
    <t>Jana Slotu 18A, Trnava</t>
  </si>
  <si>
    <t>PARTNER/Tomaš Brodek (Dana Bojnakova)</t>
  </si>
  <si>
    <t>&lt;b&gt;Rezervoval(a)&lt;/b&gt;\nDana Bojnakova\nserviceklimafresh@gmail.</t>
  </si>
  <si>
    <t>Beata Moravcova</t>
  </si>
  <si>
    <t>Andreas Ligart</t>
  </si>
  <si>
    <t>Cistenie, vymena kondenz</t>
  </si>
  <si>
    <t>Report - peter + Lukas / DIAGNOSTIKA A ZISTENIE ZLEHO ZAPOJENIA ELEKTRICKEHO NAPAJANIA / SERVIS KAZETOVA JEDNOTKA / cena prace technika bola 75 /</t>
  </si>
  <si>
    <t>Anna Dzundova</t>
  </si>
  <si>
    <t>Hrubý Šúr 432</t>
  </si>
  <si>
    <t>Tomaš Brodek (partner Jana Bartova )</t>
  </si>
  <si>
    <t>&lt;b&gt;Rezervoval(a)&lt;/b&gt;\npartner Jana Bartova \nklimafreshba@gmail</t>
  </si>
  <si>
    <t>Biela 422/5</t>
  </si>
  <si>
    <t>PARTNER/ M.H+Tomaš Brodek / Vrut s.r.o.</t>
  </si>
  <si>
    <t>This is an event reminder</t>
  </si>
  <si>
    <t>Vrut s.r.o</t>
  </si>
  <si>
    <t>Seberíniho 6</t>
  </si>
  <si>
    <t>Peter Gedi Servis (Klimazone Klimazone)</t>
  </si>
  <si>
    <t>&lt;b&gt;Rezervoval(a)&lt;/b&gt;\nKlimazone Klimazone\ninfo@klimazone.sk\n</t>
  </si>
  <si>
    <t>Tomaš Brodek (Marian Bárta )</t>
  </si>
  <si>
    <t>&lt;b&gt;Rezervoval(a)&lt;/b&gt;\nMarian Bárta \ntmbrodek@gmail.com\n090392</t>
  </si>
  <si>
    <t>Jana Bartova</t>
  </si>
  <si>
    <t>Tomaš Brodek (partner Michal Ovsanik)</t>
  </si>
  <si>
    <t>&lt;b&gt;Rezervoval(a)&lt;/b&gt;\npartner Michal Ovsanik\ninfo@klimazone.sk</t>
  </si>
  <si>
    <t>Repašského 3189/1</t>
  </si>
  <si>
    <t>Stanislav Volar</t>
  </si>
  <si>
    <t>Tomaš Brodek (partner František Kovan)</t>
  </si>
  <si>
    <t>&lt;b&gt;Rezervoval(a)&lt;/b&gt;\npartner František Kovan\nklimafreshba@gm</t>
  </si>
  <si>
    <t>PARTNER/Tomaš Brodek (Marek Lesnak )</t>
  </si>
  <si>
    <t>Tomaš Brodek (partner Cvacho Cvacho)</t>
  </si>
  <si>
    <t>&lt;b&gt;Rezervoval(a)&lt;/b&gt;\npartner Cvacho Cvacho\nklimafreshba@gmail</t>
  </si>
  <si>
    <t>Tomaš Brodek (Partner Stanislav Volar )</t>
  </si>
  <si>
    <t>&lt;b&gt;Rezervoval(a)&lt;/b&gt;\nPartner Stanislav Volar \ninfo@klimazone.</t>
  </si>
  <si>
    <t>Ivanská cesta 19113/32 blok C</t>
  </si>
  <si>
    <t>Frantisek Kovan</t>
  </si>
  <si>
    <t>Diagnostika + Servis</t>
  </si>
  <si>
    <t>hotovo a co bol problem na diagnostike?</t>
  </si>
  <si>
    <t>Michal Ovsanik</t>
  </si>
  <si>
    <t>*čakám na info od technika</t>
  </si>
  <si>
    <t>Čajakova 4030/7</t>
  </si>
  <si>
    <t>Tomaš Brodek (Kristina Novosedliková)</t>
  </si>
  <si>
    <t>&lt;b&gt;Rezervoval(a)&lt;/b&gt;\nKristina Novosedliková\ntmbrodek@gmail.co</t>
  </si>
  <si>
    <t>Cyprichova 2475/8</t>
  </si>
  <si>
    <t>de rose studio nechtove</t>
  </si>
  <si>
    <t>nestalo sa</t>
  </si>
  <si>
    <t>NESTALO SA</t>
  </si>
  <si>
    <t>Železničná 1590/45</t>
  </si>
  <si>
    <t>ZSE/Tomaš Brodek (Martin Pavelka)</t>
  </si>
  <si>
    <t>&lt;b&gt;Rezervoval(a)&lt;/b&gt;\nMartin Pavelka\ntmbrodek@gmail.com\n09186</t>
  </si>
  <si>
    <t>Drotárska cesta 66</t>
  </si>
  <si>
    <t>ZSE/Tomaš Brodek (Ivana Kováčiková )</t>
  </si>
  <si>
    <t>&lt;b&gt;Rezervoval(a)&lt;/b&gt;\nIvana Kováčiková \ntmbrodek@gmail.com\n09</t>
  </si>
  <si>
    <t>PARTNER/Tomaš Brodek (partner Andrea Piknova)</t>
  </si>
  <si>
    <t>&lt;b&gt;Rezervoval(a)&lt;/b&gt;\npartner Andrea Piknova\nklimafreshba@gmai</t>
  </si>
  <si>
    <t>PARTNER/Tomaš Brodek (partner De rosé nechtové studio)</t>
  </si>
  <si>
    <t>&lt;b&gt;Rezervoval(a)&lt;/b&gt;\npartner De rosé nechtové studio\nklimafre</t>
  </si>
  <si>
    <t>ZSE/Tomaš Brodek (Alžbeta Marcinkovicova )</t>
  </si>
  <si>
    <t>&lt;b&gt;Rezervoval(a)&lt;/b&gt;\nAlžbeta Marcinkovicova \ntmbrodek@gmail.</t>
  </si>
  <si>
    <t>Andrea Piknova</t>
  </si>
  <si>
    <t>1+1</t>
  </si>
  <si>
    <t>Maria Bistricka</t>
  </si>
  <si>
    <t>PARTNER/David Kocák Servis (partner Maria Bistricka )</t>
  </si>
  <si>
    <t>&lt;b&gt;Rezervoval(a)&lt;/b&gt;\npartner Maria Bistricka \nklimafreshba@g</t>
  </si>
  <si>
    <t>ZSE/Tomaš Brodek (Reka Buranska )</t>
  </si>
  <si>
    <t>&lt;b&gt;Rezervoval(a)&lt;/b&gt;\nReka Buranska \ntmbrodek@gmail.com\n09403</t>
  </si>
  <si>
    <t>Tibor Farkas</t>
  </si>
  <si>
    <t>Posun vnutornej jednotky</t>
  </si>
  <si>
    <t>PARTNER/David Kocák Servis (PARTNER Michal Kovac)</t>
  </si>
  <si>
    <t>&lt;b&gt;Rezervoval(a)&lt;/b&gt;\nPARTNER Michal Kovac\ninfo@klimafresh.com</t>
  </si>
  <si>
    <t>Marek Vostinar</t>
  </si>
  <si>
    <t>Servis + zistit co treba vymenit</t>
  </si>
  <si>
    <t>Objednat a vymenit ventilator zlomeny aj spracou 230 Eur, ventilator</t>
  </si>
  <si>
    <t>PARTNER Peter Gedi Servis (Ivan Kukla KUKLA)</t>
  </si>
  <si>
    <t>&lt;b&gt;Rezervoval(a)&lt;/b&gt;\nIvan Kukla KUKLA\nklimafreshba@gmail.com\</t>
  </si>
  <si>
    <t>Filip Prazenica</t>
  </si>
  <si>
    <t>Michal Kovac</t>
  </si>
  <si>
    <t>PARTNER/David Kocák Servis (Jasná Sulc Sulc)</t>
  </si>
  <si>
    <t>&lt;b&gt;Rezervoval(a)&lt;/b&gt;\nPARTNER Jasná Sulc Sulc\nklimafreshba@gma</t>
  </si>
  <si>
    <t>PARTNERDavid Kocák Servis (Bohumil Baganec)</t>
  </si>
  <si>
    <t>&lt;b&gt;Rezervoval(a)&lt;/b&gt;\nPartner Bohumil Baganec\nnic@gmail.com\n0</t>
  </si>
  <si>
    <t>PARTNER Peter Gedi Servis (Partner Michal Kovac)</t>
  </si>
  <si>
    <t>&lt;b&gt;Rezervoval(a)&lt;/b&gt;\nPartner Michal Kovac\nklimafreshba@gmail</t>
  </si>
  <si>
    <t>PARTNER/Tomaš Brodek (partner Marek Vostinar)</t>
  </si>
  <si>
    <t>&lt;b&gt;Rezervoval(a)&lt;/b&gt;\npartner Marek Vostinar\nklimafreshba@gmai</t>
  </si>
  <si>
    <t>ZSE/Tomaš Brodek (Inna Knop )</t>
  </si>
  <si>
    <t>&lt;b&gt;Rezervoval(a)&lt;/b&gt;\nInna Knop \ntmbrodek@gmail.com\n095114202</t>
  </si>
  <si>
    <t>Petzwalova 550/34, 949 11 Nitra, Slovensko</t>
  </si>
  <si>
    <t>PARTNER/Tomaš Brodek (partner Filip Prazenica )</t>
  </si>
  <si>
    <t>&lt;b&gt;Rezervoval(a)&lt;/b&gt;\npartner Filip Prazenica \nklimafreshba@g</t>
  </si>
  <si>
    <t>Ivan Kukla</t>
  </si>
  <si>
    <t>Kristof Solotruk</t>
  </si>
  <si>
    <t>PARTNER Tomaš Brodek (Kristof Solotruk)</t>
  </si>
  <si>
    <t>&lt;b&gt;Rezervoval(a)&lt;/b&gt;\nKristof Solotruk\nklimafreshba@gmail.co</t>
  </si>
  <si>
    <t>Stanislav Maly</t>
  </si>
  <si>
    <t>Plnenie, diagnostika, hľadanie úniku dusíkom, nájdený únik na vnútornej jednotke - výrobná závada, 
Výnos chladiva a dusiku na strechu 6m rebrík spotreba chladiva 1,75 kg - účtuje sa 2kg = 110€ nákup, celkovo strávený čas 5 hodín</t>
  </si>
  <si>
    <t>Jasna Sulc</t>
  </si>
  <si>
    <t>PARTNER / STANISLAV MALY</t>
  </si>
  <si>
    <t>PRACA SERVIS\n\nHOTOVOST\n\nCENA: 170</t>
  </si>
  <si>
    <t>Tomas Dlhy</t>
  </si>
  <si>
    <t>Michal Tocik</t>
  </si>
  <si>
    <t>Servis + prerobit kondenz</t>
  </si>
  <si>
    <t>PARTNER Tomaš Brodek (Tomas Dlhy)</t>
  </si>
  <si>
    <t>&lt;b&gt;Rezervoval(a)&lt;/b&gt;\nTomas Dlhy\nklimafreshba@gmail.com\n091</t>
  </si>
  <si>
    <t>Tomas Koprusak</t>
  </si>
  <si>
    <t>1x diagnostika a 2x chladivo za 160 eur</t>
  </si>
  <si>
    <t>PARTNER Tomaš Brodek (Zuzana Benkova)</t>
  </si>
  <si>
    <t>&lt;b&gt;Rezervoval(a)&lt;/b&gt;\nZuzana Benkova\nklimafreshba@gmail.com\n</t>
  </si>
  <si>
    <t>PARTNER/Peter Gedi +1 (Andreas Ligart Ligart)</t>
  </si>
  <si>
    <t>&lt;b&gt;Rezervoval(a)&lt;/b&gt;&lt;br&gt;Andreas Ligart Ligart&lt;br&gt;&lt;a href="mailt</t>
  </si>
  <si>
    <t>Turčianska 2, 821 09 Bratislava-Ružinov, Slovensko</t>
  </si>
  <si>
    <t>Zuzana Benkova</t>
  </si>
  <si>
    <t>ZSE/Tomaš Brodek (Ivana Rodakova )</t>
  </si>
  <si>
    <t>&lt;b&gt;Rezervoval(a)&lt;/b&gt;\nIvana Rodakova \ntmbrodek@gmail.com\n0905</t>
  </si>
  <si>
    <t>Jarná 1804/68, 900 42 Dunajská Lužná, Slovensko</t>
  </si>
  <si>
    <t>Bohumil Baganec</t>
  </si>
  <si>
    <t>PARTNER/Tomaš Brodek (partner Lubica Bednarova)</t>
  </si>
  <si>
    <t>&lt;b&gt;Rezervoval(a)&lt;/b&gt;&lt;br&gt;partner Lubica Bednarova&lt;br&gt;&lt;a href="ma</t>
  </si>
  <si>
    <t>2024-06</t>
  </si>
  <si>
    <t>PARTNER David Kocák Servis ( Zuzana Litvova)</t>
  </si>
  <si>
    <t>&lt;b&gt;Rezervoval(a)&lt;/b&gt;\nPartner Zuzana Litvova\nnic@gmail.com\n09</t>
  </si>
  <si>
    <t>PARTNER David Kocák Servis (Marek Palkech)</t>
  </si>
  <si>
    <t>&lt;b&gt;Rezervoval(a)&lt;/b&gt;\nMarek Palkech\ninfo@klima.sk\n0908420581</t>
  </si>
  <si>
    <t>Lukáš Omasta / Jozef Mokríš\, zmena trasy kondenz\, čerpadlo\, (M</t>
  </si>
  <si>
    <t>Šumavská 530/33\, 821 08 Bratislava-Ružinov\, Slovensko</t>
  </si>
  <si>
    <t>PARTNER David Kocák Servis (Oľga Znachorova)</t>
  </si>
  <si>
    <t>&lt;b&gt;Rezervoval(a)&lt;/b&gt;\nOľga Znachorova\ninfo@gmail.com\n0911109</t>
  </si>
  <si>
    <t>Lukáš Omasta / Jozef Mokríš, zmena trasy kondenz, čerpadlo, (Michal Točik TocIk)</t>
  </si>
  <si>
    <t>Šumavská 530/33, 821 08 Bratislava-Ružinov, Slovensko</t>
  </si>
  <si>
    <t>ZSE/Tomaš Brodek/Jozef Mokríš/ Technik EDT (Montáž ZSE)</t>
  </si>
  <si>
    <t>&lt;b&gt;Rezervoval(a)&lt;/b&gt;\nMontáž ZSE\nserviceklimafresh@gmail.com\n</t>
  </si>
  <si>
    <t>PARTNER/Tomaš Brodek ( Afincare Slovakia s.r.o.)</t>
  </si>
  <si>
    <t>&lt;b&gt;Rezervoval(a)&lt;/b&gt;&lt;br&gt;Juraj Chandoga&lt;br&gt;&lt;a href="mailto:servi</t>
  </si>
  <si>
    <t>PARTNER/Tomaš Brodek (Juraj Fruhwald)</t>
  </si>
  <si>
    <t>&lt;b&gt;Rezervoval(a)&lt;/b&gt;\nJuraj Fruhwald\nserviceklimafresh@gmail.</t>
  </si>
  <si>
    <t>PARTNER/Peter Gedi + MArek Šimlo (Miguláš Tekel)</t>
  </si>
  <si>
    <t>&lt;b&gt;Rezervoval(a)&lt;/b&gt;\nMiguláš Tekel\nserviceklimafresh@gmail.c</t>
  </si>
  <si>
    <t>PARTNER/ Peter Gedeon Servis (Karol Kalig)</t>
  </si>
  <si>
    <t>&lt;b&gt;Rezervoval(a)&lt;/b&gt;\nKarol Kalig\nserviceklimafresh@gmail.com</t>
  </si>
  <si>
    <t>PARTNER/Jozef Mokríš, profylaktika, plnenie R32 (Stanislav Maly)</t>
  </si>
  <si>
    <t>Jána Dekana, 851 10 Bratislava-Rusovce, Slovensko</t>
  </si>
  <si>
    <t>NAS / Tomáš Bordel/Jozef technik(Adam Flajs)</t>
  </si>
  <si>
    <t>&lt;b&gt;Rezervoval(a)&lt;/b&gt;&lt;br&gt;Adam Flajs&lt;br&gt;&lt;a href="mailto:servicek</t>
  </si>
  <si>
    <t>PARTNER/Jozef Mokríš\, profylaktika\, plnenie R32 (Stanislav Maly</t>
  </si>
  <si>
    <t>Jána Dekana\, 851 10 Bratislava-Rusovce\, Slovensko</t>
  </si>
  <si>
    <t>Mikulas Tekel</t>
  </si>
  <si>
    <t>ODMIETOL Náš / Tomaš Brodek / Sarmir TT</t>
  </si>
  <si>
    <t>Hlavná 15/31, 917 01 Trnava, Slovensko</t>
  </si>
  <si>
    <t>Náš / Tomaš Brodek / externý technik\, detekcia uniku chladiva (To</t>
  </si>
  <si>
    <t>Sliačska 1d\, 831 02 Bratislava-Nové Mesto\, Slovensko</t>
  </si>
  <si>
    <t>Náš / Tomaš Brodek / externý technik, detekcia uniku chladiva (Tomas Koprusak)</t>
  </si>
  <si>
    <t>Sliačska 1d, 831 02 Bratislava-Nové Mesto, Slovensko</t>
  </si>
  <si>
    <t>Náš / PETER Gedi + Tomáš B / Sarmir TT</t>
  </si>
  <si>
    <t>Hlavná 15/31, 917 01 Trnava, Slovensko / ODMIETOL</t>
  </si>
  <si>
    <t>PARTNER/Tomaš Brodek (Ivan Kukla)</t>
  </si>
  <si>
    <t>&lt;b&gt;Rezervoval(a)&lt;/b&gt;\nIvan Kukla\ntmbrodek@gmail.com\n090517073</t>
  </si>
  <si>
    <t>Tomaš Brodek (Anna Sykorova )</t>
  </si>
  <si>
    <t>&lt;b&gt;Rezervoval(a)&lt;/b&gt;\nAnna Sykorova \ntmbrodek@gmail.com\n09034</t>
  </si>
  <si>
    <t>Naš/ Martin Holik + David Kocak (Martina S)</t>
  </si>
  <si>
    <t>&lt;b&gt;Rezervoval(a)&lt;/b&gt;\nMartina S\ninfo@klnaj.com\n0940254255\n&lt;</t>
  </si>
  <si>
    <t>NAS / Jozef + Martin / Marek Lesňák - Gentlemans</t>
  </si>
  <si>
    <t>-::~:~::~:~:~:~:~:~:~:~:~:~:~:~:~:~:~:~:~:~:~:~:~:~:~:~:~:~:~:~</t>
  </si>
  <si>
    <t>Obchodná 550/19, 811 06 Bratislava-Staré Mesto, Slovensko</t>
  </si>
  <si>
    <t>PARTNER/Tomaš Brodek (Karin Palatinsuvá)</t>
  </si>
  <si>
    <t>&lt;b&gt;Rezervoval(a)&lt;/b&gt;\nKarin Palatinsuvá\nserviceklimafresh@gmai</t>
  </si>
  <si>
    <t>Eva talajkova</t>
  </si>
  <si>
    <t>servis 1+1 + diagnostika</t>
  </si>
  <si>
    <t>PARTNER / SERVIS / TOMAS BRODEK / EVA TALAJKOVA</t>
  </si>
  <si>
    <t>KONTAKT: 0911964313\n\nDiagnostika nechladi\n\nCena: 100eur \n\</t>
  </si>
  <si>
    <t>Púpavová 677/10\, 841 04 Bratislava-Karlova Ves\, Slovensko</t>
  </si>
  <si>
    <t>PARTNER / TOMAS BRODEK / PETER BURZA / SERVIS</t>
  </si>
  <si>
    <t>KONTAKT : 0949 104 885\n\nSERVIS ZAKLADNY 1+1\n\nPlatba Hotovos</t>
  </si>
  <si>
    <t>Čmelíkova 3120/9, 821 04 Bratislava, Slovensko</t>
  </si>
  <si>
    <t>Púpavová 677/10, 841 04 Bratislava-Karlova Ves, Slovensko</t>
  </si>
  <si>
    <t>Peter Burza</t>
  </si>
  <si>
    <t>PARTNER / TOMAS BRODEM / SERVIS ZAKLADNY / RENE JANKURA</t>
  </si>
  <si>
    <t>Kontakt: 0902610066\n\nServis zakladny : 1+1\n\nPlatba: hotovos</t>
  </si>
  <si>
    <t>Broskyňová 22B, 900 41 Rovinka, Slovensko</t>
  </si>
  <si>
    <t>Rene Jankura</t>
  </si>
  <si>
    <t>Túto treba nacenit montáž vnútornej jednotky z izby prieraz von a na fasáde vyviesť na strechu a zapojiť.Pan má iba vnútornú jednotku a treba mu Cenovu ponuku dať cenu vonkajšej jednotky a montáž</t>
  </si>
  <si>
    <t>PARTNER Martin Holík URGENT / Jozef Mokríš / EDT technik / MONTAZ</t>
  </si>
  <si>
    <t>&lt;b&gt;Rezervoval(a)&lt;/b&gt;\nPARTNER Montáž\nserviceklimafresh@gmail.c</t>
  </si>
  <si>
    <t>Medveďovej 1571/6, 851 04 Bratislava-Petržalka, Slovensko</t>
  </si>
  <si>
    <t>Marek Revilak</t>
  </si>
  <si>
    <t>PARTNER / SERVIS / TOMAS B. / Mariana Draganovska</t>
  </si>
  <si>
    <t>Zakladny servis 1+1 \n\nplatba: Hotovost\n\nCena: 80eur \n\nKon</t>
  </si>
  <si>
    <t>Bytový dom "F", Úzka 30, 900 42 Dunajská Lužná, Slovensko</t>
  </si>
  <si>
    <t>Pijan</t>
  </si>
  <si>
    <t>Mariana Draganovska</t>
  </si>
  <si>
    <t>Obhliadka, GENTLEMAN, nacenenie stavebnych prac</t>
  </si>
  <si>
    <t>PARTNER / MAREK REVILAK</t>
  </si>
  <si>
    <t>SERVIS 2+1\n\nCENA: 160E\n\nPLATBA: HOTOVOST\n\nTEL: + ++421 903 4</t>
  </si>
  <si>
    <t>Hviezdna 38, 900 45 Malinovo, Slovensko</t>
  </si>
  <si>
    <t>PARTNER / PIJAN PIJAN /</t>
  </si>
  <si>
    <t>Lachova 1612/39, 851 03 Bratislava-Petržalka, Slovensko</t>
  </si>
  <si>
    <t>SERVIS 1+1\n\nCENA : 80\n\nPLATBA : HOTOVOST\n\nKONTAKT: + ++421 9</t>
  </si>
  <si>
    <t>Lachova 1612/39\, 851 03 Bratislava-Petržalka\, Slovensko</t>
  </si>
  <si>
    <t>PARNTER / FODOR X /</t>
  </si>
  <si>
    <t>Eisnerova 6132/15, 841 07 Bratislava-Devínska Nová Ves, Slovensko</t>
  </si>
  <si>
    <t>Sevis zakladny 1+1\n\nCena : 80e\n\nPlatba: Hotovost\n\nKontakt</t>
  </si>
  <si>
    <t>Eisnerova 6132/15\, 841 07 Bratislava-Devínska Nová Ves\, Slovensk</t>
  </si>
  <si>
    <t>Obhliadka\, GENTLEMAN\, nacenenie stavebnych prac</t>
  </si>
  <si>
    <t>PARTNER / LANCARIC X /</t>
  </si>
  <si>
    <t>Zakladny servis 1+1\n\nKontakt: 0904959090\n\nCena: 80\n\nPlatb</t>
  </si>
  <si>
    <t>Cukrová 2376/6\, 811 08 Bratislava\, Slovensko</t>
  </si>
  <si>
    <t>Fodor X</t>
  </si>
  <si>
    <t>Lancaric X</t>
  </si>
  <si>
    <t>Faktura</t>
  </si>
  <si>
    <t>Cukrová 2376/6, 811 08 Bratislava, Slovensko</t>
  </si>
  <si>
    <t>PARNTER / MARTIN OSNA / SERVIS</t>
  </si>
  <si>
    <t>Servis 2 klimy\n\nTel : 0903321928\n\nCena: 160 eur \n\nPlatba:</t>
  </si>
  <si>
    <t>Na pažiti 2158/7, 831 01 Bratislava, Slovensko</t>
  </si>
  <si>
    <t>Katarina Sec</t>
  </si>
  <si>
    <t>PARTNER / KATARINA SEC</t>
  </si>
  <si>
    <t>Servis 2+1\n\nCENA: 195\n\nPLATBA : HOTOVOST \n\nTEL:  0904 959</t>
  </si>
  <si>
    <t>1. mája 2380/35, 901 01 Malacky, Slovensko</t>
  </si>
  <si>
    <t>Martin Osna</t>
  </si>
  <si>
    <t>Michal harajbic</t>
  </si>
  <si>
    <t>PARTNER / MICHAL HARAJBIC</t>
  </si>
  <si>
    <t>SERVIS  2 +1 \n\nCENA : 160 \n\nPLATBA: HOTOVOST\n\nTEL: 091160</t>
  </si>
  <si>
    <t>Na Pažiti 23\, 900 21 Svätý Jur\, Slovensko</t>
  </si>
  <si>
    <t>Na Pažiti 23, 900 21 Svätý Jur, Slovensko</t>
  </si>
  <si>
    <t>Mihal</t>
  </si>
  <si>
    <t>Maros Cabak</t>
  </si>
  <si>
    <t>Samo Galovic</t>
  </si>
  <si>
    <t>PARTNER/Martin Holik (Maroš Cabak TOPspeed)</t>
  </si>
  <si>
    <t>Rezervoval(a)\nMaroš Cabak TOPspeed\nserviceklimafresh@gmail.co</t>
  </si>
  <si>
    <t>Peter Kemp</t>
  </si>
  <si>
    <t>Juraj Vyskocil</t>
  </si>
  <si>
    <t>PARTNER / POTOCKA SKOLA ELEKTRO</t>
  </si>
  <si>
    <t>Faktura\n\nServis \n\n0902349977\n\n-::~:~::~:~:~:~:~:~:~:~:~:~</t>
  </si>
  <si>
    <t>Radlinského 2801/28, 811 07 Bratislava, Slovakia</t>
  </si>
  <si>
    <t>PARTNER / JOZEF VALKO</t>
  </si>
  <si>
    <t>SERVIS 1+1 \n\n0908090799\n\nCENA 80EUR\n\nCASH\n\n-::~:~::~:~:</t>
  </si>
  <si>
    <t>Na Kalvárii 10, 811 04 Bratislava-Staré Mesto, Slovensko</t>
  </si>
  <si>
    <t>PARTNER / RENATA ELISCHEROVA</t>
  </si>
  <si>
    <t>SERVIS 1+1\n\n0915385056\n\nCENA 80EUR\n \nCASH\n\n-::~:~::~:~:</t>
  </si>
  <si>
    <t>Budyšínska 82/16, 831 03 Bratislava, Slovensko</t>
  </si>
  <si>
    <t>Jozef Valko</t>
  </si>
  <si>
    <t>PARTNER / juraj vyskocil</t>
  </si>
  <si>
    <t>Servis 1+1\nOprava lamely \nHotovost \n\n80eur\n\n0905 444 581</t>
  </si>
  <si>
    <t>Americké námestie 2811/1, 811 07 Bratislava, Slovakia</t>
  </si>
  <si>
    <t>PARTNER / MARIO KAMUDY</t>
  </si>
  <si>
    <t>SERVIS 1+1\n\n0944937552\n\nCENA 80EUR\n\nCASH</t>
  </si>
  <si>
    <t>Budatínska 3687/12, 851 04 Bratislava-Petržalka, Slovensko</t>
  </si>
  <si>
    <t>Jana Hankoci</t>
  </si>
  <si>
    <t>PARTNER / MARTIN ZLUKY</t>
  </si>
  <si>
    <t>SERVIS 1+1\n\n0911611107\n\nCENA : 80EUR\n\nCASH\n\n-::~:~::~:~</t>
  </si>
  <si>
    <t>Račianska 2395/161, 831 54 Bratislava, Slovensko</t>
  </si>
  <si>
    <t>PARTNER / ANTON STEFUNKO</t>
  </si>
  <si>
    <t>Komárnická 120/48, 821 02 Bratislava-Ružinov, Slovensko</t>
  </si>
  <si>
    <t>Marian Kamudy</t>
  </si>
  <si>
    <t>SERVIS \n1+1\n0905972882\nHOTOVOST\n\n-::~:~::~:~:~:~:~:~:~:~:~</t>
  </si>
  <si>
    <t>Komárnická 120/48\, 821 02 Bratislava-Ružinov\, Slovensko</t>
  </si>
  <si>
    <t>Martin Zluky</t>
  </si>
  <si>
    <t>Potocka</t>
  </si>
  <si>
    <t>Peter Fedor</t>
  </si>
  <si>
    <t>Anton Stefunko</t>
  </si>
  <si>
    <t>Hotovost</t>
  </si>
  <si>
    <t>Renata Elischerova</t>
  </si>
  <si>
    <t>URGENT CAS MAJU DO 14:00 PARTNER / LIVIA KEMENYOVA</t>
  </si>
  <si>
    <t>SERVIS 3+1\n\n0949177521\n\nCENA: 240\n\nCASH\n\n-::~:~::~:~:~:</t>
  </si>
  <si>
    <t>Grösslingová 2463/39, 811 09 Bratislava, Slovensko</t>
  </si>
  <si>
    <t>Livia Kemenyova</t>
  </si>
  <si>
    <t>Lucia Janosova</t>
  </si>
  <si>
    <t>PARTNER / MARTIN KOVAC / SERVIS</t>
  </si>
  <si>
    <t>servis 1+1\n\n0905488709\n\nhotovost\n\n-::~:~::~:~:~:~:~:~:~:~</t>
  </si>
  <si>
    <t>Zuzany Chalupovej 8a, 851 07 Bratislava, Slovensko</t>
  </si>
  <si>
    <t>PARTNER / MIHAL</t>
  </si>
  <si>
    <t>SERVIS 1+1 A DRUHA VNUTORNA\n\n+ ++421 903 402 814\n\nCENA : 150\n</t>
  </si>
  <si>
    <t>Pri starej prachárni 10634/4\, 831 04 Bratislava-Nové Mesto\, Slov</t>
  </si>
  <si>
    <t>Pri starej prachárni 10634/4, 831 04 Bratislava-Nové Mesto, Slovensko</t>
  </si>
  <si>
    <t>PARTNER /Marian KOSWALD / SERVIS</t>
  </si>
  <si>
    <t>SERVIS 2+1 nieco skontrolovat na cerpadle\n\n0915293184\n\n160e</t>
  </si>
  <si>
    <t>Bajkalská 12985/9B\, 831 04 Bratislava-Nové Mesto\, Slovensko</t>
  </si>
  <si>
    <t>Partner / Monika Smirsdova / servis</t>
  </si>
  <si>
    <t>Na križovatkách, 821 04 Bratislava-Ružinov, Slovensko</t>
  </si>
  <si>
    <t>partner / servis / michal majercak</t>
  </si>
  <si>
    <t>0948038226\n\nCistenie len vnutorna + Diagnostika nevieme co st</t>
  </si>
  <si>
    <t>Hlavná stanica, 811 04 Bratislava-Staré Mesto, Slovensko</t>
  </si>
  <si>
    <t>PARTNER / JANA HANKOCI</t>
  </si>
  <si>
    <t>Žltá 2, 851 07 Bratislava-Petržalka, Slovensko</t>
  </si>
  <si>
    <t>SERVIS / PETER FEDOR/šimlo</t>
  </si>
  <si>
    <t>Peter Fedor\nCena 160\n+ ++421 905 586 995\nHotovost\n\n-::~:~::~:</t>
  </si>
  <si>
    <t>Veternicová 3111/33, 841 05 Bratislava-Karlova Ves, Slovensko</t>
  </si>
  <si>
    <t>PARTNER / ZUZANA Z</t>
  </si>
  <si>
    <t>SERVIS 1+1\nCENA: 80 \nPLATBA: HOTOVOST\nTEL: + ++421 903 938 958\</t>
  </si>
  <si>
    <t>Vukovarská 1B, 841 07 Bratislava-Devínska Nová Ves, Slovensko</t>
  </si>
  <si>
    <t>SERVIS 1+1\n\n0918711312\n\nCENA 80EUR\n\nCASH</t>
  </si>
  <si>
    <t>Žltá 2\, 851 07 Bratislava-Petržalka\, Slovensko</t>
  </si>
  <si>
    <t>Michal Majercak</t>
  </si>
  <si>
    <t>Servis 1 + Diagnostika</t>
  </si>
  <si>
    <t>PARTNER / LUCIA JANOSOVA / SERVIS</t>
  </si>
  <si>
    <t>Servis 1+1\n\ncena 80 \n\nhotovost\n\n0949590014\n\n-::~:~::~:~</t>
  </si>
  <si>
    <t>Sibírska 1598/15, 831 02 Bratislava-Nové Mesto, Slovensko</t>
  </si>
  <si>
    <t>Bajkalská 12985/9B, 831 04 Bratislava-Nové Mesto, Slovensko</t>
  </si>
  <si>
    <t>Marian Koswald</t>
  </si>
  <si>
    <t>PARTNER / SERVIS JURIK FILIP/</t>
  </si>
  <si>
    <t>SERVIS 1+1\n\n+ ++421 918 712 719\n\nHOTOVOST\n\n80EUR\n\n-::~:~::</t>
  </si>
  <si>
    <t>Bosákova 3783/7, 851 04 Bratislava-Petržalka, Slovensko</t>
  </si>
  <si>
    <t>Martin Kovac</t>
  </si>
  <si>
    <t>Jurik Filip</t>
  </si>
  <si>
    <t>0903469884\n\nServis a chladivo treba volat a zapisat o co ide</t>
  </si>
  <si>
    <t>Na križovatkách\, 821 04 Bratislava-Ružinov\, Slovensko</t>
  </si>
  <si>
    <t>Andrej Fula</t>
  </si>
  <si>
    <t>Treba doplnit chladivo - nacenit volat za termin - 120 eur</t>
  </si>
  <si>
    <t>PARTNER / SERVIS / KANDLOVA KATARINA</t>
  </si>
  <si>
    <t>0902931209\n\nČistenie 1 a nechaldi kuknut a naceniť x2 čo vy h</t>
  </si>
  <si>
    <t>Stolárska 7023/21, 831 06 Bratislava-Rača, Slovensko</t>
  </si>
  <si>
    <t>PARTNER / SERVIS / ANDREJ FULA</t>
  </si>
  <si>
    <t>servis 1+1 klimatizacie\n\nzistit chybny kod\n\nasi chyba aj ch</t>
  </si>
  <si>
    <t>Miletičova 99/5, 821 08 Bratislava, Slovensko</t>
  </si>
  <si>
    <t>Treba doplnit chladivo - nacenit ob tyzden 1 julovy. Tyzden - 120eur</t>
  </si>
  <si>
    <t>Michalek Erik</t>
  </si>
  <si>
    <t>E 422 - unik chladiva, chyba chladivo, zapchata truba na chladivo - nacenit pracu -</t>
  </si>
  <si>
    <t>partner / servis / Michalek erik</t>
  </si>
  <si>
    <t>1x cistenie a nechladi čiže doplniť chladivo bude treba\n ale t</t>
  </si>
  <si>
    <t>Ipeľská 5138/3, 821 07 Bratislava-Podunajské Biskupice, Slovensko</t>
  </si>
  <si>
    <t>Agapya Tuchynova</t>
  </si>
  <si>
    <t>Nefunguje im tam elektrina</t>
  </si>
  <si>
    <t>nedialo sa budu volat az po elektrikarovi</t>
  </si>
  <si>
    <t>Lukacova Zuzana</t>
  </si>
  <si>
    <t>klima nechladi, treba volat za termin doplnit chladivo - 100eur</t>
  </si>
  <si>
    <t>PARTNER/ SERVIS / LUKACOVA ZUZANA</t>
  </si>
  <si>
    <t>SERVIS 1+1\n\n0907701068\n\nHOTOVOST \n\n80EUR\n\n-::~:~::~:~:~</t>
  </si>
  <si>
    <t>Pivonková 31, 900 41 Rovinka, Slovensko</t>
  </si>
  <si>
    <t>PARTNER / SERVIS / SILVIA LESNAKOVA</t>
  </si>
  <si>
    <t>SERVIS ZAKLADNY 1+1\n\n0904177891\n\n80EUR\n\nHOTOVOST\n\n-::~:</t>
  </si>
  <si>
    <t>Komárnická 115/20, 821 03 Bratislava, Slovensko</t>
  </si>
  <si>
    <t>Silvia Lesnakova</t>
  </si>
  <si>
    <t>PARTNER / Agapia Tuchynova/ SERVIS</t>
  </si>
  <si>
    <t>SERVIS 1+1  - ZAKLADNY\n\nHOTOVOST\n\n80EUR\n\n0910842993\n\n-:</t>
  </si>
  <si>
    <t>Ivanská cesta 32, 820 01 Bratislava-Ružinov, Slovakia</t>
  </si>
  <si>
    <t>Rzsonkova Miroslava</t>
  </si>
  <si>
    <t>Predlzit Kondenzovu hadicu o 0.5 - 1m - nacenit</t>
  </si>
  <si>
    <t>partner / servis / miroslava rzsonkova</t>
  </si>
  <si>
    <t>2 klimy\, kvapka susedovi\, treba pozriet kondenz mozno predlzi</t>
  </si>
  <si>
    <t>Hany Meličkovej 2985/25, 841 05 Bratislava-Karlova Ves, Slovensko</t>
  </si>
  <si>
    <t>partner / servis / jozef stuzska /</t>
  </si>
  <si>
    <t>servis 2 klimy\n\nHOTOVOST \n160EUR\n\nzistit adresu lebo zadal</t>
  </si>
  <si>
    <t>Kuklovská 3, 841 04 Bratislava, Slovensko</t>
  </si>
  <si>
    <t>Denisa Skrobakova</t>
  </si>
  <si>
    <t>partner / imrich slovak</t>
  </si>
  <si>
    <t>0911698905\n\nHOTOVOST\n\n80EUR \n\nSERVIS\n\n-::~:~::~:~:~:~:~</t>
  </si>
  <si>
    <t>Majoránová 14, 900 46 Most pri Bratislave, Slovensko</t>
  </si>
  <si>
    <t>Tomaš Brodek (Sabrina Try Vody )</t>
  </si>
  <si>
    <t>&lt;b&gt;Rezervoval(a)&lt;/b&gt;\nSabrina Try Vody \nserviceklimafresh@gma</t>
  </si>
  <si>
    <t>PARTNER / RUSEK /SERVIS</t>
  </si>
  <si>
    <t>SERVIS 1+1 \n\n0918504050\n\nA  pozriet kondenz tecie klima\n\n</t>
  </si>
  <si>
    <t>Černyševského 1287/10, 851 01 Bratislava-Petržalka, Slovensko</t>
  </si>
  <si>
    <t>PARTNER / DE ROSE / SERVIS DIAGNOSTIKA</t>
  </si>
  <si>
    <t>NEFUNGUJE KLIMATIZACIA - TREBA TAM ZISTIT CO SA TAM DEJE\n\n-::</t>
  </si>
  <si>
    <t>Mlynské nivy, Bratislava, Slovensko</t>
  </si>
  <si>
    <t>preizolovany spoj na kondenz a netieklo. Volal po 3 hodinách čo je pustená, že zase to tečie a tečie to po celej dĺžke klimatizacie.Čize výmena kond čerpadla /alebo jednotky.Montované v októbri čiže je to v záruke - VOLAT LUDOM CO TO MONTOVAL I</t>
  </si>
  <si>
    <t>imrich slovak</t>
  </si>
  <si>
    <t>Rusek</t>
  </si>
  <si>
    <t>Servis 1+1 pozriet kondenz</t>
  </si>
  <si>
    <t>partner / denisa skrobakova</t>
  </si>
  <si>
    <t>0919287661\n\ncash\n\n80\n\n-::~:~::~:~:~:~:~:~:~:~:~:~:~:~:~:~</t>
  </si>
  <si>
    <t>Tomášikova 50, 831 04 Bratislava, Slovensko</t>
  </si>
  <si>
    <t>partner / Kunakova Jura</t>
  </si>
  <si>
    <t>+ ++421 948 192 444\n\nhotovost \n\n210\n\nservis 3 klimatizacii</t>
  </si>
  <si>
    <t>Rusovská cesta 5, 851 01 Bratislava-Petržalka, Slovensko</t>
  </si>
  <si>
    <t>PARTNER / Sopoci Matej</t>
  </si>
  <si>
    <t>1 čistenie + doplnenie zvlášť koľko bude treba chladiva\n\n90 +</t>
  </si>
  <si>
    <t>Malinová 14, 900 42 Miloslavov, Slovensko</t>
  </si>
  <si>
    <t>partner / Adam Bajuzik</t>
  </si>
  <si>
    <t>servis 1+1 + kondenz tecie\n\ncena 80 + 40 eur\n\nhotovost\n\n0</t>
  </si>
  <si>
    <t>Mickiewiczova 2243/3, 811 07 Bratislava-Staré Mesto, Slovensko</t>
  </si>
  <si>
    <t>Novacek Marina</t>
  </si>
  <si>
    <t>nemam informacie</t>
  </si>
  <si>
    <t>Peter Dzurinda</t>
  </si>
  <si>
    <t>David Kocak Klimafresh (Kunakova Jura terra)</t>
  </si>
  <si>
    <t>&lt;b&gt;Rezervoval(a)&lt;/b&gt;\nKunakova Jura terra\ninfo@klimazone.sk\n+</t>
  </si>
  <si>
    <t>Tomas Pajchor</t>
  </si>
  <si>
    <t>Doplnenie chladiva caka sa na termin</t>
  </si>
  <si>
    <t>PARTNER/HURTA MILAN</t>
  </si>
  <si>
    <t>1x diagnostika nevie čo stym \n0919264307\nHOTOVOST 120EUR\n\n-</t>
  </si>
  <si>
    <t>Záhorácka 8/38, 901 01 Malacky, Slovensko</t>
  </si>
  <si>
    <t>Tomas Zvonar</t>
  </si>
  <si>
    <t>Servis 14 jednotiek</t>
  </si>
  <si>
    <t>servis 14tich jednotiek + este treba doplnit chladivo</t>
  </si>
  <si>
    <t>Tatiana Ondriskova</t>
  </si>
  <si>
    <t>PARTNER / PETER KOSON</t>
  </si>
  <si>
    <t>3+1 čistenie a vymeniť čerpadlo to kúpil odislo\n\nSERVIS\n\nHO</t>
  </si>
  <si>
    <t>Ulica Ondreja Štefanka 3406/3, 851 01 Bratislava-Petržalka, Slovensko</t>
  </si>
  <si>
    <t>Hurta milan</t>
  </si>
  <si>
    <t>Zle elektricke napojenie, problem motora ventilatora vnutornej jednotky</t>
  </si>
  <si>
    <t>Robert Prikler</t>
  </si>
  <si>
    <t>Ivan Miso</t>
  </si>
  <si>
    <t>Servis 1+1 + kondenz</t>
  </si>
  <si>
    <t>Peter Kson</t>
  </si>
  <si>
    <t>Servis 3+1 + cerpadlo</t>
  </si>
  <si>
    <t>PARTNER / ROBERT PRIKLER</t>
  </si>
  <si>
    <t>SERVIS 1+1\n\nHOTOVOST \n80EUR\n0948900830\n\n-::~:~::~:~:~:~:~</t>
  </si>
  <si>
    <t>Dudvážska 5111/27, 821 07 Bratislava-Podunajské Biskupice, Slovensko</t>
  </si>
  <si>
    <t>PARTNER výmena čerpadlá / IVAN MISO</t>
  </si>
  <si>
    <t>Sersgis plus Kondenz upevniť silnejšie asi sa vytiahol\n\n09081</t>
  </si>
  <si>
    <t>Milana Marečka 6110/22, 841 08 Bratislava-Devínska Nová Ves, Slovensko</t>
  </si>
  <si>
    <t>PARTNER / SERVIS / TOMAS PAJCHOR</t>
  </si>
  <si>
    <t>SERVIS \n\nHOTOVOST \n\n0911 201 535\n\n+ DOPLNENIE CHLADIVA MA</t>
  </si>
  <si>
    <t>Okružná 136, 900 26 Slovenský Grob, Slovensko</t>
  </si>
  <si>
    <t>PARTNER / TATIANA ONDRISKOVA</t>
  </si>
  <si>
    <t>SERVIS 1+1\n\nHOTOVOST\n\n80EUR\n\n+ ++421 905 731 634\n\n-::~:~::</t>
  </si>
  <si>
    <t>Nevädzová 38, 900 25 Chorvátsky Grob-Čierna Voda, Slovensko</t>
  </si>
  <si>
    <t>PARTNER / TOMAS ZVONAR</t>
  </si>
  <si>
    <t>SERVIS 24 KLIMATIZACII\n\n3+1 MULTISPLIT A ASI JEDNA JE PORUCHA</t>
  </si>
  <si>
    <t>Boženy Němcovej, 811 04 Bratislava, Slovensko</t>
  </si>
  <si>
    <t>Tomaš Brodek (Monika Smiralova)</t>
  </si>
  <si>
    <t>&lt;b&gt;Rezervoval(a)&lt;/b&gt;\nMonika Smiralova\nserviceklimafresh@gmai</t>
  </si>
  <si>
    <t>Monika Smirdsova</t>
  </si>
  <si>
    <t>nikto nezdvihal prisli sme a pan o nicom nevedle nerobilo sa, boli nejaky zmateni…</t>
  </si>
  <si>
    <t>Tomaš Brodek (Daniel Živica )</t>
  </si>
  <si>
    <t>&lt;b&gt;Rezervoval(a)&lt;/b&gt;\nDaniel Živica \nserviceklimafresh@gmail.</t>
  </si>
  <si>
    <t>Bohuslavova Silvia</t>
  </si>
  <si>
    <t>Bohuslavova Silvia (vod. Firma)</t>
  </si>
  <si>
    <t>3x čistenie plus jedna slabo chladi\n\nFaktura\n\n0902160019\n\</t>
  </si>
  <si>
    <t>Mariánska 524/32, 900 31 Stupava, Slovakia</t>
  </si>
  <si>
    <t>Tomaš Brodek (Miriam Matejova)</t>
  </si>
  <si>
    <t>&lt;b&gt;Rezervoval(a)&lt;/b&gt;\nMiriam Matejova\nserviceklimafresh@gmail.</t>
  </si>
  <si>
    <t>Servis eva sulikova</t>
  </si>
  <si>
    <t>0915046128\n2x cistenie\nHotovost\n160\n\n-::~:~::~:~:~:~:~:~:~</t>
  </si>
  <si>
    <t>Hrušková 44, 831 06 Bratislava-Rača, Slovakia</t>
  </si>
  <si>
    <t>Tomaš Brodek (Lukas Liska)</t>
  </si>
  <si>
    <t>&lt;b&gt;Rezervoval(a)&lt;/b&gt;\nLukas Liska\nserviceklimafresh@gmail.com\</t>
  </si>
  <si>
    <t>Eva Sulikova</t>
  </si>
  <si>
    <t>Adam bajuzik / servis</t>
  </si>
  <si>
    <t>Servis 1+1 kondenz\n\nHotovost\n\n80 + 40\n\n0911 864 865\n\n-:</t>
  </si>
  <si>
    <t>Mickiewiczova 2243/3, 811 07 Bratislava-Staré Mesto, Slovakia</t>
  </si>
  <si>
    <t>tomas brodek / monika smirdsova</t>
  </si>
  <si>
    <t>Servis + ak treba chladivo\n\nHotovost \n\n80eur\n\n0918096476\</t>
  </si>
  <si>
    <t>Mlynské nivy 4948/53, 821 09 Bratislava, Slovensko</t>
  </si>
  <si>
    <t>Adam bajuzik</t>
  </si>
  <si>
    <t>Cerpadlo na kondenz ako poradil tomas, vnutorny servis vybaveny no pana treba este zuctovat nakolko nebol pritomny - Mickiewiczova 3</t>
  </si>
  <si>
    <t>Daniel Zivica</t>
  </si>
  <si>
    <t>sam si spravil servis vnutornej jednotky a iba sme mu zmerali tlak a skontrolovali</t>
  </si>
  <si>
    <t>Lukas Liska</t>
  </si>
  <si>
    <t>Náš/Tomaš Brodek (Jakubsky Milan )</t>
  </si>
  <si>
    <t>&lt;b&gt;Rezervoval(a)&lt;/b&gt;\nJakubsky Milan \nmilanjakubsky0812@gmail.</t>
  </si>
  <si>
    <t>a, Okružná 123, 900 26 Slovenský Grob, Slovensko</t>
  </si>
  <si>
    <t>Lenka Balcova</t>
  </si>
  <si>
    <t>Servis 4+2</t>
  </si>
  <si>
    <t>Vylez na sikmu strechu na 2 servisi 2 vonkaksich jednotiek</t>
  </si>
  <si>
    <t>Miriam Matejova</t>
  </si>
  <si>
    <t>Vylezenie na rovnu strechu</t>
  </si>
  <si>
    <t>partner / servis / Lenka Balcova</t>
  </si>
  <si>
    <t>servis 4 klimy 2 vonkajsie\n\n2 vonkajsie su ale na streche rod</t>
  </si>
  <si>
    <t>oprava montazi / jozef stuska</t>
  </si>
  <si>
    <t>Oprava montazi reklamacia \n\n0905523547</t>
  </si>
  <si>
    <t>Kúkoľová 3, 831 07 Bratislava-Vajnory, Slovensko</t>
  </si>
  <si>
    <t>2024-07</t>
  </si>
  <si>
    <t>David Kocák Servis (Marek Bican)</t>
  </si>
  <si>
    <t>&lt;b&gt;Rezervoval(a)&lt;/b&gt;\nMarek Bican\ninfo@klimazone.sk\n090358818</t>
  </si>
  <si>
    <t>Servis / Pavla Krauspe</t>
  </si>
  <si>
    <t>Klemensova 2528/12, 811 09 Bratislava-Staré Mesto, Slovensko</t>
  </si>
  <si>
    <t>Tomaš Brodek (Milko De paul)</t>
  </si>
  <si>
    <t>Rezervoval(a)\nMilko De paul\ntmbrodek@gmail.com\n0948926959\n\</t>
  </si>
  <si>
    <t>Servis / svetlana durisinova</t>
  </si>
  <si>
    <t>Servis 4+1 \n\nFaktura\n\n0907963927\n\nKondenz im tecie pozrie</t>
  </si>
  <si>
    <t>Uhrova 12107/1A\, 831 01 Bratislava-Nové Mesto\, Slovensko</t>
  </si>
  <si>
    <t>Servis 1+1 + kondenz pozriet opravit \n\n80eur za servis 40eur</t>
  </si>
  <si>
    <t>Klemensova 2528/12\, 811 09 Bratislava-Staré Mesto\, Slovensko</t>
  </si>
  <si>
    <t>Servis / Rudolf Herenyi</t>
  </si>
  <si>
    <t>Ružinovská 2747/28, 821 01 Bratislava, Slovensko</t>
  </si>
  <si>
    <t>Uhrova 12107/1A, 831 01 Bratislava-Nové Mesto, Slovensko</t>
  </si>
  <si>
    <t>David Kocák Servis (Lavicanova L)</t>
  </si>
  <si>
    <t>Rezervoval(a)\nLavicanova L\ninfo@nic.sk\n0908846543\n\nAdresa\</t>
  </si>
  <si>
    <t>Sklenarova 22 / oprava montazi</t>
  </si>
  <si>
    <t>Štubňa S / servis urget</t>
  </si>
  <si>
    <t>2 čistiť a pozrieť kde tečie klima asi v stene a chceme to opra</t>
  </si>
  <si>
    <t>Plynárenská 3B, 821 09 Bratislava-Ružinov, Slovensko</t>
  </si>
  <si>
    <t>Servis 1+1\n\npopripade zistit ci chyba chladivo a doplnit cez</t>
  </si>
  <si>
    <t>Ružinovská 2747/28\, 821 01 Bratislava\, Slovensko</t>
  </si>
  <si>
    <t>Barbora Korimova - servis</t>
  </si>
  <si>
    <t>servis 1+1 zakladny\n0905126357\nfaktura\n\n-::~:~::~:~:~:~:~:~</t>
  </si>
  <si>
    <t>Brezovská 785/3\, 831 03 Bratislava\, Slovensko</t>
  </si>
  <si>
    <t>servis / Farkasova Andrea</t>
  </si>
  <si>
    <t>1x cistenie 1+1\n\n90eur hotovost\n\n0905470334\n\n-::~:~::~:~:</t>
  </si>
  <si>
    <t>Za hradbami 2252/9, 902 01 Pezinok, Slovensko</t>
  </si>
  <si>
    <t>COM KLIMA / Servis / klimatizacie /</t>
  </si>
  <si>
    <t>doplniť chladivo kontrola tesnosti / diagnostiku \n\nneotvara s</t>
  </si>
  <si>
    <t>Hollého 2220/7, 811 08 Bratislava-Staré Mesto, Slovensko</t>
  </si>
  <si>
    <t>COM KLIMA / Žiakovi</t>
  </si>
  <si>
    <t>0918872744\n\nFaktura  - plati COM KLIMA\n\ntečie  kondenz\n\np</t>
  </si>
  <si>
    <t>Lužná 2\, 851 04 Bratislava-Petržalka\, Slovensko</t>
  </si>
  <si>
    <t>Lužná 2, 851 04 Bratislava-Petržalka, Slovensko</t>
  </si>
  <si>
    <t>COMKLIMA / servis</t>
  </si>
  <si>
    <t>0905462460\n\ntecie kondenz\n\ndiagnostika popripade servis\n\n</t>
  </si>
  <si>
    <t>Adámiho 547/25\, 841 05 Bratislava-Karlova Ves\, Slovensko</t>
  </si>
  <si>
    <t>Adámiho 547/25, 841 05 Bratislava-Karlova Ves, Slovensko</t>
  </si>
  <si>
    <t>servis / Pavel Badjinksy</t>
  </si>
  <si>
    <t>Palkovičova 216/10, 821 08 Bratislava-Ružinov, Slovensko</t>
  </si>
  <si>
    <t>cistenie klimatizacie + tecie kondenz \n\nhotovost = 80 + 40\n\</t>
  </si>
  <si>
    <t>Palkovičova 216/10\, 821 08 Bratislava-Ružinov\, Slovensko</t>
  </si>
  <si>
    <t>partner / (Petra Puhovychova)</t>
  </si>
  <si>
    <t>Servis 1+1\n\nhotovost\n\n80\n\n0905592181\n\n-::~:~::~:~:~:~:~</t>
  </si>
  <si>
    <t>Pajštúnska 7, 851 01 Bratislava-Petržalka, Slovensko</t>
  </si>
  <si>
    <t>Servis / Monika Le</t>
  </si>
  <si>
    <t>Servis zakladny 1 + 1\n0944169071\nhotovost 90eur\n\n-::~:~::~:</t>
  </si>
  <si>
    <t>Detvianska 6830/31, 831 06 Bratislava, Slovensko</t>
  </si>
  <si>
    <t>Brezovská 785/3, 831 03 Bratislava, Slovensko</t>
  </si>
  <si>
    <t>Pokrivcakova Petra / servis</t>
  </si>
  <si>
    <t>neznáme\n\n80eur\n\n0905660888\n\nServis 1+1\n\n-::~:~::~:~:~:</t>
  </si>
  <si>
    <t>Svidnícka 11\, 821 03 Bratislava-Ružinov\, Slovensko</t>
  </si>
  <si>
    <t>Svidnícka 11, 821 03 Bratislava-Ružinov, Slovensko</t>
  </si>
  <si>
    <t>Durovcik D / servis</t>
  </si>
  <si>
    <t>2x klima diagnostika zapne sa a hneď vypne\n\nhotovost\n\n200eu</t>
  </si>
  <si>
    <t>Junácka 3011/10\, 831 04 Bratislava\, Slovensko</t>
  </si>
  <si>
    <t>Junácka 3011/10, 831 04 Bratislava, Slovensko</t>
  </si>
  <si>
    <t>Dusan vavro</t>
  </si>
  <si>
    <t>Okánikova 4a, 811 04 Bratislava-Staré Mesto, Slovensko</t>
  </si>
  <si>
    <t>Objekt premiera sr\n\n4x cistenie\n\n280eur\n\nhotovost \n\n\n0</t>
  </si>
  <si>
    <t>Okánikova 4a\, 811 04 Bratislava-Staré Mesto\, Slovensko</t>
  </si>
  <si>
    <t>Maria Fecerova / servis</t>
  </si>
  <si>
    <t>Obchodná 528/48, 811 01 Bratislava-Staré Mesto, Slovensko</t>
  </si>
  <si>
    <t>MIRO BILIK / servis</t>
  </si>
  <si>
    <t>Tymiánová 12, 821 07 Bratislava-Vrakuňa, Slovensko</t>
  </si>
  <si>
    <t>2x cistenie \nfaktura\n0908224423\n\n-::~:~::~:~:~:~:~:~:~:~:~:</t>
  </si>
  <si>
    <t>Obchodná 528/48\, 811 01 Bratislava-Staré Mesto\, Slovensko</t>
  </si>
  <si>
    <t>Kandlova Katarína / doplnit chladivo</t>
  </si>
  <si>
    <t>doplnit chladivo co sme tam boli a bola robena diagnositika\n\n</t>
  </si>
  <si>
    <t>+ ++421 911 773 957\n\nhotovost\n\n80eur\n\n-::~:~::~:~:~:~:~:~:~:</t>
  </si>
  <si>
    <t>Tymiánová 12\, 821 07 Bratislava-Vrakuňa\, Slovensko</t>
  </si>
  <si>
    <t>+ ++421 907 765 621\n\n1 čistenie + chladivo stav možno chyba kukn</t>
  </si>
  <si>
    <t>Ružová dolina 616/20, 821 09 Bratislava-Ružinov, Slovensko</t>
  </si>
  <si>
    <t>Martin Klimafresh (Potocky P)</t>
  </si>
  <si>
    <t>&lt;b&gt;Rezervoval(a)&lt;/b&gt;\nPotocky P\ninfo@klimazone.sk\n0948282545\</t>
  </si>
  <si>
    <t>The red lion Bar</t>
  </si>
  <si>
    <t>+ ++421 914 132 593\n\ncistenie 1x\n\nfaktura\n\n-::~:~::~:~:~:~:~</t>
  </si>
  <si>
    <t>Michalská 5, 811 03 Bratislava-Staré Mesto, Slovensko</t>
  </si>
  <si>
    <t>Katarína Sarkozi / servis</t>
  </si>
  <si>
    <t>+ ++421 904 244 380\n\n3x cistenie multispplit\n\n240eur \n\nhotov</t>
  </si>
  <si>
    <t>Tobrucká 94/1, 811 02 Bratislava-Staré Mesto, Slovensko</t>
  </si>
  <si>
    <t>Jager Jozer</t>
  </si>
  <si>
    <t>Servis a chladivo kuk malo chladi zobrať chladivo a naceniť 2x</t>
  </si>
  <si>
    <t>370, Malženice 370, 919 29 Malženice, Slovensko</t>
  </si>
  <si>
    <t>1 \, slabo chladi zistiť či chladivo nechyba\n\n80eur\n\nhotovo</t>
  </si>
  <si>
    <t>Záhradnícka 79, 821 08 Bratislava, Slovensko</t>
  </si>
  <si>
    <t>Kuchta servis</t>
  </si>
  <si>
    <t>090284266\n\nServis jednotky cistenie asi</t>
  </si>
  <si>
    <t>Dunajská Lužná, 900 42 Dunajská Lužná, Slovakia</t>
  </si>
  <si>
    <t>Tomaš Brodek (Radovan Jurek)</t>
  </si>
  <si>
    <t>&lt;b&gt;Rezervoval(a)&lt;/b&gt;\nRadovan Jurek\ninfo@noc.sk\n0948860128\n&lt;</t>
  </si>
  <si>
    <t>Tomaš Brodek (Sona Vojtekova)</t>
  </si>
  <si>
    <t>Rezervoval(a)\nSona Vojtekova\ninfo@nic.sk\n0917197478\n\nAdres</t>
  </si>
  <si>
    <t>Tomaš Brodek (Emilia Grafova)</t>
  </si>
  <si>
    <t>&lt;b&gt;Rezervoval(a)&lt;/b&gt;\nEmilia Grafova\ninfo@nic.sk\n0915494653\n</t>
  </si>
  <si>
    <t>Tomaš Brodek (Eliska Hatinova)</t>
  </si>
  <si>
    <t>Rezervoval(a)\nEliska Hatinova\ninfo@nic.sk\n0918434343\n\nAdre</t>
  </si>
  <si>
    <t>Tomaš Brodek (Barbora Halzlova)</t>
  </si>
  <si>
    <t>&lt;b&gt;Rezervoval(a)&lt;/b&gt;\nBarbora Halzlova\ninfo@nic.sl\n090541123</t>
  </si>
  <si>
    <t>Tomaš Brodek (Jager jager)</t>
  </si>
  <si>
    <t>&lt;b&gt;Rezervoval(a)&lt;/b&gt;\nJager jager\ninfo@noc.sk\n0905854198\n&lt;br</t>
  </si>
  <si>
    <t>Tomaš Brodek (Maria Gunisova)</t>
  </si>
  <si>
    <t>&lt;b&gt;Rezervoval(a)&lt;/b&gt;\nMaria Gunisova\ninfo@nnic.sk\n0903278012</t>
  </si>
  <si>
    <t>Anna Sykorova</t>
  </si>
  <si>
    <t>CISTENIE A UHLIKOVY FILTER platila 80eur</t>
  </si>
  <si>
    <t>Muchvova Julia</t>
  </si>
  <si>
    <t>0904744818\n\nServis 1+1\n80eur hotovost\n\n-::~:~::~:~:~:~:~:~</t>
  </si>
  <si>
    <t>Kadnárova 93, 831 06 Bratislava-Rača, Slovensko</t>
  </si>
  <si>
    <t>Veronika Skubenova</t>
  </si>
  <si>
    <t>Servis 1+1\nhotovost 80eur\n0905017025\n\n-::~:~::~:~:~:~:~:~:~</t>
  </si>
  <si>
    <t>Topoľčianska 3211/19, 851 05 Bratislava-Petržalka, Slovensko</t>
  </si>
  <si>
    <t>Juraj Lukac</t>
  </si>
  <si>
    <t>Stachanovská 2213/48, 821 05 Bratislava, Slovensko</t>
  </si>
  <si>
    <t>+ ++421 911 992 459\n\nservis 1+1\n\nhotovost 80eur\n\n-::~:~::~:~</t>
  </si>
  <si>
    <t>Stachanovská 2213/48\, 821 05 Bratislava\, Slovensko</t>
  </si>
  <si>
    <t>Tomaš Brodek (Potocky Peter)</t>
  </si>
  <si>
    <t>&lt;b&gt;Rezervoval(a)&lt;/b&gt;\nPotocky Peter\ntmbrodek@gmail.com\n094828</t>
  </si>
  <si>
    <t>Vaskova Veronika</t>
  </si>
  <si>
    <t>Servis 1+1\n\n0903885703\n\nhotovost 80eur\n\n-::~:~::~:~:~:~:~</t>
  </si>
  <si>
    <t>Bajkalská 45G, 821 05 Bratislava-Ružinov, Slovensko</t>
  </si>
  <si>
    <t>Adam Hanzel</t>
  </si>
  <si>
    <t>Servis 1+1\n80eur\nhotovost\n+ ++421 949 005 480\n\n-::~:~::~:~:~:</t>
  </si>
  <si>
    <t>Mlynarovičova 1590/13, 851 03 Bratislava-Petržalka, Slovensko</t>
  </si>
  <si>
    <t>0905411230\n\nČistenie plus prerobenie kondnezu kvapka susede d</t>
  </si>
  <si>
    <t>Jána Stanislava 5031/10, 841 05 Bratislava-Karlova Ves, Slovakia</t>
  </si>
  <si>
    <t>Red lion bar / servis</t>
  </si>
  <si>
    <t>+ ++421 914 132 593\n\nServis 1+1\n\n80eur\nhotovost\n\n-::~:~::~:</t>
  </si>
  <si>
    <t>Michalská 5\, 811 03 Bratislava-Staré Mesto\, Slovensko</t>
  </si>
  <si>
    <t>Servis / Kretter K</t>
  </si>
  <si>
    <t>+ ++421 904 212 849\n\nHotovost \n\n80eur\n\n-::~:~::~:~:~:~:~:~:~</t>
  </si>
  <si>
    <t>Hrobákova 1639/15, 851 02 Bratislava-Petržalka, Slovensko</t>
  </si>
  <si>
    <t>Servis / Klima</t>
  </si>
  <si>
    <t>Servis 1+1\n+ ++421 910 878 413\n\n80hotovost\n\n-::~:~::~:~:~:~:~</t>
  </si>
  <si>
    <t>Hlaváčiková 3106/26, 841 05 Bratislava-Karlova Ves, Slovakia</t>
  </si>
  <si>
    <t>Kalas Jan / servis</t>
  </si>
  <si>
    <t>0944409866\nhotovost 90 eur\n1+1\n\n-::~:~::~:~:~:~:~:~:~:~:~:~</t>
  </si>
  <si>
    <t>Silvánová 29\, 902 01 Pezinok\, Slovensko</t>
  </si>
  <si>
    <t>Silvánová 29, 902 01 Pezinok, Slovensko</t>
  </si>
  <si>
    <t>Servis / Jan Palfy</t>
  </si>
  <si>
    <t>0948828105\n\nFaktura \n\nServis 2+1\n\n-::~:~::~:~:~:~:~:~:~:~</t>
  </si>
  <si>
    <t>Riazanská, Bratislava, Slovakia</t>
  </si>
  <si>
    <t>Opravit montaz - Mytna, Sustek</t>
  </si>
  <si>
    <t>Kollaty Matus / servis</t>
  </si>
  <si>
    <t>Kyjevská 1633/4, 831 02 Bratislava, Slovensko</t>
  </si>
  <si>
    <t>Servis Kurucz</t>
  </si>
  <si>
    <t>Demontaz vnútorných jednotiek \, po rekonstukciu ich dáme naspä</t>
  </si>
  <si>
    <t>Malinová 15, 900 42 Dunajská Lužná, Slovensko</t>
  </si>
  <si>
    <t>0911934657\nhotovost 80 eur\nservis 1+1\n\n-::~:~::~:~:~:~:~:~:</t>
  </si>
  <si>
    <t>Kyjevská 1633/4\, 831 02 Bratislava\, Slovensko</t>
  </si>
  <si>
    <t>Opravit montaz - Mytna\, Sustek</t>
  </si>
  <si>
    <t>Adam Bajuzik</t>
  </si>
  <si>
    <t>Rzonkova Miroslava</t>
  </si>
  <si>
    <t>0907509642\n\n2 klimy \, Kondenz kvapka susedovi nejak to predĺ</t>
  </si>
  <si>
    <t>0911864865\n\nvymena cerpadla \n\nhotovost nasa cena + 50 eur\n</t>
  </si>
  <si>
    <t>Ak dental</t>
  </si>
  <si>
    <t>2x čistenie kontrolovanie\n\n+ ++421 951 254 864\n\n\nhotovost 160</t>
  </si>
  <si>
    <t>Tri Veže\, Bajkalská 12985/9\, 831 04 Bratislava-Nové Mesto\, Slov</t>
  </si>
  <si>
    <t>Tri Veže, Bajkalská 12985/9, 831 04 Bratislava-Nové Mesto, Slovensko</t>
  </si>
  <si>
    <t>+ ++421 948 190 293\n\nDiagnostika klimy zistit co je pokazene nej</t>
  </si>
  <si>
    <t>Za mlynom\, 831 07 Bratislava-Vajnory\, Slovensko</t>
  </si>
  <si>
    <t>Náš / Peter Podstrelenec / +421 905 668 880 Jožko Mokríš</t>
  </si>
  <si>
    <t>Tečie kondenz + čistenie Cena 100\n\n\nisiel na dovolenku ked s</t>
  </si>
  <si>
    <t>Iršajská 7, 900 91 Limbach, Slovensko</t>
  </si>
  <si>
    <t>Viktor Vlasak</t>
  </si>
  <si>
    <t>0907462282\n\nservis + oprava kondenzu \n\n80 + 50 = 130 eur ho</t>
  </si>
  <si>
    <t>pan Novak</t>
  </si>
  <si>
    <t>Servis 1+1 cistenie\n\n+ pozriet preco slabo chladi..\n\n+ ++421 9</t>
  </si>
  <si>
    <t>Za mlynom, 831 07 Bratislava-Vajnory, Slovensko</t>
  </si>
  <si>
    <t>Kurucz / Servis</t>
  </si>
  <si>
    <t>Kiška / servis</t>
  </si>
  <si>
    <t>Servis 2 a slabšie chladi asi chladivo to nacenim   \n\nhotovos</t>
  </si>
  <si>
    <t>Račianska 2393/157\, 831 54 Bratislava-Rača\, Slovensko</t>
  </si>
  <si>
    <t>Račianska 2393/157, 831 54 Bratislava-Rača, Slovensko</t>
  </si>
  <si>
    <t>Taitana Filkova / Servis</t>
  </si>
  <si>
    <t>[P] Parkovisko Jégého alej, Jégého 14, 821 08 Bratislava-Ružinov, Slovensko</t>
  </si>
  <si>
    <t>0904111930\n\nServis 1+1\nhotovost 80eur\n\n-::~:~::~:~:~:~:~:~</t>
  </si>
  <si>
    <t>[P] Parkovisko Jégého alej\, Jégého 14\, 821 08 Bratislava-Ružinov</t>
  </si>
  <si>
    <t>demontovat vnutorne jednotky \n\nFA \n\n+ potom chce ist pan na</t>
  </si>
  <si>
    <t>Malinová 15\, 900 42 Dunajská Lužná\, Slovensko</t>
  </si>
  <si>
    <t>Kmec Adam / servis + kondenz</t>
  </si>
  <si>
    <t>0948377122\n\nhotovost 80 + 50 = 130 eur\n\nservis 1 + kondenz</t>
  </si>
  <si>
    <t>Tomášikova 1874/32, 831 04 Bratislava, Slovensko</t>
  </si>
  <si>
    <t>Vlasta Fejesova</t>
  </si>
  <si>
    <t>2 servisy klasicke klimy cistenie\n\n0902320811\n\nhotovost 160</t>
  </si>
  <si>
    <t>Pečnianska 1211/9, 851 01 Bratislava-Petržalka, Slovensko</t>
  </si>
  <si>
    <t>Makoviny Radoslav)</t>
  </si>
  <si>
    <t>Zadarmo lebo smeNeprišli \n\n0905430879\n\nprevolat cava\n\n-::</t>
  </si>
  <si>
    <t>Galova Juliana / servis</t>
  </si>
  <si>
    <t>0903736305\nhotovost 80eur\n1+1\n\n-::~:~::~:~:~:~:~:~:~:~:~:~:</t>
  </si>
  <si>
    <t>67\, Bratislavská 67\, 900 46 Most pri Bratislave\, Slovensko</t>
  </si>
  <si>
    <t>Glaserova G</t>
  </si>
  <si>
    <t>80+ 50 Kondenz tečie\n\n+ ++421 944 436 585\n\n\nhotovost\n\n-::~:</t>
  </si>
  <si>
    <t>Fialová 2B, 851 07 Bratislava-Petržalka, Slovensko</t>
  </si>
  <si>
    <t>Zajacova / diagnostika</t>
  </si>
  <si>
    <t>+ ++421 909 300 168\n\nhotovost 100\n\ndiagnostika zistit preco ne</t>
  </si>
  <si>
    <t>Moldavská 109/4, 821 03 Bratislava, Slovensko</t>
  </si>
  <si>
    <t>67, Bratislavská 67, 900 46 Most pri Bratislave, Slovensko</t>
  </si>
  <si>
    <t>Janosova</t>
  </si>
  <si>
    <t>Servis 1+ kondenz</t>
  </si>
  <si>
    <t>Janosova / servis + kondenz</t>
  </si>
  <si>
    <t>1 čistenie plus Kondenz tečie opraviť \n\n0918881507\n\nhotovos</t>
  </si>
  <si>
    <t>Malokrasňanská 6, 831 54 Bratislava-Rača, Slovensko</t>
  </si>
  <si>
    <t>Zuzana Kazimirova / servis</t>
  </si>
  <si>
    <t>Na piesku 17089/8, 821 05 Bratislava, Slovensko</t>
  </si>
  <si>
    <t>AK dental</t>
  </si>
  <si>
    <t>+ ++421 951 254 864\n2x cistenie + kontrola \n160 eur hotovost\n\n</t>
  </si>
  <si>
    <t>AK DENTAL</t>
  </si>
  <si>
    <t>Servis 1 + slabsie chladi popripade zisti ci treba chladivo dop</t>
  </si>
  <si>
    <t>Na piesku 17089/8\, 821 05 Bratislava\, Slovensko</t>
  </si>
  <si>
    <t>Coco bar / servis</t>
  </si>
  <si>
    <t>2x diagnostika porucha kanalovka\n\nFA</t>
  </si>
  <si>
    <t>Klobučnícka 442/4, 811 01 Bratislava-Staré Mesto, Slovensko</t>
  </si>
  <si>
    <t>Martin Mockor</t>
  </si>
  <si>
    <t>Matej Nováčik / servis</t>
  </si>
  <si>
    <t>2+1 a zobrať rebrík si možno Kondenz upravít  \n0918235545\nhot</t>
  </si>
  <si>
    <t>Priečna 202/10, 831 03 Bratislava, Slovensko</t>
  </si>
  <si>
    <t>Doboš / Boris Technik/ Potônske lúky / oprava kondenzu</t>
  </si>
  <si>
    <t>Oprava kondenzu \nTel. + ++421 905 696 959</t>
  </si>
  <si>
    <t>103, Potônske Lúky 103, 930 52 Potônske Lúky, Slovensko</t>
  </si>
  <si>
    <t>Martin Mockor / servis</t>
  </si>
  <si>
    <t>Servis 1+1\n0908549 ++421\nhotovost 80eur\n\n-::~:~::~:~:~:~:~:~:~</t>
  </si>
  <si>
    <t>Opletalova 7064/96, 841 07 Bratislava-Devínska Nová Ves, Slovensko</t>
  </si>
  <si>
    <t>Matej Novacik</t>
  </si>
  <si>
    <t>Marek Lauro / Servis</t>
  </si>
  <si>
    <t>Servis 1+1\nhotovost 80eur\n0910 376 282\n\n-::~:~::~:~:~:~:~:~</t>
  </si>
  <si>
    <t>Vlčie hrdlo 585/57, 821 07 Bratislava-Ružinov, Slovensko</t>
  </si>
  <si>
    <t>COCO bar</t>
  </si>
  <si>
    <t>2x Diagnostika</t>
  </si>
  <si>
    <t>Coco bar, v procese 2 jednotky</t>
  </si>
  <si>
    <t>Marek LAURO</t>
  </si>
  <si>
    <t>Dat cenovu ponuku na vyrovnanie vonkajsej jednotky do vodovahy, dopojenie kondenzu do vonkajsej jednotky izolacia vedenia 1bm - 150eur</t>
  </si>
  <si>
    <t>Klajnova Michaela</t>
  </si>
  <si>
    <t>ZRUSENE</t>
  </si>
  <si>
    <t>Klajnova Michaela / Servis</t>
  </si>
  <si>
    <t>Diagnostika porucha \nhotovost 100e\n0918974420\nZrusene\n\n-::</t>
  </si>
  <si>
    <t>Vikor Jana / servis</t>
  </si>
  <si>
    <t>0911324360\nServis 1+1\n150eur hotovost</t>
  </si>
  <si>
    <t>Holubia 1A, 903 01 Senec, Slovensko</t>
  </si>
  <si>
    <t>Viktor Jana</t>
  </si>
  <si>
    <t>Servis 1+1 + kondez</t>
  </si>
  <si>
    <t>Husarova</t>
  </si>
  <si>
    <t>Lauda Dental</t>
  </si>
  <si>
    <t>Servis 6+1</t>
  </si>
  <si>
    <t>Husarova / serv is</t>
  </si>
  <si>
    <t>0908911322\n\n1+1 SERVIS\nhotovost 80eur\n\n-::~:~::~:~:~:~:~:~</t>
  </si>
  <si>
    <t>Gercenova 1158/9, 851 01 Bratislava-Petržalka, Slovensko</t>
  </si>
  <si>
    <t>Lauda - 24 dental Juliana</t>
  </si>
  <si>
    <t>5x čistenie servis\n\nFA \n\n0904325329\n\n-::~:~::~:~:~:~:~:~:</t>
  </si>
  <si>
    <t>Machotka K</t>
  </si>
  <si>
    <t>+ ++421 944 132 911\n80 Faktúra\nservis\n\n-::~:~::~:~:~:~:~:~:~:~</t>
  </si>
  <si>
    <t>Syslia 28, 821 05 Bratislava, Slovensko</t>
  </si>
  <si>
    <t>P Yi</t>
  </si>
  <si>
    <t>Tomášikova 55, 831 04 Bratislava-Nové Mesto, Slovensko</t>
  </si>
  <si>
    <t>Martina Seneši</t>
  </si>
  <si>
    <t>1x servis \nhotovost\n80eur\n0918607404\n\n-::~:~::~:~:~:~:~:~:</t>
  </si>
  <si>
    <t>Ďatelinová 5530/10, 821 01 Bratislava-Ružinov, Slovensko</t>
  </si>
  <si>
    <t>Ján Ziak (nájomca Lubomir klimo)</t>
  </si>
  <si>
    <t>0944035309\nservis 1+1\n80eur hotovost\n\n-::~:~::~:~:~:~:~:~:~</t>
  </si>
  <si>
    <t>Krásnohorská 3166/22, 851 07 Bratislava-Petržalka, Slovensko</t>
  </si>
  <si>
    <t>P Safarik</t>
  </si>
  <si>
    <t>Diagnostika 2x</t>
  </si>
  <si>
    <t>Diagnostika\n+ ++421 910 810 253\nhotovost 100€\n\n-::~:~::~:~:~:~</t>
  </si>
  <si>
    <t>Vavilovova 1181/14, 851 01 Bratislava-Petržalka, Slovensko</t>
  </si>
  <si>
    <t>Stanislav čačko</t>
  </si>
  <si>
    <t>1x serrvis\n0903548088\nhotovost / faktura neviem 80eur\n\n-::~</t>
  </si>
  <si>
    <t>Šustekova 3697/49, 851 04 Bratislava-Petržalka, Slovensko</t>
  </si>
  <si>
    <t>Úsmev ako dar X</t>
  </si>
  <si>
    <t>4x servis\n0918022534\nfaktura\n\n-::~:~::~:~:~:~:~:~:~:~:~:~:~</t>
  </si>
  <si>
    <t>Ševčenkova 1175/21, 851 01 Bratislava-Petržalka, Slovensko</t>
  </si>
  <si>
    <t>Martina Senesi</t>
  </si>
  <si>
    <t>porucha tam bola a tecie im kondenz,</t>
  </si>
  <si>
    <t>Servis 2+11</t>
  </si>
  <si>
    <t>Cinska restaucacia\nObhliadka nové jednotky\n\n+ ++421902700628\nF</t>
  </si>
  <si>
    <t>Tomášikova 55\, 831 04 Bratislava-Nové Mesto\, Slovensko</t>
  </si>
  <si>
    <t>Usmev ako dar</t>
  </si>
  <si>
    <t>nacenit doplnit chladivo, dohodnut termin</t>
  </si>
  <si>
    <t>Stanislav Cacko</t>
  </si>
  <si>
    <t>Michal Horak</t>
  </si>
  <si>
    <t>doplnit este R410 chladivo nacenit - 100eur</t>
  </si>
  <si>
    <t>Michal horák</t>
  </si>
  <si>
    <t>0911821002\n\nservis 1x + pozriet chladenie\n\n80eur za servis</t>
  </si>
  <si>
    <t>Poštová 1207/50, 900 27 Bernolákovo, Slovensko</t>
  </si>
  <si>
    <t>(Lubica Turinicova)</t>
  </si>
  <si>
    <t>0905828569\nhotovost 80eur\n1xservis\n\nnechcela servis ale kon</t>
  </si>
  <si>
    <t>Na Krčoch 20, 841 06 Bratislava-Záhorská Bystrica, Slovensko</t>
  </si>
  <si>
    <t>Jan Ziak</t>
  </si>
  <si>
    <t>1x diagnostika</t>
  </si>
  <si>
    <t>Vymena cerpadla cenova ponuka + izolacia - 120eur</t>
  </si>
  <si>
    <t>Jozef Mikulic</t>
  </si>
  <si>
    <t>Branislav Vyzmuller</t>
  </si>
  <si>
    <t>Doplnenie Chladiva \n\n150 eur hotovost\n\n0948004720\n\n-::~:~</t>
  </si>
  <si>
    <t>Belinského 1037/24, 851 01 Bratislava-Petržalka, Slovensko</t>
  </si>
  <si>
    <t>Grigel</t>
  </si>
  <si>
    <t>Jan žiak</t>
  </si>
  <si>
    <t>1x diagnostika\nhotovost 100eur\n0904634915\n\n-::~:~::~:~:~:~:</t>
  </si>
  <si>
    <t>Trnavská cesta 1370/1, 821 08 Bratislava-Nové Mesto, Slovensko</t>
  </si>
  <si>
    <t>Girgel / Tomáš Brodek</t>
  </si>
  <si>
    <t>+ ++421 908 139 562\n\nServis 2+1\n\nneznáme 160€\n\n-::~:~::~:~:</t>
  </si>
  <si>
    <t>Pajštúnska 5, 851 02 Bratislava-Petržalka, Slovensko</t>
  </si>
  <si>
    <t>Kosicky X</t>
  </si>
  <si>
    <t>cesta</t>
  </si>
  <si>
    <t>1x servis cistenie\n\n130eur\n\n0903856511\n\n-::~:~::~:~:~:~:~</t>
  </si>
  <si>
    <t>Rekreačný rad, 929 01 Dunajská Streda, Slovensko</t>
  </si>
  <si>
    <t>Branislav vyzmuler</t>
  </si>
  <si>
    <t>Doplnenie chladiva 2xjednotky</t>
  </si>
  <si>
    <t>Menhart</t>
  </si>
  <si>
    <t>Servis + izolacia</t>
  </si>
  <si>
    <t>vybavene</t>
  </si>
  <si>
    <t>Peter Vorlicek</t>
  </si>
  <si>
    <t>doplnenie chladiva</t>
  </si>
  <si>
    <t>sme doplnali chladivo 0.21kg</t>
  </si>
  <si>
    <t>Miro Menhart</t>
  </si>
  <si>
    <t>1 čistenie plus izolácia jedného potrubia exteriér\n\n+ ++42190547</t>
  </si>
  <si>
    <t>Vigľašská 3034/4, 851 07 Bratislava-Petržalka, Slovensko</t>
  </si>
  <si>
    <t>Martin Sevald</t>
  </si>
  <si>
    <t>Predlzit kondenz</t>
  </si>
  <si>
    <t>Opravene</t>
  </si>
  <si>
    <t>1x50-100\, hadička kondenz  ( asi predlzit kondenz)\n\nod 50 -</t>
  </si>
  <si>
    <t>Ivanská cesta 32e, 820 01 Bratislava-Ružinov, Slovensko</t>
  </si>
  <si>
    <t>Jozef mikulic</t>
  </si>
  <si>
    <t>iba servis klimy\n\n0905519815\n\n-::~:~::~:~:~:~:~:~:~:~:~:~:~</t>
  </si>
  <si>
    <t>Pavla Horova 6145/23, 841 08 Bratislava-Devínska Nová Ves, Slovensko</t>
  </si>
  <si>
    <t>Peter vorliček</t>
  </si>
  <si>
    <t>1x doplnenie chladiva\n\n0911028909\n\n-::~:~::~:~:~:~:~:~:~:~:</t>
  </si>
  <si>
    <t>Považanova 1857/4, 841 02 Bratislava-Dúbravka, Slovensko</t>
  </si>
  <si>
    <t>Stefan Plaučan)</t>
  </si>
  <si>
    <t>doplnit chladenie\n\n150 - 200eur hotovost / faktura ako chce\n</t>
  </si>
  <si>
    <t>Baltská 5160/9, 821 07 Bratislava-Podunajské Biskupice, Slovensko</t>
  </si>
  <si>
    <t>Marek Vičar</t>
  </si>
  <si>
    <t>Servis + chladenie doplnit\n\n1x servis = 80 \nchladenie = 80 -</t>
  </si>
  <si>
    <t>Brusnicová 3328/31, 900 25 Chorvátsky Grob-Čierna Voda, Slovensko</t>
  </si>
  <si>
    <t>Prysiashnyi Ambulancie zubar X</t>
  </si>
  <si>
    <t>3 čistiť jedna je zaseknuta ale su nové montoval som ich pred 2</t>
  </si>
  <si>
    <t>Martina Granca 46, 841 02 Bratislava-Dúbravka, Slovensko</t>
  </si>
  <si>
    <t>Jan kubala</t>
  </si>
  <si>
    <t>1x100\, diagnostika\n\nhotovost \n\n0918805639\n\n-::~:~::~:~:~</t>
  </si>
  <si>
    <t>Račianska 13152/69B, 831 02 Bratislava, Slovensko</t>
  </si>
  <si>
    <t>Adam Korda</t>
  </si>
  <si>
    <t>Čistenie vonkajsej jednotky 80€\n0907278814\n\n-::~:~::~:~:~:~:</t>
  </si>
  <si>
    <t>Šinkovské 9876/45, 831 07 Bratislava-Vajnory, Slovensko</t>
  </si>
  <si>
    <t>Pajchal + ++421 911 201 535</t>
  </si>
  <si>
    <t>Doplnit chladivo\n\n-::~:~::~:~:~:~:~:~:~:~:~:~:~:~:~:~:~:~:~:~</t>
  </si>
  <si>
    <t>Tomaš Brodek (Dana Marianiová)</t>
  </si>
  <si>
    <t>&lt;b&gt;Rezervoval(a)&lt;/b&gt;\nDana Marianiová\nserviceklimafresh@gmail.</t>
  </si>
  <si>
    <t>Pravnicka kancelaria</t>
  </si>
  <si>
    <t>Doplnenie 1.4kg</t>
  </si>
  <si>
    <t>Doplnali sme 1.4kg chladiva</t>
  </si>
  <si>
    <t>Ondrasikova</t>
  </si>
  <si>
    <t>2 + 1 servis</t>
  </si>
  <si>
    <t>Bohacikova</t>
  </si>
  <si>
    <t>Servis + kondenz</t>
  </si>
  <si>
    <t>P Kováč</t>
  </si>
  <si>
    <t>1x servis\, vonkajsia jednotka\n\n+ ++421918637556\n\n80eur\n\n-::</t>
  </si>
  <si>
    <t>Levandulová 14040/15, 821 07 Bratislava-Vrakuňa, Slovensko</t>
  </si>
  <si>
    <t>Marianiova</t>
  </si>
  <si>
    <t>Tomaš Brodek (Jarko Sláma)</t>
  </si>
  <si>
    <t>&lt;b&gt;Rezervoval(a)&lt;/b&gt;\nJarko Sláma\nserviceklimafresh@gmail.com\</t>
  </si>
  <si>
    <t>Tomaš Brodek (Nikola Boháčiková)</t>
  </si>
  <si>
    <t>&lt;b&gt;Rezervoval(a)&lt;/b&gt;\nNikola Boháčiková\nserviceklimafresh@gmai</t>
  </si>
  <si>
    <t>Tomaš Brodek (P....ičiak Kováč)</t>
  </si>
  <si>
    <t>&lt;b&gt;Rezervoval(a)&lt;/b&gt;\nP....ičiak Kováč\nserviceklimafresh@gmail</t>
  </si>
  <si>
    <t>Slama</t>
  </si>
  <si>
    <t>Hudacikova</t>
  </si>
  <si>
    <t>Tomaš Brodek (Lubica Ondrašiková)</t>
  </si>
  <si>
    <t>&lt;b&gt;Rezervoval(a)&lt;/b&gt;\nLubica Ondrašiková\nserviceklimafresh@gma</t>
  </si>
  <si>
    <t>Gogolova</t>
  </si>
  <si>
    <t>Tomaš Brodek (Sylvuša Hudačikova)</t>
  </si>
  <si>
    <t>&lt;b&gt;Rezervoval(a)&lt;/b&gt;\nSylvuša Hudačikova\nserviceklimafresh@gma</t>
  </si>
  <si>
    <t>Tomaš Brodek (Tanička Gogolová)</t>
  </si>
  <si>
    <t>&lt;b&gt;Rezervoval(a)&lt;/b&gt;\nTanička Gogolová\nserviceklimafresh@gmail</t>
  </si>
  <si>
    <t>Kovac</t>
  </si>
  <si>
    <t>Matej Mihalovic</t>
  </si>
  <si>
    <t>150eur hotovost\n0911 255 730\n1x doplnenie chladiva\n\n-::~:~:</t>
  </si>
  <si>
    <t>Starhradská 3222/8, 851 05 Bratislava-Petržalka, Slovensko</t>
  </si>
  <si>
    <t>P Tariska</t>
  </si>
  <si>
    <t>+ ++421 905 896 894\nservis 1x 80eur faktura\n\n-::~:~::~:~:~:~:~:</t>
  </si>
  <si>
    <t>vojenska 741</t>
  </si>
  <si>
    <t>P Hirsch</t>
  </si>
  <si>
    <t>0905618276\nservis 1x\n80eur hotovost\n\n-::~:~::~:~:~:~:~:~:~:</t>
  </si>
  <si>
    <t>Toryská 5068/44, 821 07 Bratislava-Vrakuňa, Slovensko</t>
  </si>
  <si>
    <t>Andrej Chmelina</t>
  </si>
  <si>
    <t>1x80\nhotovost\n\n0914130488\n\n-::~:~::~:~:~:~:~:~:~:~:~:~:~:~</t>
  </si>
  <si>
    <t>Rajecká ulica 8687/38, 821 07 Bratislava-Vrakuňa, Slovensko</t>
  </si>
  <si>
    <t>Lustonova Hedviga</t>
  </si>
  <si>
    <t>P Holeša</t>
  </si>
  <si>
    <t>+ ++421 902 180 795\n2xservis\n160eur hotovost\n\n-::~:~::~:~:~:~:</t>
  </si>
  <si>
    <t>Hrachová 16697/16, 821 05 Bratislava, Slovensko</t>
  </si>
  <si>
    <t>Kerdova</t>
  </si>
  <si>
    <t>CP na novu 1+1 jednotku</t>
  </si>
  <si>
    <t>servis + doplnenie</t>
  </si>
  <si>
    <t>Bude sa dorabat este pertlovanie spolu to bude 370eur cenova ponuka, vratit mu 150 eur a posle to spolu cele na faktur</t>
  </si>
  <si>
    <t>Xavier Simoes</t>
  </si>
  <si>
    <t>1x 80eur\, faktura\n\n+ ++421 948 945 884\n\n-::~:~::~:~:~:~:~:~:~</t>
  </si>
  <si>
    <t>Hany Meličkovej 2991/28, 841 05 Bratislava-Karlova Ves, Slovensko</t>
  </si>
  <si>
    <t>Holes</t>
  </si>
  <si>
    <t>Maria Kerdova</t>
  </si>
  <si>
    <t>0904941256 \nDiagnostika\n100eur faktúra\nMária.kernova@gmail.c</t>
  </si>
  <si>
    <t>Sklenárova 1364/30, 821 09 Bratislava, Slovensko</t>
  </si>
  <si>
    <t>Chmenila</t>
  </si>
  <si>
    <t>Hirsch</t>
  </si>
  <si>
    <t>Tomaš Brodek (HedvigA Lustoňová)</t>
  </si>
  <si>
    <t>&lt;b&gt;Rezervoval(a)&lt;/b&gt;\nHedvigA Lustoňová\nserviceklimafresh@gmai</t>
  </si>
  <si>
    <t>BORIS / Tomas Eibner</t>
  </si>
  <si>
    <t>0948760616\n2x servis + doplnenie chladiva\n160e + 150 ( ked sa</t>
  </si>
  <si>
    <t>Svrčia 63/7\, 841 04 Bratislava-Karlova Ves\, Slovensko</t>
  </si>
  <si>
    <t>Prielozny</t>
  </si>
  <si>
    <t>Svrčia 63/7, 841 04 Bratislava-Karlova Ves, Slovensko</t>
  </si>
  <si>
    <t>BORIS / P Braunova</t>
  </si>
  <si>
    <t>6x150\, servis + doplnenie chladiva 1x80 servis\n\n\n0908212957</t>
  </si>
  <si>
    <t>Hradská 8006/7, 821 07 Bratislava, Slovensko</t>
  </si>
  <si>
    <t>Boristech</t>
  </si>
  <si>
    <t>plnenie 6x</t>
  </si>
  <si>
    <t>Tomas Eibner</t>
  </si>
  <si>
    <t>Adam Ciganik</t>
  </si>
  <si>
    <t>0948 455 448\n80eur faktúra\nNatuska212@gmail.com\n\n-::~:~::~:</t>
  </si>
  <si>
    <t>Ipeľská 5143/13, 821 07 Bratislava, Slovensko</t>
  </si>
  <si>
    <t>Zuzana Caplova</t>
  </si>
  <si>
    <t>0903 572 188\n\n1x servis 80eur\n\n-::~:~::~:~:~:~:~:~:~:~:~:~:</t>
  </si>
  <si>
    <t>Bazová 20A, 900 45 Malinovo, Slovensko</t>
  </si>
  <si>
    <t>P Mihalovic</t>
  </si>
  <si>
    <t>1x servis \n\n80€ hotovost\n\n-::~:~::~:~:~:~:~:~:~:~:~:~:~:~:~</t>
  </si>
  <si>
    <t>Tranovského 29, 841 02 Bratislava-Dúbravka, Slovensko</t>
  </si>
  <si>
    <t>Caplova</t>
  </si>
  <si>
    <t>Katarina Laurencikova</t>
  </si>
  <si>
    <t>+ ++421 904 660 326\n\n2x servis = 160eur Faktúra\n\n-::~:~::~:~:~</t>
  </si>
  <si>
    <t>Grösslingová 2496/46, 811 09 Bratislava, Slovensko</t>
  </si>
  <si>
    <t>3 + 1 servis + diagnostika</t>
  </si>
  <si>
    <t>nieje zaseknuta ale nedostáva zdroj energie .kabelaz do nej je pod prúdom ale jednotka nereaguje ani nesvieti nič proste zomrela + chce aby sme zailozovali vsetky spoje = cena 370 eur termin o 2tyzdne potrebujeme k tomu aj elektrikara zavolat</t>
  </si>
  <si>
    <t>Branislav Vizmuller</t>
  </si>
  <si>
    <t>80eur hotovost\n\n0948 004 720\n\n-::~:~::~:~:~:~:~:~:~:~:~:~:~</t>
  </si>
  <si>
    <t>Diana Svabikova</t>
  </si>
  <si>
    <t>Faktura 160eur+220€ plnenie R410\n0904555655\n2x servis cisteni</t>
  </si>
  <si>
    <t>Saratovská 3424/6D, 841 02 Bratislava-Dúbravka, Slovensko</t>
  </si>
  <si>
    <t>Rado Stefan</t>
  </si>
  <si>
    <t>80eur hotovost\n0903937808\nservis zakladny\n\n-::~:~::~:~:~:~:</t>
  </si>
  <si>
    <t>Staré Grunty 324b, 841 04 Bratislava-Karlova Ves, Slovensko</t>
  </si>
  <si>
    <t>Monika Kolarova</t>
  </si>
  <si>
    <t>80eur hotovost\n\n+ ++421 901 737 787\n\n1x servis\n\n-::~:~::~:~:</t>
  </si>
  <si>
    <t>Blumentálska 4074/18, 811 07 Bratislava, Slovensko</t>
  </si>
  <si>
    <t>Boris Kubat</t>
  </si>
  <si>
    <t>80 eur hotovost\n1x servis \n+ ++421 904 880 471\n\n-::~:~::~:~:~:</t>
  </si>
  <si>
    <t>Hrobákova 1633/1, 851 02 Bratislava-Petržalka, Slovensko</t>
  </si>
  <si>
    <t>Kolarova</t>
  </si>
  <si>
    <t>Sabikova</t>
  </si>
  <si>
    <t>2x Servis + 2X plnenie</t>
  </si>
  <si>
    <t>TOMÁŠ / Demian / Oprava</t>
  </si>
  <si>
    <t>P Zipserova</t>
  </si>
  <si>
    <t>1 x diagnostika \n100 eur\n0903 777 307\n\n-::~:~::~:~:~:~:~:~:</t>
  </si>
  <si>
    <t>Pri starej prachárni, 831 04 Bratislava, Slovensko</t>
  </si>
  <si>
    <t>Plnenie</t>
  </si>
  <si>
    <t>budeme doplnat buduci tyzden v utorok + podstavec na jednotku</t>
  </si>
  <si>
    <t>chce servis 2 jednotiek + vymenna cerpadla = 327 eur pre zakaznika , da sa buduci tyzden v stredu co bude</t>
  </si>
  <si>
    <t>plnenie chladivom</t>
  </si>
  <si>
    <t>1x plnenie chladivom \n\n0918022534\nfaktura 150eur\n\n-::~:~::</t>
  </si>
  <si>
    <t>Ševčenkova 1175/21\, 851 01 Bratislava-Petržalka\, Slovensko</t>
  </si>
  <si>
    <t>Tomaš Brodek (Čínska Restika )</t>
  </si>
  <si>
    <t>&lt;b&gt;Rezervoval(a)&lt;/b&gt;\nČínska Restika \nserviceklimafresh@gmail</t>
  </si>
  <si>
    <t>Faborova</t>
  </si>
  <si>
    <t>Barbora Malichova</t>
  </si>
  <si>
    <t>+ ++421 917 962 640\n80eur hotovost \nDiagnostika\n\n-::~:~::~:~:~</t>
  </si>
  <si>
    <t>Frankovská 9B, 831 01 Bratislava-Nové Mesto, Slovensko</t>
  </si>
  <si>
    <t>P Kmecik</t>
  </si>
  <si>
    <t>+ ++421 944 154 176\n80eur hotovost / faktura\n tecie kondenz pozr</t>
  </si>
  <si>
    <t>Rekl. / SAMO GALOVIC / Kikov Kamos</t>
  </si>
  <si>
    <t>SERRVIS \n\n+ ++421 910 628 789\n\nOprava kondenzu \n\nCASH\n\n-::</t>
  </si>
  <si>
    <t>Jasovská 3039/10, 851 07 Bratislava-Petržalka, Slovensko</t>
  </si>
  <si>
    <t>0903826027\nvymenna cerpadla 200e\nfaktura\n\n-::~:~::~:~:~:~:~</t>
  </si>
  <si>
    <t>Martinec</t>
  </si>
  <si>
    <t>Zuzana Simekova</t>
  </si>
  <si>
    <t>2+1 servis</t>
  </si>
  <si>
    <t>0907 717 397\n\n2x servis 160eur\nhotovost\n\n-::~:~::~:~:~:~:~</t>
  </si>
  <si>
    <t>Grösslingová 2480/10, 811 09 Bratislava, Slovensko</t>
  </si>
  <si>
    <t>Barbora Brunacka</t>
  </si>
  <si>
    <t>nedialo sa</t>
  </si>
  <si>
    <t>+ ++421 904 838 226\n1x servis 80eur hotovost\n\n-::~:~::~:~:~:~:~</t>
  </si>
  <si>
    <t>Mandľová 40, 851 10 Bratislava-Jarovce, Slovensko</t>
  </si>
  <si>
    <t>Mmg baber X</t>
  </si>
  <si>
    <t>Mmg barber X</t>
  </si>
  <si>
    <t>Nechladi zobrať chladivo pre istotu a vyriešiť \, už sa raz dop</t>
  </si>
  <si>
    <t>Laurinská 210/8, 811 01 Bratislava-Staré Mesto, Slovensko</t>
  </si>
  <si>
    <t>+ ++421 904 660 326\nDoplnenie chladiva \nFA alebo hotovost 150eur</t>
  </si>
  <si>
    <t>P Martinec</t>
  </si>
  <si>
    <t>+ ++421 907 453 047\n1x servis \n80eur hotovost\n\n-::~:~::~:~:~:~</t>
  </si>
  <si>
    <t>Mesačná 3241/11, 821 02 Bratislava-Ružinov, Slovensko</t>
  </si>
  <si>
    <t>2+1 servis, oprava po servise</t>
  </si>
  <si>
    <t>bez platby</t>
  </si>
  <si>
    <t>ona chcela hlbkovy servis</t>
  </si>
  <si>
    <t>1x80\, smrdi klima+ k vonkajsej jednotke treba rebrik\n\n+ ++421 9</t>
  </si>
  <si>
    <t>Kalinčiakova 10643/11, 831 04 Bratislava-Nové Mesto, Slovensko</t>
  </si>
  <si>
    <t>Repaska</t>
  </si>
  <si>
    <t>Montaz - Medena</t>
  </si>
  <si>
    <t>Aka montaz - jednotka /\n\n-::~:~::~:~:~:~:~:~:~:~:~:~:~:~:~:~:</t>
  </si>
  <si>
    <t>Medená\, 811 02 Bratislava\, Slovensko</t>
  </si>
  <si>
    <t>Bohm X</t>
  </si>
  <si>
    <t>zrušené, ide na dovolenku, vráti sa 15.8.</t>
  </si>
  <si>
    <t>zrusene</t>
  </si>
  <si>
    <t>Boris Penev</t>
  </si>
  <si>
    <t>0908 481 059\n1x servis cistenie\nhotovost 80eur\n\n-::~:~::~:~</t>
  </si>
  <si>
    <t>Muškátová 34, 902 01 Pezinok, Slovensko</t>
  </si>
  <si>
    <t>Bohm X / nerobilo sa / ide na dovolenku vrati sa 15.aug</t>
  </si>
  <si>
    <t>1 čistenie a plus tečie Kondenz\n\nhotovost 130 eur\n\n09480563</t>
  </si>
  <si>
    <t>Drieňová 16940/1M, 831 04 Bratislava-Ružinov, Slovensko</t>
  </si>
  <si>
    <t>PAN REPASKA</t>
  </si>
  <si>
    <t>0908722933\n150eur hotovost\nservis\n\n-::~:~::~:~:~:~:~:~:~:~:</t>
  </si>
  <si>
    <t>Trávna 6910/18, 831 06 Bratislava-Rača, Slovensko</t>
  </si>
  <si>
    <t>Medená, 811 02 Bratislava, Slovensko</t>
  </si>
  <si>
    <t>Mmg benzo Majtel</t>
  </si>
  <si>
    <t>Borievková 3, 903 01 Senec, Slovensko</t>
  </si>
  <si>
    <t>Doplnenie chadiva + montaz podstavca</t>
  </si>
  <si>
    <t>plnenie chladivom 410 &lt;br&gt;&lt;br&gt;+podstavec na jednotku &lt;br&gt;&lt;br&gt;fa</t>
  </si>
  <si>
    <t>Hany Meličkovej, Bratislava-Karlova Ves, Slovensko</t>
  </si>
  <si>
    <t>150 eur mu vrátiť \; na fa chce \, plus ta oprava na pertloch p</t>
  </si>
  <si>
    <t>Starhradská 3222/8\, 851 05 Bratislava-Petržalka\, Slovensko</t>
  </si>
  <si>
    <t>P Rakajova</t>
  </si>
  <si>
    <t>0905 319 932\n1x chladenie doplnit\n150eur faktura\n\n-::~:~::~</t>
  </si>
  <si>
    <t>Niťová 1052/3, 821 08 Bratislava, Slovensko</t>
  </si>
  <si>
    <t>&lt;b&gt;2x cistenie servis&lt;/b&gt;&lt;br&gt;&lt;b&gt;Faktura&lt;br&gt;&lt;/b&gt;+ ++421 904 087 288</t>
  </si>
  <si>
    <t>Borievková 3\, 903 01 Senec\, Slovensko</t>
  </si>
  <si>
    <t>Lubica Turinicova</t>
  </si>
  <si>
    <t>kontrola tlakom dusikom\, najst unik popripade vysondovat.\n\nd</t>
  </si>
  <si>
    <t>MMG Benzo</t>
  </si>
  <si>
    <t>Rakajova</t>
  </si>
  <si>
    <t>1x plnenie + diagnostika</t>
  </si>
  <si>
    <t>Pan Vagan</t>
  </si>
  <si>
    <t>Zrušené</t>
  </si>
  <si>
    <t>Zrusene</t>
  </si>
  <si>
    <t>P Vagáň</t>
  </si>
  <si>
    <t>1x150 \, servis + chladenie\n\n0945410543\n\nhotovost\n\n-::~:~</t>
  </si>
  <si>
    <t>Mestská 271/11, 831 03 Bratislava-Nové Mesto, Slovensko</t>
  </si>
  <si>
    <t>pravnicka Kancelaria</t>
  </si>
  <si>
    <t>Doplnenie chladiva 2kg, pertlovanie, vakuovanie</t>
  </si>
  <si>
    <t>Čeresnova pravnici</t>
  </si>
  <si>
    <t>Jednotky ktorésu v zasadačke a u riaditeľa nechaladili nejednal</t>
  </si>
  <si>
    <t>reklamacia montaze, caka na vyjadrenie</t>
  </si>
  <si>
    <t>poškodené firmou čo robila fasádu, čaká na vyjadrenie z poisťovne, protokol má</t>
  </si>
  <si>
    <t>Tomas Oblik</t>
  </si>
  <si>
    <t>servis - kontrola tlakov stropnych chladeni 3ks</t>
  </si>
  <si>
    <t>2024-08</t>
  </si>
  <si>
    <t>Tomas Olsak</t>
  </si>
  <si>
    <t>1x100\, čistenie\n\nplatba neznáme\n\n0940 597 154\n\n-::~:~::</t>
  </si>
  <si>
    <t>Ludvika van Beethovena 5648/19, 917 08 Trnava, Slovensko</t>
  </si>
  <si>
    <t>Patrik Prieložný</t>
  </si>
  <si>
    <t>0903494959\nTečie kondenz\, volal som snim uz nekvapka\n\n-::~:</t>
  </si>
  <si>
    <t>Sibírska 1614/34, 831 02 Bratislava, Slovensko</t>
  </si>
  <si>
    <t>Jana Mynarova</t>
  </si>
  <si>
    <t>1x80\n\nplatba neznáme\n\n+ ++421 905 684 306\n\n-::~:~::~:~:~:~:</t>
  </si>
  <si>
    <t>Staré Grunty 3572/264, 841 04 Bratislava-Karlova Ves, Slovensko</t>
  </si>
  <si>
    <t>oprava kondenzu</t>
  </si>
  <si>
    <t>Tomas Olibik</t>
  </si>
  <si>
    <t>Kontrola tlakou v stropnom chladení\nplatba neznáme\n100€\n\n+</t>
  </si>
  <si>
    <t>Kukučínova 38, 900 42 Miloslavov-Alžbetin Dvor, Slovensko</t>
  </si>
  <si>
    <t>Za mlynom 10597/2, 831 07 Bratislava-Vajnory, Slovensko</t>
  </si>
  <si>
    <t>skontrolovat preco nefunguje v obyvacke klimatizacia\n\nukazuje</t>
  </si>
  <si>
    <t>Za mlynom 10597/2\, 831 07 Bratislava-Vajnory\, Slovensko</t>
  </si>
  <si>
    <t>Richard Kasanicky</t>
  </si>
  <si>
    <t>2x100\n\nplatba faktúra\n\n0904 331 561\n\n-::~:~::~:~:~:~:~:~:</t>
  </si>
  <si>
    <t>Jašíkova 365/17, 821 04 Bratislava, Slovensko</t>
  </si>
  <si>
    <t>Nas klient / Tomas Szabo - Autoklimatizacie</t>
  </si>
  <si>
    <t>2x servis cistenie\, kontrola tlaku \n\nkamarat co ma firmu na</t>
  </si>
  <si>
    <t>Okružná 1971/17, 900 28 Ivanka pri Dunaji, Slovensko</t>
  </si>
  <si>
    <t>Eduard Augustin</t>
  </si>
  <si>
    <t>Zrušené, je na dovolenke..</t>
  </si>
  <si>
    <t>1x100\, diagnostika ch10-chyba\n\nplatba neznáme\n\n0903 969 3</t>
  </si>
  <si>
    <t>Juraja Fándlyho 36, 917 01 Trnava, Slovensko</t>
  </si>
  <si>
    <t>P Faborova</t>
  </si>
  <si>
    <t>0903763042\nTečie kondenz\n\n-::~:~::~:~:~:~:~:~:~:~:~:~:~:~:~:</t>
  </si>
  <si>
    <t>Šustekova 2690/29, 851 04 Bratislava-Petržalka, Slovensko</t>
  </si>
  <si>
    <t>1x80\n\nplatba neznáme\n\n+ ++421 918 805 639\n\n-::~:~::~:~:~:~:</t>
  </si>
  <si>
    <t>Račianska 1522/69\, 831 02 Bratislava\, Slovensko</t>
  </si>
  <si>
    <t>10xservis\n2xdiagnostika\nplatba Faktúra\n\n02/20906311\n\n-::~</t>
  </si>
  <si>
    <t>Nová Rožňavská 12922/3\, 831 04 Bratislava-Nové Mesto\, Slovensko</t>
  </si>
  <si>
    <t>Petr Hornik</t>
  </si>
  <si>
    <t>3+1 servis</t>
  </si>
  <si>
    <t>Milan Hanko</t>
  </si>
  <si>
    <t>1x80\n\nplatba neznáme\n\n0905 723 971\n\n-::~:~::~:~:~:~:~:~:</t>
  </si>
  <si>
    <t>Čiližská 5006/26, 821 07 Bratislava, Slovensko</t>
  </si>
  <si>
    <t>Jozef Antonin</t>
  </si>
  <si>
    <t>3x80\n\nplatba neznáme\n\n+ ++421 918 911 869\n\n-::~:~::~:~:~:~:</t>
  </si>
  <si>
    <t>550, Lesná 550, 900 42 Miloslavov-Alžbetin Dvor, Slovensko</t>
  </si>
  <si>
    <t>Vlahovič</t>
  </si>
  <si>
    <t>vypnuty telefon nemal zvoncek</t>
  </si>
  <si>
    <t>1xčistenie\n\nplatba faktúra\n\n+ ++421949163651\n\n-::~:~::~:~:~:</t>
  </si>
  <si>
    <t>Zuzany Chalupovej 18, 851 07 Bratislava, Slovensko</t>
  </si>
  <si>
    <t>Nikol Kurucova</t>
  </si>
  <si>
    <t>1x80\n\nplatba neznáme\n\n+ ++421 948 423 939\n\n-::~:~::~:~:~:~:</t>
  </si>
  <si>
    <t>Konopná 2370/13, 821 05 Bratislava, Slovensko</t>
  </si>
  <si>
    <t>Peter Hornik</t>
  </si>
  <si>
    <t>3x70\, servis\n\nplatba neznáme\n\n+ ++421 903 444 770\n\n-::~:~:</t>
  </si>
  <si>
    <t>Stavbárska 12, 821 07 Bratislava, Slovensko</t>
  </si>
  <si>
    <t>Patrik Cibula</t>
  </si>
  <si>
    <t>1x100\n\nplatba neznáme\n\n+ ++421 948 223 727\n\n-::~:~::~:~:~:~</t>
  </si>
  <si>
    <t>Mesačná, 930 41 Hviezdoslavov, Slovensko</t>
  </si>
  <si>
    <t>1x100\n\nplatba faktúra\n\n+ ++421 917 387 414\n\n-::~:~::~:~:~:~:</t>
  </si>
  <si>
    <t>Na križovatkách 16210/37\, 821 04 Bratislava-Ružinov\, Slovensko</t>
  </si>
  <si>
    <t>Nas klient / Tesar</t>
  </si>
  <si>
    <t>Diagnostika\,v podnajme jej nefunguje2x klima\, zistit kde je p</t>
  </si>
  <si>
    <t>Dudova 1, 851 02 Bratislava-Petržalka, Slovakia</t>
  </si>
  <si>
    <t>Tomas Marencak</t>
  </si>
  <si>
    <t>2x servis + doplnenie chladiva</t>
  </si>
  <si>
    <t>Servis + chladenie (230)\n\nplatba neznáme\n\n+ ++421 908 972 440</t>
  </si>
  <si>
    <t>Zadunajská cesta 6 A, 851 01 Bratislava-Petržalka, Slovensko</t>
  </si>
  <si>
    <t>Anna Hudecova</t>
  </si>
  <si>
    <t>1x80\n\nplatba neznáme\n\n0902 056 447\n\n-::~:~::~:~:~:~:~:~:</t>
  </si>
  <si>
    <t>Blagoevova 2678/24, 851 04 Bratislava-Petržalka, Slovensko</t>
  </si>
  <si>
    <t>Kristina Obertova</t>
  </si>
  <si>
    <t>1x80\n\nplatba neznáme\n\n+ ++421 915 730 855\n\n-::~:~::~:~:~:~:</t>
  </si>
  <si>
    <t>Dona Sandtnera 39, 902 01 Pezinok, Slovensko</t>
  </si>
  <si>
    <t>1x80\n\nplatba neznáme\n\n0903 757 149\n\n-::~:~::~:~:~:~:~:~:</t>
  </si>
  <si>
    <t>Stavbárska 5176/36\, 821 07 Bratislava\, Slovensko</t>
  </si>
  <si>
    <t>Tesar</t>
  </si>
  <si>
    <t>2x80\n\nplatba faktúra\n\n+ ++421 904 590 978\n\n-::~:~::~:~:~:~:~</t>
  </si>
  <si>
    <t>Mlynské nivy 80c\, 821 05 Bratislava-Ružinov\, Slovensko</t>
  </si>
  <si>
    <t>Michal Benucka</t>
  </si>
  <si>
    <t>1x doplnenie chladiva</t>
  </si>
  <si>
    <t>150- doplnenie chladiva pripadne diagnostika 100\n\nplatba hoto</t>
  </si>
  <si>
    <t>Húščavova 1150/1, 841 01 Bratislava-Dúbravka, Slovensko</t>
  </si>
  <si>
    <t>Daniela Simanova</t>
  </si>
  <si>
    <t>1x100\, čistenie plus nejdu lamely\n\nplatba neznáme\n\n+ ++421 9</t>
  </si>
  <si>
    <t>Nevädzová 6, 821 01 Bratislava, Slovensko</t>
  </si>
  <si>
    <t>VALASEK</t>
  </si>
  <si>
    <t>Ščepan / Boris montáž</t>
  </si>
  <si>
    <t>Montáž hisense 2\,5kW\, 2 poschodie izba  Vonkajšia vľavo - na</t>
  </si>
  <si>
    <t>https://maps.app.goo.gl/UkED9JMkuf2pDz8V9</t>
  </si>
  <si>
    <t>Stefan Plaučan</t>
  </si>
  <si>
    <t>nezdvíha</t>
  </si>
  <si>
    <t>1x150-200\, doplnit chladenie\n\nplatba neznáme\n\n+ ++4219117507</t>
  </si>
  <si>
    <t>Adriana Corchi</t>
  </si>
  <si>
    <t>2x80\, čistenie\n\nplatba neznáme\n\n0917 537 141\n\n-::~:~::~</t>
  </si>
  <si>
    <t>Timotej Lesko</t>
  </si>
  <si>
    <t>1x90\, čistenie\n\nplatba faktúra\n\n0903 786 052\n\n-::~:~::~:</t>
  </si>
  <si>
    <t>Sama Tomášika 18, 900 31 Stupava, Slovensko</t>
  </si>
  <si>
    <t>Hornik</t>
  </si>
  <si>
    <t>Martin komunikoval zo zákaszníkom ohladne hlbkoveho servisu, nerealizovalo sa keďže odmietol zaplatiť hlbkový servis</t>
  </si>
  <si>
    <t>Lukáčová / Janko montáž</t>
  </si>
  <si>
    <t>Klimatizácia bude na adrese\, jedná sa o demontáž Toshiba 3\,5k</t>
  </si>
  <si>
    <t>Potocky Peter</t>
  </si>
  <si>
    <t>3 +1 + doplnenie chladiva</t>
  </si>
  <si>
    <t>objednat 2x filtre</t>
  </si>
  <si>
    <t>Lekar</t>
  </si>
  <si>
    <t>Pan Hornik</t>
  </si>
  <si>
    <t>Vycistit vonkajsiu jednotku\, dokladne hlbkovym servisom.\n\nVy</t>
  </si>
  <si>
    <t>Lamely ok, pri znovu spustení klimatizácie lameli fungovali</t>
  </si>
  <si>
    <t>1x100\, čistenie + nejdú lamely \n\nPlatba neznáme\n\n09185900</t>
  </si>
  <si>
    <t>Anton Hornak</t>
  </si>
  <si>
    <t>1x90\, čistenie + pripadne doplnenie chladiva 150\n\nplatba hot</t>
  </si>
  <si>
    <t>Slavomírova 9, 900 26 Slovenský Grob, Slovensko</t>
  </si>
  <si>
    <t>Sona Brunova</t>
  </si>
  <si>
    <t>1x80\n\nplatba neznáme\n\n0910 454 788\n\n-::~:~::~:~:~:~:~:~:</t>
  </si>
  <si>
    <t>Na pasekách, 831 06 Bratislava, Slovensko</t>
  </si>
  <si>
    <t>Dusan Hrica</t>
  </si>
  <si>
    <t>1x150 chladenie\n\nplatba neznáme\n\n+ ++421 910 220 772\n\n-::~:</t>
  </si>
  <si>
    <t>Znievska 3146/24, 851 06 Bratislava-Petržalka, Slovensko</t>
  </si>
  <si>
    <t>Nas klient / Pan Noska / diagnostika</t>
  </si>
  <si>
    <t>Diagnostika\, klima si robi ci chce\, studeny teply\, treba zis</t>
  </si>
  <si>
    <t>Jašíkova 275/18, 821 04 Bratislava, Slovakia</t>
  </si>
  <si>
    <t>čistenie po reklamácii\n\nplatba neznáme + úrok\n\n+ ++421 903 44</t>
  </si>
  <si>
    <t>Daniela Juricvic</t>
  </si>
  <si>
    <t>tento tyzden sa bude robit</t>
  </si>
  <si>
    <t>100-150\, skontrolovat pripadne doplniť chladenie\, klima gree\</t>
  </si>
  <si>
    <t>Zuzany Chalupovej 8, 851 07 Bratislava, Slovensko</t>
  </si>
  <si>
    <t>Martin Murgac</t>
  </si>
  <si>
    <t>servis + diagnostika</t>
  </si>
  <si>
    <t>FA - ičo 50706462 - poslane</t>
  </si>
  <si>
    <t>murgac@nobistech.sk,</t>
  </si>
  <si>
    <t>2x80\, čistenie servis + diagnostika problému 100€\n\nplatba fa</t>
  </si>
  <si>
    <t>Obchodná 508/4, 811 06 Bratislava, Slovensko</t>
  </si>
  <si>
    <t>Námestie hraničiarov, 851 03 Bratislava-Petržalka, Slovensko</t>
  </si>
  <si>
    <t>Robí sa tam 2x čistenie podľa nacenenia zneistnsotiiy a výmena</t>
  </si>
  <si>
    <t>Plynárenská 3a\, 821 09 Bratislava-Ružinov\, Slovensko</t>
  </si>
  <si>
    <t>Kremcik</t>
  </si>
  <si>
    <t>1x servis + výmena čerpadla</t>
  </si>
  <si>
    <t>FA- natalia.jurkiova - poslane</t>
  </si>
  <si>
    <t>sondovanie + preizolovanie kondenzu</t>
  </si>
  <si>
    <t>FA - jan kubala, kubala.johno@gmail.com</t>
  </si>
  <si>
    <t>Vysondovať problém + kamera do potrubia zistiť kde to ma upchat</t>
  </si>
  <si>
    <t>Opravit\, vycistit poriadne klimatizaciu\, prosim otvorit a vyc</t>
  </si>
  <si>
    <t>Námestie hraničiarov\, 851 03 Bratislava-Petržalka\, Slovensko</t>
  </si>
  <si>
    <t>Montaz Materialy + praca</t>
  </si>
  <si>
    <t>preložené na piatok</t>
  </si>
  <si>
    <t>1x150 chladenie + skontrolovať\, niekde uniká\, naposledy dopln</t>
  </si>
  <si>
    <t>P Ilicova</t>
  </si>
  <si>
    <t>2x80\, čistenie + pripadne doplniť freón\n\nplatba neznáme\n\n</t>
  </si>
  <si>
    <t>Dvanásta 3430/6, 831 01 Bratislava-Nové Mesto, Slovensko</t>
  </si>
  <si>
    <t>Kasický</t>
  </si>
  <si>
    <t xml:space="preserve">FA- IČO: 50675222
</t>
  </si>
  <si>
    <t>servis / (Viera Findurova )</t>
  </si>
  <si>
    <t>Hlbkovy servis smrdi jej jednotka\n\n-::~:~::~:~:~:~:~:~:~:~:~:</t>
  </si>
  <si>
    <t>Námestie hraničiarov 2581/4B, 851 03 Bratislava-Petržalka, Slovensko</t>
  </si>
  <si>
    <t>A Vranovský</t>
  </si>
  <si>
    <t>Zapne sa \, bliká a vypne sa prestane chladiť\n\n1x100\n\nplatb</t>
  </si>
  <si>
    <t>Laténska 645/19, 851 10 Bratislava-Rusovce, Slovensko</t>
  </si>
  <si>
    <t>Nikoleta Psenakova - streetgood</t>
  </si>
  <si>
    <t>Čistenie\n\n1x80\n\nplatba neznáme\n\n0948766172\n\n-::~:~::~:</t>
  </si>
  <si>
    <t>Palisády 728/34, 811 06 Bratislava-Staré Mesto, Slovensko</t>
  </si>
  <si>
    <t>izolácia kondenzu</t>
  </si>
  <si>
    <t>vybavene opravene</t>
  </si>
  <si>
    <t>Jakub Somarek</t>
  </si>
  <si>
    <t>zrušené</t>
  </si>
  <si>
    <t>1x90- určite servis\, čistenie+ ďalšie jednotky pripadne skontr</t>
  </si>
  <si>
    <t>Konvalinková 2, 900 27 Bernolákovo, Slovensko</t>
  </si>
  <si>
    <t>Nikoleta Psenakova</t>
  </si>
  <si>
    <t>Vranovsky</t>
  </si>
  <si>
    <t>vymenna cerpadla samsung</t>
  </si>
  <si>
    <t>Ilicova</t>
  </si>
  <si>
    <t>2+2 servis</t>
  </si>
  <si>
    <t>Juraj Vyskočil</t>
  </si>
  <si>
    <t>preložené na štvrtok</t>
  </si>
  <si>
    <t>Peter Petrak</t>
  </si>
  <si>
    <t>doplnit chladivo sme dohodnuty na buduci tyzden</t>
  </si>
  <si>
    <t>1x150 doplniť chladenie\, R410a0\,72kgHpi12rl14a\n\nplatba hoto</t>
  </si>
  <si>
    <t>Keltská 854/71, 851 10 Bratislava-Rusovce, Slovensko</t>
  </si>
  <si>
    <t>Lenka Tekeljakova</t>
  </si>
  <si>
    <t>1x60 čistenie\n\nplatba neznáme\n\n+ ++421 914 193 798\n\n-::~:~:</t>
  </si>
  <si>
    <t>Miletičova 60, Miletičova 5237/60, 821 08 Bratislava-Ružinov, Slovensko</t>
  </si>
  <si>
    <t>Igor Bohunsky</t>
  </si>
  <si>
    <t>parkovanie matúškova 3586/8\n\n1x80\n\nplatba neznáme\n\n+ ++421</t>
  </si>
  <si>
    <t>Jaskový rad 3517/191, 831 01 Bratislava-Nové Mesto, Slovensko</t>
  </si>
  <si>
    <t>PARTNER / PETER KEPMP</t>
  </si>
  <si>
    <t>Bolo plnene 20.6\n640g \nJednotka je z čias neolitu a kromanonc</t>
  </si>
  <si>
    <t>Mierová 2138/167, 821 05 Bratislava, Slovensko</t>
  </si>
  <si>
    <t>Roland Búš</t>
  </si>
  <si>
    <t>opravene</t>
  </si>
  <si>
    <t>1x100\, diagnostika\n\nplatba faktúra\n\n0904873494\n\n-::~:~::</t>
  </si>
  <si>
    <t>Gunduličova 904/6, 811 05 Bratislava, Slovensko</t>
  </si>
  <si>
    <t>Sebastian Borek</t>
  </si>
  <si>
    <t>1x80\n\nplatba neznáme/faktúra\n\n+ ++421 940 812 304\n\n-::~:~::</t>
  </si>
  <si>
    <t>085 zvonček \n\n1xčistenie\n\nplatba faktúra\n\n+ ++421949163651\n</t>
  </si>
  <si>
    <t>Dzurovčinova</t>
  </si>
  <si>
    <t>termín na doplnenie chladiva</t>
  </si>
  <si>
    <t>Dzurovcinova</t>
  </si>
  <si>
    <t>1x80\n\nplatba neznáme\n\n0910972253 ak nedvíha tak volať na č</t>
  </si>
  <si>
    <t>Jána Stanislava 3531/26\, 841 05 Bratislava-Karlova Ves\, Slovensk</t>
  </si>
  <si>
    <t>Valacsay</t>
  </si>
  <si>
    <t>tlaková skúška dusíkom nutná</t>
  </si>
  <si>
    <t>Jan Ziak - Oprava kabelaz zaizolovat, spoje</t>
  </si>
  <si>
    <t>Jan Ziak - Oprava kabelaz zaizolovat\, spoje</t>
  </si>
  <si>
    <t>Panovi sa menilo cerpadlo aj servis samu sa robil a treba tam e</t>
  </si>
  <si>
    <t>Krásnohorská 3166/22\, 851 07 Bratislava-Petržalka\, Slovensko</t>
  </si>
  <si>
    <t>Jana Viktor</t>
  </si>
  <si>
    <t>hĺbkový servis</t>
  </si>
  <si>
    <t>reklamácia</t>
  </si>
  <si>
    <t>Potrebuje spraviť hĺbkový servis\n\nDostala vtedy zlý protokol</t>
  </si>
  <si>
    <t>Matej Boda</t>
  </si>
  <si>
    <t>CP na novú 1+1, poslana CP na AUX 1100eur +dph</t>
  </si>
  <si>
    <t>1x150 doplniť chladenie\n\nplatba neznáme\n\n+ ++421948231133\n\n</t>
  </si>
  <si>
    <t>Keltská 955/37\, 851 10 Bratislava-Rusovce\, Slovensko</t>
  </si>
  <si>
    <t>Keltská 955/37, 851 10 Bratislava-Rusovce, Slovensko</t>
  </si>
  <si>
    <t>Juraj Vyskocil / Diagnostika</t>
  </si>
  <si>
    <t>&lt;br&gt;&lt;blockquote&gt;Servis klimy bol vykonany 20 6.2024 a nasledne</t>
  </si>
  <si>
    <t>Americké námestie 2811/1, 811 07 Bratislava, Slovensko</t>
  </si>
  <si>
    <t>REKLAMÁCIA Servis / Petra adams</t>
  </si>
  <si>
    <t>Bolo plnene chladivom\, zakaznicka volala ze klima prestala fun</t>
  </si>
  <si>
    <t>Hany Zelinovej 4506/9, 903 01 Senec, Slovensko</t>
  </si>
  <si>
    <t>multisplit, spodná nechladí, oprava v reklamácii, CP na novu riadiaciu jednotku LG</t>
  </si>
  <si>
    <t>P Valacsay</t>
  </si>
  <si>
    <t>volať\, zvonček nemá\n\n3x vnútorná jednotka (Daikin) nechlad -</t>
  </si>
  <si>
    <t>Jazdecká 60, 931 01 Šamorín, Slovensko</t>
  </si>
  <si>
    <t>Rehakova</t>
  </si>
  <si>
    <t>1x80\n\nplatba neznáme\n\n+ ++421 903 670 320\n\n-::~:~::~:~:~:~:</t>
  </si>
  <si>
    <t>Landererova 8\, 811 09 Bratislava-Staré Mesto\, Slovensko</t>
  </si>
  <si>
    <t>24 dental</t>
  </si>
  <si>
    <t>fa -</t>
  </si>
  <si>
    <t>pokezene cerpadlo kondenzu -</t>
  </si>
  <si>
    <t>Reklamácia kondenzu- Martin Klimafresh (Lauda - 24 dental Juliana</t>
  </si>
  <si>
    <t>&lt;b&gt;Rezervoval(a)&lt;/b&gt;\nLauda - 24 dental Juliana \ninfo@klimazo</t>
  </si>
  <si>
    <t>Katarina Partikova</t>
  </si>
  <si>
    <t>1x80\n\nplatba faktúra\n\n+ ++421 908 350 264\n\n-::~:~::~:~:~:~:~</t>
  </si>
  <si>
    <t>Zuzany Chalupovej 16, 851 07 Bratislava, Slovensko</t>
  </si>
  <si>
    <t>Reklamácia kondenzu- Martin Klimafresh (Lauda - 24 dental Juliana )</t>
  </si>
  <si>
    <t>Katarina Patikova</t>
  </si>
  <si>
    <t>fa - email</t>
  </si>
  <si>
    <t>Stubna</t>
  </si>
  <si>
    <t>&lt;blockquote&gt;&lt;br&gt;+ ++421 907 765 621&lt;br&gt;&lt;br&gt;bol unho robeny zakladn</t>
  </si>
  <si>
    <t>Pavelek</t>
  </si>
  <si>
    <t>Cistenie tlakom kondenz</t>
  </si>
  <si>
    <t>Oprav kondenzu &lt;br&gt;&lt;br&gt;platba hotovost / faktura - 60eur&lt;br&gt;&lt;br</t>
  </si>
  <si>
    <t>Plynárenská 3B\, 821 09 Bratislava-Ružinov\, Slovensko</t>
  </si>
  <si>
    <t>diagnostika, oprava</t>
  </si>
  <si>
    <t>vybavene za minuly tyzden aj zaplatene opravene</t>
  </si>
  <si>
    <t>kompresor\, kamera\, izolácia na kondenz\, hadica na kondenz\,</t>
  </si>
  <si>
    <t>Maria Ondraskova</t>
  </si>
  <si>
    <t>presunuté na stredu, následne zrušila termín kvôli nečakanej ceste</t>
  </si>
  <si>
    <t>1x80+1x150 chladivo doplniť pripadne \n\nplatba neznáme\n\n+42</t>
  </si>
  <si>
    <t>Tematínska 4, 851 05 Bratislava-Petržalka, Slovensko</t>
  </si>
  <si>
    <t>1x150 doplnenie chladiva\n\nplatba neznáme\n\n0910972253\n\n-:</t>
  </si>
  <si>
    <t>Miriam Blhakova / zrusene</t>
  </si>
  <si>
    <t>1x80\, čistenie\n\nplatba neznáme\n\n+ ++421 903 775 781\n\n-::~:</t>
  </si>
  <si>
    <t>Malokarpatské námestie 2, 841 03 Bratislava, Slovensko</t>
  </si>
  <si>
    <t>Belly altsnshuk</t>
  </si>
  <si>
    <t>4x60eur servis jednotiek \nMozno doplnenie chladiva\n0908140114</t>
  </si>
  <si>
    <t>Mýtna 44, 811 07 Bratislava-Staré Mesto, Slovakia</t>
  </si>
  <si>
    <t>Danihel</t>
  </si>
  <si>
    <t>1x100\, diagnostika svieti červene svetlo\n\nplatba neznáme\n\</t>
  </si>
  <si>
    <t>Závodná 3\, 821 06 Bratislava-Podunajské Biskupice\, Slovensko</t>
  </si>
  <si>
    <t>Domink Freyer</t>
  </si>
  <si>
    <t>1x80 čistenie\, 1x150 chladenie\n\nplatba neznáme\n\n+43 699 1</t>
  </si>
  <si>
    <t>Ostravská 6837/21, 811 04 Bratislava-Staré Mesto, Slovensko</t>
  </si>
  <si>
    <t>Dokoncenie ROKOS - Plosina</t>
  </si>
  <si>
    <t>Hradská 8006/7\, 821 07 Bratislava\, Slovensko</t>
  </si>
  <si>
    <t>Sebastian Danac</t>
  </si>
  <si>
    <t>servis 2+1</t>
  </si>
  <si>
    <t>2x80\, čistenie\n\nplatba faktúra\n\n+ ++421 950 367 856\n\n-::~:~</t>
  </si>
  <si>
    <t>Krížna 4080/6, 811 07 Bratislava-Staré Mesto, Slovensko</t>
  </si>
  <si>
    <t>Štefan Pinter</t>
  </si>
  <si>
    <t>Sklernar</t>
  </si>
  <si>
    <t>+ ++421 903 602 299\n\nPosielala sa mu CP\n\n-::~:~::~:~:~:~:~:~:~</t>
  </si>
  <si>
    <t>Chotárna 260/35\, 851 10 Bratislava-Jarovce\, Slovensko</t>
  </si>
  <si>
    <t>Miriam Blhakova</t>
  </si>
  <si>
    <t>zrušené, poriešil manžel</t>
  </si>
  <si>
    <t>Belly Antsnshuk</t>
  </si>
  <si>
    <t>zrušené, neodpovedala na telefonáty</t>
  </si>
  <si>
    <t>Stefan Pinter</t>
  </si>
  <si>
    <t>1x100 diagnostika\, tečie vnútorná jednotka \n\nplatba neznáme</t>
  </si>
  <si>
    <t>Ferdiša Kostku 3291/1, 841 04 Bratislava-Karlova Ves, Slovensko</t>
  </si>
  <si>
    <t>Andrej Korbel</t>
  </si>
  <si>
    <t>po tel kontakte bol pán prekvapený že má termín, povedal že čakal na zálohovú FA + odsúhlasenie termínu</t>
  </si>
  <si>
    <t>Róbert Popovič</t>
  </si>
  <si>
    <t>1x čistenie+ pozrieť chladivo\n\nPlatba FA\n\n0948451514\n\n-::</t>
  </si>
  <si>
    <t>Wolkrova 1135/5, 851 01 Bratislava-Petržalka, Slovensko</t>
  </si>
  <si>
    <t>1x80\n\nplatba neznáme\n\n+380 (93) 185 76 69\n\n-::~:~::~:~:~</t>
  </si>
  <si>
    <t>Kozia 599/7\, 811 03 Bratislava\, Slovensko</t>
  </si>
  <si>
    <t>Knop Inna</t>
  </si>
  <si>
    <t>1x150 doplnenie chladiva + diagnostika \n\nplatba neznáme/fakt</t>
  </si>
  <si>
    <t>Robert Popovič</t>
  </si>
  <si>
    <t>Lucia Madalova</t>
  </si>
  <si>
    <t>1x diagnostika ( tecie klima vnutorna)\n\nplatba neznáme\n\n+4</t>
  </si>
  <si>
    <t>Zuzany Chalupovej, 851 07 Bratislava-Petržalka, Slovensko</t>
  </si>
  <si>
    <t>Matej Drab</t>
  </si>
  <si>
    <t>chyba E1, viď. email</t>
  </si>
  <si>
    <t>1x80\, filter\n\nplatba neznáme\n\n+ ++421 917 111 709\n\n-::~:~:</t>
  </si>
  <si>
    <t>b, Závodná 3, 821 06 Bratislava-Podunajské Biskupice, Slovensko</t>
  </si>
  <si>
    <t>Michal Cordas</t>
  </si>
  <si>
    <t>1x150\, doplnenie chladiva- Model msh18a1cpt sinclair\n\nplatba</t>
  </si>
  <si>
    <t>Račianska 1522/69, 831 02 Bratislava, Slovensko</t>
  </si>
  <si>
    <t>NAS / Čerešňová právnici</t>
  </si>
  <si>
    <t>Co sa tu dialo?\n\n-::~:~::~:~:~:~:~:~:~:~:~:~:~:~:~:~:~:~:~:~:</t>
  </si>
  <si>
    <t>Zlatka Sokol</t>
  </si>
  <si>
    <t>servis 2+1 + wapkovanie</t>
  </si>
  <si>
    <t>2x80\, cistenie servis + wapkovat vonkajsiu 40 - 200€\n\nplatba</t>
  </si>
  <si>
    <t>Tri vody II. 13, 900 45 Malinovo, Slovensko</t>
  </si>
  <si>
    <t>Mariana Poča</t>
  </si>
  <si>
    <t>zrušené, nie sú doma</t>
  </si>
  <si>
    <t>1x80\, cistenie\n\nplatba neznáme\n\n+ ++421 904 783 169 zrušené</t>
  </si>
  <si>
    <t>Mlynské nivy 82, 821 05 Bratislava-Ružinov, Slovensko</t>
  </si>
  <si>
    <t>Andrej Korbel - zrušené</t>
  </si>
  <si>
    <t>80 servis a možno doplnenie chladivá r32 (150e)\n\nplatba hotov</t>
  </si>
  <si>
    <t>Martin Rigler - zrušené\, ohľadom nového termínu zavolá</t>
  </si>
  <si>
    <t>1x80 \n1x50-100 kondenz\n\nplatba neznáme\n\n0904630979\n\n-::</t>
  </si>
  <si>
    <t>Čiližská 5003/6\, 821 07 Bratislava\, Slovensko</t>
  </si>
  <si>
    <t>Martin Rigler - zrušené, ohľadom nového termínu zavolá</t>
  </si>
  <si>
    <t>Čiližská 5003/6, 821 07 Bratislava, Slovensko</t>
  </si>
  <si>
    <t>Janko obhliadka</t>
  </si>
  <si>
    <t>1. mája 2598/43, 902 01 Pezinok, Slovensko</t>
  </si>
  <si>
    <t>085 zvoncek \n\n1xčistenie \n\nplatba faktura\n\n+ ++421949163651\</t>
  </si>
  <si>
    <t>Martin Rigler</t>
  </si>
  <si>
    <t>zrušené, ohľadom nového termínu zavolá</t>
  </si>
  <si>
    <t>Miroslava Slezakova</t>
  </si>
  <si>
    <t>1x80\n\nplatba neznáme\n\n+ ++421 904 271 753\n\n-::~:~::~:~:~:~:</t>
  </si>
  <si>
    <t>Vyšehradská 3732/18, 851 06 Petržalka, Slovensko</t>
  </si>
  <si>
    <t>1x150 doplnenie chladiva 410\n\nplatba FA\n\n+ ++421 948 231 133\n</t>
  </si>
  <si>
    <t>Angelika Krajcovicova-</t>
  </si>
  <si>
    <t>1xodpadla rurka kondenz 50\n1x80 cistenie\n\nplatba neznáme\n\</t>
  </si>
  <si>
    <t>Kpt. Jána Rašu 3147/19, 841 01 Bratislava-Dúbravka, Slovensko</t>
  </si>
  <si>
    <t>Lukas Macko</t>
  </si>
  <si>
    <t>zmena spôsobu platby, keďže je v podnájme a chce dať FA preplatiť majitelom</t>
  </si>
  <si>
    <t>1x80\n\nplatba faktúra - je v podnájme a chce to dať preplatiť</t>
  </si>
  <si>
    <t>Renata Remisova</t>
  </si>
  <si>
    <t>1x150\, LG- doplnit chladenie\n\nplatba neznáme\n\n+ ++421 907 04</t>
  </si>
  <si>
    <t>Kadnárova 2518/55, 831 51 Bratislava-Rača, Slovensko</t>
  </si>
  <si>
    <t>Angelika Krajcovicova</t>
  </si>
  <si>
    <t>servis 1+1, rúrka kondenzu</t>
  </si>
  <si>
    <t>Zuzana Cinakova</t>
  </si>
  <si>
    <t>2x80\n\nplatba neznáme\n\n+ ++421 905 107 061\n\n-::~:~::~:~:~:~:</t>
  </si>
  <si>
    <t>Ďatelinová 5530/4, 821 01 Bratislava-Ružinov, Slovensko</t>
  </si>
  <si>
    <t>Balogova</t>
  </si>
  <si>
    <t>1x150\, doplniť chladenie+ vypadáva lad z klimy\n\nplatba hotov</t>
  </si>
  <si>
    <t>ALFA Piváreň a reštaurácia\, Jiráskova 995/1\, 851 01 Bratislava-P</t>
  </si>
  <si>
    <t>Jan Denbis</t>
  </si>
  <si>
    <t>servis 4+1, doplnenie chladiva</t>
  </si>
  <si>
    <t>4x80 čistenie \n150 doplnenie chladivaDaikin\n\nplatba neznáme</t>
  </si>
  <si>
    <t>Obchodná 881/12, 900 51 Zohor, Slovensko</t>
  </si>
  <si>
    <t>Dominik Freyer</t>
  </si>
  <si>
    <t>Juraj Skakala</t>
  </si>
  <si>
    <t>1x100\, diagnostika LG\n\nplatba neznáme\n\n+ ++421 905 748 838\n</t>
  </si>
  <si>
    <t>Kubániho 3643/14, 811 04 Bratislava, Slovensko</t>
  </si>
  <si>
    <t>1x80 čistenie\, 1x150 pripadne doplniť chladivo\n\nplatba hotov</t>
  </si>
  <si>
    <t>Šťastný</t>
  </si>
  <si>
    <t>poslané fotky, viď. email</t>
  </si>
  <si>
    <t>Nemanja Basič</t>
  </si>
  <si>
    <t>prehodené na piatok</t>
  </si>
  <si>
    <t>Martin Ferenc - zavolať v pondelok na nový termín</t>
  </si>
  <si>
    <t>1x100\, tečie klíma mitshubishi msz-hr35vf\n\nplatba neznáme\n</t>
  </si>
  <si>
    <t>Ovocné sady, Ivanská cesta 19113/32, 821 04 Bratislava-Ružinov, Slovensko</t>
  </si>
  <si>
    <t>Martin Ferenc</t>
  </si>
  <si>
    <t>zrušené,išli na východ, zalovať v pondelok na nový termín</t>
  </si>
  <si>
    <t>P Stastny</t>
  </si>
  <si>
    <t>1x100 diagnostika ( tečie klima\, LG)\n\nplatba neznáme\n\n+42</t>
  </si>
  <si>
    <t>Špieszova 3362/9, 841 04 Bratislava-Karlova Ves, Slovensko</t>
  </si>
  <si>
    <t>Nemanja Basič - prehodené na zajtra 15:30</t>
  </si>
  <si>
    <t>1xcistenie 100€\n\nplatba neznáme\n\n+ ++421 940 271 395\n\n-::~:</t>
  </si>
  <si>
    <t>Juraja Slottu 7717/18A, 917 01 Trnava, Slovensko</t>
  </si>
  <si>
    <t>Durcakova Moja teta</t>
  </si>
  <si>
    <t>1 čistenie\n\nplatba neznáme\n\n0910226218\n\n-::~:~::~:~:~:~:</t>
  </si>
  <si>
    <t>Nákovná 12481/36C, 821 06 Bratislava-Podunajské Biskupice, Slovensko</t>
  </si>
  <si>
    <t>Zoznamovací pohovor Proaviate</t>
  </si>
  <si>
    <t>Ďurčaková</t>
  </si>
  <si>
    <t>Lukáš Gajarský</t>
  </si>
  <si>
    <t>Klíma momentálne chladí, v prípade že by znova prestala pravdepodobne bude problém s kompresorom.</t>
  </si>
  <si>
    <t>Martin Kanuk</t>
  </si>
  <si>
    <t>1x80\n\nplatba neznáme\n\n+ ++421 902 100 117\n\n-::~:~::~:~:~:~:</t>
  </si>
  <si>
    <t>Holekova 5049/6, 811 04 Bratislava-Staré Mesto, Slovensko</t>
  </si>
  <si>
    <t>cesta do trnavy + 50km / x 0.5 = 25eur</t>
  </si>
  <si>
    <t>1x čistenie 100€\n\nPlatba neznáme\n\n0940271395\n\n-::~:~::~:</t>
  </si>
  <si>
    <t>Gyorgova</t>
  </si>
  <si>
    <t>Diagnostikovaný problém s ventilátorom (motor). Doporučená ďalšia diagnostika alebo výmena jednotky.</t>
  </si>
  <si>
    <t>Lukas Gajarsky</t>
  </si>
  <si>
    <t>1x150\, doplniť chladenie\n\nplatba faktúra\n\n+ ++421 904 558 916</t>
  </si>
  <si>
    <t>Štefana Králika 1a, 841 07 Bratislava-Devínska Nová Ves, Slovensko</t>
  </si>
  <si>
    <t>Martin Kanúk</t>
  </si>
  <si>
    <t>Doporučená výmena alebo objednanie oboch jednotiek na diagnostiku</t>
  </si>
  <si>
    <t>Kristina Rusnakova</t>
  </si>
  <si>
    <t>Na office máme problém s klímou (Daikin\, 2016)\, ktorá nám pri</t>
  </si>
  <si>
    <t>Zámocká 4771/22, Hrad, 811 01 Bratislava-Staré Mesto, Slovensko</t>
  </si>
  <si>
    <t>Rusnákova Kristína, People Element</t>
  </si>
  <si>
    <t>2x diagnostika</t>
  </si>
  <si>
    <t>Pravdepodobný problém je v plošnom spoji alebo v ističoch vonkajšej jednotkz ktorá sa nachádza na streche. Samsung jednotka po chvíli vypína ventilátor na vonkajšej jednotke, pravdepodobne ide o kompresor alebo snímač teploty. Klientovi bola odporučená výmena prípadná híbková diagnostika vonkajších jednotiek.</t>
  </si>
  <si>
    <t>Daniel Orny</t>
  </si>
  <si>
    <t>servis 4+4</t>
  </si>
  <si>
    <t>4x150\, servis čistenie\n\nplatba neznáme\n\n0905757301\n\n-::</t>
  </si>
  <si>
    <t>432, Hrubý Šúr 432, 903 01 Hrubý Šúr, Slovensko</t>
  </si>
  <si>
    <t>Helman</t>
  </si>
  <si>
    <t>Kondenz skontrolovaný a v poriadku, po následnej diskusii bolo zistené že klíma netečie ale prská z ventilátora, pravdepodobne z dôvodu že nebola dlhšie servisovaná a pred incidentom bola pustená "týždeň v kuse" , komplet zanesené lamely aj ventilátor. Pani bolo odporučené objednať híbkové čistenie alebo aspoň základný servis. Vonkajšia jednotka je asi vo výške 6m.</t>
  </si>
  <si>
    <t>Jozef Čabo</t>
  </si>
  <si>
    <t>Pán má problém že mu vraj tečie kondenz alebo iná trubka , kondenz ústi do sifónu v stene ktorý nieje možné skontrolovať. Ďaĺší problém spočíva v t tom že klíma občas "rapoce" pravdepodobne z dôvodu že nefungujú stranové lamely, klimatizácia však nemá iný zásadný problém a chladí v poriadku.</t>
  </si>
  <si>
    <t>1x80\, čistenie + chce skontrolovať stav klímy\n\nplatba faktúr</t>
  </si>
  <si>
    <t>Miletičova 68, 821 09 Bratislava-Ružinov, Slovensko</t>
  </si>
  <si>
    <t>Frantisek Jelemensky</t>
  </si>
  <si>
    <t>1x100\, Multisplit daikin od ZSE\, nefunguje vonkajšia jednotka</t>
  </si>
  <si>
    <t>Orechová 103, 900 42 Dunajská Lužná, Slovensko</t>
  </si>
  <si>
    <t>Klaudia Mezejova</t>
  </si>
  <si>
    <t>1x80\, čistenie - smrdi klima \nPripadne dopniť chladivo 1x150\</t>
  </si>
  <si>
    <t>Seberíniho 6, 821 03 Bratislava, Slovensko</t>
  </si>
  <si>
    <t>František Jemenský</t>
  </si>
  <si>
    <t>Hana Soli</t>
  </si>
  <si>
    <t>1x100 Diagnostika\, asi tesnenie\n\nplatba neznáme\n\n+ ++421 949</t>
  </si>
  <si>
    <t>Karadžičova 4112/51, 811 07 Bratislava, Slovensko</t>
  </si>
  <si>
    <t>P Helman</t>
  </si>
  <si>
    <t>1x100\, diagnostika tečie klíma\n\nplatba neznáme\n\n+ ++421 910</t>
  </si>
  <si>
    <t>Banšelova 15721/23, 821 04 Bratislava-Ružinov, Slovensko</t>
  </si>
  <si>
    <t>P Truong</t>
  </si>
  <si>
    <t>1x80\, čistenie\n\nplatba neznáme\n\n0919 183 179\n\n-::~:~::~</t>
  </si>
  <si>
    <t>REMPO, Stará Vajnorská 3308/19, 831 04 Bratislava, Slovensko</t>
  </si>
  <si>
    <t>Dracova</t>
  </si>
  <si>
    <t>1x100 (toshiba) 1x100(daikin)Diagnostika + možno čistenie ( klí</t>
  </si>
  <si>
    <t>Čajakova 4030/7\, 811 05 Bratislava-Staré Mesto\, Slovensko</t>
  </si>
  <si>
    <t>Doboš - presunutý na stredu o 8:00</t>
  </si>
  <si>
    <t>4x70\, čistenie\, klíma gree\, jedna z toho tečie\n\nplatba hot</t>
  </si>
  <si>
    <t>Drotárska cesta 66, 811 02 Bratislava-Staré Mesto, Slovensko</t>
  </si>
  <si>
    <t>Jaro Horváth</t>
  </si>
  <si>
    <t>Jaro Horvath</t>
  </si>
  <si>
    <t>1x150 doplniť chladivo\, toshiba \n\nplatba faktúra\n\n0903 720</t>
  </si>
  <si>
    <t>Rubinová 12978/45, 831 01 Bratislava-Nové Mesto, Slovensko</t>
  </si>
  <si>
    <t>Doboš</t>
  </si>
  <si>
    <t>presunuté na piatok</t>
  </si>
  <si>
    <t>TOTO co piatok bol.</t>
  </si>
  <si>
    <t>NAS / Andrei Vashkevich</t>
  </si>
  <si>
    <t>treba zavolat a dohodnut hodku predtym pan ma cas do 17:30\n\nK</t>
  </si>
  <si>
    <t>Plynárenská, 821 09 Bratislava, Slovensko</t>
  </si>
  <si>
    <t>MEETING</t>
  </si>
  <si>
    <t>nebo peklo raj</t>
  </si>
  <si>
    <t>Otvorit pandorinku skrinku a posunut veci dalej a nastavit na p</t>
  </si>
  <si>
    <t>Adamec</t>
  </si>
  <si>
    <t>50-100e\, tečie klíma(kondenz)\n\nplatba neznáme\n\n+ ++421 907 9</t>
  </si>
  <si>
    <t>Biela 422/5\, 811 01 Bratislava-Staré Mesto\, Slovensko</t>
  </si>
  <si>
    <t>Klaudia Masarovic</t>
  </si>
  <si>
    <t>1x80\, čistenie klíma hučí\n\nplatba neznáme/faktúra\n\n+ ++421 9</t>
  </si>
  <si>
    <t>Repašského 3189/1, 841 02 Bratislava-Dúbravka, Slovensko</t>
  </si>
  <si>
    <t>Klient má čas\, je doma\, môže aj neskôr\n\n1x100\, tečie klíma</t>
  </si>
  <si>
    <t>Ivanská cesta, Bratislava-Ružinov, Slovensko</t>
  </si>
  <si>
    <t>Doboš - zrušené\, ma nejakú poradu čo zistil v noci - prehodené na</t>
  </si>
  <si>
    <t>4x70\, čistenie\, klíma gree\, jedna z toho tečie\nPán má zlú s</t>
  </si>
  <si>
    <t>Drotárska cesta 66\, 811 02 Bratislava-Staré Mesto\, Slovensko</t>
  </si>
  <si>
    <t>Doboš - zrušené, ma nejakú poradu čo zistil v noci - prehodené na piatok</t>
  </si>
  <si>
    <t>nas / vojtech mikula</t>
  </si>
  <si>
    <t>Námestie hraničiarov 35, 851 03 Bratislava-Petržalka, Slovensko</t>
  </si>
  <si>
    <t>Volal som snim a zabudol som :D\n\n+ ++421 905 150 416\n\ntusim im</t>
  </si>
  <si>
    <t>Námestie hraničiarov 35\, 851 03 Bratislava-Petržalka\, Slovensko</t>
  </si>
  <si>
    <t>Tomaš Brodek (Črepnikove Kvety - Náš)</t>
  </si>
  <si>
    <t>&lt;b&gt;Rezervoval(a)&lt;/b&gt;\nČrepnikove Kvety - Náš\nserviceklimafres</t>
  </si>
  <si>
    <t>diagnostika / urgent</t>
  </si>
  <si>
    <t>prijata hotovost 200 eur\n\ndiagnostika?\n\n-::~:~::~:~:~:~:~:~</t>
  </si>
  <si>
    <t>Račianska 1501/3, 831 02 Bratislava-Nové Mesto, Slovensko</t>
  </si>
  <si>
    <t>Andrea Igazovu</t>
  </si>
  <si>
    <t>1x150- Lg r410a doplniť chladivo\n\nplatba neznáme/faktúra\n\n</t>
  </si>
  <si>
    <t>Na pažiti 12894/19, 831 01 Bratislava, Slovensko</t>
  </si>
  <si>
    <t>servis 4+1</t>
  </si>
  <si>
    <t>4x70 čistenie\, klíma gree\, jedna tečie\n\nPlatba neznáme\n\n</t>
  </si>
  <si>
    <t>Daňova -</t>
  </si>
  <si>
    <t>volane priamo ako urgent matovi, ten poslalt tomasa , ten doniesol peniaze matovi</t>
  </si>
  <si>
    <t>Adriana Wiegerova</t>
  </si>
  <si>
    <t>1x80 čistenie\n\nplatba neznáme\n\n0903774461\n\n-::~:~::~:~:~</t>
  </si>
  <si>
    <t>Cyprichova 2475/8, 831 54 Bratislava, Slovensko</t>
  </si>
  <si>
    <t>Zuzana Vrabcova</t>
  </si>
  <si>
    <t>1x90\, čistenie\n\nplatba faktúra\n\n0917941466\n\n-::~:~::~:~:</t>
  </si>
  <si>
    <t>Železničná 1590/45, 900 27 Bernolákovo, Slovensko</t>
  </si>
  <si>
    <t>Andrea Igazova</t>
  </si>
  <si>
    <t>Nerobilo sa , dnes som to bol robit ja osobne.</t>
  </si>
  <si>
    <t>Bohuslava Silvia - Avana vod firma</t>
  </si>
  <si>
    <t>1x doplnenie chladiva\n\nPlatba faktúra\n\n0902160019\n\n-::~:~</t>
  </si>
  <si>
    <t>Mariánska 32A, 900 31 Stupava, Slovensko</t>
  </si>
  <si>
    <t>2024-09</t>
  </si>
  <si>
    <t>Ivan Karvas</t>
  </si>
  <si>
    <t>Hĺbkové čistenie a výmena čerpadla\n150 +200\n\nplatba neznáme</t>
  </si>
  <si>
    <t>Oprava cerpadielka / andrei ukrajinec</t>
  </si>
  <si>
    <t>Plynárenská, 821 09 Bratislava, Slovakia</t>
  </si>
  <si>
    <t>Štepán</t>
  </si>
  <si>
    <t>Alžbetin Dvor, 900 42 Miloslavov-Alžbetin Dvor, Slovensko</t>
  </si>
  <si>
    <t>Barbora Halzova</t>
  </si>
  <si>
    <t>hotovost / faktura</t>
  </si>
  <si>
    <t>vystavit cenovu ponuku na 2+1 servis a prerobenie kondenzu, cakame na povolenie kedy si vybavi od spravcu bytu pretoze zasahujeme do spolocnych priestorov to zn. 160 za servisy + 50 za prerobenie kondenzu = 210eur</t>
  </si>
  <si>
    <t>Teória</t>
  </si>
  <si>
    <t>Martin Holík URGENT / SUPER URGENT (Mikula Alias Mikula)</t>
  </si>
  <si>
    <t>&lt;b&gt;Rezervoval(a)&lt;/b&gt;\nMikula Alias Mikula\nserviceklimafresh@gm</t>
  </si>
  <si>
    <t>&lt;p&gt;0949 000 821 &lt;br&gt;&lt;br&gt;tecie mu klima pravdepodobne kondenz al</t>
  </si>
  <si>
    <t>Krížna 4092/36, 811 07 Bratislava, Slovensko</t>
  </si>
  <si>
    <t>Bea Donauer</t>
  </si>
  <si>
    <t>Fatkurovat nam</t>
  </si>
  <si>
    <t>2024-10</t>
  </si>
  <si>
    <t>Skovajsa</t>
  </si>
  <si>
    <t>1x diagnostika 3x cistenie</t>
  </si>
  <si>
    <t>diagnostika - vsetko funguje ok</t>
  </si>
  <si>
    <t>Krekker K</t>
  </si>
  <si>
    <t>Kollaty Matus</t>
  </si>
  <si>
    <t>Jan Palfy</t>
  </si>
  <si>
    <t>Red lion bar</t>
  </si>
  <si>
    <t>1+1 kazetove jednotky, vnutorne a vonkajsie</t>
  </si>
  <si>
    <t>Roman Rac</t>
  </si>
  <si>
    <t>Galova Juliana</t>
  </si>
  <si>
    <t>mal 2x servisy + doplnit chladivo 410 = to chce spolu na fakturu ked sa doplni to chladivo zavolame a dohodneme tento tyzden</t>
  </si>
  <si>
    <t>Kalas Jan</t>
  </si>
  <si>
    <t>Modré očka</t>
  </si>
  <si>
    <t>oprava</t>
  </si>
  <si>
    <t>2024-11</t>
  </si>
  <si>
    <t>doriesit, ale poslali sme tam 3 technikov a nikto to nevedel vyriesit..</t>
  </si>
  <si>
    <t>Soltes koliba</t>
  </si>
  <si>
    <t>Dóza Montáž</t>
  </si>
  <si>
    <t>Palatinusova Karin</t>
  </si>
  <si>
    <t>Servis 1+1 / diagnostika</t>
  </si>
  <si>
    <t>Treba nacenit profilaktiku/rozbehove cerpadlo / + chce spravit presun vonkajsej jednotky = cenova ponuka</t>
  </si>
  <si>
    <t>2024-12</t>
  </si>
  <si>
    <t>v procese sa riesi, doplnenie chladiva dnes 1 faza hotova / trebalo natlacit dusikom, zistit presne uniky, vymenit ventilu na vonkajsej jednotke, a dotlacit chladiacou jednotkou su to 2 jednotky</t>
  </si>
  <si>
    <t>Makoviny Radoslav</t>
  </si>
  <si>
    <t>zadarmo</t>
  </si>
  <si>
    <t>Zajacova</t>
  </si>
  <si>
    <t>pokazeny kompresor</t>
  </si>
  <si>
    <t>nespravilo sa</t>
  </si>
  <si>
    <t>Demontaz vnutornych jednotiek + obhliadka vo Vrakuni</t>
  </si>
  <si>
    <t>nediala sa demontaz vnutornych jednotiek + obhliadka dalsich klim a diagnostika</t>
  </si>
  <si>
    <t>Kmec Adam</t>
  </si>
  <si>
    <t>Fakturu chce iba poslat, prijata bola hotovost</t>
  </si>
  <si>
    <t>Taitana Filkova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</si>
</sst>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0\ &quot;€&quot;;[Red]\-#,##0\ &quot;€&quot;"/>
    <numFmt numFmtId="8" formatCode="#,##0.00\ &quot;€&quot;;[Red]\-#,##0.00\ &quot;€&quot;"/>
    <numFmt numFmtId="43" formatCode="_-* #,##0.00_-;\-* #,##0.00_-;_-* &quot;-&quot;??_-;_-@_-"/>
    <numFmt numFmtId="164" formatCode="#,##0.00\ &quot;€&quot;"/>
    <numFmt numFmtId="165" formatCode="_-* #,##0.00\ _S_k_-;\-* #,##0.00\ _S_k_-;_-* &quot;-&quot;??\ _S_k_-;_-@_-"/>
    <numFmt numFmtId="166" formatCode="_-* #,##0.00\ _€_-;\-* #,##0.00\ _€_-;_-* &quot;-&quot;??\ _€_-;_-@_-"/>
    <numFmt numFmtId="167" formatCode="0.0%"/>
  </numFmts>
  <fonts count="64" x14ac:knownFonts="1">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sz val="11"/>
      <color theme="1"/>
      <name val="Calibri"/>
      <family val="2"/>
      <scheme val="minor"/>
    </font>
    <font>
      <sz val="11"/>
      <color indexed="8"/>
      <name val="Calibri"/>
      <family val="2"/>
      <charset val="238"/>
    </font>
    <font>
      <b/>
      <sz val="22"/>
      <name val="Calibri"/>
      <family val="2"/>
      <charset val="238"/>
    </font>
    <font>
      <sz val="7"/>
      <color rgb="FF25263F"/>
      <name val="Arial"/>
      <family val="2"/>
      <charset val="238"/>
    </font>
    <font>
      <sz val="8"/>
      <color rgb="FF25263F"/>
      <name val="Arial"/>
      <family val="2"/>
      <charset val="238"/>
    </font>
    <font>
      <u/>
      <sz val="11"/>
      <color indexed="12"/>
      <name val="Calibri"/>
      <family val="2"/>
      <charset val="238"/>
    </font>
    <font>
      <sz val="11"/>
      <color theme="1"/>
      <name val="Calibri"/>
      <family val="2"/>
    </font>
    <font>
      <sz val="11"/>
      <color rgb="FF000000"/>
      <name val="Calibri"/>
      <family val="2"/>
      <charset val="238"/>
    </font>
    <font>
      <b/>
      <sz val="11"/>
      <color rgb="FF000000"/>
      <name val="Calibri"/>
      <family val="2"/>
      <charset val="238"/>
    </font>
    <font>
      <sz val="7"/>
      <color rgb="FF333333"/>
      <name val="Arial"/>
      <family val="2"/>
      <charset val="238"/>
    </font>
    <font>
      <b/>
      <sz val="7"/>
      <color rgb="FF333333"/>
      <name val="Arial"/>
      <family val="2"/>
      <charset val="238"/>
    </font>
    <font>
      <sz val="7"/>
      <color rgb="FF333333"/>
      <name val="Verdana"/>
      <family val="2"/>
      <charset val="238"/>
    </font>
    <font>
      <b/>
      <i/>
      <sz val="12"/>
      <color rgb="FF000000"/>
      <name val="Calibri"/>
      <family val="2"/>
      <charset val="238"/>
    </font>
    <font>
      <b/>
      <sz val="22"/>
      <color rgb="FF000000"/>
      <name val="Calibri"/>
      <family val="2"/>
      <charset val="238"/>
    </font>
    <font>
      <b/>
      <sz val="11"/>
      <color rgb="FF000000"/>
      <name val="Arial"/>
      <family val="2"/>
      <charset val="238"/>
    </font>
    <font>
      <sz val="11"/>
      <color rgb="FF000000"/>
      <name val="Arial"/>
      <family val="2"/>
      <charset val="238"/>
    </font>
    <font>
      <sz val="11"/>
      <name val="Calibri"/>
      <family val="2"/>
      <scheme val="minor"/>
    </font>
    <font>
      <sz val="11"/>
      <name val="Calibri"/>
      <family val="2"/>
      <charset val="238"/>
      <scheme val="minor"/>
    </font>
    <font>
      <sz val="10"/>
      <color rgb="FF000000"/>
      <name val="Calibri"/>
      <family val="2"/>
      <charset val="238"/>
      <scheme val="minor"/>
    </font>
    <font>
      <sz val="10"/>
      <color theme="1"/>
      <name val="Calibri"/>
      <family val="2"/>
      <charset val="238"/>
      <scheme val="minor"/>
    </font>
    <font>
      <sz val="11"/>
      <color theme="1"/>
      <name val="Calibri"/>
      <family val="2"/>
      <charset val="238"/>
    </font>
    <font>
      <sz val="8"/>
      <color rgb="FF000000"/>
      <name val="Arial"/>
      <family val="2"/>
      <charset val="238"/>
    </font>
    <font>
      <b/>
      <sz val="14"/>
      <color theme="1"/>
      <name val="Calibri"/>
      <family val="2"/>
      <charset val="238"/>
      <scheme val="minor"/>
    </font>
    <font>
      <b/>
      <sz val="10"/>
      <name val="Arial"/>
      <family val="2"/>
      <charset val="238"/>
    </font>
    <font>
      <sz val="8"/>
      <name val="Calibri"/>
      <family val="2"/>
      <charset val="238"/>
      <scheme val="minor"/>
    </font>
    <font>
      <b/>
      <sz val="11"/>
      <name val="Calibri"/>
      <family val="2"/>
      <charset val="238"/>
      <scheme val="minor"/>
    </font>
    <font>
      <b/>
      <sz val="20"/>
      <color theme="1"/>
      <name val="Calibri"/>
      <family val="2"/>
      <charset val="238"/>
      <scheme val="minor"/>
    </font>
    <font>
      <b/>
      <sz val="11"/>
      <color rgb="FFC00000"/>
      <name val="Calibri"/>
      <family val="2"/>
      <charset val="238"/>
      <scheme val="minor"/>
    </font>
    <font>
      <sz val="12"/>
      <color rgb="FF000000"/>
      <name val="Times New Roman"/>
      <family val="1"/>
      <charset val="238"/>
    </font>
    <font>
      <sz val="9"/>
      <color theme="1"/>
      <name val="Arial"/>
      <family val="2"/>
      <charset val="238"/>
    </font>
    <font>
      <b/>
      <i/>
      <sz val="11"/>
      <name val="Arial"/>
      <family val="2"/>
      <charset val="238"/>
    </font>
    <font>
      <b/>
      <i/>
      <sz val="11"/>
      <color rgb="FF000000"/>
      <name val="Arial"/>
      <family val="2"/>
      <charset val="238"/>
    </font>
    <font>
      <sz val="11"/>
      <color theme="1"/>
      <name val="Arial"/>
      <family val="2"/>
      <charset val="238"/>
    </font>
    <font>
      <b/>
      <sz val="10"/>
      <color theme="1"/>
      <name val="Arial"/>
      <family val="2"/>
      <charset val="238"/>
    </font>
    <font>
      <sz val="10"/>
      <color theme="1"/>
      <name val="Arial"/>
      <family val="2"/>
      <charset val="238"/>
    </font>
    <font>
      <b/>
      <sz val="14"/>
      <color rgb="FF000000"/>
      <name val="Arial"/>
      <family val="2"/>
      <charset val="238"/>
    </font>
    <font>
      <b/>
      <sz val="20"/>
      <name val="Arial"/>
      <family val="2"/>
      <charset val="238"/>
    </font>
    <font>
      <b/>
      <sz val="18"/>
      <name val="Arial"/>
      <family val="2"/>
      <charset val="238"/>
    </font>
    <font>
      <b/>
      <sz val="12"/>
      <color theme="1"/>
      <name val="Arial"/>
      <family val="2"/>
      <charset val="238"/>
    </font>
    <font>
      <i/>
      <sz val="7"/>
      <color rgb="FF333333"/>
      <name val="Arial"/>
      <family val="2"/>
      <charset val="238"/>
    </font>
    <font>
      <b/>
      <i/>
      <sz val="7"/>
      <color rgb="FF333333"/>
      <name val="Arial"/>
      <family val="2"/>
      <charset val="238"/>
    </font>
    <font>
      <sz val="12"/>
      <color theme="1"/>
      <name val="Calibri"/>
      <family val="2"/>
      <charset val="238"/>
      <scheme val="minor"/>
    </font>
    <font>
      <b/>
      <sz val="24"/>
      <color theme="1" tint="0.34998626667073579"/>
      <name val="Arial"/>
      <family val="2"/>
      <charset val="238"/>
    </font>
    <font>
      <b/>
      <sz val="12"/>
      <name val="Arial"/>
      <family val="2"/>
      <charset val="238"/>
    </font>
    <font>
      <b/>
      <sz val="12"/>
      <color theme="1"/>
      <name val="Calibri"/>
      <family val="2"/>
      <charset val="238"/>
      <scheme val="minor"/>
    </font>
    <font>
      <b/>
      <sz val="12"/>
      <name val="Calibri"/>
      <family val="2"/>
      <charset val="238"/>
      <scheme val="minor"/>
    </font>
    <font>
      <b/>
      <sz val="12"/>
      <color rgb="FFC00000"/>
      <name val="Calibri"/>
      <family val="2"/>
      <charset val="238"/>
      <scheme val="minor"/>
    </font>
    <font>
      <b/>
      <sz val="12"/>
      <color indexed="8"/>
      <name val="Calibri"/>
      <family val="2"/>
      <charset val="238"/>
    </font>
    <font>
      <b/>
      <sz val="22"/>
      <color theme="1"/>
      <name val="Calibri"/>
      <family val="2"/>
      <charset val="238"/>
      <scheme val="minor"/>
    </font>
    <font>
      <sz val="12"/>
      <name val="Calibri"/>
      <family val="2"/>
      <charset val="238"/>
      <scheme val="minor"/>
    </font>
    <font>
      <b/>
      <sz val="14"/>
      <name val="Calibri"/>
      <family val="2"/>
      <charset val="238"/>
      <scheme val="minor"/>
    </font>
    <font>
      <sz val="12"/>
      <name val="Calibri"/>
      <family val="2"/>
      <charset val="238"/>
    </font>
    <font>
      <b/>
      <sz val="12"/>
      <color rgb="FFFFFF00"/>
      <name val="Calibri"/>
      <family val="2"/>
      <charset val="238"/>
      <scheme val="minor"/>
    </font>
    <font>
      <b/>
      <sz val="12"/>
      <color rgb="FF000000"/>
      <name val="Calibri"/>
      <family val="2"/>
      <charset val="238"/>
      <scheme val="minor"/>
    </font>
    <font>
      <sz val="12"/>
      <color rgb="FF000000"/>
      <name val="Calibri"/>
      <family val="2"/>
      <charset val="238"/>
      <scheme val="minor"/>
    </font>
    <font>
      <sz val="7.5"/>
      <name val="Courier New"/>
      <family val="3"/>
      <charset val="238"/>
    </font>
    <font>
      <b/>
      <sz val="12"/>
      <name val="Arial"/>
      <family val="2"/>
    </font>
    <font>
      <sz val="12"/>
      <name val="Arial"/>
      <family val="2"/>
    </font>
    <font>
      <b/>
      <sz val="7.5"/>
      <name val="Arial"/>
      <family val="2"/>
    </font>
    <font>
      <sz val="7.5"/>
      <name val="Arial"/>
      <family val="2"/>
    </font>
    <font>
      <b/>
      <sz val="16"/>
      <color theme="1"/>
      <name val="Calibri"/>
      <family val="2"/>
      <charset val="238"/>
      <scheme val="minor"/>
    </font>
  </fonts>
  <fills count="5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FFFFF"/>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4C8C8"/>
        <bgColor indexed="64"/>
      </patternFill>
    </fill>
    <fill>
      <patternFill patternType="solid">
        <fgColor rgb="FF85BD5F"/>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EE9A9A"/>
        <bgColor indexed="64"/>
      </patternFill>
    </fill>
    <fill>
      <patternFill patternType="solid">
        <fgColor theme="0" tint="-0.14999847407452621"/>
        <bgColor rgb="FF000000"/>
      </patternFill>
    </fill>
    <fill>
      <patternFill patternType="solid">
        <fgColor theme="0" tint="-4.9989318521683403E-2"/>
        <bgColor rgb="FF000000"/>
      </patternFill>
    </fill>
    <fill>
      <patternFill patternType="solid">
        <fgColor theme="5" tint="0.59999389629810485"/>
        <bgColor indexed="64"/>
      </patternFill>
    </fill>
    <fill>
      <patternFill patternType="solid">
        <fgColor rgb="FFF2A06E"/>
        <bgColor indexed="64"/>
      </patternFill>
    </fill>
    <fill>
      <patternFill patternType="solid">
        <fgColor theme="3" tint="0.39997558519241921"/>
        <bgColor indexed="64"/>
      </patternFill>
    </fill>
    <fill>
      <patternFill patternType="solid">
        <fgColor rgb="FFEEACAC"/>
        <bgColor indexed="64"/>
      </patternFill>
    </fill>
    <fill>
      <patternFill patternType="solid">
        <fgColor rgb="FFF6D2D2"/>
        <bgColor indexed="64"/>
      </patternFill>
    </fill>
    <fill>
      <patternFill patternType="solid">
        <fgColor rgb="FFEFAFAF"/>
        <bgColor indexed="64"/>
      </patternFill>
    </fill>
    <fill>
      <patternFill patternType="solid">
        <fgColor theme="0" tint="-0.499984740745262"/>
        <bgColor indexed="64"/>
      </patternFill>
    </fill>
    <fill>
      <patternFill patternType="solid">
        <fgColor rgb="FFE66868"/>
        <bgColor indexed="64"/>
      </patternFill>
    </fill>
    <fill>
      <patternFill patternType="solid">
        <fgColor theme="2" tint="0.39997558519241921"/>
        <bgColor indexed="64"/>
      </patternFill>
    </fill>
    <fill>
      <patternFill patternType="solid">
        <fgColor theme="2" tint="0.59999389629810485"/>
        <bgColor indexed="64"/>
      </patternFill>
    </fill>
    <fill>
      <patternFill patternType="solid">
        <fgColor theme="6"/>
        <bgColor indexed="64"/>
      </patternFill>
    </fill>
    <fill>
      <patternFill patternType="solid">
        <fgColor rgb="FFAE725A"/>
        <bgColor indexed="64"/>
      </patternFill>
    </fill>
    <fill>
      <patternFill patternType="solid">
        <fgColor theme="6" tint="0.79998168889431442"/>
        <bgColor indexed="64"/>
      </patternFill>
    </fill>
    <fill>
      <patternFill patternType="solid">
        <fgColor rgb="FF607796"/>
        <bgColor indexed="64"/>
      </patternFill>
    </fill>
    <fill>
      <patternFill patternType="solid">
        <fgColor theme="2" tint="0.79998168889431442"/>
        <bgColor indexed="64"/>
      </patternFill>
    </fill>
    <fill>
      <patternFill patternType="solid">
        <fgColor rgb="FFE7CFE6"/>
        <bgColor indexed="64"/>
      </patternFill>
    </fill>
    <fill>
      <patternFill patternType="solid">
        <fgColor rgb="FFD2A6D1"/>
        <bgColor indexed="64"/>
      </patternFill>
    </fill>
    <fill>
      <patternFill patternType="solid">
        <fgColor theme="0"/>
        <bgColor rgb="FF000000"/>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bgColor indexed="64"/>
      </patternFill>
    </fill>
    <fill>
      <patternFill patternType="solid">
        <fgColor rgb="FF94B3D6"/>
      </patternFill>
    </fill>
  </fills>
  <borders count="6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ck">
        <color rgb="FF000000"/>
      </right>
      <top style="thick">
        <color rgb="FF000000"/>
      </top>
      <bottom style="thick">
        <color rgb="FF000000"/>
      </bottom>
      <diagonal/>
    </border>
    <border>
      <left style="medium">
        <color rgb="FFCCCCCC"/>
      </left>
      <right style="medium">
        <color rgb="FF000000"/>
      </right>
      <top style="thick">
        <color rgb="FF000000"/>
      </top>
      <bottom style="thick">
        <color rgb="FF000000"/>
      </bottom>
      <diagonal/>
    </border>
    <border>
      <left style="medium">
        <color rgb="FFCCCCCC"/>
      </left>
      <right style="medium">
        <color rgb="FFCCCCCC"/>
      </right>
      <top style="thick">
        <color rgb="FF000000"/>
      </top>
      <bottom style="thick">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9">
    <xf numFmtId="0" fontId="0" fillId="0" borderId="0"/>
    <xf numFmtId="43" fontId="1" fillId="0" borderId="0" applyFont="0" applyFill="0" applyBorder="0" applyAlignment="0" applyProtection="0"/>
    <xf numFmtId="165" fontId="1" fillId="0" borderId="0" applyFont="0" applyFill="0" applyBorder="0" applyAlignment="0" applyProtection="0"/>
    <xf numFmtId="0" fontId="4" fillId="0" borderId="0"/>
    <xf numFmtId="0" fontId="8" fillId="0" borderId="0" applyNumberFormat="0" applyFill="0" applyBorder="0" applyAlignment="0" applyProtection="0">
      <alignment vertical="top"/>
      <protection locked="0"/>
    </xf>
    <xf numFmtId="0" fontId="3" fillId="0" borderId="0"/>
    <xf numFmtId="0" fontId="1" fillId="0" borderId="0"/>
    <xf numFmtId="165" fontId="4" fillId="0" borderId="0" applyFont="0" applyFill="0" applyBorder="0" applyAlignment="0" applyProtection="0"/>
    <xf numFmtId="9" fontId="1" fillId="0" borderId="0" applyFont="0" applyFill="0" applyBorder="0" applyAlignment="0" applyProtection="0"/>
  </cellStyleXfs>
  <cellXfs count="517">
    <xf numFmtId="0" fontId="0" fillId="0" borderId="0" xfId="0"/>
    <xf numFmtId="0" fontId="9" fillId="4" borderId="0" xfId="0" applyFont="1" applyFill="1" applyAlignment="1">
      <alignment horizontal="center" vertical="center"/>
    </xf>
    <xf numFmtId="0" fontId="9" fillId="4" borderId="0" xfId="0" applyFont="1" applyFill="1"/>
    <xf numFmtId="49" fontId="9" fillId="4" borderId="0" xfId="0" applyNumberFormat="1" applyFont="1" applyFill="1"/>
    <xf numFmtId="49" fontId="9" fillId="4" borderId="5" xfId="0" applyNumberFormat="1" applyFont="1" applyFill="1" applyBorder="1" applyAlignment="1">
      <alignment horizontal="center" vertical="center"/>
    </xf>
    <xf numFmtId="166" fontId="9" fillId="4" borderId="5" xfId="1" applyNumberFormat="1" applyFont="1" applyFill="1" applyBorder="1" applyAlignment="1">
      <alignment horizontal="center" vertical="center"/>
    </xf>
    <xf numFmtId="0" fontId="9" fillId="4" borderId="5" xfId="0" applyFont="1" applyFill="1" applyBorder="1" applyAlignment="1">
      <alignment horizontal="center" vertical="center"/>
    </xf>
    <xf numFmtId="0" fontId="10" fillId="4" borderId="5" xfId="0" applyFont="1" applyFill="1" applyBorder="1"/>
    <xf numFmtId="0" fontId="5" fillId="4" borderId="0" xfId="3" applyFont="1" applyFill="1" applyAlignment="1">
      <alignment horizontal="center" vertical="top"/>
    </xf>
    <xf numFmtId="49" fontId="6" fillId="4" borderId="0" xfId="0" applyNumberFormat="1" applyFont="1" applyFill="1" applyAlignment="1">
      <alignment vertical="center"/>
    </xf>
    <xf numFmtId="0" fontId="15" fillId="4" borderId="0" xfId="3" applyFont="1" applyFill="1" applyAlignment="1">
      <alignment horizontal="center" vertical="center"/>
    </xf>
    <xf numFmtId="0" fontId="16" fillId="4" borderId="0" xfId="3" applyFont="1" applyFill="1" applyAlignment="1">
      <alignment horizontal="center" vertical="center"/>
    </xf>
    <xf numFmtId="49" fontId="7" fillId="4" borderId="0" xfId="0" applyNumberFormat="1" applyFont="1" applyFill="1" applyAlignment="1">
      <alignment vertical="center"/>
    </xf>
    <xf numFmtId="0" fontId="17" fillId="4" borderId="0" xfId="3" applyFont="1" applyFill="1" applyAlignment="1">
      <alignment horizontal="left" vertical="center"/>
    </xf>
    <xf numFmtId="0" fontId="18" fillId="4" borderId="0" xfId="3" applyFont="1" applyFill="1" applyAlignment="1">
      <alignment vertical="top"/>
    </xf>
    <xf numFmtId="3" fontId="18" fillId="4" borderId="0" xfId="0" applyNumberFormat="1" applyFont="1" applyFill="1" applyAlignment="1">
      <alignment horizontal="center"/>
    </xf>
    <xf numFmtId="0" fontId="18" fillId="4" borderId="0" xfId="3" applyFont="1" applyFill="1" applyAlignment="1">
      <alignment horizontal="left" vertical="top"/>
    </xf>
    <xf numFmtId="0" fontId="17" fillId="4" borderId="9" xfId="3" applyFont="1" applyFill="1" applyBorder="1" applyAlignment="1">
      <alignment horizontal="left" vertical="top"/>
    </xf>
    <xf numFmtId="3" fontId="18" fillId="4" borderId="9" xfId="0" applyNumberFormat="1" applyFont="1" applyFill="1" applyBorder="1" applyAlignment="1">
      <alignment horizontal="center"/>
    </xf>
    <xf numFmtId="0" fontId="19" fillId="2" borderId="5" xfId="5" applyFont="1" applyFill="1" applyBorder="1"/>
    <xf numFmtId="0" fontId="3" fillId="2" borderId="5" xfId="5" applyFill="1" applyBorder="1"/>
    <xf numFmtId="3" fontId="3" fillId="2" borderId="5" xfId="5" applyNumberFormat="1" applyFill="1" applyBorder="1"/>
    <xf numFmtId="0" fontId="3" fillId="2" borderId="0" xfId="5" applyFill="1"/>
    <xf numFmtId="0" fontId="3" fillId="0" borderId="0" xfId="5"/>
    <xf numFmtId="0" fontId="3" fillId="0" borderId="5" xfId="5" applyBorder="1"/>
    <xf numFmtId="0" fontId="1" fillId="0" borderId="5" xfId="5" applyFont="1" applyBorder="1" applyAlignment="1">
      <alignment vertical="center"/>
    </xf>
    <xf numFmtId="3" fontId="20" fillId="0" borderId="5" xfId="5" applyNumberFormat="1" applyFont="1" applyBorder="1" applyAlignment="1">
      <alignment vertical="center"/>
    </xf>
    <xf numFmtId="3" fontId="19" fillId="2" borderId="5" xfId="5" applyNumberFormat="1" applyFont="1" applyFill="1" applyBorder="1"/>
    <xf numFmtId="0" fontId="1" fillId="2" borderId="5" xfId="5" applyFont="1" applyFill="1" applyBorder="1"/>
    <xf numFmtId="3" fontId="1" fillId="2" borderId="5" xfId="5" applyNumberFormat="1" applyFont="1" applyFill="1" applyBorder="1"/>
    <xf numFmtId="0" fontId="21" fillId="0" borderId="5" xfId="5" applyFont="1" applyBorder="1" applyAlignment="1">
      <alignment wrapText="1"/>
    </xf>
    <xf numFmtId="0" fontId="1" fillId="2" borderId="0" xfId="5" applyFont="1" applyFill="1"/>
    <xf numFmtId="0" fontId="22" fillId="0" borderId="5" xfId="5" applyFont="1" applyBorder="1"/>
    <xf numFmtId="0" fontId="3" fillId="2" borderId="5" xfId="5" applyFill="1" applyBorder="1" applyAlignment="1">
      <alignment wrapText="1"/>
    </xf>
    <xf numFmtId="0" fontId="10" fillId="5" borderId="5" xfId="5" applyFont="1" applyFill="1" applyBorder="1" applyAlignment="1">
      <alignment vertical="center"/>
    </xf>
    <xf numFmtId="3" fontId="10" fillId="5" borderId="5" xfId="5" applyNumberFormat="1" applyFont="1" applyFill="1" applyBorder="1" applyAlignment="1">
      <alignment horizontal="right" vertical="center"/>
    </xf>
    <xf numFmtId="0" fontId="23" fillId="5" borderId="5" xfId="5" applyFont="1" applyFill="1" applyBorder="1" applyAlignment="1">
      <alignment vertical="center"/>
    </xf>
    <xf numFmtId="0" fontId="19" fillId="2" borderId="5" xfId="5" applyFont="1" applyFill="1" applyBorder="1" applyAlignment="1">
      <alignment vertical="center"/>
    </xf>
    <xf numFmtId="3" fontId="3" fillId="2" borderId="5" xfId="5" applyNumberFormat="1" applyFill="1" applyBorder="1" applyAlignment="1">
      <alignment horizontal="right"/>
    </xf>
    <xf numFmtId="0" fontId="8" fillId="2" borderId="5" xfId="4" applyFill="1" applyBorder="1" applyAlignment="1" applyProtection="1"/>
    <xf numFmtId="0" fontId="19" fillId="2" borderId="0" xfId="5" applyFont="1" applyFill="1"/>
    <xf numFmtId="0" fontId="0" fillId="0" borderId="10" xfId="0" applyBorder="1"/>
    <xf numFmtId="164" fontId="0" fillId="0" borderId="0" xfId="0" applyNumberFormat="1"/>
    <xf numFmtId="0" fontId="0" fillId="3" borderId="0" xfId="0" applyFill="1"/>
    <xf numFmtId="164" fontId="0" fillId="3" borderId="0" xfId="0" applyNumberFormat="1" applyFill="1"/>
    <xf numFmtId="0" fontId="0" fillId="7" borderId="0" xfId="0" applyFill="1"/>
    <xf numFmtId="164" fontId="0" fillId="7" borderId="0" xfId="0" applyNumberFormat="1" applyFill="1"/>
    <xf numFmtId="0" fontId="0" fillId="8" borderId="0" xfId="0" applyFill="1" applyAlignment="1">
      <alignment horizontal="center" vertical="center"/>
    </xf>
    <xf numFmtId="164" fontId="0" fillId="8" borderId="0" xfId="0" applyNumberFormat="1" applyFill="1" applyAlignment="1">
      <alignment horizontal="center" vertical="center"/>
    </xf>
    <xf numFmtId="0" fontId="0" fillId="8" borderId="0" xfId="0" applyFill="1"/>
    <xf numFmtId="0" fontId="0" fillId="7" borderId="10" xfId="0" applyFill="1" applyBorder="1"/>
    <xf numFmtId="0" fontId="0" fillId="3" borderId="10" xfId="0" applyFill="1" applyBorder="1"/>
    <xf numFmtId="3" fontId="18" fillId="0" borderId="0" xfId="0" applyNumberFormat="1" applyFont="1"/>
    <xf numFmtId="0" fontId="2" fillId="2" borderId="0" xfId="6" applyFont="1" applyFill="1" applyAlignment="1">
      <alignment horizontal="center" vertical="center"/>
    </xf>
    <xf numFmtId="0" fontId="2" fillId="2" borderId="0" xfId="6" applyFont="1" applyFill="1" applyAlignment="1">
      <alignment horizontal="left"/>
    </xf>
    <xf numFmtId="49" fontId="2" fillId="2" borderId="0" xfId="6" applyNumberFormat="1" applyFont="1" applyFill="1" applyAlignment="1">
      <alignment horizontal="left"/>
    </xf>
    <xf numFmtId="14" fontId="1" fillId="0" borderId="0" xfId="6" applyNumberFormat="1" applyAlignment="1">
      <alignment horizontal="left"/>
    </xf>
    <xf numFmtId="0" fontId="0" fillId="0" borderId="5" xfId="0" applyBorder="1"/>
    <xf numFmtId="0" fontId="0" fillId="0" borderId="5" xfId="0" applyBorder="1" applyAlignment="1">
      <alignment horizontal="center" vertical="center"/>
    </xf>
    <xf numFmtId="164" fontId="0" fillId="0" borderId="5" xfId="0" applyNumberFormat="1" applyBorder="1" applyAlignment="1">
      <alignment horizontal="center" vertical="center"/>
    </xf>
    <xf numFmtId="0" fontId="8" fillId="0" borderId="0" xfId="4" applyAlignment="1" applyProtection="1"/>
    <xf numFmtId="14" fontId="18" fillId="4" borderId="9" xfId="3" applyNumberFormat="1" applyFont="1" applyFill="1" applyBorder="1" applyAlignment="1">
      <alignment horizontal="left" vertical="top"/>
    </xf>
    <xf numFmtId="0" fontId="0" fillId="0" borderId="0" xfId="0" applyAlignment="1">
      <alignment horizontal="center" vertical="center"/>
    </xf>
    <xf numFmtId="0" fontId="2" fillId="0" borderId="0" xfId="0" applyFont="1"/>
    <xf numFmtId="0" fontId="0" fillId="0" borderId="0" xfId="0" applyAlignment="1">
      <alignment wrapText="1"/>
    </xf>
    <xf numFmtId="0" fontId="29" fillId="0" borderId="0" xfId="0" applyFont="1" applyAlignment="1">
      <alignment vertical="top"/>
    </xf>
    <xf numFmtId="0" fontId="2" fillId="2" borderId="18" xfId="0" applyFont="1" applyFill="1" applyBorder="1" applyAlignment="1">
      <alignment horizontal="center"/>
    </xf>
    <xf numFmtId="0" fontId="2" fillId="16" borderId="16" xfId="0" applyFont="1" applyFill="1" applyBorder="1" applyAlignment="1">
      <alignment horizontal="center" vertical="center" wrapText="1"/>
    </xf>
    <xf numFmtId="164" fontId="2" fillId="17" borderId="22" xfId="0" applyNumberFormat="1" applyFont="1" applyFill="1" applyBorder="1" applyAlignment="1">
      <alignment horizontal="center" vertical="center" wrapText="1"/>
    </xf>
    <xf numFmtId="164" fontId="2" fillId="17" borderId="22" xfId="0" applyNumberFormat="1" applyFont="1" applyFill="1" applyBorder="1" applyAlignment="1">
      <alignment horizontal="center" vertical="center"/>
    </xf>
    <xf numFmtId="164" fontId="2" fillId="13" borderId="17" xfId="0" applyNumberFormat="1" applyFont="1" applyFill="1" applyBorder="1"/>
    <xf numFmtId="164" fontId="0" fillId="13" borderId="5" xfId="0" applyNumberFormat="1" applyFill="1" applyBorder="1"/>
    <xf numFmtId="0" fontId="0" fillId="13" borderId="5" xfId="0" applyFill="1" applyBorder="1"/>
    <xf numFmtId="164" fontId="0" fillId="12" borderId="5" xfId="0" applyNumberFormat="1" applyFill="1" applyBorder="1"/>
    <xf numFmtId="164" fontId="0" fillId="27" borderId="5" xfId="0" applyNumberFormat="1" applyFill="1" applyBorder="1"/>
    <xf numFmtId="2" fontId="0" fillId="27" borderId="5" xfId="0" applyNumberFormat="1" applyFill="1" applyBorder="1"/>
    <xf numFmtId="0" fontId="0" fillId="15" borderId="5" xfId="0" applyFill="1" applyBorder="1" applyAlignment="1">
      <alignment horizontal="center" vertical="center"/>
    </xf>
    <xf numFmtId="1" fontId="0" fillId="15" borderId="5" xfId="0" applyNumberFormat="1" applyFill="1" applyBorder="1" applyAlignment="1">
      <alignment horizontal="center" vertical="center"/>
    </xf>
    <xf numFmtId="0" fontId="0" fillId="15" borderId="5" xfId="0" applyFill="1" applyBorder="1"/>
    <xf numFmtId="164" fontId="0" fillId="15" borderId="5" xfId="0" applyNumberFormat="1" applyFill="1" applyBorder="1"/>
    <xf numFmtId="164" fontId="0" fillId="14" borderId="5" xfId="0" applyNumberFormat="1" applyFill="1" applyBorder="1"/>
    <xf numFmtId="9" fontId="0" fillId="17" borderId="5" xfId="0" applyNumberFormat="1" applyFill="1" applyBorder="1" applyAlignment="1">
      <alignment wrapText="1"/>
    </xf>
    <xf numFmtId="0" fontId="2" fillId="21" borderId="16" xfId="0" applyFont="1" applyFill="1" applyBorder="1" applyAlignment="1">
      <alignment horizontal="center"/>
    </xf>
    <xf numFmtId="0" fontId="2" fillId="21" borderId="21" xfId="0" applyFont="1" applyFill="1" applyBorder="1" applyAlignment="1">
      <alignment horizontal="center"/>
    </xf>
    <xf numFmtId="164" fontId="2" fillId="15" borderId="18" xfId="0" applyNumberFormat="1" applyFont="1" applyFill="1" applyBorder="1" applyAlignment="1">
      <alignment horizontal="center"/>
    </xf>
    <xf numFmtId="164" fontId="2" fillId="15" borderId="19" xfId="0" applyNumberFormat="1" applyFont="1" applyFill="1" applyBorder="1" applyAlignment="1">
      <alignment horizontal="center"/>
    </xf>
    <xf numFmtId="164" fontId="0" fillId="11" borderId="5" xfId="0" applyNumberFormat="1" applyFill="1" applyBorder="1"/>
    <xf numFmtId="0" fontId="2" fillId="28" borderId="16" xfId="0" applyFont="1" applyFill="1" applyBorder="1" applyAlignment="1">
      <alignment horizontal="center" vertical="center" wrapText="1"/>
    </xf>
    <xf numFmtId="0" fontId="11" fillId="29" borderId="6" xfId="2" applyNumberFormat="1" applyFont="1" applyFill="1" applyBorder="1" applyAlignment="1">
      <alignment horizontal="center" vertical="center"/>
    </xf>
    <xf numFmtId="0" fontId="11" fillId="29" borderId="7" xfId="0" applyFont="1" applyFill="1" applyBorder="1" applyAlignment="1">
      <alignment horizontal="left" vertical="center"/>
    </xf>
    <xf numFmtId="49" fontId="11" fillId="29" borderId="7" xfId="0" applyNumberFormat="1" applyFont="1" applyFill="1" applyBorder="1" applyAlignment="1">
      <alignment horizontal="center" vertical="center"/>
    </xf>
    <xf numFmtId="0" fontId="9" fillId="30" borderId="6" xfId="0" applyFont="1" applyFill="1" applyBorder="1" applyAlignment="1">
      <alignment horizontal="center" vertical="center"/>
    </xf>
    <xf numFmtId="0" fontId="11" fillId="30" borderId="7" xfId="0" applyFont="1" applyFill="1" applyBorder="1"/>
    <xf numFmtId="49" fontId="9" fillId="30" borderId="7" xfId="0" applyNumberFormat="1" applyFont="1" applyFill="1" applyBorder="1"/>
    <xf numFmtId="165" fontId="0" fillId="0" borderId="0" xfId="7" applyFont="1" applyFill="1"/>
    <xf numFmtId="0" fontId="0" fillId="0" borderId="0" xfId="0" applyAlignment="1">
      <alignment vertical="top" wrapText="1"/>
    </xf>
    <xf numFmtId="0" fontId="0" fillId="0" borderId="0" xfId="0" applyAlignment="1">
      <alignment horizontal="left" vertical="top" wrapText="1"/>
    </xf>
    <xf numFmtId="0" fontId="2" fillId="0" borderId="0" xfId="0" applyFont="1" applyAlignment="1">
      <alignment vertical="center" wrapText="1"/>
    </xf>
    <xf numFmtId="0" fontId="0" fillId="19" borderId="5" xfId="0" applyFill="1" applyBorder="1"/>
    <xf numFmtId="9" fontId="0" fillId="19" borderId="5" xfId="0" applyNumberFormat="1" applyFill="1" applyBorder="1"/>
    <xf numFmtId="164" fontId="0" fillId="19" borderId="5" xfId="0" applyNumberFormat="1" applyFill="1" applyBorder="1"/>
    <xf numFmtId="164" fontId="0" fillId="31" borderId="5" xfId="0" applyNumberFormat="1" applyFill="1" applyBorder="1"/>
    <xf numFmtId="9" fontId="0" fillId="0" borderId="0" xfId="0" applyNumberFormat="1" applyAlignment="1">
      <alignment horizontal="center" vertical="center"/>
    </xf>
    <xf numFmtId="0" fontId="0" fillId="0" borderId="0" xfId="0" applyAlignment="1">
      <alignment horizontal="center" vertical="center" wrapText="1"/>
    </xf>
    <xf numFmtId="0" fontId="2" fillId="0" borderId="0" xfId="0" applyFont="1" applyAlignment="1">
      <alignment vertical="center"/>
    </xf>
    <xf numFmtId="164" fontId="28" fillId="26" borderId="2" xfId="1" applyNumberFormat="1" applyFont="1" applyFill="1" applyBorder="1" applyAlignment="1">
      <alignment horizontal="center" vertical="center" wrapText="1"/>
    </xf>
    <xf numFmtId="0" fontId="8" fillId="0" borderId="13" xfId="4" applyBorder="1" applyAlignment="1" applyProtection="1"/>
    <xf numFmtId="0" fontId="2" fillId="0" borderId="11" xfId="0" applyFont="1" applyBorder="1"/>
    <xf numFmtId="164" fontId="0" fillId="9" borderId="5" xfId="0" applyNumberFormat="1" applyFill="1" applyBorder="1"/>
    <xf numFmtId="164" fontId="2" fillId="2" borderId="19" xfId="0" applyNumberFormat="1" applyFont="1" applyFill="1" applyBorder="1"/>
    <xf numFmtId="164" fontId="0" fillId="8" borderId="27" xfId="0" applyNumberFormat="1" applyFill="1" applyBorder="1" applyAlignment="1">
      <alignment horizontal="center" vertical="center" wrapText="1"/>
    </xf>
    <xf numFmtId="164" fontId="2" fillId="0" borderId="19" xfId="0" applyNumberFormat="1" applyFont="1" applyBorder="1"/>
    <xf numFmtId="0" fontId="2" fillId="27" borderId="17" xfId="0" applyFont="1" applyFill="1" applyBorder="1"/>
    <xf numFmtId="2" fontId="2" fillId="2" borderId="18" xfId="0" applyNumberFormat="1" applyFont="1" applyFill="1" applyBorder="1"/>
    <xf numFmtId="2" fontId="2" fillId="27" borderId="18" xfId="0" applyNumberFormat="1" applyFont="1" applyFill="1" applyBorder="1"/>
    <xf numFmtId="2" fontId="2" fillId="27" borderId="19" xfId="0" applyNumberFormat="1" applyFont="1" applyFill="1" applyBorder="1"/>
    <xf numFmtId="0" fontId="0" fillId="8" borderId="26" xfId="0" applyFill="1" applyBorder="1" applyAlignment="1">
      <alignment horizontal="center" vertical="center"/>
    </xf>
    <xf numFmtId="10" fontId="0" fillId="13" borderId="5" xfId="0" applyNumberFormat="1" applyFill="1" applyBorder="1"/>
    <xf numFmtId="0" fontId="0" fillId="0" borderId="0" xfId="0" quotePrefix="1"/>
    <xf numFmtId="164" fontId="0" fillId="35" borderId="5" xfId="0" applyNumberFormat="1" applyFill="1" applyBorder="1"/>
    <xf numFmtId="164" fontId="0" fillId="34" borderId="5" xfId="0" applyNumberFormat="1" applyFill="1" applyBorder="1"/>
    <xf numFmtId="164" fontId="2" fillId="0" borderId="0" xfId="0" applyNumberFormat="1" applyFont="1" applyAlignment="1">
      <alignment horizontal="center" vertical="center"/>
    </xf>
    <xf numFmtId="0" fontId="20" fillId="0" borderId="0" xfId="0" applyFont="1" applyAlignment="1">
      <alignment wrapText="1"/>
    </xf>
    <xf numFmtId="10" fontId="30" fillId="0" borderId="4" xfId="0" applyNumberFormat="1" applyFont="1" applyBorder="1"/>
    <xf numFmtId="10" fontId="30" fillId="13" borderId="2" xfId="0" applyNumberFormat="1" applyFont="1" applyFill="1" applyBorder="1"/>
    <xf numFmtId="10" fontId="30" fillId="2" borderId="4" xfId="0" applyNumberFormat="1" applyFont="1" applyFill="1" applyBorder="1"/>
    <xf numFmtId="164" fontId="30" fillId="27" borderId="2" xfId="0" applyNumberFormat="1" applyFont="1" applyFill="1" applyBorder="1"/>
    <xf numFmtId="164" fontId="30" fillId="2" borderId="3" xfId="0" applyNumberFormat="1" applyFont="1" applyFill="1" applyBorder="1"/>
    <xf numFmtId="164" fontId="30" fillId="27" borderId="3" xfId="0" applyNumberFormat="1" applyFont="1" applyFill="1" applyBorder="1"/>
    <xf numFmtId="2" fontId="30" fillId="2" borderId="3" xfId="0" applyNumberFormat="1" applyFont="1" applyFill="1" applyBorder="1"/>
    <xf numFmtId="2" fontId="30" fillId="27" borderId="4" xfId="0" applyNumberFormat="1" applyFont="1" applyFill="1" applyBorder="1"/>
    <xf numFmtId="164" fontId="0" fillId="25" borderId="5" xfId="0" applyNumberFormat="1" applyFill="1" applyBorder="1"/>
    <xf numFmtId="0" fontId="25" fillId="33" borderId="6" xfId="0" applyFont="1" applyFill="1" applyBorder="1" applyAlignment="1">
      <alignment horizontal="center" vertical="center"/>
    </xf>
    <xf numFmtId="0" fontId="25" fillId="33" borderId="7" xfId="0" applyFont="1" applyFill="1" applyBorder="1" applyAlignment="1">
      <alignment horizontal="left" vertical="center"/>
    </xf>
    <xf numFmtId="0" fontId="25" fillId="33" borderId="7" xfId="0" applyFont="1" applyFill="1" applyBorder="1" applyAlignment="1">
      <alignment vertical="center"/>
    </xf>
    <xf numFmtId="164" fontId="0" fillId="7" borderId="5" xfId="0" applyNumberFormat="1" applyFill="1" applyBorder="1"/>
    <xf numFmtId="0" fontId="3" fillId="2" borderId="5" xfId="5" quotePrefix="1" applyFill="1" applyBorder="1"/>
    <xf numFmtId="164" fontId="28" fillId="26" borderId="17" xfId="1" applyNumberFormat="1" applyFont="1" applyFill="1" applyBorder="1" applyAlignment="1">
      <alignment horizontal="center" vertical="center" wrapText="1"/>
    </xf>
    <xf numFmtId="164" fontId="0" fillId="8" borderId="0" xfId="0" applyNumberFormat="1" applyFill="1" applyAlignment="1">
      <alignment horizontal="center" vertical="center" wrapText="1"/>
    </xf>
    <xf numFmtId="9" fontId="0" fillId="0" borderId="0" xfId="0" applyNumberFormat="1"/>
    <xf numFmtId="164" fontId="2" fillId="45" borderId="21" xfId="0" applyNumberFormat="1" applyFont="1" applyFill="1" applyBorder="1" applyAlignment="1">
      <alignment horizontal="center" vertical="center"/>
    </xf>
    <xf numFmtId="14" fontId="0" fillId="0" borderId="0" xfId="0" applyNumberFormat="1"/>
    <xf numFmtId="0" fontId="0" fillId="8" borderId="10" xfId="0" applyFill="1" applyBorder="1" applyAlignment="1">
      <alignment horizontal="left" vertical="center"/>
    </xf>
    <xf numFmtId="9" fontId="0" fillId="0" borderId="0" xfId="8" applyFont="1"/>
    <xf numFmtId="0" fontId="3" fillId="8" borderId="11" xfId="5" applyFill="1" applyBorder="1"/>
    <xf numFmtId="0" fontId="3" fillId="8" borderId="12" xfId="5" applyFill="1" applyBorder="1"/>
    <xf numFmtId="0" fontId="3" fillId="8" borderId="13" xfId="5" applyFill="1" applyBorder="1"/>
    <xf numFmtId="0" fontId="9" fillId="4" borderId="5" xfId="1" applyNumberFormat="1" applyFont="1" applyFill="1" applyBorder="1" applyAlignment="1">
      <alignment horizontal="center" vertical="center"/>
    </xf>
    <xf numFmtId="164" fontId="0" fillId="45" borderId="5" xfId="0" applyNumberFormat="1" applyFill="1" applyBorder="1"/>
    <xf numFmtId="164" fontId="30" fillId="15" borderId="3" xfId="0" applyNumberFormat="1" applyFont="1" applyFill="1" applyBorder="1" applyAlignment="1">
      <alignment horizontal="center"/>
    </xf>
    <xf numFmtId="164" fontId="30" fillId="2" borderId="3" xfId="0" applyNumberFormat="1" applyFont="1" applyFill="1" applyBorder="1" applyAlignment="1">
      <alignment horizontal="center"/>
    </xf>
    <xf numFmtId="164" fontId="30" fillId="15" borderId="4" xfId="0" applyNumberFormat="1" applyFont="1" applyFill="1" applyBorder="1" applyAlignment="1">
      <alignment horizontal="center"/>
    </xf>
    <xf numFmtId="164" fontId="0" fillId="46" borderId="5" xfId="0" applyNumberFormat="1" applyFill="1" applyBorder="1"/>
    <xf numFmtId="164" fontId="2" fillId="46" borderId="21" xfId="0" applyNumberFormat="1" applyFont="1" applyFill="1" applyBorder="1" applyAlignment="1">
      <alignment horizontal="center" vertical="center"/>
    </xf>
    <xf numFmtId="0" fontId="32" fillId="2" borderId="0" xfId="5" applyFont="1" applyFill="1" applyAlignment="1">
      <alignment vertical="center"/>
    </xf>
    <xf numFmtId="49" fontId="3" fillId="2" borderId="0" xfId="5" applyNumberFormat="1" applyFill="1"/>
    <xf numFmtId="0" fontId="3" fillId="0" borderId="48" xfId="5" applyBorder="1"/>
    <xf numFmtId="0" fontId="32" fillId="2" borderId="0" xfId="5" applyFont="1" applyFill="1" applyAlignment="1">
      <alignment horizontal="left" vertical="center"/>
    </xf>
    <xf numFmtId="0" fontId="24" fillId="0" borderId="0" xfId="3" applyFont="1" applyAlignment="1">
      <alignment vertical="top"/>
    </xf>
    <xf numFmtId="0" fontId="24" fillId="4" borderId="0" xfId="3" applyFont="1" applyFill="1" applyAlignment="1">
      <alignment vertical="top"/>
    </xf>
    <xf numFmtId="0" fontId="33" fillId="4" borderId="0" xfId="3" applyFont="1" applyFill="1" applyAlignment="1">
      <alignment horizontal="left" vertical="center"/>
    </xf>
    <xf numFmtId="0" fontId="34" fillId="4" borderId="0" xfId="3" applyFont="1" applyFill="1" applyAlignment="1">
      <alignment horizontal="left" vertical="center"/>
    </xf>
    <xf numFmtId="3" fontId="35" fillId="2" borderId="5" xfId="5" applyNumberFormat="1" applyFont="1" applyFill="1" applyBorder="1" applyAlignment="1">
      <alignment horizontal="center" vertical="center"/>
    </xf>
    <xf numFmtId="0" fontId="36" fillId="2" borderId="0" xfId="5" applyFont="1" applyFill="1"/>
    <xf numFmtId="0" fontId="37" fillId="2" borderId="0" xfId="5" applyFont="1" applyFill="1"/>
    <xf numFmtId="0" fontId="37" fillId="2" borderId="6" xfId="5" applyFont="1" applyFill="1" applyBorder="1" applyAlignment="1">
      <alignment horizontal="left" vertical="center" wrapText="1"/>
    </xf>
    <xf numFmtId="3" fontId="37" fillId="2" borderId="5" xfId="5" applyNumberFormat="1" applyFont="1" applyFill="1" applyBorder="1" applyAlignment="1">
      <alignment horizontal="center" vertical="center"/>
    </xf>
    <xf numFmtId="0" fontId="37" fillId="2" borderId="0" xfId="5" applyFont="1" applyFill="1" applyAlignment="1">
      <alignment horizontal="left"/>
    </xf>
    <xf numFmtId="0" fontId="36" fillId="2" borderId="0" xfId="5" applyFont="1" applyFill="1" applyAlignment="1">
      <alignment vertical="center"/>
    </xf>
    <xf numFmtId="0" fontId="37" fillId="2" borderId="0" xfId="5" applyFont="1" applyFill="1" applyAlignment="1">
      <alignment vertical="center"/>
    </xf>
    <xf numFmtId="0" fontId="36" fillId="2" borderId="35" xfId="5" applyFont="1" applyFill="1" applyBorder="1" applyAlignment="1">
      <alignment horizontal="center" vertical="center" wrapText="1"/>
    </xf>
    <xf numFmtId="0" fontId="36" fillId="2" borderId="47" xfId="5" applyFont="1" applyFill="1" applyBorder="1" applyAlignment="1">
      <alignment horizontal="center" vertical="center" wrapText="1"/>
    </xf>
    <xf numFmtId="0" fontId="37" fillId="2" borderId="48" xfId="5" applyFont="1" applyFill="1" applyBorder="1" applyAlignment="1">
      <alignment horizontal="center" vertical="center" wrapText="1"/>
    </xf>
    <xf numFmtId="0" fontId="37" fillId="2" borderId="49" xfId="5" applyFont="1" applyFill="1" applyBorder="1" applyAlignment="1">
      <alignment horizontal="center" vertical="center" wrapText="1"/>
    </xf>
    <xf numFmtId="0" fontId="37" fillId="2" borderId="50" xfId="5" applyFont="1" applyFill="1" applyBorder="1" applyAlignment="1">
      <alignment horizontal="center" vertical="center" wrapText="1"/>
    </xf>
    <xf numFmtId="0" fontId="37" fillId="2" borderId="53" xfId="5" applyFont="1" applyFill="1" applyBorder="1" applyAlignment="1">
      <alignment horizontal="center" vertical="center" wrapText="1"/>
    </xf>
    <xf numFmtId="0" fontId="37" fillId="2" borderId="33" xfId="5" applyFont="1" applyFill="1" applyBorder="1" applyAlignment="1">
      <alignment vertical="center"/>
    </xf>
    <xf numFmtId="0" fontId="37" fillId="2" borderId="33" xfId="5" applyFont="1" applyFill="1" applyBorder="1"/>
    <xf numFmtId="0" fontId="17" fillId="2" borderId="5" xfId="5" applyFont="1" applyFill="1" applyBorder="1" applyAlignment="1">
      <alignment vertical="center" wrapText="1"/>
    </xf>
    <xf numFmtId="0" fontId="17" fillId="2" borderId="5" xfId="5" applyFont="1" applyFill="1" applyBorder="1" applyAlignment="1">
      <alignment horizontal="center" vertical="center" wrapText="1"/>
    </xf>
    <xf numFmtId="0" fontId="18" fillId="2" borderId="5" xfId="5" applyFont="1" applyFill="1" applyBorder="1" applyAlignment="1">
      <alignment vertical="center" wrapText="1"/>
    </xf>
    <xf numFmtId="0" fontId="18" fillId="2" borderId="5" xfId="5" applyFont="1" applyFill="1" applyBorder="1" applyAlignment="1">
      <alignment horizontal="center" vertical="center" wrapText="1"/>
    </xf>
    <xf numFmtId="14" fontId="18" fillId="2" borderId="5" xfId="5" applyNumberFormat="1" applyFont="1" applyFill="1" applyBorder="1" applyAlignment="1">
      <alignment horizontal="center" vertical="center" wrapText="1"/>
    </xf>
    <xf numFmtId="3" fontId="37" fillId="0" borderId="54" xfId="5" applyNumberFormat="1" applyFont="1" applyBorder="1" applyAlignment="1">
      <alignment horizontal="center"/>
    </xf>
    <xf numFmtId="0" fontId="35" fillId="2" borderId="6" xfId="5" applyFont="1" applyFill="1" applyBorder="1" applyAlignment="1">
      <alignment horizontal="left" vertical="center" wrapText="1"/>
    </xf>
    <xf numFmtId="0" fontId="35" fillId="2" borderId="41" xfId="5" applyFont="1" applyFill="1" applyBorder="1" applyAlignment="1">
      <alignment horizontal="center" vertical="center" wrapText="1"/>
    </xf>
    <xf numFmtId="0" fontId="36" fillId="2" borderId="48" xfId="5" applyFont="1" applyFill="1" applyBorder="1" applyAlignment="1">
      <alignment horizontal="center" vertical="center" wrapText="1"/>
    </xf>
    <xf numFmtId="0" fontId="36" fillId="2" borderId="49" xfId="5" applyFont="1" applyFill="1" applyBorder="1" applyAlignment="1">
      <alignment horizontal="center" vertical="center" wrapText="1"/>
    </xf>
    <xf numFmtId="164" fontId="2" fillId="22" borderId="28" xfId="0" applyNumberFormat="1" applyFont="1" applyFill="1" applyBorder="1" applyAlignment="1">
      <alignment horizontal="center" vertical="center"/>
    </xf>
    <xf numFmtId="0" fontId="8" fillId="0" borderId="5" xfId="4" applyBorder="1" applyAlignment="1" applyProtection="1"/>
    <xf numFmtId="0" fontId="39" fillId="4" borderId="0" xfId="3" applyFont="1" applyFill="1" applyAlignment="1">
      <alignment horizontal="left" vertical="top"/>
    </xf>
    <xf numFmtId="0" fontId="40" fillId="4" borderId="0" xfId="3" applyFont="1" applyFill="1" applyAlignment="1">
      <alignment horizontal="left" vertical="top"/>
    </xf>
    <xf numFmtId="0" fontId="18" fillId="48" borderId="0" xfId="3" applyFont="1" applyFill="1" applyAlignment="1">
      <alignment vertical="top"/>
    </xf>
    <xf numFmtId="0" fontId="18" fillId="48" borderId="0" xfId="3" applyFont="1" applyFill="1" applyAlignment="1">
      <alignment horizontal="center" vertical="top"/>
    </xf>
    <xf numFmtId="3" fontId="18" fillId="48" borderId="0" xfId="0" applyNumberFormat="1" applyFont="1" applyFill="1" applyAlignment="1">
      <alignment horizontal="center"/>
    </xf>
    <xf numFmtId="0" fontId="0" fillId="2" borderId="0" xfId="0" applyFill="1"/>
    <xf numFmtId="14" fontId="18" fillId="48" borderId="9" xfId="3" applyNumberFormat="1" applyFont="1" applyFill="1" applyBorder="1" applyAlignment="1">
      <alignment horizontal="left" vertical="top"/>
    </xf>
    <xf numFmtId="3" fontId="18" fillId="48" borderId="9" xfId="0" applyNumberFormat="1" applyFont="1" applyFill="1" applyBorder="1" applyAlignment="1">
      <alignment horizontal="center"/>
    </xf>
    <xf numFmtId="0" fontId="41" fillId="2" borderId="0" xfId="5" applyFont="1" applyFill="1"/>
    <xf numFmtId="0" fontId="0" fillId="0" borderId="14" xfId="0" applyBorder="1"/>
    <xf numFmtId="0" fontId="0" fillId="13" borderId="14" xfId="0" applyFill="1" applyBorder="1"/>
    <xf numFmtId="164" fontId="0" fillId="13" borderId="14" xfId="0" applyNumberFormat="1" applyFill="1" applyBorder="1"/>
    <xf numFmtId="164" fontId="0" fillId="12" borderId="14" xfId="0" applyNumberFormat="1" applyFill="1" applyBorder="1"/>
    <xf numFmtId="164" fontId="0" fillId="27" borderId="14" xfId="0" applyNumberFormat="1" applyFill="1" applyBorder="1"/>
    <xf numFmtId="2" fontId="0" fillId="27" borderId="14" xfId="0" applyNumberFormat="1" applyFill="1" applyBorder="1"/>
    <xf numFmtId="164" fontId="0" fillId="11" borderId="14" xfId="0" applyNumberFormat="1" applyFill="1" applyBorder="1"/>
    <xf numFmtId="164" fontId="0" fillId="9" borderId="14" xfId="0" applyNumberFormat="1" applyFill="1" applyBorder="1"/>
    <xf numFmtId="0" fontId="0" fillId="15" borderId="14" xfId="0" applyFill="1" applyBorder="1" applyAlignment="1">
      <alignment horizontal="center" vertical="center"/>
    </xf>
    <xf numFmtId="1" fontId="0" fillId="15" borderId="14" xfId="0" applyNumberFormat="1" applyFill="1" applyBorder="1" applyAlignment="1">
      <alignment horizontal="center" vertical="center"/>
    </xf>
    <xf numFmtId="0" fontId="0" fillId="15" borderId="14" xfId="0" applyFill="1" applyBorder="1"/>
    <xf numFmtId="164" fontId="0" fillId="15" borderId="14" xfId="0" applyNumberFormat="1" applyFill="1" applyBorder="1"/>
    <xf numFmtId="164" fontId="0" fillId="14" borderId="14" xfId="0" applyNumberFormat="1" applyFill="1" applyBorder="1"/>
    <xf numFmtId="164" fontId="0" fillId="25" borderId="14" xfId="0" applyNumberFormat="1" applyFill="1" applyBorder="1"/>
    <xf numFmtId="9" fontId="0" fillId="17" borderId="14" xfId="0" applyNumberFormat="1" applyFill="1" applyBorder="1" applyAlignment="1">
      <alignment wrapText="1"/>
    </xf>
    <xf numFmtId="164" fontId="0" fillId="35" borderId="14" xfId="0" applyNumberFormat="1" applyFill="1" applyBorder="1"/>
    <xf numFmtId="164" fontId="0" fillId="34" borderId="14" xfId="0" applyNumberFormat="1" applyFill="1" applyBorder="1"/>
    <xf numFmtId="164" fontId="0" fillId="45" borderId="14" xfId="0" applyNumberFormat="1" applyFill="1" applyBorder="1"/>
    <xf numFmtId="164" fontId="0" fillId="46" borderId="14" xfId="0" applyNumberFormat="1" applyFill="1" applyBorder="1"/>
    <xf numFmtId="164" fontId="0" fillId="7" borderId="14" xfId="0" applyNumberFormat="1" applyFill="1" applyBorder="1"/>
    <xf numFmtId="0" fontId="0" fillId="19" borderId="14" xfId="0" applyFill="1" applyBorder="1"/>
    <xf numFmtId="164" fontId="0" fillId="19" borderId="14" xfId="0" applyNumberFormat="1" applyFill="1" applyBorder="1"/>
    <xf numFmtId="9" fontId="0" fillId="19" borderId="14" xfId="0" applyNumberFormat="1" applyFill="1" applyBorder="1"/>
    <xf numFmtId="164" fontId="0" fillId="31" borderId="14" xfId="0" applyNumberFormat="1" applyFill="1" applyBorder="1"/>
    <xf numFmtId="0" fontId="2" fillId="12" borderId="19" xfId="0" applyFont="1" applyFill="1" applyBorder="1" applyAlignment="1">
      <alignment horizontal="center" vertical="center" wrapText="1"/>
    </xf>
    <xf numFmtId="164" fontId="2" fillId="13" borderId="55" xfId="0" applyNumberFormat="1" applyFont="1" applyFill="1" applyBorder="1" applyAlignment="1">
      <alignment horizontal="center" vertical="center"/>
    </xf>
    <xf numFmtId="164" fontId="2" fillId="11" borderId="56" xfId="0" applyNumberFormat="1" applyFont="1" applyFill="1" applyBorder="1" applyAlignment="1">
      <alignment horizontal="center" vertical="center" wrapText="1"/>
    </xf>
    <xf numFmtId="164" fontId="2" fillId="27" borderId="4" xfId="0" applyNumberFormat="1" applyFont="1" applyFill="1" applyBorder="1" applyAlignment="1">
      <alignment horizontal="center" vertical="center"/>
    </xf>
    <xf numFmtId="0" fontId="2" fillId="33" borderId="19" xfId="0" applyFont="1" applyFill="1" applyBorder="1" applyAlignment="1">
      <alignment horizontal="center" vertical="center" wrapText="1"/>
    </xf>
    <xf numFmtId="164" fontId="2" fillId="10" borderId="4" xfId="0" applyNumberFormat="1" applyFont="1" applyFill="1" applyBorder="1" applyAlignment="1">
      <alignment horizontal="center" vertical="center"/>
    </xf>
    <xf numFmtId="0" fontId="2" fillId="21" borderId="19" xfId="0" applyFont="1" applyFill="1" applyBorder="1" applyAlignment="1">
      <alignment horizontal="center" vertical="center" wrapText="1"/>
    </xf>
    <xf numFmtId="164" fontId="2" fillId="15" borderId="4" xfId="0" applyNumberFormat="1" applyFont="1" applyFill="1" applyBorder="1" applyAlignment="1">
      <alignment horizontal="center" vertical="center"/>
    </xf>
    <xf numFmtId="0" fontId="2" fillId="24" borderId="19" xfId="0" applyFont="1" applyFill="1" applyBorder="1" applyAlignment="1">
      <alignment horizontal="center" vertical="center" wrapText="1"/>
    </xf>
    <xf numFmtId="164" fontId="2" fillId="43" borderId="55" xfId="0" applyNumberFormat="1" applyFont="1" applyFill="1" applyBorder="1" applyAlignment="1">
      <alignment horizontal="center" vertical="center"/>
    </xf>
    <xf numFmtId="0" fontId="2" fillId="16" borderId="19" xfId="0" applyFont="1" applyFill="1" applyBorder="1" applyAlignment="1">
      <alignment horizontal="center" vertical="center" wrapText="1"/>
    </xf>
    <xf numFmtId="164" fontId="2" fillId="17" borderId="55" xfId="0" applyNumberFormat="1" applyFont="1" applyFill="1" applyBorder="1" applyAlignment="1">
      <alignment horizontal="center" vertical="center" wrapText="1"/>
    </xf>
    <xf numFmtId="164" fontId="2" fillId="17" borderId="55" xfId="0" applyNumberFormat="1" applyFont="1" applyFill="1" applyBorder="1" applyAlignment="1">
      <alignment horizontal="center" vertical="center"/>
    </xf>
    <xf numFmtId="0" fontId="2" fillId="28" borderId="19" xfId="0" applyFont="1" applyFill="1" applyBorder="1" applyAlignment="1">
      <alignment horizontal="center" vertical="center" wrapText="1"/>
    </xf>
    <xf numFmtId="164" fontId="2" fillId="22" borderId="55" xfId="0" applyNumberFormat="1" applyFont="1" applyFill="1" applyBorder="1" applyAlignment="1">
      <alignment horizontal="center" vertical="center"/>
    </xf>
    <xf numFmtId="164" fontId="2" fillId="3" borderId="4" xfId="0" applyNumberFormat="1" applyFont="1" applyFill="1" applyBorder="1" applyAlignment="1">
      <alignment horizontal="center" vertical="center"/>
    </xf>
    <xf numFmtId="0" fontId="2" fillId="18" borderId="19" xfId="0" applyFont="1" applyFill="1" applyBorder="1" applyAlignment="1">
      <alignment horizontal="center" vertical="center"/>
    </xf>
    <xf numFmtId="164" fontId="2" fillId="19" borderId="58" xfId="0" applyNumberFormat="1" applyFont="1" applyFill="1" applyBorder="1" applyAlignment="1">
      <alignment horizontal="center" vertical="center"/>
    </xf>
    <xf numFmtId="9" fontId="2" fillId="19" borderId="56" xfId="0" applyNumberFormat="1" applyFont="1" applyFill="1" applyBorder="1" applyAlignment="1">
      <alignment horizontal="center" vertical="center"/>
    </xf>
    <xf numFmtId="164" fontId="2" fillId="19" borderId="56" xfId="0" applyNumberFormat="1" applyFont="1" applyFill="1" applyBorder="1" applyAlignment="1">
      <alignment horizontal="center" vertical="center"/>
    </xf>
    <xf numFmtId="164" fontId="2" fillId="31" borderId="55" xfId="0" applyNumberFormat="1" applyFont="1" applyFill="1" applyBorder="1" applyAlignment="1">
      <alignment horizontal="center" vertical="center"/>
    </xf>
    <xf numFmtId="0" fontId="44" fillId="0" borderId="0" xfId="0" applyFont="1"/>
    <xf numFmtId="0" fontId="29" fillId="0" borderId="0" xfId="0" applyFont="1" applyAlignment="1">
      <alignment vertical="center"/>
    </xf>
    <xf numFmtId="49" fontId="9" fillId="4" borderId="0" xfId="0" applyNumberFormat="1" applyFont="1" applyFill="1" applyAlignment="1">
      <alignment horizontal="center" vertical="center"/>
    </xf>
    <xf numFmtId="0" fontId="9" fillId="4" borderId="0" xfId="1" applyNumberFormat="1" applyFont="1" applyFill="1" applyBorder="1" applyAlignment="1">
      <alignment horizontal="center" vertical="center"/>
    </xf>
    <xf numFmtId="166" fontId="9" fillId="4" borderId="0" xfId="1" applyNumberFormat="1" applyFont="1" applyFill="1" applyBorder="1" applyAlignment="1">
      <alignment horizontal="center" vertical="center"/>
    </xf>
    <xf numFmtId="164" fontId="29" fillId="0" borderId="0" xfId="0" applyNumberFormat="1" applyFont="1" applyAlignment="1">
      <alignment horizontal="right" vertical="center"/>
    </xf>
    <xf numFmtId="164" fontId="48" fillId="16" borderId="5" xfId="1" applyNumberFormat="1" applyFont="1" applyFill="1" applyBorder="1" applyAlignment="1">
      <alignment horizontal="center" vertical="center" wrapText="1"/>
    </xf>
    <xf numFmtId="0" fontId="47" fillId="31" borderId="5" xfId="0" applyFont="1" applyFill="1" applyBorder="1" applyAlignment="1">
      <alignment horizontal="center" vertical="center" wrapText="1"/>
    </xf>
    <xf numFmtId="0" fontId="47" fillId="2" borderId="0" xfId="6" applyFont="1" applyFill="1" applyAlignment="1">
      <alignment horizontal="center" vertical="center"/>
    </xf>
    <xf numFmtId="0" fontId="47" fillId="2" borderId="0" xfId="6" applyFont="1" applyFill="1" applyAlignment="1">
      <alignment horizontal="left"/>
    </xf>
    <xf numFmtId="14" fontId="44" fillId="0" borderId="0" xfId="6" applyNumberFormat="1" applyFont="1" applyAlignment="1">
      <alignment horizontal="left"/>
    </xf>
    <xf numFmtId="0" fontId="50" fillId="0" borderId="0" xfId="0" applyFont="1"/>
    <xf numFmtId="14" fontId="44" fillId="0" borderId="0" xfId="0" applyNumberFormat="1" applyFont="1" applyAlignment="1">
      <alignment horizontal="left"/>
    </xf>
    <xf numFmtId="0" fontId="47" fillId="0" borderId="0" xfId="0" applyFont="1"/>
    <xf numFmtId="0" fontId="44" fillId="0" borderId="0" xfId="0" applyFont="1" applyAlignment="1">
      <alignment horizontal="left"/>
    </xf>
    <xf numFmtId="0" fontId="44" fillId="0" borderId="0" xfId="0" applyFont="1" applyAlignment="1">
      <alignment vertical="top" wrapText="1"/>
    </xf>
    <xf numFmtId="0" fontId="51" fillId="0" borderId="0" xfId="0" applyFont="1" applyAlignment="1">
      <alignment vertical="center"/>
    </xf>
    <xf numFmtId="0" fontId="51" fillId="0" borderId="0" xfId="0" applyFont="1"/>
    <xf numFmtId="164" fontId="51" fillId="0" borderId="0" xfId="0" applyNumberFormat="1" applyFont="1" applyAlignment="1">
      <alignment vertical="center"/>
    </xf>
    <xf numFmtId="164" fontId="0" fillId="0" borderId="5" xfId="0" applyNumberFormat="1" applyBorder="1"/>
    <xf numFmtId="9" fontId="0" fillId="0" borderId="5" xfId="0" applyNumberFormat="1" applyBorder="1"/>
    <xf numFmtId="8" fontId="0" fillId="0" borderId="5" xfId="0" applyNumberFormat="1" applyBorder="1"/>
    <xf numFmtId="0" fontId="0" fillId="8" borderId="0" xfId="0" applyFill="1" applyAlignment="1">
      <alignment horizontal="right"/>
    </xf>
    <xf numFmtId="0" fontId="0" fillId="7" borderId="0" xfId="0" applyFill="1" applyAlignment="1">
      <alignment horizontal="right"/>
    </xf>
    <xf numFmtId="9" fontId="0" fillId="0" borderId="5" xfId="0" applyNumberFormat="1" applyBorder="1" applyAlignment="1">
      <alignment horizontal="right"/>
    </xf>
    <xf numFmtId="4" fontId="0" fillId="0" borderId="0" xfId="0" applyNumberFormat="1"/>
    <xf numFmtId="8" fontId="0" fillId="0" borderId="0" xfId="0" applyNumberFormat="1"/>
    <xf numFmtId="8" fontId="0" fillId="0" borderId="10" xfId="0" applyNumberFormat="1" applyBorder="1"/>
    <xf numFmtId="8" fontId="0" fillId="0" borderId="5" xfId="0" applyNumberFormat="1" applyBorder="1" applyAlignment="1">
      <alignment horizontal="right"/>
    </xf>
    <xf numFmtId="164" fontId="0" fillId="2" borderId="5" xfId="0" applyNumberFormat="1" applyFill="1" applyBorder="1" applyAlignment="1">
      <alignment horizontal="center"/>
    </xf>
    <xf numFmtId="0" fontId="52" fillId="2" borderId="5" xfId="0" applyFont="1" applyFill="1" applyBorder="1" applyAlignment="1">
      <alignment horizontal="center" vertical="top" wrapText="1"/>
    </xf>
    <xf numFmtId="9" fontId="0" fillId="13" borderId="5" xfId="0" applyNumberFormat="1" applyFill="1" applyBorder="1"/>
    <xf numFmtId="0" fontId="25" fillId="0" borderId="5" xfId="0" applyFont="1" applyBorder="1"/>
    <xf numFmtId="0" fontId="0" fillId="0" borderId="5" xfId="0" applyBorder="1" applyAlignment="1">
      <alignment horizontal="center"/>
    </xf>
    <xf numFmtId="0" fontId="0" fillId="0" borderId="6" xfId="0" applyBorder="1" applyAlignment="1">
      <alignment horizontal="center"/>
    </xf>
    <xf numFmtId="0" fontId="0" fillId="8" borderId="5" xfId="0" applyFill="1" applyBorder="1" applyAlignment="1">
      <alignment horizontal="left" vertical="center"/>
    </xf>
    <xf numFmtId="0" fontId="0" fillId="8" borderId="5" xfId="0" applyFill="1" applyBorder="1"/>
    <xf numFmtId="0" fontId="0" fillId="49" borderId="5" xfId="0" applyFill="1" applyBorder="1"/>
    <xf numFmtId="0" fontId="0" fillId="0" borderId="5" xfId="0" applyBorder="1" applyAlignment="1" applyProtection="1">
      <alignment horizontal="center"/>
      <protection locked="0"/>
    </xf>
    <xf numFmtId="0" fontId="0" fillId="0" borderId="5" xfId="0" applyBorder="1" applyProtection="1">
      <protection locked="0"/>
    </xf>
    <xf numFmtId="9" fontId="0" fillId="0" borderId="5" xfId="0" applyNumberFormat="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0" borderId="0" xfId="0" applyProtection="1">
      <protection locked="0"/>
    </xf>
    <xf numFmtId="0" fontId="0" fillId="0" borderId="29" xfId="0" applyBorder="1" applyAlignment="1">
      <alignment horizontal="center"/>
    </xf>
    <xf numFmtId="0" fontId="0" fillId="8" borderId="8" xfId="0" applyFill="1" applyBorder="1" applyAlignment="1">
      <alignment horizontal="center" vertical="center"/>
    </xf>
    <xf numFmtId="0" fontId="0" fillId="0" borderId="8" xfId="0" applyBorder="1" applyAlignment="1">
      <alignment horizontal="left"/>
    </xf>
    <xf numFmtId="0" fontId="0" fillId="8" borderId="6" xfId="0" applyFill="1" applyBorder="1"/>
    <xf numFmtId="0" fontId="0" fillId="8" borderId="34" xfId="0" applyFill="1" applyBorder="1" applyAlignment="1">
      <alignment horizontal="center" vertical="center"/>
    </xf>
    <xf numFmtId="0" fontId="0" fillId="8" borderId="15" xfId="0" applyFill="1" applyBorder="1" applyAlignment="1">
      <alignment horizontal="left" vertical="center"/>
    </xf>
    <xf numFmtId="0" fontId="0" fillId="8" borderId="15" xfId="0" applyFill="1" applyBorder="1"/>
    <xf numFmtId="0" fontId="0" fillId="8" borderId="32" xfId="0" applyFill="1" applyBorder="1"/>
    <xf numFmtId="0" fontId="0" fillId="0" borderId="31" xfId="0" applyBorder="1" applyAlignment="1">
      <alignment horizontal="left"/>
    </xf>
    <xf numFmtId="0" fontId="0" fillId="0" borderId="14" xfId="0" applyBorder="1" applyAlignment="1" applyProtection="1">
      <alignment horizontal="center"/>
      <protection locked="0"/>
    </xf>
    <xf numFmtId="0" fontId="0" fillId="0" borderId="14" xfId="0" applyBorder="1" applyAlignment="1">
      <alignment horizontal="center"/>
    </xf>
    <xf numFmtId="9" fontId="0" fillId="0" borderId="14" xfId="0" applyNumberFormat="1" applyBorder="1" applyAlignment="1">
      <alignment horizontal="center"/>
    </xf>
    <xf numFmtId="0" fontId="0" fillId="8" borderId="5" xfId="0" applyFill="1" applyBorder="1" applyAlignment="1">
      <alignment horizontal="center" vertical="center"/>
    </xf>
    <xf numFmtId="0" fontId="0" fillId="0" borderId="5" xfId="0" applyBorder="1" applyAlignment="1">
      <alignment horizontal="left"/>
    </xf>
    <xf numFmtId="0" fontId="0" fillId="50" borderId="5" xfId="0" applyFill="1" applyBorder="1" applyAlignment="1">
      <alignment horizontal="left"/>
    </xf>
    <xf numFmtId="0" fontId="0" fillId="50" borderId="5" xfId="0" applyFill="1" applyBorder="1"/>
    <xf numFmtId="0" fontId="0" fillId="50" borderId="5" xfId="0" applyFill="1" applyBorder="1" applyAlignment="1">
      <alignment horizontal="center"/>
    </xf>
    <xf numFmtId="9" fontId="0" fillId="50" borderId="5" xfId="0" applyNumberFormat="1" applyFill="1" applyBorder="1" applyAlignment="1">
      <alignment horizontal="center"/>
    </xf>
    <xf numFmtId="0" fontId="25" fillId="50" borderId="5" xfId="0" applyFont="1" applyFill="1" applyBorder="1"/>
    <xf numFmtId="0" fontId="48" fillId="2" borderId="5" xfId="0" applyFont="1" applyFill="1" applyBorder="1" applyAlignment="1">
      <alignment horizontal="center" vertical="top" wrapText="1"/>
    </xf>
    <xf numFmtId="0" fontId="48" fillId="2" borderId="5" xfId="0" applyFont="1" applyFill="1" applyBorder="1" applyAlignment="1">
      <alignment horizontal="left" vertical="top" wrapText="1"/>
    </xf>
    <xf numFmtId="0" fontId="52" fillId="2" borderId="15" xfId="0" applyFont="1" applyFill="1" applyBorder="1" applyAlignment="1">
      <alignment horizontal="center" vertical="top" wrapText="1"/>
    </xf>
    <xf numFmtId="0" fontId="53" fillId="51" borderId="5" xfId="0" applyFont="1" applyFill="1" applyBorder="1" applyAlignment="1">
      <alignment horizontal="left" vertical="top" wrapText="1"/>
    </xf>
    <xf numFmtId="0" fontId="52" fillId="2" borderId="5" xfId="0" applyFont="1" applyFill="1" applyBorder="1" applyAlignment="1">
      <alignment horizontal="left" vertical="top" wrapText="1"/>
    </xf>
    <xf numFmtId="9" fontId="52" fillId="2" borderId="5" xfId="0" applyNumberFormat="1" applyFont="1" applyFill="1" applyBorder="1" applyAlignment="1">
      <alignment horizontal="left" vertical="top" wrapText="1"/>
    </xf>
    <xf numFmtId="0" fontId="20" fillId="2" borderId="5" xfId="0" applyFont="1" applyFill="1" applyBorder="1" applyAlignment="1">
      <alignment horizontal="left" vertical="top" wrapText="1"/>
    </xf>
    <xf numFmtId="0" fontId="28" fillId="2" borderId="5" xfId="0" applyFont="1" applyFill="1" applyBorder="1" applyAlignment="1">
      <alignment horizontal="left" vertical="top" wrapText="1"/>
    </xf>
    <xf numFmtId="0" fontId="54" fillId="2" borderId="5" xfId="0" applyFont="1" applyFill="1" applyBorder="1" applyAlignment="1">
      <alignment horizontal="left" vertical="top" wrapText="1"/>
    </xf>
    <xf numFmtId="0" fontId="20" fillId="0" borderId="59" xfId="0" applyFont="1" applyBorder="1" applyAlignment="1">
      <alignment horizontal="left" vertical="top" wrapText="1"/>
    </xf>
    <xf numFmtId="0" fontId="52" fillId="0" borderId="59" xfId="0" applyFont="1" applyBorder="1" applyAlignment="1">
      <alignment horizontal="left" vertical="top" wrapText="1"/>
    </xf>
    <xf numFmtId="0" fontId="56" fillId="0" borderId="59" xfId="0" applyFont="1" applyBorder="1" applyAlignment="1">
      <alignment horizontal="left" wrapText="1"/>
    </xf>
    <xf numFmtId="0" fontId="57" fillId="0" borderId="59" xfId="0" applyFont="1" applyBorder="1" applyAlignment="1">
      <alignment horizontal="left" wrapText="1"/>
    </xf>
    <xf numFmtId="0" fontId="52" fillId="2" borderId="10" xfId="0" applyFont="1" applyFill="1" applyBorder="1" applyAlignment="1">
      <alignment horizontal="center" vertical="top" wrapText="1"/>
    </xf>
    <xf numFmtId="0" fontId="58" fillId="52" borderId="60" xfId="0" applyFont="1" applyFill="1" applyBorder="1" applyAlignment="1">
      <alignment vertical="top" wrapText="1"/>
    </xf>
    <xf numFmtId="0" fontId="0" fillId="0" borderId="60" xfId="0" applyBorder="1" applyAlignment="1">
      <alignment wrapText="1"/>
    </xf>
    <xf numFmtId="0" fontId="0" fillId="0" borderId="0" xfId="0" applyAlignment="1">
      <alignment horizontal="left" vertical="top"/>
    </xf>
    <xf numFmtId="0" fontId="58" fillId="52" borderId="61" xfId="0" applyFont="1" applyFill="1" applyBorder="1" applyAlignment="1">
      <alignment vertical="top" wrapText="1"/>
    </xf>
    <xf numFmtId="0" fontId="52" fillId="2" borderId="32" xfId="0" applyFont="1" applyFill="1" applyBorder="1" applyAlignment="1">
      <alignment horizontal="center" vertical="top" wrapText="1"/>
    </xf>
    <xf numFmtId="0" fontId="52" fillId="16" borderId="5" xfId="0" applyFont="1" applyFill="1" applyBorder="1" applyAlignment="1">
      <alignment horizontal="left" vertical="top" wrapText="1"/>
    </xf>
    <xf numFmtId="0" fontId="52" fillId="2" borderId="8" xfId="0" applyFont="1" applyFill="1" applyBorder="1" applyAlignment="1">
      <alignment horizontal="left" vertical="top" wrapText="1"/>
    </xf>
    <xf numFmtId="164" fontId="0" fillId="2" borderId="5" xfId="0" applyNumberFormat="1" applyFill="1" applyBorder="1" applyAlignment="1">
      <alignment horizontal="center" vertical="center"/>
    </xf>
    <xf numFmtId="0" fontId="48" fillId="51" borderId="29" xfId="0" applyFont="1" applyFill="1" applyBorder="1" applyAlignment="1">
      <alignment vertical="top" wrapText="1"/>
    </xf>
    <xf numFmtId="0" fontId="48" fillId="51" borderId="30" xfId="0" applyFont="1" applyFill="1" applyBorder="1" applyAlignment="1">
      <alignment vertical="top" wrapText="1"/>
    </xf>
    <xf numFmtId="0" fontId="48" fillId="51" borderId="31" xfId="0" applyFont="1" applyFill="1" applyBorder="1" applyAlignment="1">
      <alignment vertical="top" wrapText="1"/>
    </xf>
    <xf numFmtId="0" fontId="48" fillId="51" borderId="7" xfId="0" applyFont="1" applyFill="1" applyBorder="1" applyAlignment="1">
      <alignment vertical="top" wrapText="1"/>
    </xf>
    <xf numFmtId="0" fontId="48" fillId="51" borderId="8" xfId="0" applyFont="1" applyFill="1" applyBorder="1" applyAlignment="1">
      <alignment vertical="top" wrapText="1"/>
    </xf>
    <xf numFmtId="0" fontId="53" fillId="51" borderId="6" xfId="0" applyFont="1" applyFill="1" applyBorder="1" applyAlignment="1">
      <alignment vertical="top" wrapText="1"/>
    </xf>
    <xf numFmtId="0" fontId="53" fillId="51" borderId="8" xfId="0" applyFont="1" applyFill="1" applyBorder="1" applyAlignment="1">
      <alignment vertical="top" wrapText="1"/>
    </xf>
    <xf numFmtId="0" fontId="28" fillId="51" borderId="6" xfId="0" applyFont="1" applyFill="1" applyBorder="1" applyAlignment="1">
      <alignment vertical="top" wrapText="1"/>
    </xf>
    <xf numFmtId="0" fontId="28" fillId="51" borderId="8" xfId="0" applyFont="1" applyFill="1" applyBorder="1" applyAlignment="1">
      <alignment vertical="top" wrapText="1"/>
    </xf>
    <xf numFmtId="0" fontId="63" fillId="49" borderId="62" xfId="0" applyFont="1" applyFill="1" applyBorder="1" applyAlignment="1">
      <alignment horizontal="center" vertical="top" wrapText="1"/>
    </xf>
    <xf numFmtId="0" fontId="25" fillId="49" borderId="63" xfId="0" applyFont="1" applyFill="1" applyBorder="1" applyAlignment="1">
      <alignment horizontal="center" vertical="top" wrapText="1"/>
    </xf>
    <xf numFmtId="0" fontId="63" fillId="49" borderId="63" xfId="0" applyFont="1" applyFill="1" applyBorder="1" applyAlignment="1">
      <alignment horizontal="center" vertical="top" wrapText="1"/>
    </xf>
    <xf numFmtId="0" fontId="63" fillId="49" borderId="64" xfId="0" applyFont="1" applyFill="1" applyBorder="1" applyAlignment="1">
      <alignment horizontal="center" vertical="center"/>
    </xf>
    <xf numFmtId="0" fontId="0" fillId="49" borderId="64" xfId="0" applyFill="1" applyBorder="1" applyAlignment="1">
      <alignment wrapText="1"/>
    </xf>
    <xf numFmtId="22" fontId="0" fillId="0" borderId="65" xfId="0" applyNumberFormat="1" applyBorder="1" applyAlignment="1">
      <alignment horizontal="right" wrapText="1"/>
    </xf>
    <xf numFmtId="0" fontId="0" fillId="0" borderId="66" xfId="0" applyBorder="1" applyAlignment="1">
      <alignment wrapText="1"/>
    </xf>
    <xf numFmtId="0" fontId="25" fillId="0" borderId="66" xfId="0" applyFont="1" applyBorder="1" applyAlignment="1">
      <alignment wrapText="1"/>
    </xf>
    <xf numFmtId="0" fontId="2" fillId="0" borderId="66" xfId="0" applyFont="1" applyBorder="1" applyAlignment="1">
      <alignment wrapText="1"/>
    </xf>
    <xf numFmtId="0" fontId="0" fillId="0" borderId="66" xfId="0" applyBorder="1" applyAlignment="1">
      <alignment horizontal="right" wrapText="1"/>
    </xf>
    <xf numFmtId="0" fontId="0" fillId="0" borderId="67" xfId="0" applyBorder="1" applyAlignment="1">
      <alignment wrapText="1"/>
    </xf>
    <xf numFmtId="0" fontId="8" fillId="0" borderId="66" xfId="4" applyBorder="1" applyAlignment="1" applyProtection="1">
      <alignment wrapText="1"/>
    </xf>
    <xf numFmtId="0" fontId="25" fillId="0" borderId="68" xfId="0" applyFont="1" applyBorder="1" applyAlignment="1">
      <alignment vertical="center" wrapText="1"/>
    </xf>
    <xf numFmtId="0" fontId="0" fillId="0" borderId="68" xfId="0" applyBorder="1" applyAlignment="1">
      <alignment vertical="center" wrapText="1"/>
    </xf>
    <xf numFmtId="49" fontId="12" fillId="4" borderId="0" xfId="0" applyNumberFormat="1" applyFont="1" applyFill="1" applyAlignment="1">
      <alignment horizontal="left" vertical="center" wrapText="1"/>
    </xf>
    <xf numFmtId="49" fontId="6" fillId="4" borderId="0" xfId="0" applyNumberFormat="1" applyFont="1" applyFill="1" applyAlignment="1">
      <alignment horizontal="left" vertical="center"/>
    </xf>
    <xf numFmtId="0" fontId="26" fillId="9" borderId="14" xfId="1" applyNumberFormat="1" applyFont="1" applyFill="1" applyBorder="1" applyAlignment="1">
      <alignment horizontal="center" vertical="center"/>
    </xf>
    <xf numFmtId="0" fontId="26" fillId="9" borderId="10" xfId="1" applyNumberFormat="1" applyFont="1" applyFill="1" applyBorder="1" applyAlignment="1">
      <alignment horizontal="center" vertical="center"/>
    </xf>
    <xf numFmtId="0" fontId="26" fillId="9" borderId="15" xfId="1" applyNumberFormat="1" applyFont="1" applyFill="1" applyBorder="1" applyAlignment="1">
      <alignment horizontal="center" vertical="center"/>
    </xf>
    <xf numFmtId="0" fontId="26" fillId="9" borderId="14" xfId="1" applyNumberFormat="1" applyFont="1" applyFill="1" applyBorder="1" applyAlignment="1">
      <alignment horizontal="center" vertical="center" wrapText="1"/>
    </xf>
    <xf numFmtId="0" fontId="26" fillId="9" borderId="10" xfId="1" applyNumberFormat="1" applyFont="1" applyFill="1" applyBorder="1" applyAlignment="1">
      <alignment horizontal="center" vertical="center" wrapText="1"/>
    </xf>
    <xf numFmtId="0" fontId="26" fillId="9" borderId="15" xfId="1" applyNumberFormat="1" applyFont="1" applyFill="1" applyBorder="1" applyAlignment="1">
      <alignment horizontal="center" vertical="center" wrapText="1"/>
    </xf>
    <xf numFmtId="3" fontId="18" fillId="48" borderId="0" xfId="0" applyNumberFormat="1" applyFont="1" applyFill="1" applyAlignment="1">
      <alignment horizont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3" fontId="18" fillId="48" borderId="0" xfId="0" applyNumberFormat="1" applyFont="1" applyFill="1" applyAlignment="1">
      <alignment horizontal="center" vertical="center"/>
    </xf>
    <xf numFmtId="0" fontId="24" fillId="4" borderId="0" xfId="3" applyFont="1" applyFill="1" applyAlignment="1">
      <alignment horizontal="center" vertical="center"/>
    </xf>
    <xf numFmtId="49" fontId="6" fillId="4" borderId="0" xfId="0" applyNumberFormat="1" applyFont="1" applyFill="1" applyAlignment="1">
      <alignment horizontal="left" vertical="center" wrapText="1"/>
    </xf>
    <xf numFmtId="0" fontId="0" fillId="0" borderId="0" xfId="0" applyAlignment="1">
      <alignment horizontal="center" vertical="top" wrapText="1"/>
    </xf>
    <xf numFmtId="0" fontId="26" fillId="9" borderId="29" xfId="1" applyNumberFormat="1" applyFont="1" applyFill="1" applyBorder="1" applyAlignment="1">
      <alignment horizontal="center" vertical="center"/>
    </xf>
    <xf numFmtId="0" fontId="26" fillId="9" borderId="30" xfId="1" applyNumberFormat="1" applyFont="1" applyFill="1" applyBorder="1" applyAlignment="1">
      <alignment horizontal="center" vertical="center"/>
    </xf>
    <xf numFmtId="0" fontId="26" fillId="9" borderId="31" xfId="1" applyNumberFormat="1" applyFont="1" applyFill="1" applyBorder="1" applyAlignment="1">
      <alignment horizontal="center" vertical="center"/>
    </xf>
    <xf numFmtId="0" fontId="26" fillId="9" borderId="27" xfId="1" applyNumberFormat="1" applyFont="1" applyFill="1" applyBorder="1" applyAlignment="1">
      <alignment horizontal="center" vertical="center"/>
    </xf>
    <xf numFmtId="0" fontId="26" fillId="9" borderId="0" xfId="1" applyNumberFormat="1" applyFont="1" applyFill="1" applyBorder="1" applyAlignment="1">
      <alignment horizontal="center" vertical="center"/>
    </xf>
    <xf numFmtId="0" fontId="26" fillId="9" borderId="26" xfId="1" applyNumberFormat="1" applyFont="1" applyFill="1" applyBorder="1" applyAlignment="1">
      <alignment horizontal="center" vertical="center"/>
    </xf>
    <xf numFmtId="0" fontId="26" fillId="9" borderId="32" xfId="1" applyNumberFormat="1" applyFont="1" applyFill="1" applyBorder="1" applyAlignment="1">
      <alignment horizontal="center" vertical="center"/>
    </xf>
    <xf numFmtId="0" fontId="26" fillId="9" borderId="33" xfId="1" applyNumberFormat="1" applyFont="1" applyFill="1" applyBorder="1" applyAlignment="1">
      <alignment horizontal="center" vertical="center"/>
    </xf>
    <xf numFmtId="0" fontId="26" fillId="9" borderId="34" xfId="1" applyNumberFormat="1" applyFont="1" applyFill="1" applyBorder="1" applyAlignment="1">
      <alignment horizontal="center" vertical="center"/>
    </xf>
    <xf numFmtId="0" fontId="37" fillId="2" borderId="27" xfId="5" applyFont="1" applyFill="1" applyBorder="1" applyAlignment="1">
      <alignment horizontal="center" vertical="center" wrapText="1"/>
    </xf>
    <xf numFmtId="0" fontId="37" fillId="2" borderId="0" xfId="5" applyFont="1" applyFill="1" applyAlignment="1">
      <alignment horizontal="center" vertical="center" wrapText="1"/>
    </xf>
    <xf numFmtId="0" fontId="37" fillId="2" borderId="26" xfId="5" applyFont="1" applyFill="1" applyBorder="1" applyAlignment="1">
      <alignment horizontal="center" vertical="center" wrapText="1"/>
    </xf>
    <xf numFmtId="0" fontId="37" fillId="2" borderId="51" xfId="5" applyFont="1" applyFill="1" applyBorder="1" applyAlignment="1">
      <alignment horizontal="center" vertical="center" wrapText="1"/>
    </xf>
    <xf numFmtId="0" fontId="37" fillId="2" borderId="9" xfId="5" applyFont="1" applyFill="1" applyBorder="1" applyAlignment="1">
      <alignment horizontal="center" vertical="center" wrapText="1"/>
    </xf>
    <xf numFmtId="0" fontId="37" fillId="2" borderId="52" xfId="5" applyFont="1" applyFill="1" applyBorder="1" applyAlignment="1">
      <alignment horizontal="center" vertical="center" wrapText="1"/>
    </xf>
    <xf numFmtId="0" fontId="37" fillId="2" borderId="0" xfId="5" applyFont="1" applyFill="1" applyAlignment="1">
      <alignment horizontal="left" vertical="center" wrapText="1"/>
    </xf>
    <xf numFmtId="0" fontId="37" fillId="2" borderId="40" xfId="5" applyFont="1" applyFill="1" applyBorder="1" applyAlignment="1">
      <alignment horizontal="left" vertical="center" wrapText="1"/>
    </xf>
    <xf numFmtId="0" fontId="37" fillId="2" borderId="5" xfId="5" applyFont="1" applyFill="1" applyBorder="1" applyAlignment="1">
      <alignment horizontal="left" vertical="center" wrapText="1"/>
    </xf>
    <xf numFmtId="0" fontId="37" fillId="2" borderId="6" xfId="5" applyFont="1" applyFill="1" applyBorder="1" applyAlignment="1">
      <alignment horizontal="left" vertical="center" wrapText="1"/>
    </xf>
    <xf numFmtId="0" fontId="37" fillId="2" borderId="7" xfId="5" applyFont="1" applyFill="1" applyBorder="1" applyAlignment="1">
      <alignment horizontal="left" vertical="center" wrapText="1"/>
    </xf>
    <xf numFmtId="0" fontId="37" fillId="2" borderId="41" xfId="5" applyFont="1" applyFill="1" applyBorder="1" applyAlignment="1">
      <alignment horizontal="left" vertical="center" wrapText="1"/>
    </xf>
    <xf numFmtId="0" fontId="37" fillId="2" borderId="42" xfId="5" applyFont="1" applyFill="1" applyBorder="1" applyAlignment="1">
      <alignment horizontal="left" vertical="center" wrapText="1"/>
    </xf>
    <xf numFmtId="0" fontId="37" fillId="2" borderId="43" xfId="5" applyFont="1" applyFill="1" applyBorder="1" applyAlignment="1">
      <alignment horizontal="left" vertical="center" wrapText="1"/>
    </xf>
    <xf numFmtId="0" fontId="37" fillId="2" borderId="44" xfId="5" applyFont="1" applyFill="1" applyBorder="1" applyAlignment="1">
      <alignment horizontal="left" vertical="center" wrapText="1"/>
    </xf>
    <xf numFmtId="0" fontId="37" fillId="2" borderId="45" xfId="5" applyFont="1" applyFill="1" applyBorder="1" applyAlignment="1">
      <alignment horizontal="left" vertical="center" wrapText="1"/>
    </xf>
    <xf numFmtId="0" fontId="37" fillId="2" borderId="46" xfId="5" applyFont="1" applyFill="1" applyBorder="1" applyAlignment="1">
      <alignment horizontal="left" vertical="center" wrapText="1"/>
    </xf>
    <xf numFmtId="0" fontId="36" fillId="2" borderId="36" xfId="5" applyFont="1" applyFill="1" applyBorder="1" applyAlignment="1">
      <alignment horizontal="center" vertical="center" wrapText="1"/>
    </xf>
    <xf numFmtId="0" fontId="37" fillId="2" borderId="35" xfId="5" applyFont="1" applyFill="1" applyBorder="1" applyAlignment="1">
      <alignment horizontal="left" vertical="center" wrapText="1"/>
    </xf>
    <xf numFmtId="0" fontId="37" fillId="2" borderId="36" xfId="5" applyFont="1" applyFill="1" applyBorder="1" applyAlignment="1">
      <alignment horizontal="left" vertical="center" wrapText="1"/>
    </xf>
    <xf numFmtId="0" fontId="37" fillId="2" borderId="37" xfId="5" applyFont="1" applyFill="1" applyBorder="1" applyAlignment="1">
      <alignment horizontal="left" vertical="center" wrapText="1"/>
    </xf>
    <xf numFmtId="0" fontId="37" fillId="2" borderId="38" xfId="5" applyFont="1" applyFill="1" applyBorder="1" applyAlignment="1">
      <alignment horizontal="left" vertical="center" wrapText="1"/>
    </xf>
    <xf numFmtId="0" fontId="37" fillId="2" borderId="39" xfId="5" applyFont="1" applyFill="1" applyBorder="1" applyAlignment="1">
      <alignment horizontal="left" vertical="center" wrapText="1"/>
    </xf>
    <xf numFmtId="0" fontId="35" fillId="2" borderId="40" xfId="5" applyFont="1" applyFill="1" applyBorder="1" applyAlignment="1">
      <alignment horizontal="left" vertical="center" wrapText="1"/>
    </xf>
    <xf numFmtId="0" fontId="35" fillId="2" borderId="5" xfId="5" applyFont="1" applyFill="1" applyBorder="1" applyAlignment="1">
      <alignment horizontal="left" vertical="center" wrapText="1"/>
    </xf>
    <xf numFmtId="0" fontId="35" fillId="2" borderId="6" xfId="5" applyFont="1" applyFill="1" applyBorder="1" applyAlignment="1">
      <alignment horizontal="left" vertical="center" wrapText="1"/>
    </xf>
    <xf numFmtId="0" fontId="35" fillId="2" borderId="7" xfId="5" applyFont="1" applyFill="1" applyBorder="1" applyAlignment="1">
      <alignment horizontal="left" vertical="center" wrapText="1"/>
    </xf>
    <xf numFmtId="0" fontId="35" fillId="2" borderId="41" xfId="5" applyFont="1" applyFill="1" applyBorder="1" applyAlignment="1">
      <alignment horizontal="left" vertical="center" wrapText="1"/>
    </xf>
    <xf numFmtId="0" fontId="36" fillId="2" borderId="29" xfId="5" applyFont="1" applyFill="1" applyBorder="1" applyAlignment="1">
      <alignment horizontal="center" vertical="center" wrapText="1"/>
    </xf>
    <xf numFmtId="0" fontId="36" fillId="2" borderId="30" xfId="5" applyFont="1" applyFill="1" applyBorder="1" applyAlignment="1">
      <alignment horizontal="center" vertical="center" wrapText="1"/>
    </xf>
    <xf numFmtId="0" fontId="36" fillId="2" borderId="31" xfId="5" applyFont="1" applyFill="1" applyBorder="1" applyAlignment="1">
      <alignment horizontal="center" vertical="center" wrapText="1"/>
    </xf>
    <xf numFmtId="0" fontId="31" fillId="2" borderId="29" xfId="5" applyFont="1" applyFill="1" applyBorder="1" applyAlignment="1">
      <alignment horizontal="center" vertical="center" wrapText="1"/>
    </xf>
    <xf numFmtId="0" fontId="31" fillId="2" borderId="27" xfId="5" applyFont="1" applyFill="1" applyBorder="1" applyAlignment="1">
      <alignment horizontal="center" vertical="center" wrapText="1"/>
    </xf>
    <xf numFmtId="0" fontId="31" fillId="2" borderId="32" xfId="5" applyFont="1" applyFill="1" applyBorder="1" applyAlignment="1">
      <alignment horizontal="center" vertical="center" wrapText="1"/>
    </xf>
    <xf numFmtId="0" fontId="38" fillId="2" borderId="30" xfId="5" applyFont="1" applyFill="1" applyBorder="1" applyAlignment="1">
      <alignment horizontal="center" vertical="center" wrapText="1"/>
    </xf>
    <xf numFmtId="0" fontId="38" fillId="2" borderId="31" xfId="5" applyFont="1" applyFill="1" applyBorder="1" applyAlignment="1">
      <alignment horizontal="center" vertical="center" wrapText="1"/>
    </xf>
    <xf numFmtId="0" fontId="38" fillId="2" borderId="0" xfId="5" applyFont="1" applyFill="1" applyAlignment="1">
      <alignment horizontal="center" vertical="center" wrapText="1"/>
    </xf>
    <xf numFmtId="0" fontId="38" fillId="2" borderId="26" xfId="5" applyFont="1" applyFill="1" applyBorder="1" applyAlignment="1">
      <alignment horizontal="center" vertical="center" wrapText="1"/>
    </xf>
    <xf numFmtId="0" fontId="38" fillId="2" borderId="33" xfId="5" applyFont="1" applyFill="1" applyBorder="1" applyAlignment="1">
      <alignment horizontal="center" vertical="center" wrapText="1"/>
    </xf>
    <xf numFmtId="0" fontId="38" fillId="2" borderId="34" xfId="5" applyFont="1" applyFill="1" applyBorder="1" applyAlignment="1">
      <alignment horizontal="center" vertical="center" wrapText="1"/>
    </xf>
    <xf numFmtId="0" fontId="35" fillId="2" borderId="35" xfId="5" applyFont="1" applyFill="1" applyBorder="1" applyAlignment="1">
      <alignment horizontal="left" vertical="center" wrapText="1"/>
    </xf>
    <xf numFmtId="0" fontId="35" fillId="2" borderId="36" xfId="5" applyFont="1" applyFill="1" applyBorder="1" applyAlignment="1">
      <alignment horizontal="left" vertical="center" wrapText="1"/>
    </xf>
    <xf numFmtId="0" fontId="35" fillId="2" borderId="37" xfId="5" applyFont="1" applyFill="1" applyBorder="1" applyAlignment="1">
      <alignment horizontal="left" vertical="center" wrapText="1"/>
    </xf>
    <xf numFmtId="0" fontId="35" fillId="2" borderId="38" xfId="5" applyFont="1" applyFill="1" applyBorder="1" applyAlignment="1">
      <alignment horizontal="left" vertical="center" wrapText="1"/>
    </xf>
    <xf numFmtId="0" fontId="35" fillId="2" borderId="39" xfId="5" applyFont="1" applyFill="1" applyBorder="1" applyAlignment="1">
      <alignment horizontal="left" vertical="center" wrapText="1"/>
    </xf>
    <xf numFmtId="3" fontId="37" fillId="2" borderId="6" xfId="5" applyNumberFormat="1" applyFont="1" applyFill="1" applyBorder="1" applyAlignment="1">
      <alignment horizontal="left" vertical="center" wrapText="1"/>
    </xf>
    <xf numFmtId="3" fontId="37" fillId="2" borderId="7" xfId="5" applyNumberFormat="1" applyFont="1" applyFill="1" applyBorder="1" applyAlignment="1">
      <alignment horizontal="left" vertical="center" wrapText="1"/>
    </xf>
    <xf numFmtId="3" fontId="37" fillId="2" borderId="41" xfId="5" applyNumberFormat="1" applyFont="1" applyFill="1" applyBorder="1" applyAlignment="1">
      <alignment horizontal="left" vertical="center" wrapText="1"/>
    </xf>
    <xf numFmtId="49" fontId="35" fillId="2" borderId="6" xfId="5" applyNumberFormat="1" applyFont="1" applyFill="1" applyBorder="1" applyAlignment="1">
      <alignment horizontal="left" vertical="center" wrapText="1"/>
    </xf>
    <xf numFmtId="49" fontId="35" fillId="2" borderId="7" xfId="5" applyNumberFormat="1" applyFont="1" applyFill="1" applyBorder="1" applyAlignment="1">
      <alignment horizontal="left" vertical="center" wrapText="1"/>
    </xf>
    <xf numFmtId="49" fontId="35" fillId="2" borderId="41" xfId="5" applyNumberFormat="1" applyFont="1" applyFill="1" applyBorder="1" applyAlignment="1">
      <alignment horizontal="left" vertical="center" wrapText="1"/>
    </xf>
    <xf numFmtId="0" fontId="35" fillId="2" borderId="42" xfId="5" applyFont="1" applyFill="1" applyBorder="1" applyAlignment="1">
      <alignment horizontal="left" vertical="center" wrapText="1"/>
    </xf>
    <xf numFmtId="0" fontId="35" fillId="2" borderId="43" xfId="5" applyFont="1" applyFill="1" applyBorder="1" applyAlignment="1">
      <alignment horizontal="left" vertical="center" wrapText="1"/>
    </xf>
    <xf numFmtId="0" fontId="35" fillId="2" borderId="44" xfId="5" applyFont="1" applyFill="1" applyBorder="1" applyAlignment="1">
      <alignment horizontal="left" vertical="center" wrapText="1"/>
    </xf>
    <xf numFmtId="0" fontId="35" fillId="2" borderId="45" xfId="5" applyFont="1" applyFill="1" applyBorder="1" applyAlignment="1">
      <alignment horizontal="left" vertical="center" wrapText="1"/>
    </xf>
    <xf numFmtId="0" fontId="35" fillId="2" borderId="46" xfId="5" applyFont="1" applyFill="1" applyBorder="1" applyAlignment="1">
      <alignment horizontal="left" vertical="center" wrapText="1"/>
    </xf>
    <xf numFmtId="0" fontId="2" fillId="39" borderId="20" xfId="0" applyFont="1" applyFill="1" applyBorder="1" applyAlignment="1">
      <alignment horizontal="center" vertical="center" wrapText="1"/>
    </xf>
    <xf numFmtId="0" fontId="2" fillId="39" borderId="23" xfId="0" applyFont="1" applyFill="1" applyBorder="1" applyAlignment="1">
      <alignment horizontal="center" vertical="center" wrapText="1"/>
    </xf>
    <xf numFmtId="3" fontId="18" fillId="4" borderId="0" xfId="0" applyNumberFormat="1" applyFont="1" applyFill="1" applyAlignment="1">
      <alignment horizontal="center"/>
    </xf>
    <xf numFmtId="0" fontId="2" fillId="32" borderId="5" xfId="0" applyFont="1" applyFill="1" applyBorder="1" applyAlignment="1">
      <alignment horizontal="center" vertical="center"/>
    </xf>
    <xf numFmtId="0" fontId="47" fillId="31" borderId="5" xfId="0" applyFont="1" applyFill="1" applyBorder="1" applyAlignment="1">
      <alignment horizontal="center" vertical="center"/>
    </xf>
    <xf numFmtId="0" fontId="47" fillId="31" borderId="5" xfId="0" applyFont="1" applyFill="1" applyBorder="1" applyAlignment="1">
      <alignment horizontal="center" vertical="center" wrapText="1"/>
    </xf>
    <xf numFmtId="9" fontId="49" fillId="31" borderId="5" xfId="0" applyNumberFormat="1" applyFont="1" applyFill="1" applyBorder="1" applyAlignment="1">
      <alignment horizontal="center" vertical="center" wrapText="1"/>
    </xf>
    <xf numFmtId="0" fontId="47" fillId="18" borderId="5" xfId="0" applyFont="1" applyFill="1" applyBorder="1" applyAlignment="1">
      <alignment horizontal="center" vertical="center" wrapText="1"/>
    </xf>
    <xf numFmtId="0" fontId="46" fillId="9" borderId="14" xfId="1" applyNumberFormat="1" applyFont="1" applyFill="1" applyBorder="1" applyAlignment="1">
      <alignment horizontal="center" vertical="center"/>
    </xf>
    <xf numFmtId="0" fontId="46" fillId="9" borderId="10" xfId="1" applyNumberFormat="1" applyFont="1" applyFill="1" applyBorder="1" applyAlignment="1">
      <alignment horizontal="center" vertical="center"/>
    </xf>
    <xf numFmtId="0" fontId="46" fillId="9" borderId="15" xfId="1" applyNumberFormat="1" applyFont="1" applyFill="1" applyBorder="1" applyAlignment="1">
      <alignment horizontal="center" vertical="center"/>
    </xf>
    <xf numFmtId="0" fontId="46" fillId="9" borderId="14" xfId="1" applyNumberFormat="1" applyFont="1" applyFill="1" applyBorder="1" applyAlignment="1">
      <alignment horizontal="center" vertical="center" wrapText="1"/>
    </xf>
    <xf numFmtId="0" fontId="46" fillId="9" borderId="10" xfId="1" applyNumberFormat="1" applyFont="1" applyFill="1" applyBorder="1" applyAlignment="1">
      <alignment horizontal="center" vertical="center" wrapText="1"/>
    </xf>
    <xf numFmtId="0" fontId="46" fillId="9" borderId="15" xfId="1" applyNumberFormat="1" applyFont="1" applyFill="1" applyBorder="1" applyAlignment="1">
      <alignment horizontal="center" vertical="center" wrapText="1"/>
    </xf>
    <xf numFmtId="164" fontId="48" fillId="12" borderId="5" xfId="1" applyNumberFormat="1" applyFont="1" applyFill="1" applyBorder="1" applyAlignment="1">
      <alignment horizontal="center" vertical="center" wrapText="1"/>
    </xf>
    <xf numFmtId="164" fontId="48" fillId="21" borderId="5" xfId="1" applyNumberFormat="1" applyFont="1" applyFill="1" applyBorder="1" applyAlignment="1">
      <alignment horizontal="center" vertical="center" wrapText="1"/>
    </xf>
    <xf numFmtId="0" fontId="28" fillId="37" borderId="5" xfId="0" applyFont="1" applyFill="1" applyBorder="1" applyAlignment="1">
      <alignment horizontal="center" vertical="center" wrapText="1"/>
    </xf>
    <xf numFmtId="6" fontId="47" fillId="6" borderId="5" xfId="0" applyNumberFormat="1" applyFont="1" applyFill="1" applyBorder="1" applyAlignment="1">
      <alignment horizontal="center" vertical="center" wrapText="1"/>
    </xf>
    <xf numFmtId="0" fontId="47" fillId="34" borderId="14" xfId="0" applyFont="1" applyFill="1" applyBorder="1" applyAlignment="1">
      <alignment horizontal="center" vertical="center"/>
    </xf>
    <xf numFmtId="0" fontId="47" fillId="34" borderId="10" xfId="0" applyFont="1" applyFill="1" applyBorder="1" applyAlignment="1">
      <alignment horizontal="center" vertical="center"/>
    </xf>
    <xf numFmtId="0" fontId="47" fillId="34" borderId="15" xfId="0" applyFont="1" applyFill="1" applyBorder="1" applyAlignment="1">
      <alignment horizontal="center" vertical="center"/>
    </xf>
    <xf numFmtId="164" fontId="2" fillId="8" borderId="1" xfId="0" applyNumberFormat="1" applyFont="1" applyFill="1" applyBorder="1" applyAlignment="1">
      <alignment horizontal="center"/>
    </xf>
    <xf numFmtId="164" fontId="2" fillId="8" borderId="2" xfId="0" applyNumberFormat="1" applyFont="1" applyFill="1" applyBorder="1" applyAlignment="1">
      <alignment horizontal="center"/>
    </xf>
    <xf numFmtId="164" fontId="2" fillId="8" borderId="20" xfId="0" applyNumberFormat="1" applyFont="1" applyFill="1" applyBorder="1" applyAlignment="1">
      <alignment horizontal="center"/>
    </xf>
    <xf numFmtId="164" fontId="2" fillId="8" borderId="21" xfId="0" applyNumberFormat="1" applyFont="1" applyFill="1" applyBorder="1" applyAlignment="1">
      <alignment horizontal="center"/>
    </xf>
    <xf numFmtId="0" fontId="47" fillId="20" borderId="5" xfId="0" applyFont="1" applyFill="1" applyBorder="1" applyAlignment="1">
      <alignment horizontal="center" wrapText="1"/>
    </xf>
    <xf numFmtId="167" fontId="49" fillId="16" borderId="5" xfId="0" applyNumberFormat="1" applyFont="1" applyFill="1" applyBorder="1" applyAlignment="1">
      <alignment horizontal="center" vertical="center"/>
    </xf>
    <xf numFmtId="0" fontId="2" fillId="23" borderId="20" xfId="0" applyFont="1" applyFill="1" applyBorder="1" applyAlignment="1">
      <alignment horizontal="center"/>
    </xf>
    <xf numFmtId="0" fontId="2" fillId="23" borderId="21" xfId="0" applyFont="1" applyFill="1" applyBorder="1" applyAlignment="1">
      <alignment horizontal="center"/>
    </xf>
    <xf numFmtId="164" fontId="48" fillId="11" borderId="5" xfId="1" applyNumberFormat="1" applyFont="1" applyFill="1" applyBorder="1" applyAlignment="1">
      <alignment horizontal="center" vertical="center" wrapText="1"/>
    </xf>
    <xf numFmtId="164" fontId="48" fillId="26" borderId="5" xfId="1" applyNumberFormat="1" applyFont="1" applyFill="1" applyBorder="1" applyAlignment="1">
      <alignment horizontal="center" vertical="center" wrapText="1"/>
    </xf>
    <xf numFmtId="164" fontId="48" fillId="23" borderId="5" xfId="1" applyNumberFormat="1" applyFont="1" applyFill="1" applyBorder="1" applyAlignment="1">
      <alignment horizontal="center" vertical="center" wrapText="1"/>
    </xf>
    <xf numFmtId="164" fontId="48" fillId="33" borderId="5" xfId="1" applyNumberFormat="1" applyFont="1" applyFill="1" applyBorder="1" applyAlignment="1">
      <alignment horizontal="center" vertical="center" wrapText="1"/>
    </xf>
    <xf numFmtId="164" fontId="2" fillId="41" borderId="5" xfId="0" applyNumberFormat="1" applyFont="1" applyFill="1" applyBorder="1" applyAlignment="1">
      <alignment horizontal="center" vertical="center"/>
    </xf>
    <xf numFmtId="0" fontId="47" fillId="44" borderId="5" xfId="0" applyFont="1" applyFill="1" applyBorder="1" applyAlignment="1">
      <alignment horizontal="center"/>
    </xf>
    <xf numFmtId="164" fontId="47" fillId="8" borderId="5" xfId="0" applyNumberFormat="1" applyFont="1" applyFill="1" applyBorder="1" applyAlignment="1">
      <alignment horizontal="center"/>
    </xf>
    <xf numFmtId="0" fontId="47" fillId="36" borderId="5" xfId="0" applyFont="1" applyFill="1" applyBorder="1" applyAlignment="1">
      <alignment horizontal="center" vertical="center"/>
    </xf>
    <xf numFmtId="0" fontId="2" fillId="42" borderId="6" xfId="0" applyFont="1" applyFill="1" applyBorder="1" applyAlignment="1">
      <alignment horizontal="center" vertical="center"/>
    </xf>
    <xf numFmtId="0" fontId="2" fillId="42" borderId="7" xfId="0" applyFont="1" applyFill="1" applyBorder="1" applyAlignment="1">
      <alignment horizontal="center" vertical="center"/>
    </xf>
    <xf numFmtId="0" fontId="2" fillId="42" borderId="8" xfId="0" applyFont="1" applyFill="1" applyBorder="1" applyAlignment="1">
      <alignment horizontal="center" vertical="center"/>
    </xf>
    <xf numFmtId="164" fontId="48" fillId="24" borderId="5" xfId="1" applyNumberFormat="1" applyFont="1" applyFill="1" applyBorder="1" applyAlignment="1">
      <alignment horizontal="center" vertical="center" wrapText="1"/>
    </xf>
    <xf numFmtId="0" fontId="47" fillId="40" borderId="6" xfId="0" applyFont="1" applyFill="1" applyBorder="1" applyAlignment="1">
      <alignment horizontal="center"/>
    </xf>
    <xf numFmtId="0" fontId="47" fillId="40" borderId="8" xfId="0" applyFont="1" applyFill="1" applyBorder="1" applyAlignment="1">
      <alignment horizontal="center"/>
    </xf>
    <xf numFmtId="8" fontId="49" fillId="47" borderId="10" xfId="0" applyNumberFormat="1" applyFont="1" applyFill="1" applyBorder="1" applyAlignment="1">
      <alignment horizontal="center" vertical="center" wrapText="1"/>
    </xf>
    <xf numFmtId="8" fontId="49" fillId="47" borderId="15" xfId="0" applyNumberFormat="1" applyFont="1" applyFill="1" applyBorder="1" applyAlignment="1">
      <alignment horizontal="center" vertical="center" wrapText="1"/>
    </xf>
    <xf numFmtId="6" fontId="48" fillId="47" borderId="5" xfId="0" applyNumberFormat="1" applyFont="1" applyFill="1" applyBorder="1" applyAlignment="1">
      <alignment horizontal="center" vertical="center" wrapText="1"/>
    </xf>
    <xf numFmtId="6" fontId="48" fillId="47" borderId="10" xfId="0" applyNumberFormat="1" applyFont="1" applyFill="1" applyBorder="1" applyAlignment="1">
      <alignment horizontal="center" vertical="center" wrapText="1"/>
    </xf>
    <xf numFmtId="6" fontId="48" fillId="47" borderId="15" xfId="0" applyNumberFormat="1" applyFont="1" applyFill="1" applyBorder="1" applyAlignment="1">
      <alignment horizontal="center" vertical="center" wrapText="1"/>
    </xf>
    <xf numFmtId="0" fontId="47" fillId="38" borderId="6" xfId="0" applyFont="1" applyFill="1" applyBorder="1" applyAlignment="1">
      <alignment horizontal="center"/>
    </xf>
    <xf numFmtId="0" fontId="47" fillId="38" borderId="7" xfId="0" applyFont="1" applyFill="1" applyBorder="1" applyAlignment="1">
      <alignment horizontal="center"/>
    </xf>
    <xf numFmtId="0" fontId="47" fillId="38" borderId="8" xfId="0" applyFont="1" applyFill="1" applyBorder="1" applyAlignment="1">
      <alignment horizontal="center"/>
    </xf>
    <xf numFmtId="0" fontId="2" fillId="7" borderId="57" xfId="0" applyFont="1" applyFill="1" applyBorder="1" applyAlignment="1">
      <alignment horizontal="center" vertical="center" wrapText="1"/>
    </xf>
    <xf numFmtId="0" fontId="2" fillId="7" borderId="58" xfId="0" applyFont="1" applyFill="1" applyBorder="1" applyAlignment="1">
      <alignment horizontal="center" vertical="center" wrapText="1"/>
    </xf>
    <xf numFmtId="0" fontId="2" fillId="47" borderId="20" xfId="0" applyFont="1" applyFill="1" applyBorder="1" applyAlignment="1">
      <alignment horizontal="center" vertical="center" wrapText="1"/>
    </xf>
    <xf numFmtId="0" fontId="2" fillId="47" borderId="23" xfId="0" applyFont="1" applyFill="1" applyBorder="1" applyAlignment="1">
      <alignment horizontal="center" vertical="center" wrapText="1"/>
    </xf>
    <xf numFmtId="3" fontId="18" fillId="4" borderId="0" xfId="0" applyNumberFormat="1" applyFont="1" applyFill="1" applyAlignment="1">
      <alignment horizontal="center" vertical="center"/>
    </xf>
    <xf numFmtId="3" fontId="18" fillId="4" borderId="26" xfId="0" applyNumberFormat="1" applyFont="1" applyFill="1" applyBorder="1" applyAlignment="1">
      <alignment horizontal="center"/>
    </xf>
    <xf numFmtId="0" fontId="47" fillId="39" borderId="6" xfId="0" applyFont="1" applyFill="1" applyBorder="1" applyAlignment="1">
      <alignment horizontal="center" vertical="center" wrapText="1"/>
    </xf>
    <xf numFmtId="0" fontId="47" fillId="39" borderId="7" xfId="0" applyFont="1" applyFill="1" applyBorder="1" applyAlignment="1">
      <alignment horizontal="center" vertical="center" wrapText="1"/>
    </xf>
    <xf numFmtId="0" fontId="47" fillId="39" borderId="8" xfId="0" applyFont="1" applyFill="1" applyBorder="1" applyAlignment="1">
      <alignment horizontal="center" vertical="center" wrapText="1"/>
    </xf>
    <xf numFmtId="8" fontId="49" fillId="40" borderId="14" xfId="0" applyNumberFormat="1" applyFont="1" applyFill="1" applyBorder="1" applyAlignment="1">
      <alignment horizontal="center" vertical="center" wrapText="1"/>
    </xf>
    <xf numFmtId="8" fontId="49" fillId="40" borderId="15" xfId="0" applyNumberFormat="1" applyFont="1" applyFill="1" applyBorder="1" applyAlignment="1">
      <alignment horizontal="center" vertical="center" wrapText="1"/>
    </xf>
    <xf numFmtId="0" fontId="47" fillId="40" borderId="14" xfId="0" applyFont="1" applyFill="1" applyBorder="1" applyAlignment="1">
      <alignment horizontal="center" vertical="center"/>
    </xf>
    <xf numFmtId="0" fontId="47" fillId="40" borderId="15" xfId="0" applyFont="1" applyFill="1" applyBorder="1" applyAlignment="1">
      <alignment horizontal="center" vertical="center"/>
    </xf>
    <xf numFmtId="0" fontId="9" fillId="4" borderId="0" xfId="0" applyFont="1" applyFill="1" applyAlignment="1">
      <alignment horizontal="center"/>
    </xf>
    <xf numFmtId="0" fontId="45" fillId="4" borderId="0" xfId="3" applyFont="1" applyFill="1" applyAlignment="1">
      <alignment horizontal="left" vertical="center"/>
    </xf>
    <xf numFmtId="0" fontId="44" fillId="0" borderId="0" xfId="0" applyFont="1" applyAlignment="1">
      <alignment horizontal="left" vertical="top" wrapText="1"/>
    </xf>
    <xf numFmtId="0" fontId="44" fillId="0" borderId="0" xfId="0" applyFont="1" applyAlignment="1">
      <alignment horizontal="left" wrapText="1"/>
    </xf>
    <xf numFmtId="49" fontId="42" fillId="4" borderId="0" xfId="0" applyNumberFormat="1" applyFont="1" applyFill="1" applyAlignment="1">
      <alignment horizontal="left" vertical="center" wrapText="1"/>
    </xf>
    <xf numFmtId="164" fontId="46" fillId="9" borderId="14" xfId="1" applyNumberFormat="1" applyFont="1" applyFill="1" applyBorder="1" applyAlignment="1">
      <alignment horizontal="center" vertical="center" wrapText="1"/>
    </xf>
    <xf numFmtId="164" fontId="46" fillId="9" borderId="10" xfId="1" applyNumberFormat="1" applyFont="1" applyFill="1" applyBorder="1" applyAlignment="1">
      <alignment horizontal="center" vertical="center" wrapText="1"/>
    </xf>
    <xf numFmtId="164" fontId="46" fillId="9" borderId="15" xfId="1" applyNumberFormat="1" applyFont="1" applyFill="1" applyBorder="1" applyAlignment="1">
      <alignment horizontal="center" vertical="center" wrapText="1"/>
    </xf>
    <xf numFmtId="9" fontId="0" fillId="0" borderId="24" xfId="0" applyNumberFormat="1" applyBorder="1" applyAlignment="1">
      <alignment horizontal="center"/>
    </xf>
    <xf numFmtId="9" fontId="0" fillId="0" borderId="25" xfId="0" applyNumberFormat="1" applyBorder="1" applyAlignment="1">
      <alignment horizontal="center"/>
    </xf>
    <xf numFmtId="0" fontId="48" fillId="2" borderId="6" xfId="0" applyFont="1" applyFill="1" applyBorder="1" applyAlignment="1">
      <alignment horizontal="center" vertical="top" wrapText="1"/>
    </xf>
    <xf numFmtId="0" fontId="48" fillId="2" borderId="8" xfId="0" applyFont="1" applyFill="1" applyBorder="1" applyAlignment="1">
      <alignment horizontal="center" vertical="top" wrapText="1"/>
    </xf>
    <xf numFmtId="0" fontId="48" fillId="51" borderId="6" xfId="0" applyFont="1" applyFill="1" applyBorder="1" applyAlignment="1">
      <alignment horizontal="center" vertical="top" wrapText="1"/>
    </xf>
    <xf numFmtId="0" fontId="48" fillId="51" borderId="7" xfId="0" applyFont="1" applyFill="1" applyBorder="1" applyAlignment="1">
      <alignment horizontal="center" vertical="top" wrapText="1"/>
    </xf>
    <xf numFmtId="0" fontId="48" fillId="51" borderId="8" xfId="0" applyFont="1" applyFill="1" applyBorder="1" applyAlignment="1">
      <alignment horizontal="center" vertical="top" wrapText="1"/>
    </xf>
    <xf numFmtId="0" fontId="48" fillId="16" borderId="6" xfId="0" applyFont="1" applyFill="1" applyBorder="1" applyAlignment="1">
      <alignment horizontal="center" vertical="top" wrapText="1"/>
    </xf>
    <xf numFmtId="0" fontId="48" fillId="16" borderId="7" xfId="0" applyFont="1" applyFill="1" applyBorder="1" applyAlignment="1">
      <alignment horizontal="center" vertical="top" wrapText="1"/>
    </xf>
    <xf numFmtId="0" fontId="48" fillId="16" borderId="8" xfId="0" applyFont="1" applyFill="1" applyBorder="1" applyAlignment="1">
      <alignment horizontal="center" vertical="top" wrapText="1"/>
    </xf>
    <xf numFmtId="0" fontId="52" fillId="2" borderId="14" xfId="0" applyFont="1" applyFill="1" applyBorder="1" applyAlignment="1">
      <alignment horizontal="center" vertical="top"/>
    </xf>
    <xf numFmtId="0" fontId="52" fillId="2" borderId="15" xfId="0" applyFont="1" applyFill="1" applyBorder="1" applyAlignment="1">
      <alignment horizontal="center" vertical="top"/>
    </xf>
  </cellXfs>
  <cellStyles count="9">
    <cellStyle name="Čiarka" xfId="1" builtinId="3"/>
    <cellStyle name="Čiarka 2" xfId="2" xr:uid="{1E634E8F-F5BE-46CA-8599-CD42C4AB2FBD}"/>
    <cellStyle name="Čiarka 3" xfId="7" xr:uid="{313028B6-A3D1-4793-ACB1-C140FE11D532}"/>
    <cellStyle name="Hypertextové prepojenie" xfId="4" builtinId="8"/>
    <cellStyle name="Normálna" xfId="0" builtinId="0"/>
    <cellStyle name="Normálna 2" xfId="5" xr:uid="{749AF705-DFCA-4D2B-9BAC-FED893768C45}"/>
    <cellStyle name="Normálna 3 2" xfId="6" xr:uid="{45D7F5BA-E72B-4657-B350-2B0D419E80CF}"/>
    <cellStyle name="normálne 3" xfId="3" xr:uid="{6B7914F7-269C-4156-A174-94ACB4787906}"/>
    <cellStyle name="Percentá" xfId="8" builtinId="5"/>
  </cellStyles>
  <dxfs count="22">
    <dxf>
      <fill>
        <patternFill>
          <fgColor rgb="FFFF0000"/>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8" tint="0.39997558519241921"/>
        </patternFill>
      </fill>
      <border diagonalUp="0" diagonalDown="0" outline="0">
        <left style="thin">
          <color indexed="64"/>
        </left>
        <right style="thin">
          <color indexed="64"/>
        </right>
        <top/>
        <bottom/>
      </border>
    </dxf>
  </dxfs>
  <tableStyles count="0" defaultTableStyle="TableStyleMedium2" defaultPivotStyle="PivotStyleLight16"/>
  <colors>
    <mruColors>
      <color rgb="FF717EA9"/>
      <color rgb="FF3A4C81"/>
      <color rgb="FFD2A6D1"/>
      <color rgb="FFD5ABD4"/>
      <color rgb="FFE7CFE6"/>
      <color rgb="FFD9B3D8"/>
      <color rgb="FFDFBFDE"/>
      <color rgb="FF2F349B"/>
      <color rgb="FF607796"/>
      <color rgb="FFEF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07/relationships/hdphoto" Target="../media/hdphoto1.wdp"/><Relationship Id="rId1" Type="http://schemas.openxmlformats.org/officeDocument/2006/relationships/image" Target="../media/image1.pn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53340</xdr:rowOff>
    </xdr:from>
    <xdr:to>
      <xdr:col>10</xdr:col>
      <xdr:colOff>0</xdr:colOff>
      <xdr:row>6</xdr:row>
      <xdr:rowOff>173412</xdr:rowOff>
    </xdr:to>
    <xdr:pic>
      <xdr:nvPicPr>
        <xdr:cNvPr id="2" name="Obrázok 4">
          <a:extLst>
            <a:ext uri="{FF2B5EF4-FFF2-40B4-BE49-F238E27FC236}">
              <a16:creationId xmlns:a16="http://schemas.microsoft.com/office/drawing/2014/main" id="{6F7F521E-DE3A-45EC-B986-16EEB0118897}"/>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8929" l="0" r="99917">
                      <a14:foregroundMark x1="1000" y1="32500" x2="8000" y2="75000"/>
                      <a14:foregroundMark x1="8000" y1="75000" x2="54583" y2="4643"/>
                      <a14:foregroundMark x1="54583" y1="4643" x2="89583" y2="35714"/>
                      <a14:foregroundMark x1="89583" y1="35714" x2="92167" y2="31786"/>
                      <a14:foregroundMark x1="52233" y1="59350" x2="83" y2="61071"/>
                      <a14:foregroundMark x1="97500" y1="57857" x2="74631" y2="58611"/>
                      <a14:foregroundMark x1="4250" y1="41786" x2="29583" y2="48214"/>
                      <a14:foregroundMark x1="29583" y1="48214" x2="36333" y2="46786"/>
                      <a14:foregroundMark x1="22500" y1="39286" x2="43917" y2="41786"/>
                      <a14:foregroundMark x1="78417" y1="51786" x2="99917" y2="93929"/>
                      <a14:foregroundMark x1="98833" y1="95714" x2="98833" y2="98929"/>
                      <a14:foregroundMark x1="58167" y1="31071" x2="33417" y2="47857"/>
                      <a14:foregroundMark x1="50833" y1="46071" x2="75583" y2="34643"/>
                      <a14:foregroundMark x1="75583" y1="34643" x2="59000" y2="38571"/>
                      <a14:foregroundMark x1="65250" y1="47857" x2="77750" y2="49286"/>
                      <a14:backgroundMark x1="93333" y1="94643" x2="84167" y2="92143"/>
                      <a14:backgroundMark x1="94417" y1="98214" x2="81167" y2="78214"/>
                      <a14:backgroundMark x1="81167" y1="78214" x2="67917" y2="95714"/>
                      <a14:backgroundMark x1="94833" y1="96429" x2="66167" y2="66071"/>
                      <a14:backgroundMark x1="66167" y1="66071" x2="7500" y2="98929"/>
                      <a14:backgroundMark x1="51750" y1="62857" x2="67167" y2="54643"/>
                      <a14:backgroundMark x1="67167" y1="54643" x2="94083" y2="90357"/>
                      <a14:backgroundMark x1="94083" y1="90357" x2="95917" y2="98214"/>
                    </a14:backgroundRemoval>
                  </a14:imgEffect>
                </a14:imgLayer>
              </a14:imgProps>
            </a:ext>
            <a:ext uri="{28A0092B-C50C-407E-A947-70E740481C1C}">
              <a14:useLocalDpi xmlns:a14="http://schemas.microsoft.com/office/drawing/2010/main" val="0"/>
            </a:ext>
          </a:extLst>
        </a:blip>
        <a:srcRect/>
        <a:stretch>
          <a:fillRect/>
        </a:stretch>
      </xdr:blipFill>
      <xdr:spPr bwMode="auto">
        <a:xfrm>
          <a:off x="247650" y="2948940"/>
          <a:ext cx="7924800" cy="1125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17960</xdr:colOff>
      <xdr:row>1</xdr:row>
      <xdr:rowOff>36806</xdr:rowOff>
    </xdr:from>
    <xdr:to>
      <xdr:col>2</xdr:col>
      <xdr:colOff>930389</xdr:colOff>
      <xdr:row>4</xdr:row>
      <xdr:rowOff>114300</xdr:rowOff>
    </xdr:to>
    <xdr:pic>
      <xdr:nvPicPr>
        <xdr:cNvPr id="3" name="Obrázok 3">
          <a:extLst>
            <a:ext uri="{FF2B5EF4-FFF2-40B4-BE49-F238E27FC236}">
              <a16:creationId xmlns:a16="http://schemas.microsoft.com/office/drawing/2014/main" id="{037CA7FC-72AD-44BA-8344-3A6E4C2ED3F1}"/>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3226" t="14047" r="13089" b="19382"/>
        <a:stretch>
          <a:fillRect/>
        </a:stretch>
      </xdr:blipFill>
      <xdr:spPr bwMode="auto">
        <a:xfrm>
          <a:off x="265610" y="2027531"/>
          <a:ext cx="906714" cy="801394"/>
        </a:xfrm>
        <a:prstGeom prst="rect">
          <a:avLst/>
        </a:prstGeom>
        <a:noFill/>
        <a:ln>
          <a:noFill/>
        </a:ln>
        <a:effectLst>
          <a:reflection endPos="0" dir="5400000" sy="-100000" algn="bl" rotWithShape="0"/>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701040</xdr:colOff>
      <xdr:row>1</xdr:row>
      <xdr:rowOff>48712</xdr:rowOff>
    </xdr:from>
    <xdr:to>
      <xdr:col>4</xdr:col>
      <xdr:colOff>1392250</xdr:colOff>
      <xdr:row>3</xdr:row>
      <xdr:rowOff>167640</xdr:rowOff>
    </xdr:to>
    <xdr:pic>
      <xdr:nvPicPr>
        <xdr:cNvPr id="4" name="Obrázok 3">
          <a:extLst>
            <a:ext uri="{FF2B5EF4-FFF2-40B4-BE49-F238E27FC236}">
              <a16:creationId xmlns:a16="http://schemas.microsoft.com/office/drawing/2014/main" id="{8EA9BC32-02D8-40FB-A86D-17EB1F8E96F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96640" y="2039437"/>
          <a:ext cx="691210" cy="656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57152</xdr:colOff>
      <xdr:row>12</xdr:row>
      <xdr:rowOff>209550</xdr:rowOff>
    </xdr:from>
    <xdr:to>
      <xdr:col>3</xdr:col>
      <xdr:colOff>1838326</xdr:colOff>
      <xdr:row>15</xdr:row>
      <xdr:rowOff>242072</xdr:rowOff>
    </xdr:to>
    <xdr:pic>
      <xdr:nvPicPr>
        <xdr:cNvPr id="2" name="Obrázok 1">
          <a:extLst>
            <a:ext uri="{FF2B5EF4-FFF2-40B4-BE49-F238E27FC236}">
              <a16:creationId xmlns:a16="http://schemas.microsoft.com/office/drawing/2014/main" id="{0AC61DD5-2602-E618-A324-C2606ADD2F5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100000"/>
                  </a14:imgEffect>
                  <a14:imgEffect>
                    <a14:brightnessContrast bright="-3000"/>
                  </a14:imgEffect>
                </a14:imgLayer>
              </a14:imgProps>
            </a:ext>
          </a:extLst>
        </a:blip>
        <a:stretch>
          <a:fillRect/>
        </a:stretch>
      </xdr:blipFill>
      <xdr:spPr>
        <a:xfrm>
          <a:off x="285752" y="2066925"/>
          <a:ext cx="3495674" cy="908822"/>
        </a:xfrm>
        <a:prstGeom prst="rect">
          <a:avLst/>
        </a:prstGeom>
        <a:effectLst>
          <a:outerShdw blurRad="50800" dist="50800" dir="5400000" sx="1000" sy="1000" algn="ctr" rotWithShape="0">
            <a:srgbClr val="000000"/>
          </a:outerShdw>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17526</xdr:colOff>
      <xdr:row>157</xdr:row>
      <xdr:rowOff>69022</xdr:rowOff>
    </xdr:from>
    <xdr:ext cx="130416" cy="120335"/>
    <xdr:pic>
      <xdr:nvPicPr>
        <xdr:cNvPr id="20" name="image7.png">
          <a:extLst>
            <a:ext uri="{FF2B5EF4-FFF2-40B4-BE49-F238E27FC236}">
              <a16:creationId xmlns:a16="http://schemas.microsoft.com/office/drawing/2014/main" id="{703AF554-1DE6-4EE0-9E17-AAC6FF98F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8422447"/>
          <a:ext cx="130416" cy="120335"/>
        </a:xfrm>
        <a:prstGeom prst="rect">
          <a:avLst/>
        </a:prstGeom>
      </xdr:spPr>
    </xdr:pic>
    <xdr:clientData/>
  </xdr:oneCellAnchor>
  <xdr:oneCellAnchor>
    <xdr:from>
      <xdr:col>2</xdr:col>
      <xdr:colOff>10541</xdr:colOff>
      <xdr:row>158</xdr:row>
      <xdr:rowOff>63652</xdr:rowOff>
    </xdr:from>
    <xdr:ext cx="130416" cy="121767"/>
    <xdr:pic>
      <xdr:nvPicPr>
        <xdr:cNvPr id="21" name="image7.png">
          <a:extLst>
            <a:ext uri="{FF2B5EF4-FFF2-40B4-BE49-F238E27FC236}">
              <a16:creationId xmlns:a16="http://schemas.microsoft.com/office/drawing/2014/main" id="{AEE87F09-A376-4F41-B9B0-57347DA364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8683777"/>
          <a:ext cx="130416" cy="121767"/>
        </a:xfrm>
        <a:prstGeom prst="rect">
          <a:avLst/>
        </a:prstGeom>
      </xdr:spPr>
    </xdr:pic>
    <xdr:clientData/>
  </xdr:oneCellAnchor>
  <xdr:oneCellAnchor>
    <xdr:from>
      <xdr:col>2</xdr:col>
      <xdr:colOff>10541</xdr:colOff>
      <xdr:row>160</xdr:row>
      <xdr:rowOff>55143</xdr:rowOff>
    </xdr:from>
    <xdr:ext cx="130416" cy="121767"/>
    <xdr:pic>
      <xdr:nvPicPr>
        <xdr:cNvPr id="22" name="image7.png">
          <a:extLst>
            <a:ext uri="{FF2B5EF4-FFF2-40B4-BE49-F238E27FC236}">
              <a16:creationId xmlns:a16="http://schemas.microsoft.com/office/drawing/2014/main" id="{C86C7613-EB6B-4258-9FF3-43A2539E2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9084843"/>
          <a:ext cx="130416" cy="121767"/>
        </a:xfrm>
        <a:prstGeom prst="rect">
          <a:avLst/>
        </a:prstGeom>
      </xdr:spPr>
    </xdr:pic>
    <xdr:clientData/>
  </xdr:oneCellAnchor>
  <xdr:oneCellAnchor>
    <xdr:from>
      <xdr:col>2</xdr:col>
      <xdr:colOff>10541</xdr:colOff>
      <xdr:row>161</xdr:row>
      <xdr:rowOff>56032</xdr:rowOff>
    </xdr:from>
    <xdr:ext cx="130416" cy="121767"/>
    <xdr:pic>
      <xdr:nvPicPr>
        <xdr:cNvPr id="23" name="image7.png">
          <a:extLst>
            <a:ext uri="{FF2B5EF4-FFF2-40B4-BE49-F238E27FC236}">
              <a16:creationId xmlns:a16="http://schemas.microsoft.com/office/drawing/2014/main" id="{81B33940-965A-473F-806B-B45B835C9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9361957"/>
          <a:ext cx="130416" cy="121767"/>
        </a:xfrm>
        <a:prstGeom prst="rect">
          <a:avLst/>
        </a:prstGeom>
      </xdr:spPr>
    </xdr:pic>
    <xdr:clientData/>
  </xdr:oneCellAnchor>
  <xdr:oneCellAnchor>
    <xdr:from>
      <xdr:col>2</xdr:col>
      <xdr:colOff>10541</xdr:colOff>
      <xdr:row>163</xdr:row>
      <xdr:rowOff>71688</xdr:rowOff>
    </xdr:from>
    <xdr:ext cx="130416" cy="120335"/>
    <xdr:pic>
      <xdr:nvPicPr>
        <xdr:cNvPr id="24" name="image7.png">
          <a:extLst>
            <a:ext uri="{FF2B5EF4-FFF2-40B4-BE49-F238E27FC236}">
              <a16:creationId xmlns:a16="http://schemas.microsoft.com/office/drawing/2014/main" id="{B76E5578-04A9-4EBC-809C-3302ACDB3E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9787188"/>
          <a:ext cx="130416" cy="120335"/>
        </a:xfrm>
        <a:prstGeom prst="rect">
          <a:avLst/>
        </a:prstGeom>
      </xdr:spPr>
    </xdr:pic>
    <xdr:clientData/>
  </xdr:oneCellAnchor>
  <xdr:oneCellAnchor>
    <xdr:from>
      <xdr:col>2</xdr:col>
      <xdr:colOff>10541</xdr:colOff>
      <xdr:row>164</xdr:row>
      <xdr:rowOff>59588</xdr:rowOff>
    </xdr:from>
    <xdr:ext cx="130416" cy="121767"/>
    <xdr:pic>
      <xdr:nvPicPr>
        <xdr:cNvPr id="25" name="image7.png">
          <a:extLst>
            <a:ext uri="{FF2B5EF4-FFF2-40B4-BE49-F238E27FC236}">
              <a16:creationId xmlns:a16="http://schemas.microsoft.com/office/drawing/2014/main" id="{4169B4EF-3ED2-477C-BF7B-8898B02E9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10051313"/>
          <a:ext cx="130416" cy="121767"/>
        </a:xfrm>
        <a:prstGeom prst="rect">
          <a:avLst/>
        </a:prstGeom>
      </xdr:spPr>
    </xdr:pic>
    <xdr:clientData/>
  </xdr:oneCellAnchor>
  <xdr:oneCellAnchor>
    <xdr:from>
      <xdr:col>2</xdr:col>
      <xdr:colOff>10541</xdr:colOff>
      <xdr:row>166</xdr:row>
      <xdr:rowOff>57048</xdr:rowOff>
    </xdr:from>
    <xdr:ext cx="130416" cy="121767"/>
    <xdr:pic>
      <xdr:nvPicPr>
        <xdr:cNvPr id="26" name="image7.png">
          <a:extLst>
            <a:ext uri="{FF2B5EF4-FFF2-40B4-BE49-F238E27FC236}">
              <a16:creationId xmlns:a16="http://schemas.microsoft.com/office/drawing/2014/main" id="{ED36172E-52C9-4B61-B718-5B283AEAC0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10467873"/>
          <a:ext cx="130416" cy="121767"/>
        </a:xfrm>
        <a:prstGeom prst="rect">
          <a:avLst/>
        </a:prstGeom>
      </xdr:spPr>
    </xdr:pic>
    <xdr:clientData/>
  </xdr:oneCellAnchor>
  <xdr:oneCellAnchor>
    <xdr:from>
      <xdr:col>2</xdr:col>
      <xdr:colOff>10541</xdr:colOff>
      <xdr:row>167</xdr:row>
      <xdr:rowOff>70546</xdr:rowOff>
    </xdr:from>
    <xdr:ext cx="130416" cy="120335"/>
    <xdr:pic>
      <xdr:nvPicPr>
        <xdr:cNvPr id="27" name="image7.png">
          <a:extLst>
            <a:ext uri="{FF2B5EF4-FFF2-40B4-BE49-F238E27FC236}">
              <a16:creationId xmlns:a16="http://schemas.microsoft.com/office/drawing/2014/main" id="{875AD811-94B6-47DD-9A15-15575985D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10757596"/>
          <a:ext cx="130416" cy="120335"/>
        </a:xfrm>
        <a:prstGeom prst="rect">
          <a:avLst/>
        </a:prstGeom>
      </xdr:spPr>
    </xdr:pic>
    <xdr:clientData/>
  </xdr:oneCellAnchor>
  <xdr:oneCellAnchor>
    <xdr:from>
      <xdr:col>2</xdr:col>
      <xdr:colOff>17526</xdr:colOff>
      <xdr:row>169</xdr:row>
      <xdr:rowOff>60604</xdr:rowOff>
    </xdr:from>
    <xdr:ext cx="130416" cy="121767"/>
    <xdr:pic>
      <xdr:nvPicPr>
        <xdr:cNvPr id="28" name="image7.png">
          <a:extLst>
            <a:ext uri="{FF2B5EF4-FFF2-40B4-BE49-F238E27FC236}">
              <a16:creationId xmlns:a16="http://schemas.microsoft.com/office/drawing/2014/main" id="{D7D25DB5-DF4E-4E9E-B906-C11BF2E2F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11166754"/>
          <a:ext cx="130416" cy="121767"/>
        </a:xfrm>
        <a:prstGeom prst="rect">
          <a:avLst/>
        </a:prstGeom>
      </xdr:spPr>
    </xdr:pic>
    <xdr:clientData/>
  </xdr:oneCellAnchor>
  <xdr:oneCellAnchor>
    <xdr:from>
      <xdr:col>2</xdr:col>
      <xdr:colOff>17526</xdr:colOff>
      <xdr:row>170</xdr:row>
      <xdr:rowOff>49936</xdr:rowOff>
    </xdr:from>
    <xdr:ext cx="130416" cy="121767"/>
    <xdr:pic>
      <xdr:nvPicPr>
        <xdr:cNvPr id="29" name="image7.png">
          <a:extLst>
            <a:ext uri="{FF2B5EF4-FFF2-40B4-BE49-F238E27FC236}">
              <a16:creationId xmlns:a16="http://schemas.microsoft.com/office/drawing/2014/main" id="{1417C6D8-77CC-48D5-9AF6-112212547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11432311"/>
          <a:ext cx="130416" cy="121767"/>
        </a:xfrm>
        <a:prstGeom prst="rect">
          <a:avLst/>
        </a:prstGeom>
      </xdr:spPr>
    </xdr:pic>
    <xdr:clientData/>
  </xdr:oneCellAnchor>
  <xdr:oneCellAnchor>
    <xdr:from>
      <xdr:col>2</xdr:col>
      <xdr:colOff>487426</xdr:colOff>
      <xdr:row>164</xdr:row>
      <xdr:rowOff>13650</xdr:rowOff>
    </xdr:from>
    <xdr:ext cx="203799" cy="133381"/>
    <xdr:pic>
      <xdr:nvPicPr>
        <xdr:cNvPr id="30" name="image8.png">
          <a:extLst>
            <a:ext uri="{FF2B5EF4-FFF2-40B4-BE49-F238E27FC236}">
              <a16:creationId xmlns:a16="http://schemas.microsoft.com/office/drawing/2014/main" id="{86364935-3924-4AA5-BF20-02A877E71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10005375"/>
          <a:ext cx="203799" cy="133381"/>
        </a:xfrm>
        <a:prstGeom prst="rect">
          <a:avLst/>
        </a:prstGeom>
      </xdr:spPr>
    </xdr:pic>
    <xdr:clientData/>
  </xdr:oneCellAnchor>
  <xdr:oneCellAnchor>
    <xdr:from>
      <xdr:col>2</xdr:col>
      <xdr:colOff>487426</xdr:colOff>
      <xdr:row>167</xdr:row>
      <xdr:rowOff>11618</xdr:rowOff>
    </xdr:from>
    <xdr:ext cx="203799" cy="133381"/>
    <xdr:pic>
      <xdr:nvPicPr>
        <xdr:cNvPr id="31" name="image8.png">
          <a:extLst>
            <a:ext uri="{FF2B5EF4-FFF2-40B4-BE49-F238E27FC236}">
              <a16:creationId xmlns:a16="http://schemas.microsoft.com/office/drawing/2014/main" id="{DEAE608B-B4B8-4E17-8573-C177F11D73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10698668"/>
          <a:ext cx="203799" cy="133381"/>
        </a:xfrm>
        <a:prstGeom prst="rect">
          <a:avLst/>
        </a:prstGeom>
      </xdr:spPr>
    </xdr:pic>
    <xdr:clientData/>
  </xdr:oneCellAnchor>
  <xdr:oneCellAnchor>
    <xdr:from>
      <xdr:col>2</xdr:col>
      <xdr:colOff>493394</xdr:colOff>
      <xdr:row>170</xdr:row>
      <xdr:rowOff>21143</xdr:rowOff>
    </xdr:from>
    <xdr:ext cx="204871" cy="133381"/>
    <xdr:pic>
      <xdr:nvPicPr>
        <xdr:cNvPr id="32" name="image9.png">
          <a:extLst>
            <a:ext uri="{FF2B5EF4-FFF2-40B4-BE49-F238E27FC236}">
              <a16:creationId xmlns:a16="http://schemas.microsoft.com/office/drawing/2014/main" id="{86C54015-4D89-46E7-AA13-0A05975FAE6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1444" y="11403518"/>
          <a:ext cx="204871" cy="133381"/>
        </a:xfrm>
        <a:prstGeom prst="rect">
          <a:avLst/>
        </a:prstGeom>
      </xdr:spPr>
    </xdr:pic>
    <xdr:clientData/>
  </xdr:oneCellAnchor>
  <xdr:oneCellAnchor>
    <xdr:from>
      <xdr:col>2</xdr:col>
      <xdr:colOff>23494</xdr:colOff>
      <xdr:row>154</xdr:row>
      <xdr:rowOff>23774</xdr:rowOff>
    </xdr:from>
    <xdr:ext cx="130416" cy="121767"/>
    <xdr:pic>
      <xdr:nvPicPr>
        <xdr:cNvPr id="33" name="image7.png">
          <a:extLst>
            <a:ext uri="{FF2B5EF4-FFF2-40B4-BE49-F238E27FC236}">
              <a16:creationId xmlns:a16="http://schemas.microsoft.com/office/drawing/2014/main" id="{996B09EE-7E1D-4CE2-8C43-A7FF9C44A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81544" y="7681874"/>
          <a:ext cx="130416" cy="121767"/>
        </a:xfrm>
        <a:prstGeom prst="rect">
          <a:avLst/>
        </a:prstGeom>
      </xdr:spPr>
    </xdr:pic>
    <xdr:clientData/>
  </xdr:oneCellAnchor>
  <xdr:oneCellAnchor>
    <xdr:from>
      <xdr:col>2</xdr:col>
      <xdr:colOff>10541</xdr:colOff>
      <xdr:row>155</xdr:row>
      <xdr:rowOff>31394</xdr:rowOff>
    </xdr:from>
    <xdr:ext cx="130416" cy="121767"/>
    <xdr:pic>
      <xdr:nvPicPr>
        <xdr:cNvPr id="34" name="image7.png">
          <a:extLst>
            <a:ext uri="{FF2B5EF4-FFF2-40B4-BE49-F238E27FC236}">
              <a16:creationId xmlns:a16="http://schemas.microsoft.com/office/drawing/2014/main" id="{7E10C480-2DD1-4B16-AF29-B405215FC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7956194"/>
          <a:ext cx="130416" cy="121767"/>
        </a:xfrm>
        <a:prstGeom prst="rect">
          <a:avLst/>
        </a:prstGeom>
      </xdr:spPr>
    </xdr:pic>
    <xdr:clientData/>
  </xdr:oneCellAnchor>
  <xdr:oneCellAnchor>
    <xdr:from>
      <xdr:col>2</xdr:col>
      <xdr:colOff>17939</xdr:colOff>
      <xdr:row>180</xdr:row>
      <xdr:rowOff>75117</xdr:rowOff>
    </xdr:from>
    <xdr:ext cx="130416" cy="120335"/>
    <xdr:pic>
      <xdr:nvPicPr>
        <xdr:cNvPr id="35" name="image7.png">
          <a:extLst>
            <a:ext uri="{FF2B5EF4-FFF2-40B4-BE49-F238E27FC236}">
              <a16:creationId xmlns:a16="http://schemas.microsoft.com/office/drawing/2014/main" id="{91BA4163-D52C-4206-8102-5712E938F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4772192"/>
          <a:ext cx="130416" cy="120335"/>
        </a:xfrm>
        <a:prstGeom prst="rect">
          <a:avLst/>
        </a:prstGeom>
      </xdr:spPr>
    </xdr:pic>
    <xdr:clientData/>
  </xdr:oneCellAnchor>
  <xdr:oneCellAnchor>
    <xdr:from>
      <xdr:col>2</xdr:col>
      <xdr:colOff>17939</xdr:colOff>
      <xdr:row>181</xdr:row>
      <xdr:rowOff>51460</xdr:rowOff>
    </xdr:from>
    <xdr:ext cx="130416" cy="121767"/>
    <xdr:pic>
      <xdr:nvPicPr>
        <xdr:cNvPr id="36" name="image7.png">
          <a:extLst>
            <a:ext uri="{FF2B5EF4-FFF2-40B4-BE49-F238E27FC236}">
              <a16:creationId xmlns:a16="http://schemas.microsoft.com/office/drawing/2014/main" id="{B878E462-B369-4F06-AD8A-788FABBCA0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5024760"/>
          <a:ext cx="130416" cy="121767"/>
        </a:xfrm>
        <a:prstGeom prst="rect">
          <a:avLst/>
        </a:prstGeom>
      </xdr:spPr>
    </xdr:pic>
    <xdr:clientData/>
  </xdr:oneCellAnchor>
  <xdr:oneCellAnchor>
    <xdr:from>
      <xdr:col>2</xdr:col>
      <xdr:colOff>17939</xdr:colOff>
      <xdr:row>183</xdr:row>
      <xdr:rowOff>60097</xdr:rowOff>
    </xdr:from>
    <xdr:ext cx="130416" cy="121767"/>
    <xdr:pic>
      <xdr:nvPicPr>
        <xdr:cNvPr id="37" name="image7.png">
          <a:extLst>
            <a:ext uri="{FF2B5EF4-FFF2-40B4-BE49-F238E27FC236}">
              <a16:creationId xmlns:a16="http://schemas.microsoft.com/office/drawing/2014/main" id="{6C743A26-64C2-41AD-AA1A-626B47B1E4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5452497"/>
          <a:ext cx="130416" cy="121767"/>
        </a:xfrm>
        <a:prstGeom prst="rect">
          <a:avLst/>
        </a:prstGeom>
      </xdr:spPr>
    </xdr:pic>
    <xdr:clientData/>
  </xdr:oneCellAnchor>
  <xdr:oneCellAnchor>
    <xdr:from>
      <xdr:col>2</xdr:col>
      <xdr:colOff>10953</xdr:colOff>
      <xdr:row>184</xdr:row>
      <xdr:rowOff>62036</xdr:rowOff>
    </xdr:from>
    <xdr:ext cx="130416" cy="120335"/>
    <xdr:pic>
      <xdr:nvPicPr>
        <xdr:cNvPr id="38" name="image7.png">
          <a:extLst>
            <a:ext uri="{FF2B5EF4-FFF2-40B4-BE49-F238E27FC236}">
              <a16:creationId xmlns:a16="http://schemas.microsoft.com/office/drawing/2014/main" id="{FD67B8CB-E631-4924-B416-45A3552562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9003" y="15730661"/>
          <a:ext cx="130416" cy="120335"/>
        </a:xfrm>
        <a:prstGeom prst="rect">
          <a:avLst/>
        </a:prstGeom>
      </xdr:spPr>
    </xdr:pic>
    <xdr:clientData/>
  </xdr:oneCellAnchor>
  <xdr:oneCellAnchor>
    <xdr:from>
      <xdr:col>2</xdr:col>
      <xdr:colOff>17939</xdr:colOff>
      <xdr:row>186</xdr:row>
      <xdr:rowOff>58064</xdr:rowOff>
    </xdr:from>
    <xdr:ext cx="130416" cy="121767"/>
    <xdr:pic>
      <xdr:nvPicPr>
        <xdr:cNvPr id="39" name="image7.png">
          <a:extLst>
            <a:ext uri="{FF2B5EF4-FFF2-40B4-BE49-F238E27FC236}">
              <a16:creationId xmlns:a16="http://schemas.microsoft.com/office/drawing/2014/main" id="{F2F1A7A7-0ACD-43D2-957E-63DD7A8F96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6145789"/>
          <a:ext cx="130416" cy="121767"/>
        </a:xfrm>
        <a:prstGeom prst="rect">
          <a:avLst/>
        </a:prstGeom>
      </xdr:spPr>
    </xdr:pic>
    <xdr:clientData/>
  </xdr:oneCellAnchor>
  <xdr:oneCellAnchor>
    <xdr:from>
      <xdr:col>2</xdr:col>
      <xdr:colOff>17939</xdr:colOff>
      <xdr:row>187</xdr:row>
      <xdr:rowOff>65684</xdr:rowOff>
    </xdr:from>
    <xdr:ext cx="130416" cy="121767"/>
    <xdr:pic>
      <xdr:nvPicPr>
        <xdr:cNvPr id="40" name="image7.png">
          <a:extLst>
            <a:ext uri="{FF2B5EF4-FFF2-40B4-BE49-F238E27FC236}">
              <a16:creationId xmlns:a16="http://schemas.microsoft.com/office/drawing/2014/main" id="{8040F8FA-63C0-4D86-AA41-47669B7C6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6420109"/>
          <a:ext cx="130416" cy="121767"/>
        </a:xfrm>
        <a:prstGeom prst="rect">
          <a:avLst/>
        </a:prstGeom>
      </xdr:spPr>
    </xdr:pic>
    <xdr:clientData/>
  </xdr:oneCellAnchor>
  <xdr:oneCellAnchor>
    <xdr:from>
      <xdr:col>2</xdr:col>
      <xdr:colOff>10953</xdr:colOff>
      <xdr:row>189</xdr:row>
      <xdr:rowOff>69022</xdr:rowOff>
    </xdr:from>
    <xdr:ext cx="130416" cy="120335"/>
    <xdr:pic>
      <xdr:nvPicPr>
        <xdr:cNvPr id="41" name="image7.png">
          <a:extLst>
            <a:ext uri="{FF2B5EF4-FFF2-40B4-BE49-F238E27FC236}">
              <a16:creationId xmlns:a16="http://schemas.microsoft.com/office/drawing/2014/main" id="{CC86BFDD-8D3C-4850-9517-72FCE47D08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9003" y="16852072"/>
          <a:ext cx="130416" cy="120335"/>
        </a:xfrm>
        <a:prstGeom prst="rect">
          <a:avLst/>
        </a:prstGeom>
      </xdr:spPr>
    </xdr:pic>
    <xdr:clientData/>
  </xdr:oneCellAnchor>
  <xdr:oneCellAnchor>
    <xdr:from>
      <xdr:col>2</xdr:col>
      <xdr:colOff>10953</xdr:colOff>
      <xdr:row>190</xdr:row>
      <xdr:rowOff>76641</xdr:rowOff>
    </xdr:from>
    <xdr:ext cx="130416" cy="120335"/>
    <xdr:pic>
      <xdr:nvPicPr>
        <xdr:cNvPr id="42" name="image7.png">
          <a:extLst>
            <a:ext uri="{FF2B5EF4-FFF2-40B4-BE49-F238E27FC236}">
              <a16:creationId xmlns:a16="http://schemas.microsoft.com/office/drawing/2014/main" id="{69EC0902-8BD8-48C8-8787-D6506E8FF2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9003" y="17126391"/>
          <a:ext cx="130416" cy="120335"/>
        </a:xfrm>
        <a:prstGeom prst="rect">
          <a:avLst/>
        </a:prstGeom>
      </xdr:spPr>
    </xdr:pic>
    <xdr:clientData/>
  </xdr:oneCellAnchor>
  <xdr:oneCellAnchor>
    <xdr:from>
      <xdr:col>2</xdr:col>
      <xdr:colOff>17939</xdr:colOff>
      <xdr:row>192</xdr:row>
      <xdr:rowOff>73721</xdr:rowOff>
    </xdr:from>
    <xdr:ext cx="130416" cy="120335"/>
    <xdr:pic>
      <xdr:nvPicPr>
        <xdr:cNvPr id="43" name="image7.png">
          <a:extLst>
            <a:ext uri="{FF2B5EF4-FFF2-40B4-BE49-F238E27FC236}">
              <a16:creationId xmlns:a16="http://schemas.microsoft.com/office/drawing/2014/main" id="{D1153CC3-031F-4F1A-81F9-CD258B64E6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7533046"/>
          <a:ext cx="130416" cy="120335"/>
        </a:xfrm>
        <a:prstGeom prst="rect">
          <a:avLst/>
        </a:prstGeom>
      </xdr:spPr>
    </xdr:pic>
    <xdr:clientData/>
  </xdr:oneCellAnchor>
  <xdr:oneCellAnchor>
    <xdr:from>
      <xdr:col>2</xdr:col>
      <xdr:colOff>17939</xdr:colOff>
      <xdr:row>193</xdr:row>
      <xdr:rowOff>68691</xdr:rowOff>
    </xdr:from>
    <xdr:ext cx="130416" cy="120335"/>
    <xdr:pic>
      <xdr:nvPicPr>
        <xdr:cNvPr id="44" name="image7.png">
          <a:extLst>
            <a:ext uri="{FF2B5EF4-FFF2-40B4-BE49-F238E27FC236}">
              <a16:creationId xmlns:a16="http://schemas.microsoft.com/office/drawing/2014/main" id="{21EC842E-1835-4993-B044-60301F3D9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7804241"/>
          <a:ext cx="130416" cy="120335"/>
        </a:xfrm>
        <a:prstGeom prst="rect">
          <a:avLst/>
        </a:prstGeom>
      </xdr:spPr>
    </xdr:pic>
    <xdr:clientData/>
  </xdr:oneCellAnchor>
  <xdr:oneCellAnchor>
    <xdr:from>
      <xdr:col>2</xdr:col>
      <xdr:colOff>500792</xdr:colOff>
      <xdr:row>175</xdr:row>
      <xdr:rowOff>100390</xdr:rowOff>
    </xdr:from>
    <xdr:ext cx="203444" cy="133381"/>
    <xdr:pic>
      <xdr:nvPicPr>
        <xdr:cNvPr id="45" name="image9.png">
          <a:extLst>
            <a:ext uri="{FF2B5EF4-FFF2-40B4-BE49-F238E27FC236}">
              <a16:creationId xmlns:a16="http://schemas.microsoft.com/office/drawing/2014/main" id="{5851C6CF-A78D-47BD-9445-5DAE1463A0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8842" y="13692565"/>
          <a:ext cx="203444" cy="133381"/>
        </a:xfrm>
        <a:prstGeom prst="rect">
          <a:avLst/>
        </a:prstGeom>
      </xdr:spPr>
    </xdr:pic>
    <xdr:clientData/>
  </xdr:oneCellAnchor>
  <xdr:oneCellAnchor>
    <xdr:from>
      <xdr:col>2</xdr:col>
      <xdr:colOff>493807</xdr:colOff>
      <xdr:row>177</xdr:row>
      <xdr:rowOff>18222</xdr:rowOff>
    </xdr:from>
    <xdr:ext cx="204871" cy="133381"/>
    <xdr:pic>
      <xdr:nvPicPr>
        <xdr:cNvPr id="46" name="image9.png">
          <a:extLst>
            <a:ext uri="{FF2B5EF4-FFF2-40B4-BE49-F238E27FC236}">
              <a16:creationId xmlns:a16="http://schemas.microsoft.com/office/drawing/2014/main" id="{642FB01B-F2AB-425F-9CDC-F39C7B4F87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1857" y="14019972"/>
          <a:ext cx="204871" cy="133381"/>
        </a:xfrm>
        <a:prstGeom prst="rect">
          <a:avLst/>
        </a:prstGeom>
      </xdr:spPr>
    </xdr:pic>
    <xdr:clientData/>
  </xdr:oneCellAnchor>
  <xdr:oneCellAnchor>
    <xdr:from>
      <xdr:col>2</xdr:col>
      <xdr:colOff>487838</xdr:colOff>
      <xdr:row>180</xdr:row>
      <xdr:rowOff>22135</xdr:rowOff>
    </xdr:from>
    <xdr:ext cx="203799" cy="133027"/>
    <xdr:pic>
      <xdr:nvPicPr>
        <xdr:cNvPr id="47" name="image11.png">
          <a:extLst>
            <a:ext uri="{FF2B5EF4-FFF2-40B4-BE49-F238E27FC236}">
              <a16:creationId xmlns:a16="http://schemas.microsoft.com/office/drawing/2014/main" id="{77167643-C36A-4DC7-BB03-D9E342741A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888" y="14719210"/>
          <a:ext cx="203799" cy="133027"/>
        </a:xfrm>
        <a:prstGeom prst="rect">
          <a:avLst/>
        </a:prstGeom>
      </xdr:spPr>
    </xdr:pic>
    <xdr:clientData/>
  </xdr:oneCellAnchor>
  <xdr:oneCellAnchor>
    <xdr:from>
      <xdr:col>2</xdr:col>
      <xdr:colOff>493807</xdr:colOff>
      <xdr:row>183</xdr:row>
      <xdr:rowOff>20102</xdr:rowOff>
    </xdr:from>
    <xdr:ext cx="204871" cy="133027"/>
    <xdr:pic>
      <xdr:nvPicPr>
        <xdr:cNvPr id="48" name="image12.png">
          <a:extLst>
            <a:ext uri="{FF2B5EF4-FFF2-40B4-BE49-F238E27FC236}">
              <a16:creationId xmlns:a16="http://schemas.microsoft.com/office/drawing/2014/main" id="{4583B40A-9598-418F-A3CA-3E21AB0E504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751857" y="15412502"/>
          <a:ext cx="204871" cy="133027"/>
        </a:xfrm>
        <a:prstGeom prst="rect">
          <a:avLst/>
        </a:prstGeom>
      </xdr:spPr>
    </xdr:pic>
    <xdr:clientData/>
  </xdr:oneCellAnchor>
  <xdr:oneCellAnchor>
    <xdr:from>
      <xdr:col>2</xdr:col>
      <xdr:colOff>487838</xdr:colOff>
      <xdr:row>186</xdr:row>
      <xdr:rowOff>6539</xdr:rowOff>
    </xdr:from>
    <xdr:ext cx="203799" cy="133381"/>
    <xdr:pic>
      <xdr:nvPicPr>
        <xdr:cNvPr id="49" name="image11.png">
          <a:extLst>
            <a:ext uri="{FF2B5EF4-FFF2-40B4-BE49-F238E27FC236}">
              <a16:creationId xmlns:a16="http://schemas.microsoft.com/office/drawing/2014/main" id="{24E001EF-0C35-483F-BFDF-80CE309E43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888" y="16094264"/>
          <a:ext cx="203799" cy="133381"/>
        </a:xfrm>
        <a:prstGeom prst="rect">
          <a:avLst/>
        </a:prstGeom>
      </xdr:spPr>
    </xdr:pic>
    <xdr:clientData/>
  </xdr:oneCellAnchor>
  <xdr:oneCellAnchor>
    <xdr:from>
      <xdr:col>2</xdr:col>
      <xdr:colOff>500792</xdr:colOff>
      <xdr:row>188</xdr:row>
      <xdr:rowOff>151294</xdr:rowOff>
    </xdr:from>
    <xdr:ext cx="203444" cy="133027"/>
    <xdr:pic>
      <xdr:nvPicPr>
        <xdr:cNvPr id="50" name="image13.png">
          <a:extLst>
            <a:ext uri="{FF2B5EF4-FFF2-40B4-BE49-F238E27FC236}">
              <a16:creationId xmlns:a16="http://schemas.microsoft.com/office/drawing/2014/main" id="{7F2463FD-39BC-44A0-935C-5694E9E2E3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8842" y="16781944"/>
          <a:ext cx="203444" cy="133027"/>
        </a:xfrm>
        <a:prstGeom prst="rect">
          <a:avLst/>
        </a:prstGeom>
      </xdr:spPr>
    </xdr:pic>
    <xdr:clientData/>
  </xdr:oneCellAnchor>
  <xdr:oneCellAnchor>
    <xdr:from>
      <xdr:col>2</xdr:col>
      <xdr:colOff>17939</xdr:colOff>
      <xdr:row>174</xdr:row>
      <xdr:rowOff>14630</xdr:rowOff>
    </xdr:from>
    <xdr:ext cx="130416" cy="121767"/>
    <xdr:pic>
      <xdr:nvPicPr>
        <xdr:cNvPr id="51" name="image7.png">
          <a:extLst>
            <a:ext uri="{FF2B5EF4-FFF2-40B4-BE49-F238E27FC236}">
              <a16:creationId xmlns:a16="http://schemas.microsoft.com/office/drawing/2014/main" id="{A2F5D3BA-56A8-4418-BB7F-E42088CEBD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3330580"/>
          <a:ext cx="130416" cy="121767"/>
        </a:xfrm>
        <a:prstGeom prst="rect">
          <a:avLst/>
        </a:prstGeom>
      </xdr:spPr>
    </xdr:pic>
    <xdr:clientData/>
  </xdr:oneCellAnchor>
  <xdr:oneCellAnchor>
    <xdr:from>
      <xdr:col>2</xdr:col>
      <xdr:colOff>10953</xdr:colOff>
      <xdr:row>175</xdr:row>
      <xdr:rowOff>15138</xdr:rowOff>
    </xdr:from>
    <xdr:ext cx="130416" cy="121767"/>
    <xdr:pic>
      <xdr:nvPicPr>
        <xdr:cNvPr id="52" name="image7.png">
          <a:extLst>
            <a:ext uri="{FF2B5EF4-FFF2-40B4-BE49-F238E27FC236}">
              <a16:creationId xmlns:a16="http://schemas.microsoft.com/office/drawing/2014/main" id="{8AB51809-216B-49B6-A9B4-42EB13846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9003" y="13607313"/>
          <a:ext cx="130416" cy="121767"/>
        </a:xfrm>
        <a:prstGeom prst="rect">
          <a:avLst/>
        </a:prstGeom>
      </xdr:spPr>
    </xdr:pic>
    <xdr:clientData/>
  </xdr:oneCellAnchor>
  <xdr:oneCellAnchor>
    <xdr:from>
      <xdr:col>2</xdr:col>
      <xdr:colOff>17939</xdr:colOff>
      <xdr:row>177</xdr:row>
      <xdr:rowOff>24155</xdr:rowOff>
    </xdr:from>
    <xdr:ext cx="130416" cy="121767"/>
    <xdr:pic>
      <xdr:nvPicPr>
        <xdr:cNvPr id="53" name="image7.png">
          <a:extLst>
            <a:ext uri="{FF2B5EF4-FFF2-40B4-BE49-F238E27FC236}">
              <a16:creationId xmlns:a16="http://schemas.microsoft.com/office/drawing/2014/main" id="{A5C42DD4-40C6-4322-8441-F52E2F9AB5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989" y="14025905"/>
          <a:ext cx="130416" cy="121767"/>
        </a:xfrm>
        <a:prstGeom prst="rect">
          <a:avLst/>
        </a:prstGeom>
      </xdr:spPr>
    </xdr:pic>
    <xdr:clientData/>
  </xdr:oneCellAnchor>
  <xdr:oneCellAnchor>
    <xdr:from>
      <xdr:col>2</xdr:col>
      <xdr:colOff>10953</xdr:colOff>
      <xdr:row>178</xdr:row>
      <xdr:rowOff>30377</xdr:rowOff>
    </xdr:from>
    <xdr:ext cx="130416" cy="121767"/>
    <xdr:pic>
      <xdr:nvPicPr>
        <xdr:cNvPr id="54" name="image7.png">
          <a:extLst>
            <a:ext uri="{FF2B5EF4-FFF2-40B4-BE49-F238E27FC236}">
              <a16:creationId xmlns:a16="http://schemas.microsoft.com/office/drawing/2014/main" id="{5BFAC3B2-2D65-4DFD-BF13-7B10AF6854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9003" y="14308352"/>
          <a:ext cx="130416" cy="121767"/>
        </a:xfrm>
        <a:prstGeom prst="rect">
          <a:avLst/>
        </a:prstGeom>
      </xdr:spPr>
    </xdr:pic>
    <xdr:clientData/>
  </xdr:oneCellAnchor>
  <xdr:oneCellAnchor>
    <xdr:from>
      <xdr:col>2</xdr:col>
      <xdr:colOff>10541</xdr:colOff>
      <xdr:row>195</xdr:row>
      <xdr:rowOff>58063</xdr:rowOff>
    </xdr:from>
    <xdr:ext cx="130416" cy="121767"/>
    <xdr:pic>
      <xdr:nvPicPr>
        <xdr:cNvPr id="55" name="image7.png">
          <a:extLst>
            <a:ext uri="{FF2B5EF4-FFF2-40B4-BE49-F238E27FC236}">
              <a16:creationId xmlns:a16="http://schemas.microsoft.com/office/drawing/2014/main" id="{F00A6F47-9A8C-4FB7-B24C-1A076BFA7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19593838"/>
          <a:ext cx="130416" cy="121767"/>
        </a:xfrm>
        <a:prstGeom prst="rect">
          <a:avLst/>
        </a:prstGeom>
      </xdr:spPr>
    </xdr:pic>
    <xdr:clientData/>
  </xdr:oneCellAnchor>
  <xdr:oneCellAnchor>
    <xdr:from>
      <xdr:col>2</xdr:col>
      <xdr:colOff>36194</xdr:colOff>
      <xdr:row>196</xdr:row>
      <xdr:rowOff>48538</xdr:rowOff>
    </xdr:from>
    <xdr:ext cx="130416" cy="121767"/>
    <xdr:pic>
      <xdr:nvPicPr>
        <xdr:cNvPr id="56" name="image7.png">
          <a:extLst>
            <a:ext uri="{FF2B5EF4-FFF2-40B4-BE49-F238E27FC236}">
              <a16:creationId xmlns:a16="http://schemas.microsoft.com/office/drawing/2014/main" id="{6FA731D9-BF39-4C2A-91A7-294EAE008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4244" y="19851013"/>
          <a:ext cx="130416" cy="121767"/>
        </a:xfrm>
        <a:prstGeom prst="rect">
          <a:avLst/>
        </a:prstGeom>
      </xdr:spPr>
    </xdr:pic>
    <xdr:clientData/>
  </xdr:oneCellAnchor>
  <xdr:oneCellAnchor>
    <xdr:from>
      <xdr:col>2</xdr:col>
      <xdr:colOff>10541</xdr:colOff>
      <xdr:row>198</xdr:row>
      <xdr:rowOff>69021</xdr:rowOff>
    </xdr:from>
    <xdr:ext cx="130416" cy="120335"/>
    <xdr:pic>
      <xdr:nvPicPr>
        <xdr:cNvPr id="57" name="image7.png">
          <a:extLst>
            <a:ext uri="{FF2B5EF4-FFF2-40B4-BE49-F238E27FC236}">
              <a16:creationId xmlns:a16="http://schemas.microsoft.com/office/drawing/2014/main" id="{BF32F686-FF43-4CF1-B894-D63DAB9D2A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0300121"/>
          <a:ext cx="130416" cy="120335"/>
        </a:xfrm>
        <a:prstGeom prst="rect">
          <a:avLst/>
        </a:prstGeom>
      </xdr:spPr>
    </xdr:pic>
    <xdr:clientData/>
  </xdr:oneCellAnchor>
  <xdr:oneCellAnchor>
    <xdr:from>
      <xdr:col>2</xdr:col>
      <xdr:colOff>10541</xdr:colOff>
      <xdr:row>199</xdr:row>
      <xdr:rowOff>63652</xdr:rowOff>
    </xdr:from>
    <xdr:ext cx="130416" cy="121767"/>
    <xdr:pic>
      <xdr:nvPicPr>
        <xdr:cNvPr id="58" name="image7.png">
          <a:extLst>
            <a:ext uri="{FF2B5EF4-FFF2-40B4-BE49-F238E27FC236}">
              <a16:creationId xmlns:a16="http://schemas.microsoft.com/office/drawing/2014/main" id="{40F22652-B609-436C-9747-241601654A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0561452"/>
          <a:ext cx="130416" cy="121767"/>
        </a:xfrm>
        <a:prstGeom prst="rect">
          <a:avLst/>
        </a:prstGeom>
      </xdr:spPr>
    </xdr:pic>
    <xdr:clientData/>
  </xdr:oneCellAnchor>
  <xdr:oneCellAnchor>
    <xdr:from>
      <xdr:col>2</xdr:col>
      <xdr:colOff>481838</xdr:colOff>
      <xdr:row>196</xdr:row>
      <xdr:rowOff>25690</xdr:rowOff>
    </xdr:from>
    <xdr:ext cx="203444" cy="133027"/>
    <xdr:pic>
      <xdr:nvPicPr>
        <xdr:cNvPr id="59" name="image17.png">
          <a:extLst>
            <a:ext uri="{FF2B5EF4-FFF2-40B4-BE49-F238E27FC236}">
              <a16:creationId xmlns:a16="http://schemas.microsoft.com/office/drawing/2014/main" id="{5B12062D-E2C7-41DC-8128-37E3606DBD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9888" y="19828165"/>
          <a:ext cx="203444" cy="133027"/>
        </a:xfrm>
        <a:prstGeom prst="rect">
          <a:avLst/>
        </a:prstGeom>
      </xdr:spPr>
    </xdr:pic>
    <xdr:clientData/>
  </xdr:oneCellAnchor>
  <xdr:oneCellAnchor>
    <xdr:from>
      <xdr:col>2</xdr:col>
      <xdr:colOff>487426</xdr:colOff>
      <xdr:row>199</xdr:row>
      <xdr:rowOff>23659</xdr:rowOff>
    </xdr:from>
    <xdr:ext cx="203799" cy="133027"/>
    <xdr:pic>
      <xdr:nvPicPr>
        <xdr:cNvPr id="60" name="image17.png">
          <a:extLst>
            <a:ext uri="{FF2B5EF4-FFF2-40B4-BE49-F238E27FC236}">
              <a16:creationId xmlns:a16="http://schemas.microsoft.com/office/drawing/2014/main" id="{704AD070-BB3D-4506-906B-AEEBC5CD5C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20521459"/>
          <a:ext cx="203799" cy="133027"/>
        </a:xfrm>
        <a:prstGeom prst="rect">
          <a:avLst/>
        </a:prstGeom>
      </xdr:spPr>
    </xdr:pic>
    <xdr:clientData/>
  </xdr:oneCellAnchor>
  <xdr:oneCellAnchor>
    <xdr:from>
      <xdr:col>2</xdr:col>
      <xdr:colOff>17526</xdr:colOff>
      <xdr:row>202</xdr:row>
      <xdr:rowOff>5994</xdr:rowOff>
    </xdr:from>
    <xdr:ext cx="130416" cy="121767"/>
    <xdr:pic>
      <xdr:nvPicPr>
        <xdr:cNvPr id="61" name="image7.png">
          <a:extLst>
            <a:ext uri="{FF2B5EF4-FFF2-40B4-BE49-F238E27FC236}">
              <a16:creationId xmlns:a16="http://schemas.microsoft.com/office/drawing/2014/main" id="{F4A04735-8279-4E4D-B293-089ED9317C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21218169"/>
          <a:ext cx="130416" cy="121767"/>
        </a:xfrm>
        <a:prstGeom prst="rect">
          <a:avLst/>
        </a:prstGeom>
      </xdr:spPr>
    </xdr:pic>
    <xdr:clientData/>
  </xdr:oneCellAnchor>
  <xdr:oneCellAnchor>
    <xdr:from>
      <xdr:col>2</xdr:col>
      <xdr:colOff>10541</xdr:colOff>
      <xdr:row>203</xdr:row>
      <xdr:rowOff>19711</xdr:rowOff>
    </xdr:from>
    <xdr:ext cx="130416" cy="121767"/>
    <xdr:pic>
      <xdr:nvPicPr>
        <xdr:cNvPr id="62" name="image7.png">
          <a:extLst>
            <a:ext uri="{FF2B5EF4-FFF2-40B4-BE49-F238E27FC236}">
              <a16:creationId xmlns:a16="http://schemas.microsoft.com/office/drawing/2014/main" id="{442B2E8B-966D-4819-ACCF-58640223CC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1365236"/>
          <a:ext cx="130416" cy="121767"/>
        </a:xfrm>
        <a:prstGeom prst="rect">
          <a:avLst/>
        </a:prstGeom>
      </xdr:spPr>
    </xdr:pic>
    <xdr:clientData/>
  </xdr:oneCellAnchor>
  <xdr:oneCellAnchor>
    <xdr:from>
      <xdr:col>2</xdr:col>
      <xdr:colOff>10541</xdr:colOff>
      <xdr:row>204</xdr:row>
      <xdr:rowOff>9550</xdr:rowOff>
    </xdr:from>
    <xdr:ext cx="130416" cy="121767"/>
    <xdr:pic>
      <xdr:nvPicPr>
        <xdr:cNvPr id="63" name="image7.png">
          <a:extLst>
            <a:ext uri="{FF2B5EF4-FFF2-40B4-BE49-F238E27FC236}">
              <a16:creationId xmlns:a16="http://schemas.microsoft.com/office/drawing/2014/main" id="{9490537F-313E-442C-8887-88E2E8D97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1507475"/>
          <a:ext cx="130416" cy="121767"/>
        </a:xfrm>
        <a:prstGeom prst="rect">
          <a:avLst/>
        </a:prstGeom>
      </xdr:spPr>
    </xdr:pic>
    <xdr:clientData/>
  </xdr:oneCellAnchor>
  <xdr:oneCellAnchor>
    <xdr:from>
      <xdr:col>2</xdr:col>
      <xdr:colOff>4826</xdr:colOff>
      <xdr:row>204</xdr:row>
      <xdr:rowOff>151789</xdr:rowOff>
    </xdr:from>
    <xdr:ext cx="130416" cy="121767"/>
    <xdr:pic>
      <xdr:nvPicPr>
        <xdr:cNvPr id="64" name="image7.png">
          <a:extLst>
            <a:ext uri="{FF2B5EF4-FFF2-40B4-BE49-F238E27FC236}">
              <a16:creationId xmlns:a16="http://schemas.microsoft.com/office/drawing/2014/main" id="{A4E75A5D-5295-4AC7-A1FD-56DD23588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2876" y="21649714"/>
          <a:ext cx="130416" cy="121767"/>
        </a:xfrm>
        <a:prstGeom prst="rect">
          <a:avLst/>
        </a:prstGeom>
      </xdr:spPr>
    </xdr:pic>
    <xdr:clientData/>
  </xdr:oneCellAnchor>
  <xdr:oneCellAnchor>
    <xdr:from>
      <xdr:col>2</xdr:col>
      <xdr:colOff>10541</xdr:colOff>
      <xdr:row>206</xdr:row>
      <xdr:rowOff>7517</xdr:rowOff>
    </xdr:from>
    <xdr:ext cx="130416" cy="121767"/>
    <xdr:pic>
      <xdr:nvPicPr>
        <xdr:cNvPr id="65" name="image7.png">
          <a:extLst>
            <a:ext uri="{FF2B5EF4-FFF2-40B4-BE49-F238E27FC236}">
              <a16:creationId xmlns:a16="http://schemas.microsoft.com/office/drawing/2014/main" id="{864255B2-E78E-461B-9427-62539AEEE2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1791192"/>
          <a:ext cx="130416" cy="121767"/>
        </a:xfrm>
        <a:prstGeom prst="rect">
          <a:avLst/>
        </a:prstGeom>
      </xdr:spPr>
    </xdr:pic>
    <xdr:clientData/>
  </xdr:oneCellAnchor>
  <xdr:oneCellAnchor>
    <xdr:from>
      <xdr:col>2</xdr:col>
      <xdr:colOff>10541</xdr:colOff>
      <xdr:row>207</xdr:row>
      <xdr:rowOff>8534</xdr:rowOff>
    </xdr:from>
    <xdr:ext cx="130416" cy="121767"/>
    <xdr:pic>
      <xdr:nvPicPr>
        <xdr:cNvPr id="66" name="image7.png">
          <a:extLst>
            <a:ext uri="{FF2B5EF4-FFF2-40B4-BE49-F238E27FC236}">
              <a16:creationId xmlns:a16="http://schemas.microsoft.com/office/drawing/2014/main" id="{E490D90B-0597-4354-8AF6-CC447A294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1944609"/>
          <a:ext cx="130416" cy="121767"/>
        </a:xfrm>
        <a:prstGeom prst="rect">
          <a:avLst/>
        </a:prstGeom>
      </xdr:spPr>
    </xdr:pic>
    <xdr:clientData/>
  </xdr:oneCellAnchor>
  <xdr:oneCellAnchor>
    <xdr:from>
      <xdr:col>2</xdr:col>
      <xdr:colOff>10541</xdr:colOff>
      <xdr:row>207</xdr:row>
      <xdr:rowOff>150774</xdr:rowOff>
    </xdr:from>
    <xdr:ext cx="130416" cy="121767"/>
    <xdr:pic>
      <xdr:nvPicPr>
        <xdr:cNvPr id="67" name="image7.png">
          <a:extLst>
            <a:ext uri="{FF2B5EF4-FFF2-40B4-BE49-F238E27FC236}">
              <a16:creationId xmlns:a16="http://schemas.microsoft.com/office/drawing/2014/main" id="{B7CF3A91-C861-4829-ABEB-1E6583536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2086849"/>
          <a:ext cx="130416" cy="121767"/>
        </a:xfrm>
        <a:prstGeom prst="rect">
          <a:avLst/>
        </a:prstGeom>
      </xdr:spPr>
    </xdr:pic>
    <xdr:clientData/>
  </xdr:oneCellAnchor>
  <xdr:oneCellAnchor>
    <xdr:from>
      <xdr:col>2</xdr:col>
      <xdr:colOff>4826</xdr:colOff>
      <xdr:row>209</xdr:row>
      <xdr:rowOff>12089</xdr:rowOff>
    </xdr:from>
    <xdr:ext cx="130416" cy="121767"/>
    <xdr:pic>
      <xdr:nvPicPr>
        <xdr:cNvPr id="68" name="image7.png">
          <a:extLst>
            <a:ext uri="{FF2B5EF4-FFF2-40B4-BE49-F238E27FC236}">
              <a16:creationId xmlns:a16="http://schemas.microsoft.com/office/drawing/2014/main" id="{D7F93F01-10D6-4297-AB5C-8C252510A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2876" y="22233914"/>
          <a:ext cx="130416" cy="121767"/>
        </a:xfrm>
        <a:prstGeom prst="rect">
          <a:avLst/>
        </a:prstGeom>
      </xdr:spPr>
    </xdr:pic>
    <xdr:clientData/>
  </xdr:oneCellAnchor>
  <xdr:oneCellAnchor>
    <xdr:from>
      <xdr:col>2</xdr:col>
      <xdr:colOff>10541</xdr:colOff>
      <xdr:row>211</xdr:row>
      <xdr:rowOff>80197</xdr:rowOff>
    </xdr:from>
    <xdr:ext cx="130416" cy="120335"/>
    <xdr:pic>
      <xdr:nvPicPr>
        <xdr:cNvPr id="69" name="image7.png">
          <a:extLst>
            <a:ext uri="{FF2B5EF4-FFF2-40B4-BE49-F238E27FC236}">
              <a16:creationId xmlns:a16="http://schemas.microsoft.com/office/drawing/2014/main" id="{1E08C778-AEE8-41CF-9FA7-1F0D5F075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2587772"/>
          <a:ext cx="130416" cy="120335"/>
        </a:xfrm>
        <a:prstGeom prst="rect">
          <a:avLst/>
        </a:prstGeom>
      </xdr:spPr>
    </xdr:pic>
    <xdr:clientData/>
  </xdr:oneCellAnchor>
  <xdr:oneCellAnchor>
    <xdr:from>
      <xdr:col>2</xdr:col>
      <xdr:colOff>10541</xdr:colOff>
      <xdr:row>212</xdr:row>
      <xdr:rowOff>56539</xdr:rowOff>
    </xdr:from>
    <xdr:ext cx="130416" cy="121767"/>
    <xdr:pic>
      <xdr:nvPicPr>
        <xdr:cNvPr id="70" name="image7.png">
          <a:extLst>
            <a:ext uri="{FF2B5EF4-FFF2-40B4-BE49-F238E27FC236}">
              <a16:creationId xmlns:a16="http://schemas.microsoft.com/office/drawing/2014/main" id="{C82D27C9-9AC9-4CBA-952D-C6EB5DA17F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2840339"/>
          <a:ext cx="130416" cy="121767"/>
        </a:xfrm>
        <a:prstGeom prst="rect">
          <a:avLst/>
        </a:prstGeom>
      </xdr:spPr>
    </xdr:pic>
    <xdr:clientData/>
  </xdr:oneCellAnchor>
  <xdr:oneCellAnchor>
    <xdr:from>
      <xdr:col>2</xdr:col>
      <xdr:colOff>17526</xdr:colOff>
      <xdr:row>214</xdr:row>
      <xdr:rowOff>72196</xdr:rowOff>
    </xdr:from>
    <xdr:ext cx="130416" cy="120335"/>
    <xdr:pic>
      <xdr:nvPicPr>
        <xdr:cNvPr id="71" name="image7.png">
          <a:extLst>
            <a:ext uri="{FF2B5EF4-FFF2-40B4-BE49-F238E27FC236}">
              <a16:creationId xmlns:a16="http://schemas.microsoft.com/office/drawing/2014/main" id="{D94A5E9E-745B-489D-97A1-6B8E2D5F34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23265571"/>
          <a:ext cx="130416" cy="120335"/>
        </a:xfrm>
        <a:prstGeom prst="rect">
          <a:avLst/>
        </a:prstGeom>
      </xdr:spPr>
    </xdr:pic>
    <xdr:clientData/>
  </xdr:oneCellAnchor>
  <xdr:oneCellAnchor>
    <xdr:from>
      <xdr:col>2</xdr:col>
      <xdr:colOff>10541</xdr:colOff>
      <xdr:row>215</xdr:row>
      <xdr:rowOff>67117</xdr:rowOff>
    </xdr:from>
    <xdr:ext cx="130416" cy="120335"/>
    <xdr:pic>
      <xdr:nvPicPr>
        <xdr:cNvPr id="72" name="image7.png">
          <a:extLst>
            <a:ext uri="{FF2B5EF4-FFF2-40B4-BE49-F238E27FC236}">
              <a16:creationId xmlns:a16="http://schemas.microsoft.com/office/drawing/2014/main" id="{63E8DDC0-BAF9-4D5A-88EE-663ADCEC3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3536717"/>
          <a:ext cx="130416" cy="120335"/>
        </a:xfrm>
        <a:prstGeom prst="rect">
          <a:avLst/>
        </a:prstGeom>
      </xdr:spPr>
    </xdr:pic>
    <xdr:clientData/>
  </xdr:oneCellAnchor>
  <xdr:oneCellAnchor>
    <xdr:from>
      <xdr:col>2</xdr:col>
      <xdr:colOff>10541</xdr:colOff>
      <xdr:row>217</xdr:row>
      <xdr:rowOff>51600</xdr:rowOff>
    </xdr:from>
    <xdr:ext cx="130416" cy="121754"/>
    <xdr:pic>
      <xdr:nvPicPr>
        <xdr:cNvPr id="73" name="image7.png">
          <a:extLst>
            <a:ext uri="{FF2B5EF4-FFF2-40B4-BE49-F238E27FC236}">
              <a16:creationId xmlns:a16="http://schemas.microsoft.com/office/drawing/2014/main" id="{BB1087CF-E788-4F05-AE3A-517FB747D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3930775"/>
          <a:ext cx="130416" cy="121754"/>
        </a:xfrm>
        <a:prstGeom prst="rect">
          <a:avLst/>
        </a:prstGeom>
      </xdr:spPr>
    </xdr:pic>
    <xdr:clientData/>
  </xdr:oneCellAnchor>
  <xdr:oneCellAnchor>
    <xdr:from>
      <xdr:col>2</xdr:col>
      <xdr:colOff>17526</xdr:colOff>
      <xdr:row>218</xdr:row>
      <xdr:rowOff>52476</xdr:rowOff>
    </xdr:from>
    <xdr:ext cx="130416" cy="121767"/>
    <xdr:pic>
      <xdr:nvPicPr>
        <xdr:cNvPr id="74" name="image7.png">
          <a:extLst>
            <a:ext uri="{FF2B5EF4-FFF2-40B4-BE49-F238E27FC236}">
              <a16:creationId xmlns:a16="http://schemas.microsoft.com/office/drawing/2014/main" id="{2E50063E-C6F2-40D6-9399-F596D3ADD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24207876"/>
          <a:ext cx="130416" cy="121767"/>
        </a:xfrm>
        <a:prstGeom prst="rect">
          <a:avLst/>
        </a:prstGeom>
      </xdr:spPr>
    </xdr:pic>
    <xdr:clientData/>
  </xdr:oneCellAnchor>
  <xdr:oneCellAnchor>
    <xdr:from>
      <xdr:col>2</xdr:col>
      <xdr:colOff>481838</xdr:colOff>
      <xdr:row>211</xdr:row>
      <xdr:rowOff>44486</xdr:rowOff>
    </xdr:from>
    <xdr:ext cx="203444" cy="133027"/>
    <xdr:pic>
      <xdr:nvPicPr>
        <xdr:cNvPr id="75" name="image17.png">
          <a:extLst>
            <a:ext uri="{FF2B5EF4-FFF2-40B4-BE49-F238E27FC236}">
              <a16:creationId xmlns:a16="http://schemas.microsoft.com/office/drawing/2014/main" id="{F63EC2C0-5CF3-4EFB-BBD0-6ED278CA73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9888" y="22552061"/>
          <a:ext cx="203444" cy="133027"/>
        </a:xfrm>
        <a:prstGeom prst="rect">
          <a:avLst/>
        </a:prstGeom>
      </xdr:spPr>
    </xdr:pic>
    <xdr:clientData/>
  </xdr:oneCellAnchor>
  <xdr:oneCellAnchor>
    <xdr:from>
      <xdr:col>2</xdr:col>
      <xdr:colOff>487426</xdr:colOff>
      <xdr:row>212</xdr:row>
      <xdr:rowOff>27747</xdr:rowOff>
    </xdr:from>
    <xdr:ext cx="203799" cy="133381"/>
    <xdr:pic>
      <xdr:nvPicPr>
        <xdr:cNvPr id="76" name="image17.png">
          <a:extLst>
            <a:ext uri="{FF2B5EF4-FFF2-40B4-BE49-F238E27FC236}">
              <a16:creationId xmlns:a16="http://schemas.microsoft.com/office/drawing/2014/main" id="{AA20C1E2-337B-4D02-B305-B426DFA224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22811547"/>
          <a:ext cx="203799" cy="133381"/>
        </a:xfrm>
        <a:prstGeom prst="rect">
          <a:avLst/>
        </a:prstGeom>
      </xdr:spPr>
    </xdr:pic>
    <xdr:clientData/>
  </xdr:oneCellAnchor>
  <xdr:oneCellAnchor>
    <xdr:from>
      <xdr:col>2</xdr:col>
      <xdr:colOff>10541</xdr:colOff>
      <xdr:row>220</xdr:row>
      <xdr:rowOff>82355</xdr:rowOff>
    </xdr:from>
    <xdr:ext cx="130416" cy="120335"/>
    <xdr:pic>
      <xdr:nvPicPr>
        <xdr:cNvPr id="77" name="image7.png">
          <a:extLst>
            <a:ext uri="{FF2B5EF4-FFF2-40B4-BE49-F238E27FC236}">
              <a16:creationId xmlns:a16="http://schemas.microsoft.com/office/drawing/2014/main" id="{506C6721-BA1E-4517-9348-F977270CA0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6037980"/>
          <a:ext cx="130416" cy="120335"/>
        </a:xfrm>
        <a:prstGeom prst="rect">
          <a:avLst/>
        </a:prstGeom>
      </xdr:spPr>
    </xdr:pic>
    <xdr:clientData/>
  </xdr:oneCellAnchor>
  <xdr:oneCellAnchor>
    <xdr:from>
      <xdr:col>2</xdr:col>
      <xdr:colOff>23494</xdr:colOff>
      <xdr:row>221</xdr:row>
      <xdr:rowOff>78675</xdr:rowOff>
    </xdr:from>
    <xdr:ext cx="130416" cy="120335"/>
    <xdr:pic>
      <xdr:nvPicPr>
        <xdr:cNvPr id="78" name="image7.png">
          <a:extLst>
            <a:ext uri="{FF2B5EF4-FFF2-40B4-BE49-F238E27FC236}">
              <a16:creationId xmlns:a16="http://schemas.microsoft.com/office/drawing/2014/main" id="{4EFAFBA1-076D-4C6A-8DC6-F2340E95F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81544" y="26301000"/>
          <a:ext cx="130416" cy="120335"/>
        </a:xfrm>
        <a:prstGeom prst="rect">
          <a:avLst/>
        </a:prstGeom>
      </xdr:spPr>
    </xdr:pic>
    <xdr:clientData/>
  </xdr:oneCellAnchor>
  <xdr:oneCellAnchor>
    <xdr:from>
      <xdr:col>2</xdr:col>
      <xdr:colOff>10541</xdr:colOff>
      <xdr:row>223</xdr:row>
      <xdr:rowOff>56031</xdr:rowOff>
    </xdr:from>
    <xdr:ext cx="130416" cy="121767"/>
    <xdr:pic>
      <xdr:nvPicPr>
        <xdr:cNvPr id="79" name="image7.png">
          <a:extLst>
            <a:ext uri="{FF2B5EF4-FFF2-40B4-BE49-F238E27FC236}">
              <a16:creationId xmlns:a16="http://schemas.microsoft.com/office/drawing/2014/main" id="{0A660F94-31EB-4C16-ACFC-E7F2F649B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6706981"/>
          <a:ext cx="130416" cy="121767"/>
        </a:xfrm>
        <a:prstGeom prst="rect">
          <a:avLst/>
        </a:prstGeom>
      </xdr:spPr>
    </xdr:pic>
    <xdr:clientData/>
  </xdr:oneCellAnchor>
  <xdr:oneCellAnchor>
    <xdr:from>
      <xdr:col>2</xdr:col>
      <xdr:colOff>17526</xdr:colOff>
      <xdr:row>224</xdr:row>
      <xdr:rowOff>76641</xdr:rowOff>
    </xdr:from>
    <xdr:ext cx="130416" cy="120335"/>
    <xdr:pic>
      <xdr:nvPicPr>
        <xdr:cNvPr id="80" name="image7.png">
          <a:extLst>
            <a:ext uri="{FF2B5EF4-FFF2-40B4-BE49-F238E27FC236}">
              <a16:creationId xmlns:a16="http://schemas.microsoft.com/office/drawing/2014/main" id="{D5DFD951-FAE5-414A-880D-67A624154B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26994291"/>
          <a:ext cx="130416" cy="120335"/>
        </a:xfrm>
        <a:prstGeom prst="rect">
          <a:avLst/>
        </a:prstGeom>
      </xdr:spPr>
    </xdr:pic>
    <xdr:clientData/>
  </xdr:oneCellAnchor>
  <xdr:oneCellAnchor>
    <xdr:from>
      <xdr:col>2</xdr:col>
      <xdr:colOff>10541</xdr:colOff>
      <xdr:row>226</xdr:row>
      <xdr:rowOff>66701</xdr:rowOff>
    </xdr:from>
    <xdr:ext cx="130416" cy="121767"/>
    <xdr:pic>
      <xdr:nvPicPr>
        <xdr:cNvPr id="81" name="image7.png">
          <a:extLst>
            <a:ext uri="{FF2B5EF4-FFF2-40B4-BE49-F238E27FC236}">
              <a16:creationId xmlns:a16="http://schemas.microsoft.com/office/drawing/2014/main" id="{A97114DB-F508-4BC7-A9B7-EC3981901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7393926"/>
          <a:ext cx="130416" cy="121767"/>
        </a:xfrm>
        <a:prstGeom prst="rect">
          <a:avLst/>
        </a:prstGeom>
      </xdr:spPr>
    </xdr:pic>
    <xdr:clientData/>
  </xdr:oneCellAnchor>
  <xdr:oneCellAnchor>
    <xdr:from>
      <xdr:col>2</xdr:col>
      <xdr:colOff>17526</xdr:colOff>
      <xdr:row>230</xdr:row>
      <xdr:rowOff>68642</xdr:rowOff>
    </xdr:from>
    <xdr:ext cx="130416" cy="120335"/>
    <xdr:pic>
      <xdr:nvPicPr>
        <xdr:cNvPr id="82" name="image7.png">
          <a:extLst>
            <a:ext uri="{FF2B5EF4-FFF2-40B4-BE49-F238E27FC236}">
              <a16:creationId xmlns:a16="http://schemas.microsoft.com/office/drawing/2014/main" id="{5E143506-08CB-4B61-824C-3000DC63E1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27672092"/>
          <a:ext cx="130416" cy="120335"/>
        </a:xfrm>
        <a:prstGeom prst="rect">
          <a:avLst/>
        </a:prstGeom>
      </xdr:spPr>
    </xdr:pic>
    <xdr:clientData/>
  </xdr:oneCellAnchor>
  <xdr:oneCellAnchor>
    <xdr:from>
      <xdr:col>2</xdr:col>
      <xdr:colOff>487426</xdr:colOff>
      <xdr:row>221</xdr:row>
      <xdr:rowOff>31304</xdr:rowOff>
    </xdr:from>
    <xdr:ext cx="203799" cy="133381"/>
    <xdr:pic>
      <xdr:nvPicPr>
        <xdr:cNvPr id="83" name="image21.png">
          <a:extLst>
            <a:ext uri="{FF2B5EF4-FFF2-40B4-BE49-F238E27FC236}">
              <a16:creationId xmlns:a16="http://schemas.microsoft.com/office/drawing/2014/main" id="{3478A71F-12C7-49DB-976A-84F01192B8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26253629"/>
          <a:ext cx="203799" cy="133381"/>
        </a:xfrm>
        <a:prstGeom prst="rect">
          <a:avLst/>
        </a:prstGeom>
      </xdr:spPr>
    </xdr:pic>
    <xdr:clientData/>
  </xdr:oneCellAnchor>
  <xdr:oneCellAnchor>
    <xdr:from>
      <xdr:col>2</xdr:col>
      <xdr:colOff>493394</xdr:colOff>
      <xdr:row>224</xdr:row>
      <xdr:rowOff>17714</xdr:rowOff>
    </xdr:from>
    <xdr:ext cx="204871" cy="133381"/>
    <xdr:pic>
      <xdr:nvPicPr>
        <xdr:cNvPr id="84" name="image22.png">
          <a:extLst>
            <a:ext uri="{FF2B5EF4-FFF2-40B4-BE49-F238E27FC236}">
              <a16:creationId xmlns:a16="http://schemas.microsoft.com/office/drawing/2014/main" id="{A682B2C6-A28F-4903-9592-79565E6D98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1444" y="26935364"/>
          <a:ext cx="204871" cy="133381"/>
        </a:xfrm>
        <a:prstGeom prst="rect">
          <a:avLst/>
        </a:prstGeom>
      </xdr:spPr>
    </xdr:pic>
    <xdr:clientData/>
  </xdr:oneCellAnchor>
  <xdr:oneCellAnchor>
    <xdr:from>
      <xdr:col>2</xdr:col>
      <xdr:colOff>487426</xdr:colOff>
      <xdr:row>230</xdr:row>
      <xdr:rowOff>27239</xdr:rowOff>
    </xdr:from>
    <xdr:ext cx="203799" cy="133381"/>
    <xdr:pic>
      <xdr:nvPicPr>
        <xdr:cNvPr id="85" name="image23.png">
          <a:extLst>
            <a:ext uri="{FF2B5EF4-FFF2-40B4-BE49-F238E27FC236}">
              <a16:creationId xmlns:a16="http://schemas.microsoft.com/office/drawing/2014/main" id="{52B2DA37-2530-415C-9E6F-BDA71836F3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27630689"/>
          <a:ext cx="203799" cy="133381"/>
        </a:xfrm>
        <a:prstGeom prst="rect">
          <a:avLst/>
        </a:prstGeom>
      </xdr:spPr>
    </xdr:pic>
    <xdr:clientData/>
  </xdr:oneCellAnchor>
  <xdr:oneCellAnchor>
    <xdr:from>
      <xdr:col>2</xdr:col>
      <xdr:colOff>17526</xdr:colOff>
      <xdr:row>227</xdr:row>
      <xdr:rowOff>68642</xdr:rowOff>
    </xdr:from>
    <xdr:ext cx="130416" cy="120335"/>
    <xdr:pic>
      <xdr:nvPicPr>
        <xdr:cNvPr id="86" name="image7.png">
          <a:extLst>
            <a:ext uri="{FF2B5EF4-FFF2-40B4-BE49-F238E27FC236}">
              <a16:creationId xmlns:a16="http://schemas.microsoft.com/office/drawing/2014/main" id="{BF432208-67EB-4CA2-A7B9-B33E32266F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5726" y="53227667"/>
          <a:ext cx="130416" cy="120335"/>
        </a:xfrm>
        <a:prstGeom prst="rect">
          <a:avLst/>
        </a:prstGeom>
      </xdr:spPr>
    </xdr:pic>
    <xdr:clientData/>
  </xdr:oneCellAnchor>
  <xdr:oneCellAnchor>
    <xdr:from>
      <xdr:col>2</xdr:col>
      <xdr:colOff>487426</xdr:colOff>
      <xdr:row>227</xdr:row>
      <xdr:rowOff>27239</xdr:rowOff>
    </xdr:from>
    <xdr:ext cx="203799" cy="133381"/>
    <xdr:pic>
      <xdr:nvPicPr>
        <xdr:cNvPr id="87" name="image23.png">
          <a:extLst>
            <a:ext uri="{FF2B5EF4-FFF2-40B4-BE49-F238E27FC236}">
              <a16:creationId xmlns:a16="http://schemas.microsoft.com/office/drawing/2014/main" id="{5B622EDD-5F10-45DA-861F-16EC40A48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35626" y="53186264"/>
          <a:ext cx="203799" cy="133381"/>
        </a:xfrm>
        <a:prstGeom prst="rect">
          <a:avLst/>
        </a:prstGeom>
      </xdr:spPr>
    </xdr:pic>
    <xdr:clientData/>
  </xdr:oneCellAnchor>
  <xdr:oneCellAnchor>
    <xdr:from>
      <xdr:col>2</xdr:col>
      <xdr:colOff>23494</xdr:colOff>
      <xdr:row>231</xdr:row>
      <xdr:rowOff>67116</xdr:rowOff>
    </xdr:from>
    <xdr:ext cx="130416" cy="120335"/>
    <xdr:pic>
      <xdr:nvPicPr>
        <xdr:cNvPr id="88" name="image7.png">
          <a:extLst>
            <a:ext uri="{FF2B5EF4-FFF2-40B4-BE49-F238E27FC236}">
              <a16:creationId xmlns:a16="http://schemas.microsoft.com/office/drawing/2014/main" id="{FC298C1F-8A9B-408A-8A6F-6568F3A65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81544" y="28232541"/>
          <a:ext cx="130416" cy="120335"/>
        </a:xfrm>
        <a:prstGeom prst="rect">
          <a:avLst/>
        </a:prstGeom>
      </xdr:spPr>
    </xdr:pic>
    <xdr:clientData/>
  </xdr:oneCellAnchor>
  <xdr:oneCellAnchor>
    <xdr:from>
      <xdr:col>2</xdr:col>
      <xdr:colOff>10541</xdr:colOff>
      <xdr:row>232</xdr:row>
      <xdr:rowOff>55014</xdr:rowOff>
    </xdr:from>
    <xdr:ext cx="130416" cy="121767"/>
    <xdr:pic>
      <xdr:nvPicPr>
        <xdr:cNvPr id="89" name="image7.png">
          <a:extLst>
            <a:ext uri="{FF2B5EF4-FFF2-40B4-BE49-F238E27FC236}">
              <a16:creationId xmlns:a16="http://schemas.microsoft.com/office/drawing/2014/main" id="{781CE32C-FADC-462D-BCC2-6885A21DAF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8496664"/>
          <a:ext cx="130416" cy="121767"/>
        </a:xfrm>
        <a:prstGeom prst="rect">
          <a:avLst/>
        </a:prstGeom>
      </xdr:spPr>
    </xdr:pic>
    <xdr:clientData/>
  </xdr:oneCellAnchor>
  <xdr:oneCellAnchor>
    <xdr:from>
      <xdr:col>2</xdr:col>
      <xdr:colOff>10541</xdr:colOff>
      <xdr:row>234</xdr:row>
      <xdr:rowOff>65085</xdr:rowOff>
    </xdr:from>
    <xdr:ext cx="130416" cy="120335"/>
    <xdr:pic>
      <xdr:nvPicPr>
        <xdr:cNvPr id="90" name="image7.png">
          <a:extLst>
            <a:ext uri="{FF2B5EF4-FFF2-40B4-BE49-F238E27FC236}">
              <a16:creationId xmlns:a16="http://schemas.microsoft.com/office/drawing/2014/main" id="{86B0A105-DDB3-4800-95AE-CCD9730603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8925835"/>
          <a:ext cx="130416" cy="120335"/>
        </a:xfrm>
        <a:prstGeom prst="rect">
          <a:avLst/>
        </a:prstGeom>
      </xdr:spPr>
    </xdr:pic>
    <xdr:clientData/>
  </xdr:oneCellAnchor>
  <xdr:oneCellAnchor>
    <xdr:from>
      <xdr:col>2</xdr:col>
      <xdr:colOff>17526</xdr:colOff>
      <xdr:row>235</xdr:row>
      <xdr:rowOff>65684</xdr:rowOff>
    </xdr:from>
    <xdr:ext cx="130416" cy="121767"/>
    <xdr:pic>
      <xdr:nvPicPr>
        <xdr:cNvPr id="91" name="image7.png">
          <a:extLst>
            <a:ext uri="{FF2B5EF4-FFF2-40B4-BE49-F238E27FC236}">
              <a16:creationId xmlns:a16="http://schemas.microsoft.com/office/drawing/2014/main" id="{EDA621F1-FB38-4DD4-8A2C-B87817B18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29193134"/>
          <a:ext cx="130416" cy="121767"/>
        </a:xfrm>
        <a:prstGeom prst="rect">
          <a:avLst/>
        </a:prstGeom>
      </xdr:spPr>
    </xdr:pic>
    <xdr:clientData/>
  </xdr:oneCellAnchor>
  <xdr:oneCellAnchor>
    <xdr:from>
      <xdr:col>2</xdr:col>
      <xdr:colOff>10541</xdr:colOff>
      <xdr:row>237</xdr:row>
      <xdr:rowOff>56031</xdr:rowOff>
    </xdr:from>
    <xdr:ext cx="130416" cy="121767"/>
    <xdr:pic>
      <xdr:nvPicPr>
        <xdr:cNvPr id="92" name="image7.png">
          <a:extLst>
            <a:ext uri="{FF2B5EF4-FFF2-40B4-BE49-F238E27FC236}">
              <a16:creationId xmlns:a16="http://schemas.microsoft.com/office/drawing/2014/main" id="{34CC5981-8605-4BD1-9125-9648D96EC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9612106"/>
          <a:ext cx="130416" cy="121767"/>
        </a:xfrm>
        <a:prstGeom prst="rect">
          <a:avLst/>
        </a:prstGeom>
      </xdr:spPr>
    </xdr:pic>
    <xdr:clientData/>
  </xdr:oneCellAnchor>
  <xdr:oneCellAnchor>
    <xdr:from>
      <xdr:col>2</xdr:col>
      <xdr:colOff>10541</xdr:colOff>
      <xdr:row>238</xdr:row>
      <xdr:rowOff>82355</xdr:rowOff>
    </xdr:from>
    <xdr:ext cx="130416" cy="120335"/>
    <xdr:pic>
      <xdr:nvPicPr>
        <xdr:cNvPr id="93" name="image7.png">
          <a:extLst>
            <a:ext uri="{FF2B5EF4-FFF2-40B4-BE49-F238E27FC236}">
              <a16:creationId xmlns:a16="http://schemas.microsoft.com/office/drawing/2014/main" id="{E5131159-EB94-477B-82F1-29906D90B2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29905130"/>
          <a:ext cx="130416" cy="120335"/>
        </a:xfrm>
        <a:prstGeom prst="rect">
          <a:avLst/>
        </a:prstGeom>
      </xdr:spPr>
    </xdr:pic>
    <xdr:clientData/>
  </xdr:oneCellAnchor>
  <xdr:oneCellAnchor>
    <xdr:from>
      <xdr:col>2</xdr:col>
      <xdr:colOff>17526</xdr:colOff>
      <xdr:row>240</xdr:row>
      <xdr:rowOff>73720</xdr:rowOff>
    </xdr:from>
    <xdr:ext cx="130416" cy="120335"/>
    <xdr:pic>
      <xdr:nvPicPr>
        <xdr:cNvPr id="94" name="image7.png">
          <a:extLst>
            <a:ext uri="{FF2B5EF4-FFF2-40B4-BE49-F238E27FC236}">
              <a16:creationId xmlns:a16="http://schemas.microsoft.com/office/drawing/2014/main" id="{E83B8AEE-D1EF-41F8-839A-87BAC5E4B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30306070"/>
          <a:ext cx="130416" cy="120335"/>
        </a:xfrm>
        <a:prstGeom prst="rect">
          <a:avLst/>
        </a:prstGeom>
      </xdr:spPr>
    </xdr:pic>
    <xdr:clientData/>
  </xdr:oneCellAnchor>
  <xdr:oneCellAnchor>
    <xdr:from>
      <xdr:col>2</xdr:col>
      <xdr:colOff>17526</xdr:colOff>
      <xdr:row>241</xdr:row>
      <xdr:rowOff>74663</xdr:rowOff>
    </xdr:from>
    <xdr:ext cx="130416" cy="120333"/>
    <xdr:pic>
      <xdr:nvPicPr>
        <xdr:cNvPr id="95" name="image7.png">
          <a:extLst>
            <a:ext uri="{FF2B5EF4-FFF2-40B4-BE49-F238E27FC236}">
              <a16:creationId xmlns:a16="http://schemas.microsoft.com/office/drawing/2014/main" id="{A932D41A-0822-4655-AAE4-41CEC276D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30583238"/>
          <a:ext cx="130416" cy="120333"/>
        </a:xfrm>
        <a:prstGeom prst="rect">
          <a:avLst/>
        </a:prstGeom>
      </xdr:spPr>
    </xdr:pic>
    <xdr:clientData/>
  </xdr:oneCellAnchor>
  <xdr:oneCellAnchor>
    <xdr:from>
      <xdr:col>2</xdr:col>
      <xdr:colOff>506094</xdr:colOff>
      <xdr:row>234</xdr:row>
      <xdr:rowOff>6537</xdr:rowOff>
    </xdr:from>
    <xdr:ext cx="203708" cy="133381"/>
    <xdr:pic>
      <xdr:nvPicPr>
        <xdr:cNvPr id="96" name="image20.png">
          <a:extLst>
            <a:ext uri="{FF2B5EF4-FFF2-40B4-BE49-F238E27FC236}">
              <a16:creationId xmlns:a16="http://schemas.microsoft.com/office/drawing/2014/main" id="{C0CC2DCF-DE47-4213-AE81-6252497FA6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4144" y="28867287"/>
          <a:ext cx="203708" cy="133381"/>
        </a:xfrm>
        <a:prstGeom prst="rect">
          <a:avLst/>
        </a:prstGeom>
      </xdr:spPr>
    </xdr:pic>
    <xdr:clientData/>
  </xdr:oneCellAnchor>
  <xdr:oneCellAnchor>
    <xdr:from>
      <xdr:col>2</xdr:col>
      <xdr:colOff>500379</xdr:colOff>
      <xdr:row>231</xdr:row>
      <xdr:rowOff>20102</xdr:rowOff>
    </xdr:from>
    <xdr:ext cx="203444" cy="133027"/>
    <xdr:pic>
      <xdr:nvPicPr>
        <xdr:cNvPr id="97" name="image24.png">
          <a:extLst>
            <a:ext uri="{FF2B5EF4-FFF2-40B4-BE49-F238E27FC236}">
              <a16:creationId xmlns:a16="http://schemas.microsoft.com/office/drawing/2014/main" id="{C4951990-E05B-4B11-97A0-EDC893B7BF2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58429" y="28185527"/>
          <a:ext cx="203444" cy="133027"/>
        </a:xfrm>
        <a:prstGeom prst="rect">
          <a:avLst/>
        </a:prstGeom>
      </xdr:spPr>
    </xdr:pic>
    <xdr:clientData/>
  </xdr:oneCellAnchor>
  <xdr:oneCellAnchor>
    <xdr:from>
      <xdr:col>2</xdr:col>
      <xdr:colOff>487426</xdr:colOff>
      <xdr:row>237</xdr:row>
      <xdr:rowOff>16037</xdr:rowOff>
    </xdr:from>
    <xdr:ext cx="203799" cy="133027"/>
    <xdr:pic>
      <xdr:nvPicPr>
        <xdr:cNvPr id="98" name="image23.png">
          <a:extLst>
            <a:ext uri="{FF2B5EF4-FFF2-40B4-BE49-F238E27FC236}">
              <a16:creationId xmlns:a16="http://schemas.microsoft.com/office/drawing/2014/main" id="{4D733AE6-6E50-44C4-ADA9-D70515A54B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29572112"/>
          <a:ext cx="203799" cy="133027"/>
        </a:xfrm>
        <a:prstGeom prst="rect">
          <a:avLst/>
        </a:prstGeom>
      </xdr:spPr>
    </xdr:pic>
    <xdr:clientData/>
  </xdr:oneCellAnchor>
  <xdr:oneCellAnchor>
    <xdr:from>
      <xdr:col>2</xdr:col>
      <xdr:colOff>500379</xdr:colOff>
      <xdr:row>240</xdr:row>
      <xdr:rowOff>26706</xdr:rowOff>
    </xdr:from>
    <xdr:ext cx="203444" cy="133027"/>
    <xdr:pic>
      <xdr:nvPicPr>
        <xdr:cNvPr id="99" name="image25.png">
          <a:extLst>
            <a:ext uri="{FF2B5EF4-FFF2-40B4-BE49-F238E27FC236}">
              <a16:creationId xmlns:a16="http://schemas.microsoft.com/office/drawing/2014/main" id="{F492B79E-D234-4AD4-8C93-096D880CA6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8429" y="30259056"/>
          <a:ext cx="203444" cy="133027"/>
        </a:xfrm>
        <a:prstGeom prst="rect">
          <a:avLst/>
        </a:prstGeom>
      </xdr:spPr>
    </xdr:pic>
    <xdr:clientData/>
  </xdr:oneCellAnchor>
  <xdr:oneCellAnchor>
    <xdr:from>
      <xdr:col>2</xdr:col>
      <xdr:colOff>500379</xdr:colOff>
      <xdr:row>241</xdr:row>
      <xdr:rowOff>27264</xdr:rowOff>
    </xdr:from>
    <xdr:ext cx="203444" cy="133381"/>
    <xdr:pic>
      <xdr:nvPicPr>
        <xdr:cNvPr id="100" name="image25.png">
          <a:extLst>
            <a:ext uri="{FF2B5EF4-FFF2-40B4-BE49-F238E27FC236}">
              <a16:creationId xmlns:a16="http://schemas.microsoft.com/office/drawing/2014/main" id="{A750C96F-0D1F-4B73-906C-AF89C12B644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8429" y="30535839"/>
          <a:ext cx="203444" cy="133381"/>
        </a:xfrm>
        <a:prstGeom prst="rect">
          <a:avLst/>
        </a:prstGeom>
      </xdr:spPr>
    </xdr:pic>
    <xdr:clientData/>
  </xdr:oneCellAnchor>
  <xdr:oneCellAnchor>
    <xdr:from>
      <xdr:col>2</xdr:col>
      <xdr:colOff>10541</xdr:colOff>
      <xdr:row>247</xdr:row>
      <xdr:rowOff>58063</xdr:rowOff>
    </xdr:from>
    <xdr:ext cx="130416" cy="121767"/>
    <xdr:pic>
      <xdr:nvPicPr>
        <xdr:cNvPr id="101" name="image7.png">
          <a:extLst>
            <a:ext uri="{FF2B5EF4-FFF2-40B4-BE49-F238E27FC236}">
              <a16:creationId xmlns:a16="http://schemas.microsoft.com/office/drawing/2014/main" id="{69F5EC6C-B9E8-4DF3-8C86-29DD53A8C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2366863"/>
          <a:ext cx="130416" cy="121767"/>
        </a:xfrm>
        <a:prstGeom prst="rect">
          <a:avLst/>
        </a:prstGeom>
      </xdr:spPr>
    </xdr:pic>
    <xdr:clientData/>
  </xdr:oneCellAnchor>
  <xdr:oneCellAnchor>
    <xdr:from>
      <xdr:col>2</xdr:col>
      <xdr:colOff>10541</xdr:colOff>
      <xdr:row>248</xdr:row>
      <xdr:rowOff>60097</xdr:rowOff>
    </xdr:from>
    <xdr:ext cx="130416" cy="121767"/>
    <xdr:pic>
      <xdr:nvPicPr>
        <xdr:cNvPr id="102" name="image7.png">
          <a:extLst>
            <a:ext uri="{FF2B5EF4-FFF2-40B4-BE49-F238E27FC236}">
              <a16:creationId xmlns:a16="http://schemas.microsoft.com/office/drawing/2014/main" id="{C4E8069D-BD1F-4ECC-9FC3-74EE0FBEA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2635597"/>
          <a:ext cx="130416" cy="121767"/>
        </a:xfrm>
        <a:prstGeom prst="rect">
          <a:avLst/>
        </a:prstGeom>
      </xdr:spPr>
    </xdr:pic>
    <xdr:clientData/>
  </xdr:oneCellAnchor>
  <xdr:oneCellAnchor>
    <xdr:from>
      <xdr:col>2</xdr:col>
      <xdr:colOff>17526</xdr:colOff>
      <xdr:row>250</xdr:row>
      <xdr:rowOff>50445</xdr:rowOff>
    </xdr:from>
    <xdr:ext cx="130416" cy="121767"/>
    <xdr:pic>
      <xdr:nvPicPr>
        <xdr:cNvPr id="103" name="image7.png">
          <a:extLst>
            <a:ext uri="{FF2B5EF4-FFF2-40B4-BE49-F238E27FC236}">
              <a16:creationId xmlns:a16="http://schemas.microsoft.com/office/drawing/2014/main" id="{8C51B906-64FA-4236-867E-B7D8FC4ACC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33054570"/>
          <a:ext cx="130416" cy="121767"/>
        </a:xfrm>
        <a:prstGeom prst="rect">
          <a:avLst/>
        </a:prstGeom>
      </xdr:spPr>
    </xdr:pic>
    <xdr:clientData/>
  </xdr:oneCellAnchor>
  <xdr:oneCellAnchor>
    <xdr:from>
      <xdr:col>2</xdr:col>
      <xdr:colOff>10541</xdr:colOff>
      <xdr:row>251</xdr:row>
      <xdr:rowOff>70673</xdr:rowOff>
    </xdr:from>
    <xdr:ext cx="130416" cy="120335"/>
    <xdr:pic>
      <xdr:nvPicPr>
        <xdr:cNvPr id="104" name="image7.png">
          <a:extLst>
            <a:ext uri="{FF2B5EF4-FFF2-40B4-BE49-F238E27FC236}">
              <a16:creationId xmlns:a16="http://schemas.microsoft.com/office/drawing/2014/main" id="{762362AF-8AAA-4300-90AF-3E8D7FE5D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3341498"/>
          <a:ext cx="130416" cy="120335"/>
        </a:xfrm>
        <a:prstGeom prst="rect">
          <a:avLst/>
        </a:prstGeom>
      </xdr:spPr>
    </xdr:pic>
    <xdr:clientData/>
  </xdr:oneCellAnchor>
  <xdr:oneCellAnchor>
    <xdr:from>
      <xdr:col>2</xdr:col>
      <xdr:colOff>481838</xdr:colOff>
      <xdr:row>248</xdr:row>
      <xdr:rowOff>25690</xdr:rowOff>
    </xdr:from>
    <xdr:ext cx="203444" cy="133027"/>
    <xdr:pic>
      <xdr:nvPicPr>
        <xdr:cNvPr id="105" name="image30.png">
          <a:extLst>
            <a:ext uri="{FF2B5EF4-FFF2-40B4-BE49-F238E27FC236}">
              <a16:creationId xmlns:a16="http://schemas.microsoft.com/office/drawing/2014/main" id="{65FEE094-026B-46F7-B8CB-295D231D86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9888" y="32601190"/>
          <a:ext cx="203444" cy="133027"/>
        </a:xfrm>
        <a:prstGeom prst="rect">
          <a:avLst/>
        </a:prstGeom>
      </xdr:spPr>
    </xdr:pic>
    <xdr:clientData/>
  </xdr:oneCellAnchor>
  <xdr:oneCellAnchor>
    <xdr:from>
      <xdr:col>2</xdr:col>
      <xdr:colOff>487426</xdr:colOff>
      <xdr:row>251</xdr:row>
      <xdr:rowOff>17715</xdr:rowOff>
    </xdr:from>
    <xdr:ext cx="203799" cy="133381"/>
    <xdr:pic>
      <xdr:nvPicPr>
        <xdr:cNvPr id="106" name="image30.png">
          <a:extLst>
            <a:ext uri="{FF2B5EF4-FFF2-40B4-BE49-F238E27FC236}">
              <a16:creationId xmlns:a16="http://schemas.microsoft.com/office/drawing/2014/main" id="{118E9D7F-1D03-4959-B5E8-77FBABF292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476" y="33288540"/>
          <a:ext cx="203799" cy="133381"/>
        </a:xfrm>
        <a:prstGeom prst="rect">
          <a:avLst/>
        </a:prstGeom>
      </xdr:spPr>
    </xdr:pic>
    <xdr:clientData/>
  </xdr:oneCellAnchor>
  <xdr:oneCellAnchor>
    <xdr:from>
      <xdr:col>2</xdr:col>
      <xdr:colOff>506094</xdr:colOff>
      <xdr:row>253</xdr:row>
      <xdr:rowOff>145856</xdr:rowOff>
    </xdr:from>
    <xdr:ext cx="203708" cy="292388"/>
    <xdr:pic>
      <xdr:nvPicPr>
        <xdr:cNvPr id="107" name="image28.png">
          <a:extLst>
            <a:ext uri="{FF2B5EF4-FFF2-40B4-BE49-F238E27FC236}">
              <a16:creationId xmlns:a16="http://schemas.microsoft.com/office/drawing/2014/main" id="{CBEBD6A7-CBA9-4710-8B0C-2A0B05C012D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764144" y="33826256"/>
          <a:ext cx="203708" cy="292388"/>
        </a:xfrm>
        <a:prstGeom prst="rect">
          <a:avLst/>
        </a:prstGeom>
      </xdr:spPr>
    </xdr:pic>
    <xdr:clientData/>
  </xdr:oneCellAnchor>
  <xdr:oneCellAnchor>
    <xdr:from>
      <xdr:col>2</xdr:col>
      <xdr:colOff>500379</xdr:colOff>
      <xdr:row>257</xdr:row>
      <xdr:rowOff>15222</xdr:rowOff>
    </xdr:from>
    <xdr:ext cx="209423" cy="417434"/>
    <xdr:pic>
      <xdr:nvPicPr>
        <xdr:cNvPr id="108" name="image29.png">
          <a:extLst>
            <a:ext uri="{FF2B5EF4-FFF2-40B4-BE49-F238E27FC236}">
              <a16:creationId xmlns:a16="http://schemas.microsoft.com/office/drawing/2014/main" id="{E396B6D6-8BAB-4A99-9443-36967DAEA93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758429" y="34286172"/>
          <a:ext cx="209423" cy="417434"/>
        </a:xfrm>
        <a:prstGeom prst="rect">
          <a:avLst/>
        </a:prstGeom>
      </xdr:spPr>
    </xdr:pic>
    <xdr:clientData/>
  </xdr:oneCellAnchor>
  <xdr:oneCellAnchor>
    <xdr:from>
      <xdr:col>2</xdr:col>
      <xdr:colOff>10541</xdr:colOff>
      <xdr:row>254</xdr:row>
      <xdr:rowOff>10565</xdr:rowOff>
    </xdr:from>
    <xdr:ext cx="130416" cy="121767"/>
    <xdr:pic>
      <xdr:nvPicPr>
        <xdr:cNvPr id="109" name="image7.png">
          <a:extLst>
            <a:ext uri="{FF2B5EF4-FFF2-40B4-BE49-F238E27FC236}">
              <a16:creationId xmlns:a16="http://schemas.microsoft.com/office/drawing/2014/main" id="{F2FADA9B-3317-43F0-8251-E005A65AB9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3843365"/>
          <a:ext cx="130416" cy="121767"/>
        </a:xfrm>
        <a:prstGeom prst="rect">
          <a:avLst/>
        </a:prstGeom>
      </xdr:spPr>
    </xdr:pic>
    <xdr:clientData/>
  </xdr:oneCellAnchor>
  <xdr:oneCellAnchor>
    <xdr:from>
      <xdr:col>2</xdr:col>
      <xdr:colOff>10541</xdr:colOff>
      <xdr:row>255</xdr:row>
      <xdr:rowOff>5995</xdr:rowOff>
    </xdr:from>
    <xdr:ext cx="130416" cy="121767"/>
    <xdr:pic>
      <xdr:nvPicPr>
        <xdr:cNvPr id="110" name="image7.png">
          <a:extLst>
            <a:ext uri="{FF2B5EF4-FFF2-40B4-BE49-F238E27FC236}">
              <a16:creationId xmlns:a16="http://schemas.microsoft.com/office/drawing/2014/main" id="{011AA342-5849-4F38-BA3C-F60053734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3991195"/>
          <a:ext cx="130416" cy="121767"/>
        </a:xfrm>
        <a:prstGeom prst="rect">
          <a:avLst/>
        </a:prstGeom>
      </xdr:spPr>
    </xdr:pic>
    <xdr:clientData/>
  </xdr:oneCellAnchor>
  <xdr:oneCellAnchor>
    <xdr:from>
      <xdr:col>2</xdr:col>
      <xdr:colOff>10541</xdr:colOff>
      <xdr:row>256</xdr:row>
      <xdr:rowOff>14121</xdr:rowOff>
    </xdr:from>
    <xdr:ext cx="130416" cy="121767"/>
    <xdr:pic>
      <xdr:nvPicPr>
        <xdr:cNvPr id="111" name="image7.png">
          <a:extLst>
            <a:ext uri="{FF2B5EF4-FFF2-40B4-BE49-F238E27FC236}">
              <a16:creationId xmlns:a16="http://schemas.microsoft.com/office/drawing/2014/main" id="{D01ED057-7B86-4BAD-8003-DA9EFBEE6C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4132671"/>
          <a:ext cx="130416" cy="121767"/>
        </a:xfrm>
        <a:prstGeom prst="rect">
          <a:avLst/>
        </a:prstGeom>
      </xdr:spPr>
    </xdr:pic>
    <xdr:clientData/>
  </xdr:oneCellAnchor>
  <xdr:oneCellAnchor>
    <xdr:from>
      <xdr:col>2</xdr:col>
      <xdr:colOff>10541</xdr:colOff>
      <xdr:row>257</xdr:row>
      <xdr:rowOff>3961</xdr:rowOff>
    </xdr:from>
    <xdr:ext cx="130416" cy="121767"/>
    <xdr:pic>
      <xdr:nvPicPr>
        <xdr:cNvPr id="112" name="image7.png">
          <a:extLst>
            <a:ext uri="{FF2B5EF4-FFF2-40B4-BE49-F238E27FC236}">
              <a16:creationId xmlns:a16="http://schemas.microsoft.com/office/drawing/2014/main" id="{30E14579-2C99-4BC2-85CA-8F2AA11A5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4274911"/>
          <a:ext cx="130416" cy="121767"/>
        </a:xfrm>
        <a:prstGeom prst="rect">
          <a:avLst/>
        </a:prstGeom>
      </xdr:spPr>
    </xdr:pic>
    <xdr:clientData/>
  </xdr:oneCellAnchor>
  <xdr:oneCellAnchor>
    <xdr:from>
      <xdr:col>2</xdr:col>
      <xdr:colOff>4826</xdr:colOff>
      <xdr:row>258</xdr:row>
      <xdr:rowOff>4978</xdr:rowOff>
    </xdr:from>
    <xdr:ext cx="130416" cy="121767"/>
    <xdr:pic>
      <xdr:nvPicPr>
        <xdr:cNvPr id="113" name="image7.png">
          <a:extLst>
            <a:ext uri="{FF2B5EF4-FFF2-40B4-BE49-F238E27FC236}">
              <a16:creationId xmlns:a16="http://schemas.microsoft.com/office/drawing/2014/main" id="{5A0E0893-C29A-475F-A707-57438CFCF0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2876" y="34428328"/>
          <a:ext cx="130416" cy="121767"/>
        </a:xfrm>
        <a:prstGeom prst="rect">
          <a:avLst/>
        </a:prstGeom>
      </xdr:spPr>
    </xdr:pic>
    <xdr:clientData/>
  </xdr:oneCellAnchor>
  <xdr:oneCellAnchor>
    <xdr:from>
      <xdr:col>2</xdr:col>
      <xdr:colOff>10541</xdr:colOff>
      <xdr:row>259</xdr:row>
      <xdr:rowOff>13104</xdr:rowOff>
    </xdr:from>
    <xdr:ext cx="130416" cy="121767"/>
    <xdr:pic>
      <xdr:nvPicPr>
        <xdr:cNvPr id="114" name="image7.png">
          <a:extLst>
            <a:ext uri="{FF2B5EF4-FFF2-40B4-BE49-F238E27FC236}">
              <a16:creationId xmlns:a16="http://schemas.microsoft.com/office/drawing/2014/main" id="{DAB98B3F-96FD-42BD-815A-E02332AF03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4569804"/>
          <a:ext cx="130416" cy="121767"/>
        </a:xfrm>
        <a:prstGeom prst="rect">
          <a:avLst/>
        </a:prstGeom>
      </xdr:spPr>
    </xdr:pic>
    <xdr:clientData/>
  </xdr:oneCellAnchor>
  <xdr:oneCellAnchor>
    <xdr:from>
      <xdr:col>2</xdr:col>
      <xdr:colOff>10541</xdr:colOff>
      <xdr:row>259</xdr:row>
      <xdr:rowOff>149378</xdr:rowOff>
    </xdr:from>
    <xdr:ext cx="130416" cy="121767"/>
    <xdr:pic>
      <xdr:nvPicPr>
        <xdr:cNvPr id="115" name="image7.png">
          <a:extLst>
            <a:ext uri="{FF2B5EF4-FFF2-40B4-BE49-F238E27FC236}">
              <a16:creationId xmlns:a16="http://schemas.microsoft.com/office/drawing/2014/main" id="{15B85769-DE47-4E34-B916-0E883BED4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4706078"/>
          <a:ext cx="130416" cy="121767"/>
        </a:xfrm>
        <a:prstGeom prst="rect">
          <a:avLst/>
        </a:prstGeom>
      </xdr:spPr>
    </xdr:pic>
    <xdr:clientData/>
  </xdr:oneCellAnchor>
  <xdr:oneCellAnchor>
    <xdr:from>
      <xdr:col>2</xdr:col>
      <xdr:colOff>17526</xdr:colOff>
      <xdr:row>260</xdr:row>
      <xdr:rowOff>150774</xdr:rowOff>
    </xdr:from>
    <xdr:ext cx="130416" cy="121767"/>
    <xdr:pic>
      <xdr:nvPicPr>
        <xdr:cNvPr id="116" name="image7.png">
          <a:extLst>
            <a:ext uri="{FF2B5EF4-FFF2-40B4-BE49-F238E27FC236}">
              <a16:creationId xmlns:a16="http://schemas.microsoft.com/office/drawing/2014/main" id="{78BA5870-8D6F-459F-9059-F6D7070F5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34859874"/>
          <a:ext cx="130416" cy="121767"/>
        </a:xfrm>
        <a:prstGeom prst="rect">
          <a:avLst/>
        </a:prstGeom>
      </xdr:spPr>
    </xdr:pic>
    <xdr:clientData/>
  </xdr:oneCellAnchor>
  <xdr:oneCellAnchor>
    <xdr:from>
      <xdr:col>2</xdr:col>
      <xdr:colOff>10541</xdr:colOff>
      <xdr:row>262</xdr:row>
      <xdr:rowOff>6503</xdr:rowOff>
    </xdr:from>
    <xdr:ext cx="130416" cy="121767"/>
    <xdr:pic>
      <xdr:nvPicPr>
        <xdr:cNvPr id="117" name="image7.png">
          <a:extLst>
            <a:ext uri="{FF2B5EF4-FFF2-40B4-BE49-F238E27FC236}">
              <a16:creationId xmlns:a16="http://schemas.microsoft.com/office/drawing/2014/main" id="{026FE7D3-CF0A-4623-AC2E-27463960DD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8591" y="35001353"/>
          <a:ext cx="130416" cy="121767"/>
        </a:xfrm>
        <a:prstGeom prst="rect">
          <a:avLst/>
        </a:prstGeom>
      </xdr:spPr>
    </xdr:pic>
    <xdr:clientData/>
  </xdr:oneCellAnchor>
  <xdr:oneCellAnchor>
    <xdr:from>
      <xdr:col>2</xdr:col>
      <xdr:colOff>17526</xdr:colOff>
      <xdr:row>263</xdr:row>
      <xdr:rowOff>7517</xdr:rowOff>
    </xdr:from>
    <xdr:ext cx="130416" cy="121767"/>
    <xdr:pic>
      <xdr:nvPicPr>
        <xdr:cNvPr id="118" name="image7.png">
          <a:extLst>
            <a:ext uri="{FF2B5EF4-FFF2-40B4-BE49-F238E27FC236}">
              <a16:creationId xmlns:a16="http://schemas.microsoft.com/office/drawing/2014/main" id="{61805D25-FB1F-486C-B2C0-D893E9B209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5576" y="35154767"/>
          <a:ext cx="130416" cy="121767"/>
        </a:xfrm>
        <a:prstGeom prst="rect">
          <a:avLst/>
        </a:prstGeom>
      </xdr:spPr>
    </xdr:pic>
    <xdr:clientData/>
  </xdr:oneCellAnchor>
  <xdr:oneCellAnchor>
    <xdr:from>
      <xdr:col>2</xdr:col>
      <xdr:colOff>474932</xdr:colOff>
      <xdr:row>273</xdr:row>
      <xdr:rowOff>21626</xdr:rowOff>
    </xdr:from>
    <xdr:ext cx="204871" cy="133027"/>
    <xdr:pic>
      <xdr:nvPicPr>
        <xdr:cNvPr id="119" name="image37.png">
          <a:extLst>
            <a:ext uri="{FF2B5EF4-FFF2-40B4-BE49-F238E27FC236}">
              <a16:creationId xmlns:a16="http://schemas.microsoft.com/office/drawing/2014/main" id="{E5726CA8-6222-4095-964F-5CCAD63F2A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2982" y="38140676"/>
          <a:ext cx="204871" cy="133027"/>
        </a:xfrm>
        <a:prstGeom prst="rect">
          <a:avLst/>
        </a:prstGeom>
      </xdr:spPr>
    </xdr:pic>
    <xdr:clientData/>
  </xdr:oneCellAnchor>
  <xdr:oneCellAnchor>
    <xdr:from>
      <xdr:col>2</xdr:col>
      <xdr:colOff>482044</xdr:colOff>
      <xdr:row>274</xdr:row>
      <xdr:rowOff>4483</xdr:rowOff>
    </xdr:from>
    <xdr:ext cx="203444" cy="133027"/>
    <xdr:pic>
      <xdr:nvPicPr>
        <xdr:cNvPr id="120" name="image37.png">
          <a:extLst>
            <a:ext uri="{FF2B5EF4-FFF2-40B4-BE49-F238E27FC236}">
              <a16:creationId xmlns:a16="http://schemas.microsoft.com/office/drawing/2014/main" id="{03801367-7351-4F1F-83A4-8810ADD2E8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0094" y="38504533"/>
          <a:ext cx="203444" cy="133027"/>
        </a:xfrm>
        <a:prstGeom prst="rect">
          <a:avLst/>
        </a:prstGeom>
      </xdr:spPr>
    </xdr:pic>
    <xdr:clientData/>
  </xdr:oneCellAnchor>
  <xdr:oneCellAnchor>
    <xdr:from>
      <xdr:col>2</xdr:col>
      <xdr:colOff>487632</xdr:colOff>
      <xdr:row>275</xdr:row>
      <xdr:rowOff>4483</xdr:rowOff>
    </xdr:from>
    <xdr:ext cx="203799" cy="133027"/>
    <xdr:pic>
      <xdr:nvPicPr>
        <xdr:cNvPr id="121" name="image37.png">
          <a:extLst>
            <a:ext uri="{FF2B5EF4-FFF2-40B4-BE49-F238E27FC236}">
              <a16:creationId xmlns:a16="http://schemas.microsoft.com/office/drawing/2014/main" id="{EF9C0169-C69E-4022-9F52-CDD113B15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682" y="38885533"/>
          <a:ext cx="203799" cy="133027"/>
        </a:xfrm>
        <a:prstGeom prst="rect">
          <a:avLst/>
        </a:prstGeom>
      </xdr:spPr>
    </xdr:pic>
    <xdr:clientData/>
  </xdr:oneCellAnchor>
  <xdr:oneCellAnchor>
    <xdr:from>
      <xdr:col>2</xdr:col>
      <xdr:colOff>487632</xdr:colOff>
      <xdr:row>276</xdr:row>
      <xdr:rowOff>15682</xdr:rowOff>
    </xdr:from>
    <xdr:ext cx="203799" cy="133381"/>
    <xdr:pic>
      <xdr:nvPicPr>
        <xdr:cNvPr id="122" name="image37.png">
          <a:extLst>
            <a:ext uri="{FF2B5EF4-FFF2-40B4-BE49-F238E27FC236}">
              <a16:creationId xmlns:a16="http://schemas.microsoft.com/office/drawing/2014/main" id="{F12BA106-9A52-4F09-8BA7-0C069A38C1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5682" y="39277732"/>
          <a:ext cx="203799" cy="133381"/>
        </a:xfrm>
        <a:prstGeom prst="rect">
          <a:avLst/>
        </a:prstGeom>
      </xdr:spPr>
    </xdr:pic>
    <xdr:clientData/>
  </xdr:oneCellAnchor>
  <xdr:oneCellAnchor>
    <xdr:from>
      <xdr:col>2</xdr:col>
      <xdr:colOff>482044</xdr:colOff>
      <xdr:row>278</xdr:row>
      <xdr:rowOff>-89</xdr:rowOff>
    </xdr:from>
    <xdr:ext cx="203444" cy="133027"/>
    <xdr:pic>
      <xdr:nvPicPr>
        <xdr:cNvPr id="123" name="image30.png">
          <a:extLst>
            <a:ext uri="{FF2B5EF4-FFF2-40B4-BE49-F238E27FC236}">
              <a16:creationId xmlns:a16="http://schemas.microsoft.com/office/drawing/2014/main" id="{00B72813-165C-466D-A01F-8F01166298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40094" y="39795361"/>
          <a:ext cx="203444" cy="133027"/>
        </a:xfrm>
        <a:prstGeom prst="rect">
          <a:avLst/>
        </a:prstGeom>
      </xdr:spPr>
    </xdr:pic>
    <xdr:clientData/>
  </xdr:oneCellAnchor>
  <xdr:oneCellAnchor>
    <xdr:from>
      <xdr:col>2</xdr:col>
      <xdr:colOff>493601</xdr:colOff>
      <xdr:row>279</xdr:row>
      <xdr:rowOff>7531</xdr:rowOff>
    </xdr:from>
    <xdr:ext cx="204871" cy="133027"/>
    <xdr:pic>
      <xdr:nvPicPr>
        <xdr:cNvPr id="124" name="image36.png">
          <a:extLst>
            <a:ext uri="{FF2B5EF4-FFF2-40B4-BE49-F238E27FC236}">
              <a16:creationId xmlns:a16="http://schemas.microsoft.com/office/drawing/2014/main" id="{FC4A64CB-7555-4EA9-9146-870EAA8854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51651" y="40069681"/>
          <a:ext cx="204871" cy="133027"/>
        </a:xfrm>
        <a:prstGeom prst="rect">
          <a:avLst/>
        </a:prstGeom>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éÚdaje_3" connectionId="3" xr16:uid="{2FED316B-E9EE-42B8-B581-8EB663B3E811}" autoFormatId="16" applyNumberFormats="0" applyBorderFormats="0" applyFontFormats="0" applyPatternFormats="0" applyAlignmentFormats="0" applyWidthHeightFormats="0">
  <queryTableRefresh nextId="121">
    <queryTableFields count="1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203447F-B863-4AEB-B51B-7AB601E47658}" name="Tabuľka27" displayName="Tabuľka27" ref="A1:F217" totalsRowShown="0" headerRowDxfId="21" headerRowBorderDxfId="20" tableBorderDxfId="19" totalsRowBorderDxfId="18">
  <autoFilter ref="A1:F217" xr:uid="{E203447F-B863-4AEB-B51B-7AB601E47658}"/>
  <tableColumns count="6">
    <tableColumn id="1" xr3:uid="{81CA28AE-AFAA-43A3-A8B6-627046110C69}" name="Stĺpec1" dataDxfId="17"/>
    <tableColumn id="2" xr3:uid="{1E2BDBD6-935C-4A2C-BBE6-A631B4993D50}" name="Stĺpec2" dataDxfId="16"/>
    <tableColumn id="3" xr3:uid="{AAED7A58-3DE9-4937-BD36-D7240734A1D9}" name="Stĺpec3" dataDxfId="15"/>
    <tableColumn id="4" xr3:uid="{64B5D190-828F-437A-BB2E-5066DCFF06B7}" name="Stĺpec4" dataDxfId="14"/>
    <tableColumn id="5" xr3:uid="{840EC428-12E7-4154-9037-986F58B264C5}" name="Stĺpec5" dataDxfId="13"/>
    <tableColumn id="6" xr3:uid="{5E38988B-2E1B-433A-BC59-233248E19E1A}" name="Stĺpec6"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69F6C-E63F-4414-8F28-76E2DC90D3BC}" name="Table_3" displayName="Table_3" ref="A1:DP13204" tableType="queryTable" totalsRowShown="0">
  <autoFilter ref="A1:DP13204" xr:uid="{B6869F6C-E63F-4414-8F28-76E2DC90D3BC}"/>
  <tableColumns count="120">
    <tableColumn id="1" xr3:uid="{90E0AEFE-7545-4F88-A7E5-32A31775700A}" uniqueName="1" name="Column1" queryTableFieldId="1"/>
    <tableColumn id="2" xr3:uid="{F90B8932-0A0C-466B-9326-4CA481030490}" uniqueName="2" name="Column2" queryTableFieldId="2"/>
    <tableColumn id="3" xr3:uid="{FE98C759-290D-43A7-98FB-A7D1AEAFE4AA}" uniqueName="3" name="Column3" queryTableFieldId="3"/>
    <tableColumn id="4" xr3:uid="{7A48866E-4167-4877-8DE5-759DE55E833E}" uniqueName="4" name="Column4" queryTableFieldId="4"/>
    <tableColumn id="5" xr3:uid="{D4A6D1DA-88B8-4F7E-911A-11876B5460F9}" uniqueName="5" name="Column5" queryTableFieldId="5"/>
    <tableColumn id="6" xr3:uid="{BB7E4067-8914-4925-B86F-DBEF20E93BEC}" uniqueName="6" name="Column6" queryTableFieldId="6"/>
    <tableColumn id="7" xr3:uid="{DB385CE4-74E3-41D2-9A8F-5014066A49A1}" uniqueName="7" name="Column7" queryTableFieldId="7"/>
    <tableColumn id="8" xr3:uid="{4AFBDE55-B13A-4317-B6FF-E34671839913}" uniqueName="8" name="Column8" queryTableFieldId="8"/>
    <tableColumn id="9" xr3:uid="{B2910BC7-6E9B-4784-825A-69C236740057}" uniqueName="9" name="Column9" queryTableFieldId="9" dataDxfId="11"/>
    <tableColumn id="10" xr3:uid="{E9F45257-3235-486A-8EC4-E89097A1AE97}" uniqueName="10" name="Column10" queryTableFieldId="10" dataDxfId="10"/>
    <tableColumn id="11" xr3:uid="{52FCC717-04CC-4022-B40E-36A89199DEE1}" uniqueName="11" name="Column11" queryTableFieldId="11"/>
    <tableColumn id="12" xr3:uid="{A0E7618C-7821-4CC0-AC01-580B5D1E7976}" uniqueName="12" name="Column12" queryTableFieldId="12" dataDxfId="9"/>
    <tableColumn id="13" xr3:uid="{C1A2A460-5DFA-4E33-AF56-67917D1D26DF}" uniqueName="13" name="Column13" queryTableFieldId="13"/>
    <tableColumn id="14" xr3:uid="{1C2BF233-32E0-493A-8414-9513739BE36C}" uniqueName="14" name="Column14" queryTableFieldId="14" dataDxfId="8"/>
    <tableColumn id="15" xr3:uid="{4A2EAF8E-C87F-4C68-9D78-FE5329163C4E}" uniqueName="15" name="Column15" queryTableFieldId="15"/>
    <tableColumn id="16" xr3:uid="{F2AE177A-86C5-450F-848C-5A32C93B996E}" uniqueName="16" name="Column16" queryTableFieldId="16"/>
    <tableColumn id="17" xr3:uid="{7C49E6D6-73C4-42E7-B604-97E13F9BA16E}" uniqueName="17" name="Column17" queryTableFieldId="17"/>
    <tableColumn id="18" xr3:uid="{D5DC69D1-F82C-44E9-BB20-D58860B89186}" uniqueName="18" name="Column18" queryTableFieldId="18"/>
    <tableColumn id="19" xr3:uid="{30049717-B033-4390-AC38-269A779413EC}" uniqueName="19" name="Column19" queryTableFieldId="19"/>
    <tableColumn id="20" xr3:uid="{D83D920A-4460-47DD-8799-D36A722B8F53}" uniqueName="20" name="Column20" queryTableFieldId="20"/>
    <tableColumn id="21" xr3:uid="{7DEAE99B-27A8-4D38-9BF4-32BDE3DB5153}" uniqueName="21" name="Column21" queryTableFieldId="21"/>
    <tableColumn id="22" xr3:uid="{3A7A5A2C-0F78-43EB-A6FB-871E7530205B}" uniqueName="22" name="Column22" queryTableFieldId="22" dataDxfId="7"/>
    <tableColumn id="23" xr3:uid="{85C95BD7-813B-421B-91F8-94C76E57FC7A}" uniqueName="23" name="Column23" queryTableFieldId="23"/>
    <tableColumn id="24" xr3:uid="{CCF79691-F267-4D0C-ACA9-CAB4817FDAD1}" uniqueName="24" name="Column24" queryTableFieldId="24" dataDxfId="6"/>
    <tableColumn id="25" xr3:uid="{605DBFB2-2B2F-4598-B89E-16F829B5687F}" uniqueName="25" name="Column25" queryTableFieldId="25"/>
    <tableColumn id="26" xr3:uid="{2E41CEED-2342-41C6-A051-4D7039E0C5D5}" uniqueName="26" name="Column26" queryTableFieldId="26"/>
    <tableColumn id="27" xr3:uid="{E736202C-2542-479B-9262-F18231165C3E}" uniqueName="27" name="Column27" queryTableFieldId="27"/>
    <tableColumn id="28" xr3:uid="{C6E1BE40-87D0-40BC-996E-1C0DBD82DA06}" uniqueName="28" name="Column28" queryTableFieldId="28" dataDxfId="5"/>
    <tableColumn id="29" xr3:uid="{C6A0046F-102B-4923-A3D1-B9F76ACD2E75}" uniqueName="29" name="Column29" queryTableFieldId="29"/>
    <tableColumn id="30" xr3:uid="{77C56700-96CA-47E2-825E-EB274CB21692}" uniqueName="30" name="Column30" queryTableFieldId="30"/>
    <tableColumn id="31" xr3:uid="{CB69ABB7-EA6B-4AEB-AD54-30BB83CA9A30}" uniqueName="31" name="Column31" queryTableFieldId="31"/>
    <tableColumn id="32" xr3:uid="{FA6A8960-3D02-4625-B1BF-E71A3E2029FC}" uniqueName="32" name="Column32" queryTableFieldId="32"/>
    <tableColumn id="33" xr3:uid="{7037D6A6-AEBE-4116-AAFD-930CAE140A0B}" uniqueName="33" name="Column33" queryTableFieldId="33"/>
    <tableColumn id="34" xr3:uid="{FEDFE687-C6B7-4734-85EB-B607617B2A9E}" uniqueName="34" name="Column34" queryTableFieldId="34" dataDxfId="4"/>
    <tableColumn id="35" xr3:uid="{D06F51F6-4065-451C-8019-7F93CAE6097A}" uniqueName="35" name="Column35" queryTableFieldId="35"/>
    <tableColumn id="36" xr3:uid="{606F22F9-F4F8-4D6B-961F-0238CFE4BF8A}" uniqueName="36" name="Column36" queryTableFieldId="36"/>
    <tableColumn id="37" xr3:uid="{399E1C0C-35CC-4237-807D-51350A757EA3}" uniqueName="37" name="Column37" queryTableFieldId="37"/>
    <tableColumn id="38" xr3:uid="{288FAB1C-928C-48BD-93EC-451C496C1412}" uniqueName="38" name="Column38" queryTableFieldId="38"/>
    <tableColumn id="39" xr3:uid="{6622DECC-EBEA-45D4-9AFC-539E983B7CDD}" uniqueName="39" name="Column39" queryTableFieldId="39"/>
    <tableColumn id="40" xr3:uid="{8BF4055F-3699-49AE-9107-A9AD212C94AF}" uniqueName="40" name="Column40" queryTableFieldId="40"/>
    <tableColumn id="41" xr3:uid="{B32FA955-C582-4660-8EA3-7BB291237E1A}" uniqueName="41" name="Column41" queryTableFieldId="41"/>
    <tableColumn id="42" xr3:uid="{C05CD180-CF97-4352-8032-2C464A84466D}" uniqueName="42" name="Column42" queryTableFieldId="42"/>
    <tableColumn id="43" xr3:uid="{3CE86BCF-3559-4D35-BEA0-191A9CC28396}" uniqueName="43" name="Column43" queryTableFieldId="43" dataDxfId="3"/>
    <tableColumn id="44" xr3:uid="{A6415538-379A-4969-BC3A-1AB0F27AEA0F}" uniqueName="44" name="Column44" queryTableFieldId="44"/>
    <tableColumn id="45" xr3:uid="{9924471C-6CF5-4B4B-B035-9FADAEE639DA}" uniqueName="45" name="Column45" queryTableFieldId="45"/>
    <tableColumn id="46" xr3:uid="{E18E848F-6493-47DF-A74C-FED605214676}" uniqueName="46" name="Column46" queryTableFieldId="46"/>
    <tableColumn id="47" xr3:uid="{98BF76A5-6F07-40BC-A038-57A076FCD49D}" uniqueName="47" name="Column47" queryTableFieldId="47"/>
    <tableColumn id="48" xr3:uid="{BBC959DE-6011-4B09-BD4D-497C51491AA6}" uniqueName="48" name="Column48" queryTableFieldId="48"/>
    <tableColumn id="49" xr3:uid="{5144B67F-8D23-4B04-8A17-422E21EF8AE7}" uniqueName="49" name="Column49" queryTableFieldId="49"/>
    <tableColumn id="50" xr3:uid="{03BD03D8-A36E-4AE5-9B6F-7A0DC0F33A24}" uniqueName="50" name="Column50" queryTableFieldId="50" dataDxfId="2"/>
    <tableColumn id="51" xr3:uid="{C7EEE3DC-CD21-4BE4-8C49-E9FB88B4D3F0}" uniqueName="51" name="Column51" queryTableFieldId="51"/>
    <tableColumn id="52" xr3:uid="{EEC53242-88EB-41E4-8D1F-11E6E9D8A882}" uniqueName="52" name="Column52" queryTableFieldId="52"/>
    <tableColumn id="53" xr3:uid="{86F4D971-CE31-41BE-B956-A1AE5546B666}" uniqueName="53" name="Column53" queryTableFieldId="53"/>
    <tableColumn id="54" xr3:uid="{1DEE61A6-4A14-4EC4-A072-DE8E28F7432B}" uniqueName="54" name="Column54" queryTableFieldId="54"/>
    <tableColumn id="55" xr3:uid="{4BC4A0DD-0C81-43CA-8A41-179FEBA54E85}" uniqueName="55" name="Column55" queryTableFieldId="55"/>
    <tableColumn id="56" xr3:uid="{139AA4BA-D83D-4D20-9783-9DA5EA2F688B}" uniqueName="56" name="Column56" queryTableFieldId="56"/>
    <tableColumn id="57" xr3:uid="{94D25F10-EDDD-4F18-A6FB-A90620FFD88D}" uniqueName="57" name="Column57" queryTableFieldId="57"/>
    <tableColumn id="58" xr3:uid="{F6BE5995-C4DC-41C7-87F0-30CC2D06B954}" uniqueName="58" name="Column58" queryTableFieldId="58"/>
    <tableColumn id="59" xr3:uid="{FB45B582-722D-4E91-BC6D-4BC2639011C9}" uniqueName="59" name="Column59" queryTableFieldId="59"/>
    <tableColumn id="60" xr3:uid="{B9165DBC-6396-41A1-9BAE-AB3BB53441B3}" uniqueName="60" name="Column60" queryTableFieldId="60"/>
    <tableColumn id="61" xr3:uid="{5DB48843-0F92-487F-9150-0E60F7B0DE4F}" uniqueName="61" name="Column61" queryTableFieldId="61"/>
    <tableColumn id="62" xr3:uid="{77CBFAAD-F3AD-439A-834E-AE18D6C622F2}" uniqueName="62" name="Column62" queryTableFieldId="62"/>
    <tableColumn id="63" xr3:uid="{2AF05BF9-9B74-4701-90EE-FEACC3DE9D91}" uniqueName="63" name="Column63" queryTableFieldId="63"/>
    <tableColumn id="64" xr3:uid="{C9E08BAF-5881-4B01-A9D9-1097AFE731DE}" uniqueName="64" name="Column64" queryTableFieldId="64"/>
    <tableColumn id="65" xr3:uid="{CA997FC9-ADB8-42EB-99FD-B33FAC37CA9C}" uniqueName="65" name="Column65" queryTableFieldId="65"/>
    <tableColumn id="66" xr3:uid="{6183E1F6-2C37-4C7B-822A-F60565EF6587}" uniqueName="66" name="Column66" queryTableFieldId="66"/>
    <tableColumn id="67" xr3:uid="{621B5338-1528-4B2B-AD0E-DAD29DB9F388}" uniqueName="67" name="Column67" queryTableFieldId="67"/>
    <tableColumn id="68" xr3:uid="{AEDBF846-0264-4DBB-BCE1-DFFECF3F287B}" uniqueName="68" name="Column68" queryTableFieldId="68"/>
    <tableColumn id="69" xr3:uid="{F5F786C6-931A-49D6-B24C-DCF2F83748C0}" uniqueName="69" name="Column69" queryTableFieldId="69"/>
    <tableColumn id="70" xr3:uid="{E001D754-13F4-4DAC-B7F3-47671966FFA0}" uniqueName="70" name="Column70" queryTableFieldId="70"/>
    <tableColumn id="71" xr3:uid="{34FA2B90-9955-4540-B87B-6407AA70370D}" uniqueName="71" name="Column71" queryTableFieldId="71" dataDxfId="1"/>
    <tableColumn id="72" xr3:uid="{27A755A0-7018-4E40-8AD0-31D9DEEA04C4}" uniqueName="72" name="Column72" queryTableFieldId="72"/>
    <tableColumn id="73" xr3:uid="{E949EF0D-475A-4B21-9A6B-328E4DA571BF}" uniqueName="73" name="Column73" queryTableFieldId="73"/>
    <tableColumn id="74" xr3:uid="{23383970-8CDD-465C-94D6-E9D5AF45D709}" uniqueName="74" name="Column74" queryTableFieldId="74"/>
    <tableColumn id="75" xr3:uid="{CF9221A2-6891-4E49-8207-67F6821B400B}" uniqueName="75" name="Column75" queryTableFieldId="75"/>
    <tableColumn id="76" xr3:uid="{EDF128B5-C85A-4E3C-B661-E32F831C76B5}" uniqueName="76" name="Column76" queryTableFieldId="76"/>
    <tableColumn id="77" xr3:uid="{2946808A-0320-48E2-928B-A5B602765754}" uniqueName="77" name="Column77" queryTableFieldId="77"/>
    <tableColumn id="78" xr3:uid="{66A07504-6E5D-485A-AC12-159F48B0B8AA}" uniqueName="78" name="Column78" queryTableFieldId="78"/>
    <tableColumn id="79" xr3:uid="{E140A039-26C8-4AAB-A2AE-D47D26E15555}" uniqueName="79" name="Column79" queryTableFieldId="79"/>
    <tableColumn id="80" xr3:uid="{E05E093C-7312-47E6-B580-2B7CB45355A3}" uniqueName="80" name="Column80" queryTableFieldId="80"/>
    <tableColumn id="81" xr3:uid="{98C9458D-16F2-4A67-B727-59B963EE2E4F}" uniqueName="81" name="Column81" queryTableFieldId="81"/>
    <tableColumn id="82" xr3:uid="{F79D0363-C9CB-4C89-B24A-031A6B3D0B9F}" uniqueName="82" name="Column82" queryTableFieldId="82"/>
    <tableColumn id="83" xr3:uid="{643A1960-6FDC-410D-BFB4-E5C60B7E5BA3}" uniqueName="83" name="Column83" queryTableFieldId="83"/>
    <tableColumn id="84" xr3:uid="{B97F736D-2F83-4DE6-8776-3E39EE8D86F6}" uniqueName="84" name="Column84" queryTableFieldId="84"/>
    <tableColumn id="85" xr3:uid="{518E9CF0-92A7-4BD6-862D-47A7057C929D}" uniqueName="85" name="Column85" queryTableFieldId="85"/>
    <tableColumn id="86" xr3:uid="{4E8E7912-44EF-4F14-8AAB-A99D236CD518}" uniqueName="86" name="Column86" queryTableFieldId="86"/>
    <tableColumn id="87" xr3:uid="{60639514-984A-4B30-899C-A1452C63CA24}" uniqueName="87" name="Column87" queryTableFieldId="87"/>
    <tableColumn id="88" xr3:uid="{9D65AC6D-D310-41A4-98C3-8B4040E60016}" uniqueName="88" name="Column88" queryTableFieldId="88"/>
    <tableColumn id="89" xr3:uid="{7EEFD7A8-61D8-4472-9BC1-FA6309F0CC1A}" uniqueName="89" name="Column89" queryTableFieldId="89"/>
    <tableColumn id="90" xr3:uid="{8FBD79A0-B265-4E22-A64B-222D8F8D38C9}" uniqueName="90" name="Column90" queryTableFieldId="90"/>
    <tableColumn id="91" xr3:uid="{650B5C22-BC65-49EF-AB82-C9F4A4E68FE8}" uniqueName="91" name="Column91" queryTableFieldId="91"/>
    <tableColumn id="92" xr3:uid="{DEE28C76-68AC-4698-BD49-39BDDA6367A3}" uniqueName="92" name="Column92" queryTableFieldId="92"/>
    <tableColumn id="93" xr3:uid="{E75A5213-646C-4516-A474-65BF8C36817A}" uniqueName="93" name="Column93" queryTableFieldId="93"/>
    <tableColumn id="94" xr3:uid="{69733633-0B5E-4E0F-8D7E-FF2A1A36E1B6}" uniqueName="94" name="Column94" queryTableFieldId="94"/>
    <tableColumn id="95" xr3:uid="{2839741D-C03E-4773-988E-494A01F7A7E3}" uniqueName="95" name="Column95" queryTableFieldId="95"/>
    <tableColumn id="96" xr3:uid="{DF826059-E124-4A26-B7B1-3DCAF9DA195B}" uniqueName="96" name="Column96" queryTableFieldId="96"/>
    <tableColumn id="97" xr3:uid="{73B86D55-C707-4322-A089-38F6E39BAC42}" uniqueName="97" name="Column97" queryTableFieldId="97"/>
    <tableColumn id="98" xr3:uid="{EFCD71C0-3C92-4AD0-9C95-2BE171F904C6}" uniqueName="98" name="Column98" queryTableFieldId="98"/>
    <tableColumn id="99" xr3:uid="{F70BDE65-D5E5-42B2-B43B-B0DB198A371A}" uniqueName="99" name="Column99" queryTableFieldId="99"/>
    <tableColumn id="100" xr3:uid="{32681E78-1941-478A-B4F4-ACA608B81B5C}" uniqueName="100" name="Column100" queryTableFieldId="100"/>
    <tableColumn id="101" xr3:uid="{9FC3DFA5-BF39-4A93-938E-817042ED16D9}" uniqueName="101" name="Column101" queryTableFieldId="101"/>
    <tableColumn id="102" xr3:uid="{AC4D8F5F-6EE7-4FD4-9365-F82213C654B1}" uniqueName="102" name="Column102" queryTableFieldId="102"/>
    <tableColumn id="103" xr3:uid="{E3AF5485-03FA-432F-97D8-C8D2C46C98F5}" uniqueName="103" name="Column103" queryTableFieldId="103"/>
    <tableColumn id="104" xr3:uid="{B7798189-BEAB-46D7-83A2-95EF53E5311B}" uniqueName="104" name="Column104" queryTableFieldId="104"/>
    <tableColumn id="105" xr3:uid="{31E70245-99BB-4715-B148-9E8BDE1FBC45}" uniqueName="105" name="Column105" queryTableFieldId="105"/>
    <tableColumn id="106" xr3:uid="{1D9EDB0F-7CB7-40F2-9A20-3E2902821680}" uniqueName="106" name="Column106" queryTableFieldId="106"/>
    <tableColumn id="107" xr3:uid="{92F15910-C9E3-4ACD-9E4A-AE1B1F3CA2C8}" uniqueName="107" name="Column107" queryTableFieldId="107"/>
    <tableColumn id="108" xr3:uid="{E7750BC7-EFDD-4938-B42C-5290BAE4F3E3}" uniqueName="108" name="Column108" queryTableFieldId="108"/>
    <tableColumn id="109" xr3:uid="{F43565B0-ABCA-4C4C-AE93-46C6A4C22E46}" uniqueName="109" name="Column109" queryTableFieldId="109"/>
    <tableColumn id="110" xr3:uid="{752F04E1-5DD4-4F50-9A8D-BDEEF0A4A7FF}" uniqueName="110" name="Column110" queryTableFieldId="110"/>
    <tableColumn id="111" xr3:uid="{20BC4E83-921F-42D9-92A0-FCD758C1B798}" uniqueName="111" name="Column111" queryTableFieldId="111"/>
    <tableColumn id="112" xr3:uid="{D592715F-148B-4F29-92ED-7BD7CCF1A5AD}" uniqueName="112" name="Column112" queryTableFieldId="112"/>
    <tableColumn id="113" xr3:uid="{3173257A-B311-42E9-BCB1-125A4B84808C}" uniqueName="113" name="Column113" queryTableFieldId="113"/>
    <tableColumn id="114" xr3:uid="{3B0ED5B8-1FC9-41D0-864B-9E3E1176EF75}" uniqueName="114" name="Column114" queryTableFieldId="114"/>
    <tableColumn id="115" xr3:uid="{D68FCE99-63E6-438E-9A23-15E89CD64C5E}" uniqueName="115" name="Column115" queryTableFieldId="115"/>
    <tableColumn id="116" xr3:uid="{518B7815-EFE5-4585-B754-FF85750AB8BE}" uniqueName="116" name="Column116" queryTableFieldId="116"/>
    <tableColumn id="117" xr3:uid="{A1871F9C-91EA-490F-BA6B-DEA273EF50F8}" uniqueName="117" name="Column117" queryTableFieldId="117"/>
    <tableColumn id="118" xr3:uid="{09810104-FFBD-4F39-9C53-341B5B103CFB}" uniqueName="118" name="Column118" queryTableFieldId="118"/>
    <tableColumn id="119" xr3:uid="{C139E3C0-BBCF-4FDB-8C3B-6BB1AC5F93C5}" uniqueName="119" name="Column119" queryTableFieldId="119"/>
    <tableColumn id="120" xr3:uid="{771165F7-278E-4307-909A-6A0BB5BF517B}" uniqueName="120" name="Column120" queryTableFieldId="120"/>
  </tableColumns>
  <tableStyleInfo name="TableStyleMedium7" showFirstColumn="0" showLastColumn="0" showRowStripes="1" showColumnStripes="0"/>
</table>
</file>

<file path=xl/theme/theme1.xml><?xml version="1.0" encoding="utf-8"?>
<a:theme xmlns:a="http://schemas.openxmlformats.org/drawingml/2006/main" name="Motív Office">
  <a:themeElements>
    <a:clrScheme name="Vlastné 25">
      <a:dk1>
        <a:sysClr val="windowText" lastClr="000000"/>
      </a:dk1>
      <a:lt1>
        <a:sysClr val="window" lastClr="FFFFFF"/>
      </a:lt1>
      <a:dk2>
        <a:srgbClr val="3A5674"/>
      </a:dk2>
      <a:lt2>
        <a:srgbClr val="954F72"/>
      </a:lt2>
      <a:accent1>
        <a:srgbClr val="4472C4"/>
      </a:accent1>
      <a:accent2>
        <a:srgbClr val="ED7D31"/>
      </a:accent2>
      <a:accent3>
        <a:srgbClr val="548B92"/>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4B8AF8F-97BC-40EA-83B6-2D1C8B4602DA}">
  <we:reference id="wa200005502" version="1.0.0.11" store="sk-SK" storeType="OMEX"/>
  <we:alternateReferences>
    <we:reference id="wa200005502" version="1.0.0.11" store="wa200005502" storeType="OMEX"/>
  </we:alternateReferences>
  <we:properties>
    <we:property name="docId" value="&quot;c7S2D_dqf5UWMliOmr65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9BE76BF6-A01A-41D3-9B59-4A74AC877F9A}">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mgr.peterlani@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lektro-sychra.sk/oez-lte-25c-1-p6187/" TargetMode="External"/><Relationship Id="rId2" Type="http://schemas.openxmlformats.org/officeDocument/2006/relationships/hyperlink" Target="https://www.aktaon.com/vodic-cysy-3x6-0-h05vv-f-p16516" TargetMode="External"/><Relationship Id="rId1" Type="http://schemas.openxmlformats.org/officeDocument/2006/relationships/hyperlink" Target="https://www.elektro-sychra.sk/istic-ltn-32c-1-p801/"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mailto:jana.hakoci@gmail.com" TargetMode="External"/><Relationship Id="rId13" Type="http://schemas.openxmlformats.org/officeDocument/2006/relationships/hyperlink" Target="mailto:vortech.hs@gmail.com" TargetMode="External"/><Relationship Id="rId18" Type="http://schemas.openxmlformats.org/officeDocument/2006/relationships/printerSettings" Target="../printerSettings/printerSettings9.bin"/><Relationship Id="rId3" Type="http://schemas.openxmlformats.org/officeDocument/2006/relationships/hyperlink" Target="mailto:jacovaolga@gmail.com" TargetMode="External"/><Relationship Id="rId7" Type="http://schemas.openxmlformats.org/officeDocument/2006/relationships/hyperlink" Target="mailto:ernst64@gmail.com" TargetMode="External"/><Relationship Id="rId12" Type="http://schemas.openxmlformats.org/officeDocument/2006/relationships/hyperlink" Target="mailto:cagan.tomas@gmail.com" TargetMode="External"/><Relationship Id="rId17" Type="http://schemas.openxmlformats.org/officeDocument/2006/relationships/hyperlink" Target="mailto:dozaroman.mobil@gmail.com" TargetMode="External"/><Relationship Id="rId2" Type="http://schemas.openxmlformats.org/officeDocument/2006/relationships/hyperlink" Target="mailto:bohuslav.stepan@abonus.com" TargetMode="External"/><Relationship Id="rId16" Type="http://schemas.openxmlformats.org/officeDocument/2006/relationships/hyperlink" Target="mailto:mikula@knihy-mikula.sk" TargetMode="External"/><Relationship Id="rId1" Type="http://schemas.openxmlformats.org/officeDocument/2006/relationships/hyperlink" Target="mailto:oravcova@cestnestavbylm.sk" TargetMode="External"/><Relationship Id="rId6" Type="http://schemas.openxmlformats.org/officeDocument/2006/relationships/hyperlink" Target="mailto:Rischter@raja.sk" TargetMode="External"/><Relationship Id="rId11" Type="http://schemas.openxmlformats.org/officeDocument/2006/relationships/hyperlink" Target="mailto:Peter.vorlicek@gmail.com" TargetMode="External"/><Relationship Id="rId5" Type="http://schemas.openxmlformats.org/officeDocument/2006/relationships/hyperlink" Target="mailto:flajs.adam@gmail.com" TargetMode="External"/><Relationship Id="rId15" Type="http://schemas.openxmlformats.org/officeDocument/2006/relationships/hyperlink" Target="mailto:holik@klimafresh.sk" TargetMode="External"/><Relationship Id="rId10" Type="http://schemas.openxmlformats.org/officeDocument/2006/relationships/hyperlink" Target="mailto:rokos@rokos.sk" TargetMode="External"/><Relationship Id="rId4" Type="http://schemas.openxmlformats.org/officeDocument/2006/relationships/hyperlink" Target="mailto:edita.aibekova@gmail.com" TargetMode="External"/><Relationship Id="rId9" Type="http://schemas.openxmlformats.org/officeDocument/2006/relationships/hyperlink" Target="mailto:info@cina-kuchajda.sk" TargetMode="External"/><Relationship Id="rId14" Type="http://schemas.openxmlformats.org/officeDocument/2006/relationships/hyperlink" Target="mailto:janadracova@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hyperlink" Target="https://maps.app.goo.gl/UkED9JMkuf2pDz8V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A092-C976-4AED-B5A3-0BA884CA11F2}">
  <sheetPr codeName="Hárok1">
    <outlinePr summaryBelow="0"/>
    <pageSetUpPr fitToPage="1"/>
  </sheetPr>
  <dimension ref="A1:K90"/>
  <sheetViews>
    <sheetView topLeftCell="D7" workbookViewId="0">
      <selection activeCell="D22" sqref="D22:H22"/>
    </sheetView>
  </sheetViews>
  <sheetFormatPr defaultRowHeight="15" outlineLevelRow="1" x14ac:dyDescent="0.25"/>
  <cols>
    <col min="1" max="2" width="1.7109375" customWidth="1"/>
    <col min="3" max="3" width="15.7109375" customWidth="1"/>
    <col min="4" max="5" width="22.7109375" customWidth="1"/>
    <col min="6" max="10" width="10.7109375" customWidth="1"/>
    <col min="11" max="11" width="2.7109375" customWidth="1"/>
  </cols>
  <sheetData>
    <row r="1" spans="1:11" x14ac:dyDescent="0.25">
      <c r="A1" s="1"/>
      <c r="B1" s="1"/>
      <c r="C1" s="2"/>
      <c r="D1" s="2"/>
      <c r="E1" s="2"/>
      <c r="F1" s="2"/>
      <c r="G1" s="2"/>
      <c r="H1" s="2"/>
      <c r="I1" s="3"/>
      <c r="J1" s="3"/>
    </row>
    <row r="2" spans="1:11" ht="28.9" customHeight="1" x14ac:dyDescent="0.25">
      <c r="A2" s="1"/>
      <c r="B2" s="1"/>
      <c r="C2" s="2"/>
      <c r="D2" s="190" t="str">
        <f>D12</f>
        <v>ZL-112-24-248</v>
      </c>
      <c r="E2" s="191"/>
      <c r="F2" s="352" t="s">
        <v>847</v>
      </c>
      <c r="G2" s="352"/>
      <c r="H2" s="352"/>
      <c r="I2" s="352"/>
      <c r="J2" s="352"/>
    </row>
    <row r="3" spans="1:11" ht="14.45" customHeight="1" x14ac:dyDescent="0.25">
      <c r="A3" s="1"/>
      <c r="B3" s="1"/>
      <c r="C3" s="8"/>
      <c r="D3" s="160"/>
      <c r="E3" s="160"/>
      <c r="F3" s="353" t="s">
        <v>7</v>
      </c>
      <c r="G3" s="353"/>
      <c r="H3" s="353"/>
      <c r="I3" s="353"/>
      <c r="J3" s="353"/>
    </row>
    <row r="4" spans="1:11" ht="14.45" customHeight="1" x14ac:dyDescent="0.25">
      <c r="A4" s="1"/>
      <c r="B4" s="1"/>
      <c r="C4" s="2"/>
      <c r="D4" s="161"/>
      <c r="E4" s="161"/>
      <c r="F4" s="366" t="s">
        <v>822</v>
      </c>
      <c r="G4" s="366"/>
      <c r="H4" s="366"/>
      <c r="I4" s="366"/>
      <c r="J4" s="366"/>
    </row>
    <row r="5" spans="1:11" ht="14.45" customHeight="1" x14ac:dyDescent="0.25">
      <c r="A5" s="1"/>
      <c r="B5" s="1"/>
      <c r="C5" s="2"/>
      <c r="D5" s="161"/>
      <c r="E5" s="161"/>
      <c r="F5" s="366" t="s">
        <v>883</v>
      </c>
      <c r="G5" s="366"/>
      <c r="H5" s="366"/>
      <c r="I5" s="366"/>
      <c r="J5" s="366"/>
    </row>
    <row r="6" spans="1:11" ht="79.900000000000006" customHeight="1" x14ac:dyDescent="0.25">
      <c r="A6" s="1"/>
      <c r="B6" s="1"/>
      <c r="C6" s="11"/>
      <c r="D6" s="11"/>
      <c r="E6" s="11"/>
      <c r="F6" s="11"/>
      <c r="G6" s="11"/>
      <c r="H6" s="11"/>
      <c r="I6" s="12"/>
      <c r="J6" s="12"/>
    </row>
    <row r="7" spans="1:11" ht="14.45" customHeight="1" x14ac:dyDescent="0.25">
      <c r="A7" s="1"/>
      <c r="B7" s="1"/>
      <c r="C7" s="11"/>
      <c r="D7" s="11"/>
      <c r="F7" s="365" t="s">
        <v>9</v>
      </c>
      <c r="G7" s="365"/>
      <c r="H7" s="365"/>
      <c r="I7" s="365" t="s">
        <v>8</v>
      </c>
      <c r="J7" s="365"/>
      <c r="K7" s="159"/>
    </row>
    <row r="8" spans="1:11" x14ac:dyDescent="0.25">
      <c r="A8" s="1"/>
      <c r="B8" s="1"/>
      <c r="C8" s="13" t="s">
        <v>10</v>
      </c>
      <c r="D8" s="192">
        <f>CP!D19</f>
        <v>0</v>
      </c>
      <c r="E8" s="192"/>
      <c r="F8" s="192"/>
      <c r="G8" s="193"/>
      <c r="H8" s="193"/>
      <c r="I8" s="194"/>
      <c r="J8" s="194"/>
    </row>
    <row r="9" spans="1:11" x14ac:dyDescent="0.25">
      <c r="A9" s="1"/>
      <c r="B9" s="1"/>
      <c r="C9" s="13" t="s">
        <v>12</v>
      </c>
      <c r="D9" s="192">
        <f>CP!D20</f>
        <v>0</v>
      </c>
      <c r="E9" s="195"/>
      <c r="F9" s="364">
        <f>CP!G20</f>
        <v>0</v>
      </c>
      <c r="G9" s="364"/>
      <c r="H9" s="364"/>
      <c r="I9" s="360">
        <f>CP!E20</f>
        <v>0</v>
      </c>
      <c r="J9" s="360"/>
      <c r="K9" s="52"/>
    </row>
    <row r="10" spans="1:11" x14ac:dyDescent="0.25">
      <c r="A10" s="1"/>
      <c r="B10" s="1"/>
      <c r="C10" s="13" t="s">
        <v>13</v>
      </c>
      <c r="D10" s="192">
        <f>CP!D21</f>
        <v>0</v>
      </c>
      <c r="E10" s="195"/>
      <c r="F10" s="192"/>
      <c r="G10" s="193"/>
      <c r="H10" s="193"/>
      <c r="I10" s="194"/>
      <c r="J10" s="194"/>
    </row>
    <row r="11" spans="1:11" x14ac:dyDescent="0.25">
      <c r="A11" s="1"/>
      <c r="B11" s="1"/>
      <c r="C11" s="13" t="s">
        <v>14</v>
      </c>
      <c r="D11" s="192" t="str">
        <f>CP!D22</f>
        <v>Dodávka a montáž klimatizácie</v>
      </c>
      <c r="E11" s="195"/>
      <c r="F11" s="192"/>
      <c r="G11" s="193"/>
      <c r="H11" s="193"/>
      <c r="I11" s="194"/>
      <c r="J11" s="194"/>
    </row>
    <row r="12" spans="1:11" x14ac:dyDescent="0.25">
      <c r="A12" s="1"/>
      <c r="B12" s="1"/>
      <c r="C12" s="13" t="s">
        <v>15</v>
      </c>
      <c r="D12" s="192" t="str">
        <f>CP!D23</f>
        <v>ZL-112-24-248</v>
      </c>
      <c r="E12" s="195"/>
      <c r="F12" s="192"/>
      <c r="G12" s="193"/>
      <c r="H12" s="193"/>
      <c r="I12" s="194"/>
      <c r="J12" s="194"/>
    </row>
    <row r="13" spans="1:11" ht="14.45" customHeight="1" x14ac:dyDescent="0.25">
      <c r="A13" s="1"/>
      <c r="B13" s="1"/>
      <c r="C13" s="13" t="s">
        <v>16</v>
      </c>
      <c r="D13" s="192" t="str">
        <f>CP!D24</f>
        <v>CP-112-24-844</v>
      </c>
      <c r="E13" s="195"/>
      <c r="F13" s="192"/>
      <c r="G13" s="193"/>
      <c r="H13" s="193"/>
      <c r="I13" s="195"/>
      <c r="J13" s="195"/>
    </row>
    <row r="14" spans="1:11" x14ac:dyDescent="0.25">
      <c r="A14" s="1"/>
      <c r="B14" s="1"/>
      <c r="C14" s="13" t="s">
        <v>18</v>
      </c>
      <c r="D14" s="192" t="str">
        <f>CP!D26</f>
        <v>Mgr. Martin Holík</v>
      </c>
      <c r="E14" s="195"/>
      <c r="F14" s="360">
        <f>CP!G26</f>
        <v>0</v>
      </c>
      <c r="G14" s="360"/>
      <c r="H14" s="360"/>
      <c r="I14" s="360">
        <f>CP!E26</f>
        <v>421902383121</v>
      </c>
      <c r="J14" s="360"/>
    </row>
    <row r="15" spans="1:11" ht="15.75" thickBot="1" x14ac:dyDescent="0.3">
      <c r="A15" s="1"/>
      <c r="B15" s="1"/>
      <c r="C15" s="17" t="s">
        <v>22</v>
      </c>
      <c r="D15" s="196">
        <f ca="1">CP!D29</f>
        <v>45714</v>
      </c>
      <c r="E15" s="196"/>
      <c r="F15" s="196"/>
      <c r="G15" s="196"/>
      <c r="H15" s="196"/>
      <c r="I15" s="197"/>
      <c r="J15" s="197"/>
    </row>
    <row r="16" spans="1:11" ht="14.45" customHeight="1" thickTop="1" x14ac:dyDescent="0.25">
      <c r="C16" s="132"/>
      <c r="D16" s="133" t="s">
        <v>884</v>
      </c>
      <c r="E16" s="133"/>
      <c r="F16" s="133"/>
      <c r="G16" s="133"/>
      <c r="H16" s="133"/>
      <c r="I16" s="133"/>
      <c r="J16" s="134"/>
    </row>
    <row r="17" spans="1:11" ht="14.45" customHeight="1" x14ac:dyDescent="0.25">
      <c r="A17" s="53"/>
      <c r="B17" s="54"/>
      <c r="C17" s="54"/>
      <c r="D17" s="54"/>
      <c r="E17" s="54"/>
      <c r="F17" s="54"/>
      <c r="G17" s="54"/>
      <c r="H17" s="54"/>
      <c r="I17" s="55"/>
      <c r="J17" s="55"/>
      <c r="K17" s="56"/>
    </row>
    <row r="18" spans="1:11" ht="14.45" customHeight="1" x14ac:dyDescent="0.25">
      <c r="C18" s="354" t="s">
        <v>543</v>
      </c>
      <c r="D18" s="368" t="s">
        <v>544</v>
      </c>
      <c r="E18" s="369"/>
      <c r="F18" s="369"/>
      <c r="G18" s="369"/>
      <c r="H18" s="370"/>
      <c r="I18" s="354" t="s">
        <v>546</v>
      </c>
      <c r="J18" s="357" t="s">
        <v>545</v>
      </c>
    </row>
    <row r="19" spans="1:11" ht="14.45" customHeight="1" x14ac:dyDescent="0.25">
      <c r="C19" s="355"/>
      <c r="D19" s="371"/>
      <c r="E19" s="372"/>
      <c r="F19" s="372"/>
      <c r="G19" s="372"/>
      <c r="H19" s="373"/>
      <c r="I19" s="355"/>
      <c r="J19" s="358"/>
    </row>
    <row r="20" spans="1:11" ht="14.45" customHeight="1" x14ac:dyDescent="0.25">
      <c r="C20" s="355"/>
      <c r="D20" s="371"/>
      <c r="E20" s="372"/>
      <c r="F20" s="372"/>
      <c r="G20" s="372"/>
      <c r="H20" s="373"/>
      <c r="I20" s="355"/>
      <c r="J20" s="358"/>
    </row>
    <row r="21" spans="1:11" x14ac:dyDescent="0.25">
      <c r="A21" s="53"/>
      <c r="B21" s="54"/>
      <c r="C21" s="356"/>
      <c r="D21" s="374"/>
      <c r="E21" s="375"/>
      <c r="F21" s="375"/>
      <c r="G21" s="375"/>
      <c r="H21" s="376"/>
      <c r="I21" s="356"/>
      <c r="J21" s="359"/>
      <c r="K21" s="56"/>
    </row>
    <row r="22" spans="1:11" x14ac:dyDescent="0.25">
      <c r="C22" s="57"/>
      <c r="D22" s="361" t="e">
        <f>CP!#REF!</f>
        <v>#REF!</v>
      </c>
      <c r="E22" s="362"/>
      <c r="F22" s="362"/>
      <c r="G22" s="362"/>
      <c r="H22" s="363"/>
      <c r="I22" s="58" t="e">
        <f>CP!#REF!</f>
        <v>#REF!</v>
      </c>
      <c r="J22" s="58" t="e">
        <f>CP!#REF!</f>
        <v>#REF!</v>
      </c>
    </row>
    <row r="23" spans="1:11" x14ac:dyDescent="0.25">
      <c r="A23" s="1">
        <v>3</v>
      </c>
      <c r="B23" s="1">
        <v>3</v>
      </c>
      <c r="C23" s="6"/>
      <c r="D23" s="361" t="e">
        <f>CP!#REF!</f>
        <v>#REF!</v>
      </c>
      <c r="E23" s="362"/>
      <c r="F23" s="362"/>
      <c r="G23" s="362"/>
      <c r="H23" s="363"/>
      <c r="I23" s="58" t="e">
        <f>CP!#REF!</f>
        <v>#REF!</v>
      </c>
      <c r="J23" s="58" t="e">
        <f>CP!#REF!</f>
        <v>#REF!</v>
      </c>
    </row>
    <row r="24" spans="1:11" x14ac:dyDescent="0.25">
      <c r="C24" s="57"/>
      <c r="D24" s="361" t="e">
        <f>CP!#REF!</f>
        <v>#REF!</v>
      </c>
      <c r="E24" s="362"/>
      <c r="F24" s="362"/>
      <c r="G24" s="362"/>
      <c r="H24" s="363"/>
      <c r="I24" s="58" t="e">
        <f>CP!#REF!</f>
        <v>#REF!</v>
      </c>
      <c r="J24" s="58" t="e">
        <f>CP!#REF!</f>
        <v>#REF!</v>
      </c>
    </row>
    <row r="25" spans="1:11" x14ac:dyDescent="0.25">
      <c r="C25" s="57"/>
      <c r="D25" s="361" t="e">
        <f>CP!#REF!</f>
        <v>#REF!</v>
      </c>
      <c r="E25" s="362"/>
      <c r="F25" s="362"/>
      <c r="G25" s="362"/>
      <c r="H25" s="363"/>
      <c r="I25" s="58" t="e">
        <f>CP!#REF!</f>
        <v>#REF!</v>
      </c>
      <c r="J25" s="58" t="e">
        <f>CP!#REF!</f>
        <v>#REF!</v>
      </c>
    </row>
    <row r="26" spans="1:11" x14ac:dyDescent="0.25">
      <c r="C26" s="57"/>
      <c r="D26" s="361" t="e">
        <f>CP!#REF!</f>
        <v>#REF!</v>
      </c>
      <c r="E26" s="362"/>
      <c r="F26" s="362"/>
      <c r="G26" s="362"/>
      <c r="H26" s="363"/>
      <c r="I26" s="58" t="e">
        <f>CP!#REF!</f>
        <v>#REF!</v>
      </c>
      <c r="J26" s="58" t="e">
        <f>CP!#REF!</f>
        <v>#REF!</v>
      </c>
    </row>
    <row r="27" spans="1:11" x14ac:dyDescent="0.25">
      <c r="C27" s="57"/>
      <c r="D27" s="361" t="e">
        <f>CP!#REF!</f>
        <v>#REF!</v>
      </c>
      <c r="E27" s="362"/>
      <c r="F27" s="362"/>
      <c r="G27" s="362"/>
      <c r="H27" s="363"/>
      <c r="I27" s="58" t="e">
        <f>CP!#REF!</f>
        <v>#REF!</v>
      </c>
      <c r="J27" s="58" t="e">
        <f>CP!#REF!</f>
        <v>#REF!</v>
      </c>
    </row>
    <row r="28" spans="1:11" x14ac:dyDescent="0.25">
      <c r="C28" s="57"/>
      <c r="D28" s="361" t="e">
        <f>CP!#REF!</f>
        <v>#REF!</v>
      </c>
      <c r="E28" s="362"/>
      <c r="F28" s="362"/>
      <c r="G28" s="362"/>
      <c r="H28" s="363"/>
      <c r="I28" s="58" t="e">
        <f>CP!#REF!</f>
        <v>#REF!</v>
      </c>
      <c r="J28" s="58" t="e">
        <f>CP!#REF!</f>
        <v>#REF!</v>
      </c>
    </row>
    <row r="29" spans="1:11" x14ac:dyDescent="0.25">
      <c r="C29" s="57"/>
      <c r="D29" s="361" t="e">
        <f>CP!#REF!</f>
        <v>#REF!</v>
      </c>
      <c r="E29" s="362"/>
      <c r="F29" s="362"/>
      <c r="G29" s="362"/>
      <c r="H29" s="363"/>
      <c r="I29" s="58" t="e">
        <f>CP!#REF!</f>
        <v>#REF!</v>
      </c>
      <c r="J29" s="58" t="e">
        <f>CP!#REF!</f>
        <v>#REF!</v>
      </c>
    </row>
    <row r="30" spans="1:11" x14ac:dyDescent="0.25">
      <c r="C30" s="57"/>
      <c r="D30" s="361" t="e">
        <f>CP!#REF!</f>
        <v>#REF!</v>
      </c>
      <c r="E30" s="362"/>
      <c r="F30" s="362"/>
      <c r="G30" s="362"/>
      <c r="H30" s="363"/>
      <c r="I30" s="58" t="e">
        <f>CP!#REF!</f>
        <v>#REF!</v>
      </c>
      <c r="J30" s="58" t="e">
        <f>CP!#REF!</f>
        <v>#REF!</v>
      </c>
    </row>
    <row r="31" spans="1:11" x14ac:dyDescent="0.25">
      <c r="C31" s="57"/>
      <c r="D31" s="361" t="e">
        <f>CP!#REF!</f>
        <v>#REF!</v>
      </c>
      <c r="E31" s="362"/>
      <c r="F31" s="362"/>
      <c r="G31" s="362"/>
      <c r="H31" s="363"/>
      <c r="I31" s="58" t="e">
        <f>CP!#REF!</f>
        <v>#REF!</v>
      </c>
      <c r="J31" s="58" t="e">
        <f>CP!#REF!</f>
        <v>#REF!</v>
      </c>
    </row>
    <row r="32" spans="1:11" x14ac:dyDescent="0.25">
      <c r="C32" s="57"/>
      <c r="D32" s="361" t="e">
        <f>CP!#REF!</f>
        <v>#REF!</v>
      </c>
      <c r="E32" s="362"/>
      <c r="F32" s="362"/>
      <c r="G32" s="362"/>
      <c r="H32" s="363"/>
      <c r="I32" s="58" t="e">
        <f>CP!#REF!</f>
        <v>#REF!</v>
      </c>
      <c r="J32" s="58" t="e">
        <f>CP!#REF!</f>
        <v>#REF!</v>
      </c>
    </row>
    <row r="33" spans="3:10" x14ac:dyDescent="0.25">
      <c r="C33" s="57"/>
      <c r="D33" s="361" t="e">
        <f>CP!#REF!</f>
        <v>#REF!</v>
      </c>
      <c r="E33" s="362"/>
      <c r="F33" s="362"/>
      <c r="G33" s="362"/>
      <c r="H33" s="363"/>
      <c r="I33" s="58" t="e">
        <f>CP!#REF!</f>
        <v>#REF!</v>
      </c>
      <c r="J33" s="58" t="e">
        <f>CP!#REF!</f>
        <v>#REF!</v>
      </c>
    </row>
    <row r="34" spans="3:10" x14ac:dyDescent="0.25">
      <c r="C34" s="57"/>
      <c r="D34" s="361" t="e">
        <f>CP!#REF!</f>
        <v>#REF!</v>
      </c>
      <c r="E34" s="362"/>
      <c r="F34" s="362"/>
      <c r="G34" s="362"/>
      <c r="H34" s="363"/>
      <c r="I34" s="58" t="e">
        <f>CP!#REF!</f>
        <v>#REF!</v>
      </c>
      <c r="J34" s="58" t="e">
        <f>CP!#REF!</f>
        <v>#REF!</v>
      </c>
    </row>
    <row r="35" spans="3:10" collapsed="1" x14ac:dyDescent="0.25">
      <c r="C35" s="57"/>
      <c r="D35" s="361" t="e">
        <f>CP!#REF!</f>
        <v>#REF!</v>
      </c>
      <c r="E35" s="362"/>
      <c r="F35" s="362"/>
      <c r="G35" s="362"/>
      <c r="H35" s="363"/>
      <c r="I35" s="58" t="e">
        <f>CP!#REF!</f>
        <v>#REF!</v>
      </c>
      <c r="J35" s="58" t="e">
        <f>CP!#REF!</f>
        <v>#REF!</v>
      </c>
    </row>
    <row r="36" spans="3:10" hidden="1" outlineLevel="1" x14ac:dyDescent="0.25">
      <c r="C36" s="57"/>
      <c r="D36" s="361">
        <f>CP!D36</f>
        <v>0</v>
      </c>
      <c r="E36" s="362"/>
      <c r="F36" s="362"/>
      <c r="G36" s="362"/>
      <c r="H36" s="363"/>
      <c r="I36" s="58">
        <f>CP!F36</f>
        <v>1</v>
      </c>
      <c r="J36" s="58" t="str">
        <f>CP!E36</f>
        <v>kpl</v>
      </c>
    </row>
    <row r="37" spans="3:10" hidden="1" outlineLevel="1" x14ac:dyDescent="0.25">
      <c r="C37" s="57"/>
      <c r="D37" s="361">
        <f>CP!D37</f>
        <v>0</v>
      </c>
      <c r="E37" s="362"/>
      <c r="F37" s="362"/>
      <c r="G37" s="362"/>
      <c r="H37" s="363"/>
      <c r="I37" s="58">
        <f>CP!F37</f>
        <v>1</v>
      </c>
      <c r="J37" s="58" t="str">
        <f>CP!E37</f>
        <v>kpl</v>
      </c>
    </row>
    <row r="38" spans="3:10" hidden="1" outlineLevel="1" x14ac:dyDescent="0.25">
      <c r="C38" s="57"/>
      <c r="D38" s="361">
        <f>CP!D38</f>
        <v>0</v>
      </c>
      <c r="E38" s="362"/>
      <c r="F38" s="362"/>
      <c r="G38" s="362"/>
      <c r="H38" s="363"/>
      <c r="I38" s="58">
        <f>CP!F38</f>
        <v>1</v>
      </c>
      <c r="J38" s="58" t="str">
        <f>CP!E38</f>
        <v>kpl</v>
      </c>
    </row>
    <row r="39" spans="3:10" hidden="1" outlineLevel="1" x14ac:dyDescent="0.25">
      <c r="C39" s="57"/>
      <c r="D39" s="361">
        <f>CP!D39</f>
        <v>0</v>
      </c>
      <c r="E39" s="362"/>
      <c r="F39" s="362"/>
      <c r="G39" s="362"/>
      <c r="H39" s="363"/>
      <c r="I39" s="58">
        <f>CP!F39</f>
        <v>1</v>
      </c>
      <c r="J39" s="58" t="str">
        <f>CP!E39</f>
        <v>kpl</v>
      </c>
    </row>
    <row r="40" spans="3:10" hidden="1" outlineLevel="1" x14ac:dyDescent="0.25">
      <c r="C40" s="57"/>
      <c r="D40" s="361">
        <f>CP!D40</f>
        <v>0</v>
      </c>
      <c r="E40" s="362"/>
      <c r="F40" s="362"/>
      <c r="G40" s="362"/>
      <c r="H40" s="363"/>
      <c r="I40" s="58">
        <f>CP!F40</f>
        <v>1</v>
      </c>
      <c r="J40" s="58" t="str">
        <f>CP!E40</f>
        <v>kpl</v>
      </c>
    </row>
    <row r="41" spans="3:10" hidden="1" outlineLevel="1" x14ac:dyDescent="0.25">
      <c r="C41" s="57"/>
      <c r="D41" s="361">
        <f>CP!D41</f>
        <v>0</v>
      </c>
      <c r="E41" s="362"/>
      <c r="F41" s="362"/>
      <c r="G41" s="362"/>
      <c r="H41" s="363"/>
      <c r="I41" s="58">
        <f>CP!F41</f>
        <v>1</v>
      </c>
      <c r="J41" s="58" t="str">
        <f>CP!E41</f>
        <v>kpl</v>
      </c>
    </row>
    <row r="42" spans="3:10" hidden="1" outlineLevel="1" x14ac:dyDescent="0.25">
      <c r="C42" s="57"/>
      <c r="D42" s="361">
        <f>CP!D42</f>
        <v>0</v>
      </c>
      <c r="E42" s="362"/>
      <c r="F42" s="362"/>
      <c r="G42" s="362"/>
      <c r="H42" s="363"/>
      <c r="I42" s="58">
        <f>CP!F42</f>
        <v>1</v>
      </c>
      <c r="J42" s="58" t="str">
        <f>CP!E42</f>
        <v>kpl</v>
      </c>
    </row>
    <row r="43" spans="3:10" hidden="1" outlineLevel="1" x14ac:dyDescent="0.25">
      <c r="C43" s="57"/>
      <c r="D43" s="361">
        <f>CP!D43</f>
        <v>0</v>
      </c>
      <c r="E43" s="362"/>
      <c r="F43" s="362"/>
      <c r="G43" s="362"/>
      <c r="H43" s="363"/>
      <c r="I43" s="58">
        <f>CP!F43</f>
        <v>1</v>
      </c>
      <c r="J43" s="58" t="str">
        <f>CP!E43</f>
        <v>kpl</v>
      </c>
    </row>
    <row r="44" spans="3:10" hidden="1" outlineLevel="1" x14ac:dyDescent="0.25">
      <c r="C44" s="57"/>
      <c r="D44" s="361">
        <f>CP!D44</f>
        <v>0</v>
      </c>
      <c r="E44" s="362"/>
      <c r="F44" s="362"/>
      <c r="G44" s="362"/>
      <c r="H44" s="363"/>
      <c r="I44" s="58">
        <f>CP!F44</f>
        <v>1</v>
      </c>
      <c r="J44" s="58" t="str">
        <f>CP!E44</f>
        <v>kpl</v>
      </c>
    </row>
    <row r="45" spans="3:10" hidden="1" outlineLevel="1" x14ac:dyDescent="0.25">
      <c r="C45" s="57"/>
      <c r="D45" s="361">
        <f>CP!D45</f>
        <v>0</v>
      </c>
      <c r="E45" s="362"/>
      <c r="F45" s="362"/>
      <c r="G45" s="362"/>
      <c r="H45" s="363"/>
      <c r="I45" s="58">
        <f>CP!F45</f>
        <v>1</v>
      </c>
      <c r="J45" s="58" t="str">
        <f>CP!E45</f>
        <v>kpl</v>
      </c>
    </row>
    <row r="46" spans="3:10" hidden="1" outlineLevel="1" x14ac:dyDescent="0.25">
      <c r="C46" s="57"/>
      <c r="D46" s="361">
        <f>CP!D46</f>
        <v>0</v>
      </c>
      <c r="E46" s="362"/>
      <c r="F46" s="362"/>
      <c r="G46" s="362"/>
      <c r="H46" s="363"/>
      <c r="I46" s="58">
        <f>CP!F46</f>
        <v>1</v>
      </c>
      <c r="J46" s="58" t="str">
        <f>CP!E46</f>
        <v>kpl</v>
      </c>
    </row>
    <row r="47" spans="3:10" hidden="1" outlineLevel="1" x14ac:dyDescent="0.25">
      <c r="C47" s="57"/>
      <c r="D47" s="361">
        <f>CP!D47</f>
        <v>0</v>
      </c>
      <c r="E47" s="362"/>
      <c r="F47" s="362"/>
      <c r="G47" s="362"/>
      <c r="H47" s="363"/>
      <c r="I47" s="58">
        <f>CP!F47</f>
        <v>1</v>
      </c>
      <c r="J47" s="58" t="str">
        <f>CP!E47</f>
        <v>kpl</v>
      </c>
    </row>
    <row r="48" spans="3:10" hidden="1" outlineLevel="1" x14ac:dyDescent="0.25">
      <c r="C48" s="57"/>
      <c r="D48" s="361">
        <f>CP!D48</f>
        <v>0</v>
      </c>
      <c r="E48" s="362"/>
      <c r="F48" s="362"/>
      <c r="G48" s="362"/>
      <c r="H48" s="363"/>
      <c r="I48" s="58">
        <f>CP!F48</f>
        <v>1</v>
      </c>
      <c r="J48" s="58" t="str">
        <f>CP!E48</f>
        <v>kpl</v>
      </c>
    </row>
    <row r="49" spans="3:10" hidden="1" outlineLevel="1" x14ac:dyDescent="0.25">
      <c r="C49" s="57"/>
      <c r="D49" s="361">
        <f>CP!D49</f>
        <v>0</v>
      </c>
      <c r="E49" s="362"/>
      <c r="F49" s="362"/>
      <c r="G49" s="362"/>
      <c r="H49" s="363"/>
      <c r="I49" s="58">
        <f>CP!F49</f>
        <v>1</v>
      </c>
      <c r="J49" s="58" t="str">
        <f>CP!E49</f>
        <v>kpl</v>
      </c>
    </row>
    <row r="50" spans="3:10" hidden="1" outlineLevel="1" x14ac:dyDescent="0.25">
      <c r="C50" s="57"/>
      <c r="D50" s="361">
        <f>CP!D50</f>
        <v>0</v>
      </c>
      <c r="E50" s="362"/>
      <c r="F50" s="362"/>
      <c r="G50" s="362"/>
      <c r="H50" s="363"/>
      <c r="I50" s="58">
        <f>CP!F50</f>
        <v>1</v>
      </c>
      <c r="J50" s="58" t="str">
        <f>CP!E50</f>
        <v>kpl</v>
      </c>
    </row>
    <row r="51" spans="3:10" hidden="1" outlineLevel="1" x14ac:dyDescent="0.25">
      <c r="C51" s="57"/>
      <c r="D51" s="361">
        <f>CP!D51</f>
        <v>0</v>
      </c>
      <c r="E51" s="362"/>
      <c r="F51" s="362"/>
      <c r="G51" s="362"/>
      <c r="H51" s="363"/>
      <c r="I51" s="58">
        <f>CP!F51</f>
        <v>1</v>
      </c>
      <c r="J51" s="58" t="str">
        <f>CP!E51</f>
        <v>kpl</v>
      </c>
    </row>
    <row r="52" spans="3:10" hidden="1" outlineLevel="1" x14ac:dyDescent="0.25">
      <c r="C52" s="57"/>
      <c r="D52" s="361">
        <f>CP!D52</f>
        <v>0</v>
      </c>
      <c r="E52" s="362"/>
      <c r="F52" s="362"/>
      <c r="G52" s="362"/>
      <c r="H52" s="363"/>
      <c r="I52" s="58">
        <f>CP!F52</f>
        <v>1</v>
      </c>
      <c r="J52" s="58" t="str">
        <f>CP!E52</f>
        <v>kpl</v>
      </c>
    </row>
    <row r="53" spans="3:10" hidden="1" outlineLevel="1" x14ac:dyDescent="0.25">
      <c r="C53" s="57"/>
      <c r="D53" s="361">
        <f>CP!D53</f>
        <v>0</v>
      </c>
      <c r="E53" s="362"/>
      <c r="F53" s="362"/>
      <c r="G53" s="362"/>
      <c r="H53" s="363"/>
      <c r="I53" s="58">
        <f>CP!F53</f>
        <v>1</v>
      </c>
      <c r="J53" s="58" t="str">
        <f>CP!E53</f>
        <v>kpl</v>
      </c>
    </row>
    <row r="54" spans="3:10" hidden="1" outlineLevel="1" x14ac:dyDescent="0.25">
      <c r="C54" s="57"/>
      <c r="D54" s="361">
        <f>CP!D54</f>
        <v>0</v>
      </c>
      <c r="E54" s="362"/>
      <c r="F54" s="362"/>
      <c r="G54" s="362"/>
      <c r="H54" s="363"/>
      <c r="I54" s="58">
        <f>CP!F54</f>
        <v>1</v>
      </c>
      <c r="J54" s="58" t="str">
        <f>CP!E54</f>
        <v>kpl</v>
      </c>
    </row>
    <row r="55" spans="3:10" hidden="1" outlineLevel="1" x14ac:dyDescent="0.25">
      <c r="C55" s="57"/>
      <c r="D55" s="361">
        <f>CP!D55</f>
        <v>0</v>
      </c>
      <c r="E55" s="362"/>
      <c r="F55" s="362"/>
      <c r="G55" s="362"/>
      <c r="H55" s="363"/>
      <c r="I55" s="58">
        <f>CP!F55</f>
        <v>1</v>
      </c>
      <c r="J55" s="58" t="str">
        <f>CP!E55</f>
        <v>kpl</v>
      </c>
    </row>
    <row r="56" spans="3:10" hidden="1" outlineLevel="1" x14ac:dyDescent="0.25">
      <c r="C56" s="57"/>
      <c r="D56" s="361">
        <f>CP!D56</f>
        <v>0</v>
      </c>
      <c r="E56" s="362"/>
      <c r="F56" s="362"/>
      <c r="G56" s="362"/>
      <c r="H56" s="363"/>
      <c r="I56" s="58">
        <f>CP!F56</f>
        <v>1</v>
      </c>
      <c r="J56" s="58" t="str">
        <f>CP!E56</f>
        <v>kpl</v>
      </c>
    </row>
    <row r="57" spans="3:10" hidden="1" outlineLevel="1" x14ac:dyDescent="0.25">
      <c r="C57" s="57"/>
      <c r="D57" s="361">
        <f>CP!D57</f>
        <v>0</v>
      </c>
      <c r="E57" s="362"/>
      <c r="F57" s="362"/>
      <c r="G57" s="362"/>
      <c r="H57" s="363"/>
      <c r="I57" s="58">
        <f>CP!F57</f>
        <v>1</v>
      </c>
      <c r="J57" s="58" t="str">
        <f>CP!E57</f>
        <v>kpl</v>
      </c>
    </row>
    <row r="58" spans="3:10" hidden="1" outlineLevel="1" x14ac:dyDescent="0.25">
      <c r="C58" s="57"/>
      <c r="D58" s="361">
        <f>CP!D58</f>
        <v>0</v>
      </c>
      <c r="E58" s="362"/>
      <c r="F58" s="362"/>
      <c r="G58" s="362"/>
      <c r="H58" s="363"/>
      <c r="I58" s="58">
        <f>CP!F58</f>
        <v>1</v>
      </c>
      <c r="J58" s="58" t="str">
        <f>CP!E58</f>
        <v>kpl</v>
      </c>
    </row>
    <row r="59" spans="3:10" hidden="1" outlineLevel="1" x14ac:dyDescent="0.25">
      <c r="C59" s="57"/>
      <c r="D59" s="361">
        <f>CP!D59</f>
        <v>0</v>
      </c>
      <c r="E59" s="362"/>
      <c r="F59" s="362"/>
      <c r="G59" s="362"/>
      <c r="H59" s="363"/>
      <c r="I59" s="58">
        <f>CP!F59</f>
        <v>1</v>
      </c>
      <c r="J59" s="58" t="str">
        <f>CP!E59</f>
        <v>kpl</v>
      </c>
    </row>
    <row r="60" spans="3:10" hidden="1" outlineLevel="1" x14ac:dyDescent="0.25">
      <c r="C60" s="57"/>
      <c r="D60" s="361">
        <f>CP!D60</f>
        <v>0</v>
      </c>
      <c r="E60" s="362"/>
      <c r="F60" s="362"/>
      <c r="G60" s="362"/>
      <c r="H60" s="363"/>
      <c r="I60" s="58">
        <f>CP!F60</f>
        <v>1</v>
      </c>
      <c r="J60" s="58" t="str">
        <f>CP!E60</f>
        <v>kpl</v>
      </c>
    </row>
    <row r="61" spans="3:10" hidden="1" outlineLevel="1" x14ac:dyDescent="0.25">
      <c r="C61" s="57"/>
      <c r="D61" s="361">
        <f>CP!D61</f>
        <v>0</v>
      </c>
      <c r="E61" s="362"/>
      <c r="F61" s="362"/>
      <c r="G61" s="362"/>
      <c r="H61" s="363"/>
      <c r="I61" s="58">
        <f>CP!F61</f>
        <v>1</v>
      </c>
      <c r="J61" s="58" t="str">
        <f>CP!E61</f>
        <v>kpl</v>
      </c>
    </row>
    <row r="62" spans="3:10" hidden="1" outlineLevel="1" x14ac:dyDescent="0.25">
      <c r="C62" s="57"/>
      <c r="D62" s="361">
        <f>CP!D62</f>
        <v>0</v>
      </c>
      <c r="E62" s="362"/>
      <c r="F62" s="362"/>
      <c r="G62" s="362"/>
      <c r="H62" s="363"/>
      <c r="I62" s="58">
        <f>CP!F62</f>
        <v>1</v>
      </c>
      <c r="J62" s="58" t="str">
        <f>CP!E62</f>
        <v>kpl</v>
      </c>
    </row>
    <row r="63" spans="3:10" hidden="1" outlineLevel="1" x14ac:dyDescent="0.25">
      <c r="C63" s="57"/>
      <c r="D63" s="361">
        <f>CP!D63</f>
        <v>0</v>
      </c>
      <c r="E63" s="362"/>
      <c r="F63" s="362"/>
      <c r="G63" s="362"/>
      <c r="H63" s="363"/>
      <c r="I63" s="58">
        <f>CP!F63</f>
        <v>1</v>
      </c>
      <c r="J63" s="58" t="str">
        <f>CP!E63</f>
        <v>kpl</v>
      </c>
    </row>
    <row r="64" spans="3:10" hidden="1" outlineLevel="1" x14ac:dyDescent="0.25">
      <c r="C64" s="57"/>
      <c r="D64" s="361">
        <f>CP!D64</f>
        <v>0</v>
      </c>
      <c r="E64" s="362"/>
      <c r="F64" s="362"/>
      <c r="G64" s="362"/>
      <c r="H64" s="363"/>
      <c r="I64" s="58">
        <f>CP!F64</f>
        <v>1</v>
      </c>
      <c r="J64" s="58" t="str">
        <f>CP!E64</f>
        <v>kpl</v>
      </c>
    </row>
    <row r="65" spans="3:10" hidden="1" outlineLevel="1" x14ac:dyDescent="0.25">
      <c r="C65" s="57"/>
      <c r="D65" s="361">
        <f>CP!D65</f>
        <v>0</v>
      </c>
      <c r="E65" s="362"/>
      <c r="F65" s="362"/>
      <c r="G65" s="362"/>
      <c r="H65" s="363"/>
      <c r="I65" s="58">
        <f>CP!F65</f>
        <v>1</v>
      </c>
      <c r="J65" s="58" t="str">
        <f>CP!E65</f>
        <v>kpl</v>
      </c>
    </row>
    <row r="66" spans="3:10" hidden="1" outlineLevel="1" x14ac:dyDescent="0.25">
      <c r="C66" s="57"/>
      <c r="D66" s="361">
        <f>CP!D66</f>
        <v>0</v>
      </c>
      <c r="E66" s="362"/>
      <c r="F66" s="362"/>
      <c r="G66" s="362"/>
      <c r="H66" s="363"/>
      <c r="I66" s="58">
        <f>CP!F66</f>
        <v>1</v>
      </c>
      <c r="J66" s="58" t="str">
        <f>CP!E66</f>
        <v>kpl</v>
      </c>
    </row>
    <row r="67" spans="3:10" hidden="1" outlineLevel="1" x14ac:dyDescent="0.25">
      <c r="C67" s="57"/>
      <c r="D67" s="361">
        <f>CP!D67</f>
        <v>0</v>
      </c>
      <c r="E67" s="362"/>
      <c r="F67" s="362"/>
      <c r="G67" s="362"/>
      <c r="H67" s="363"/>
      <c r="I67" s="58">
        <f>CP!F67</f>
        <v>1</v>
      </c>
      <c r="J67" s="58" t="str">
        <f>CP!E67</f>
        <v>kpl</v>
      </c>
    </row>
    <row r="68" spans="3:10" hidden="1" outlineLevel="1" x14ac:dyDescent="0.25">
      <c r="C68" s="57"/>
      <c r="D68" s="361">
        <f>CP!D68</f>
        <v>0</v>
      </c>
      <c r="E68" s="362"/>
      <c r="F68" s="362"/>
      <c r="G68" s="362"/>
      <c r="H68" s="363"/>
      <c r="I68" s="58">
        <f>CP!F68</f>
        <v>1</v>
      </c>
      <c r="J68" s="58" t="str">
        <f>CP!E68</f>
        <v>kpl</v>
      </c>
    </row>
    <row r="69" spans="3:10" hidden="1" outlineLevel="1" x14ac:dyDescent="0.25">
      <c r="C69" s="57"/>
      <c r="D69" s="361">
        <f>CP!D69</f>
        <v>0</v>
      </c>
      <c r="E69" s="362"/>
      <c r="F69" s="362"/>
      <c r="G69" s="362"/>
      <c r="H69" s="363"/>
      <c r="I69" s="58">
        <f>CP!F69</f>
        <v>1</v>
      </c>
      <c r="J69" s="58" t="str">
        <f>CP!E69</f>
        <v>kpl</v>
      </c>
    </row>
    <row r="70" spans="3:10" hidden="1" outlineLevel="1" x14ac:dyDescent="0.25">
      <c r="C70" s="57"/>
      <c r="D70" s="361">
        <f>CP!D70</f>
        <v>0</v>
      </c>
      <c r="E70" s="362"/>
      <c r="F70" s="362"/>
      <c r="G70" s="362"/>
      <c r="H70" s="363"/>
      <c r="I70" s="58">
        <f>CP!F70</f>
        <v>1</v>
      </c>
      <c r="J70" s="58" t="str">
        <f>CP!E70</f>
        <v>kpl</v>
      </c>
    </row>
    <row r="71" spans="3:10" hidden="1" outlineLevel="1" x14ac:dyDescent="0.25">
      <c r="C71" s="57"/>
      <c r="D71" s="361">
        <f>CP!D71</f>
        <v>0</v>
      </c>
      <c r="E71" s="362"/>
      <c r="F71" s="362"/>
      <c r="G71" s="362"/>
      <c r="H71" s="363"/>
      <c r="I71" s="58">
        <f>CP!F71</f>
        <v>1</v>
      </c>
      <c r="J71" s="58" t="str">
        <f>CP!E71</f>
        <v>kpl</v>
      </c>
    </row>
    <row r="72" spans="3:10" hidden="1" outlineLevel="1" x14ac:dyDescent="0.25">
      <c r="C72" s="57"/>
      <c r="D72" s="361" t="e">
        <f>CP!#REF!</f>
        <v>#REF!</v>
      </c>
      <c r="E72" s="362"/>
      <c r="F72" s="362"/>
      <c r="G72" s="362"/>
      <c r="H72" s="363"/>
      <c r="I72" s="58" t="e">
        <f>CP!#REF!</f>
        <v>#REF!</v>
      </c>
      <c r="J72" s="58" t="e">
        <f>CP!#REF!</f>
        <v>#REF!</v>
      </c>
    </row>
    <row r="73" spans="3:10" hidden="1" outlineLevel="1" x14ac:dyDescent="0.25">
      <c r="C73" s="57"/>
      <c r="D73" s="361">
        <f>CP!D72</f>
        <v>0</v>
      </c>
      <c r="E73" s="362"/>
      <c r="F73" s="362"/>
      <c r="G73" s="362"/>
      <c r="H73" s="363"/>
      <c r="I73" s="58">
        <f>CP!F72</f>
        <v>0</v>
      </c>
      <c r="J73" s="58">
        <f>CP!E72</f>
        <v>0</v>
      </c>
    </row>
    <row r="74" spans="3:10" hidden="1" outlineLevel="1" x14ac:dyDescent="0.25">
      <c r="C74" s="57"/>
      <c r="D74" s="361" t="e">
        <f>CP!#REF!</f>
        <v>#REF!</v>
      </c>
      <c r="E74" s="362"/>
      <c r="F74" s="362"/>
      <c r="G74" s="362"/>
      <c r="H74" s="363"/>
      <c r="I74" s="58" t="e">
        <f>CP!#REF!</f>
        <v>#REF!</v>
      </c>
      <c r="J74" s="58" t="e">
        <f>CP!#REF!</f>
        <v>#REF!</v>
      </c>
    </row>
    <row r="75" spans="3:10" hidden="1" outlineLevel="1" x14ac:dyDescent="0.25">
      <c r="C75" s="57"/>
      <c r="D75" s="361" t="e">
        <f>CP!#REF!</f>
        <v>#REF!</v>
      </c>
      <c r="E75" s="362"/>
      <c r="F75" s="362"/>
      <c r="G75" s="362"/>
      <c r="H75" s="363"/>
      <c r="I75" s="58" t="e">
        <f>CP!#REF!</f>
        <v>#REF!</v>
      </c>
      <c r="J75" s="58" t="e">
        <f>CP!#REF!</f>
        <v>#REF!</v>
      </c>
    </row>
    <row r="76" spans="3:10" hidden="1" outlineLevel="1" x14ac:dyDescent="0.25">
      <c r="C76" s="57"/>
      <c r="D76" s="361">
        <f>CP!D78</f>
        <v>0</v>
      </c>
      <c r="E76" s="362"/>
      <c r="F76" s="362"/>
      <c r="G76" s="362"/>
      <c r="H76" s="363"/>
      <c r="I76" s="58">
        <f>CP!F78</f>
        <v>0</v>
      </c>
      <c r="J76" s="58">
        <f>CP!E78</f>
        <v>0</v>
      </c>
    </row>
    <row r="77" spans="3:10" hidden="1" outlineLevel="1" x14ac:dyDescent="0.25">
      <c r="C77" s="57"/>
      <c r="D77" s="361">
        <f>CP!D79</f>
        <v>0</v>
      </c>
      <c r="E77" s="362"/>
      <c r="F77" s="362"/>
      <c r="G77" s="362"/>
      <c r="H77" s="363"/>
      <c r="I77" s="58">
        <f>CP!F79</f>
        <v>0</v>
      </c>
      <c r="J77" s="58">
        <f>CP!E79</f>
        <v>0</v>
      </c>
    </row>
    <row r="78" spans="3:10" hidden="1" outlineLevel="1" x14ac:dyDescent="0.25">
      <c r="C78" s="57"/>
      <c r="D78" s="361" t="e">
        <f>CP!#REF!</f>
        <v>#REF!</v>
      </c>
      <c r="E78" s="362"/>
      <c r="F78" s="362"/>
      <c r="G78" s="362"/>
      <c r="H78" s="363"/>
      <c r="I78" s="58" t="e">
        <f>CP!#REF!</f>
        <v>#REF!</v>
      </c>
      <c r="J78" s="58" t="e">
        <f>CP!#REF!</f>
        <v>#REF!</v>
      </c>
    </row>
    <row r="79" spans="3:10" hidden="1" outlineLevel="1" x14ac:dyDescent="0.25">
      <c r="C79" s="57"/>
      <c r="D79" s="361" t="e">
        <f>CP!#REF!</f>
        <v>#REF!</v>
      </c>
      <c r="E79" s="362"/>
      <c r="F79" s="362"/>
      <c r="G79" s="362"/>
      <c r="H79" s="363"/>
      <c r="I79" s="58" t="e">
        <f>CP!#REF!</f>
        <v>#REF!</v>
      </c>
      <c r="J79" s="58" t="e">
        <f>CP!#REF!</f>
        <v>#REF!</v>
      </c>
    </row>
    <row r="80" spans="3:10" hidden="1" outlineLevel="1" x14ac:dyDescent="0.25">
      <c r="C80" s="57"/>
      <c r="D80" s="361" t="e">
        <f>CP!#REF!</f>
        <v>#REF!</v>
      </c>
      <c r="E80" s="362"/>
      <c r="F80" s="362"/>
      <c r="G80" s="362"/>
      <c r="H80" s="363"/>
      <c r="I80" s="58" t="e">
        <f>CP!#REF!</f>
        <v>#REF!</v>
      </c>
      <c r="J80" s="58" t="e">
        <f>CP!#REF!</f>
        <v>#REF!</v>
      </c>
    </row>
    <row r="81" spans="3:10" hidden="1" outlineLevel="1" x14ac:dyDescent="0.25">
      <c r="C81" s="57"/>
      <c r="D81" s="361" t="e">
        <f>CP!#REF!</f>
        <v>#REF!</v>
      </c>
      <c r="E81" s="362"/>
      <c r="F81" s="362"/>
      <c r="G81" s="362"/>
      <c r="H81" s="363"/>
      <c r="I81" s="58" t="e">
        <f>CP!#REF!</f>
        <v>#REF!</v>
      </c>
      <c r="J81" s="58" t="e">
        <f>CP!#REF!</f>
        <v>#REF!</v>
      </c>
    </row>
    <row r="82" spans="3:10" hidden="1" outlineLevel="1" x14ac:dyDescent="0.25">
      <c r="C82" s="57"/>
      <c r="D82" s="361" t="e">
        <f>CP!#REF!</f>
        <v>#REF!</v>
      </c>
      <c r="E82" s="362"/>
      <c r="F82" s="362"/>
      <c r="G82" s="362"/>
      <c r="H82" s="363"/>
      <c r="I82" s="58" t="e">
        <f>CP!#REF!</f>
        <v>#REF!</v>
      </c>
      <c r="J82" s="58" t="e">
        <f>CP!#REF!</f>
        <v>#REF!</v>
      </c>
    </row>
    <row r="83" spans="3:10" hidden="1" outlineLevel="1" x14ac:dyDescent="0.25">
      <c r="C83" s="57"/>
      <c r="D83" s="361" t="e">
        <f>CP!#REF!</f>
        <v>#REF!</v>
      </c>
      <c r="E83" s="362"/>
      <c r="F83" s="362"/>
      <c r="G83" s="362"/>
      <c r="H83" s="363"/>
      <c r="I83" s="58" t="e">
        <f>CP!#REF!</f>
        <v>#REF!</v>
      </c>
      <c r="J83" s="58" t="e">
        <f>CP!#REF!</f>
        <v>#REF!</v>
      </c>
    </row>
    <row r="84" spans="3:10" hidden="1" outlineLevel="1" x14ac:dyDescent="0.25">
      <c r="C84" s="57"/>
      <c r="D84" s="361" t="e">
        <f>CP!#REF!</f>
        <v>#REF!</v>
      </c>
      <c r="E84" s="362"/>
      <c r="F84" s="362"/>
      <c r="G84" s="362"/>
      <c r="H84" s="363"/>
      <c r="I84" s="58" t="e">
        <f>CP!#REF!</f>
        <v>#REF!</v>
      </c>
      <c r="J84" s="58" t="e">
        <f>CP!#REF!</f>
        <v>#REF!</v>
      </c>
    </row>
    <row r="85" spans="3:10" hidden="1" outlineLevel="1" x14ac:dyDescent="0.25">
      <c r="C85" s="57"/>
      <c r="D85" s="361" t="e">
        <f>CP!#REF!</f>
        <v>#REF!</v>
      </c>
      <c r="E85" s="362"/>
      <c r="F85" s="362"/>
      <c r="G85" s="362"/>
      <c r="H85" s="363"/>
      <c r="I85" s="58" t="e">
        <f>CP!#REF!</f>
        <v>#REF!</v>
      </c>
      <c r="J85" s="58" t="e">
        <f>CP!#REF!</f>
        <v>#REF!</v>
      </c>
    </row>
    <row r="86" spans="3:10" hidden="1" outlineLevel="1" x14ac:dyDescent="0.25">
      <c r="C86" s="57"/>
      <c r="D86" s="361" t="e">
        <f>CP!#REF!</f>
        <v>#REF!</v>
      </c>
      <c r="E86" s="362"/>
      <c r="F86" s="362"/>
      <c r="G86" s="362"/>
      <c r="H86" s="363"/>
      <c r="I86" s="58" t="e">
        <f>CP!#REF!</f>
        <v>#REF!</v>
      </c>
      <c r="J86" s="58" t="e">
        <f>CP!#REF!</f>
        <v>#REF!</v>
      </c>
    </row>
    <row r="87" spans="3:10" hidden="1" outlineLevel="1" x14ac:dyDescent="0.25">
      <c r="C87" s="57"/>
      <c r="D87" s="361" t="e">
        <f>CP!#REF!</f>
        <v>#REF!</v>
      </c>
      <c r="E87" s="362"/>
      <c r="F87" s="362"/>
      <c r="G87" s="362"/>
      <c r="H87" s="363"/>
      <c r="I87" s="58" t="e">
        <f>CP!#REF!</f>
        <v>#REF!</v>
      </c>
      <c r="J87" s="58" t="e">
        <f>CP!#REF!</f>
        <v>#REF!</v>
      </c>
    </row>
    <row r="89" spans="3:10" ht="14.45" customHeight="1" x14ac:dyDescent="0.25">
      <c r="C89" s="63" t="s">
        <v>615</v>
      </c>
      <c r="D89" s="367" t="str">
        <f>CP!D92</f>
        <v>do 7 dní od potvrdenia objdnávky.</v>
      </c>
      <c r="E89" s="367"/>
      <c r="F89" s="367"/>
      <c r="G89" s="367"/>
      <c r="H89" s="367"/>
      <c r="I89" s="367"/>
      <c r="J89" s="367"/>
    </row>
    <row r="90" spans="3:10" ht="14.45" customHeight="1" x14ac:dyDescent="0.25">
      <c r="C90" s="63"/>
      <c r="D90" s="367"/>
      <c r="E90" s="367"/>
      <c r="F90" s="367"/>
      <c r="G90" s="367"/>
      <c r="H90" s="367"/>
      <c r="I90" s="367"/>
      <c r="J90" s="367"/>
    </row>
  </sheetData>
  <mergeCells count="81">
    <mergeCell ref="D89:J90"/>
    <mergeCell ref="D86:H86"/>
    <mergeCell ref="D87:H87"/>
    <mergeCell ref="D18:H21"/>
    <mergeCell ref="D80:H80"/>
    <mergeCell ref="D81:H81"/>
    <mergeCell ref="D82:H82"/>
    <mergeCell ref="D83:H83"/>
    <mergeCell ref="D84:H84"/>
    <mergeCell ref="D85:H85"/>
    <mergeCell ref="D74:H74"/>
    <mergeCell ref="D75:H75"/>
    <mergeCell ref="D76:H76"/>
    <mergeCell ref="D77:H77"/>
    <mergeCell ref="D78:H78"/>
    <mergeCell ref="D79:H79"/>
    <mergeCell ref="D73:H73"/>
    <mergeCell ref="D62:H62"/>
    <mergeCell ref="D63:H63"/>
    <mergeCell ref="D64:H64"/>
    <mergeCell ref="D65:H65"/>
    <mergeCell ref="D66:H66"/>
    <mergeCell ref="D67:H67"/>
    <mergeCell ref="D68:H68"/>
    <mergeCell ref="D69:H69"/>
    <mergeCell ref="D70:H70"/>
    <mergeCell ref="D71:H71"/>
    <mergeCell ref="D72:H72"/>
    <mergeCell ref="D44:H44"/>
    <mergeCell ref="D61:H61"/>
    <mergeCell ref="D46:H46"/>
    <mergeCell ref="D47:H47"/>
    <mergeCell ref="D48:H48"/>
    <mergeCell ref="D49:H49"/>
    <mergeCell ref="D50:H50"/>
    <mergeCell ref="D51:H51"/>
    <mergeCell ref="D53:H53"/>
    <mergeCell ref="D54:H54"/>
    <mergeCell ref="D55:H55"/>
    <mergeCell ref="D56:H56"/>
    <mergeCell ref="D57:H57"/>
    <mergeCell ref="D58:H58"/>
    <mergeCell ref="D59:H59"/>
    <mergeCell ref="D60:H60"/>
    <mergeCell ref="D39:H39"/>
    <mergeCell ref="D40:H40"/>
    <mergeCell ref="D41:H41"/>
    <mergeCell ref="D42:H42"/>
    <mergeCell ref="D43:H43"/>
    <mergeCell ref="D34:H34"/>
    <mergeCell ref="D35:H35"/>
    <mergeCell ref="D36:H36"/>
    <mergeCell ref="D37:H37"/>
    <mergeCell ref="D38:H38"/>
    <mergeCell ref="D52:H52"/>
    <mergeCell ref="D29:H29"/>
    <mergeCell ref="F9:H9"/>
    <mergeCell ref="F7:H7"/>
    <mergeCell ref="F4:J4"/>
    <mergeCell ref="F5:J5"/>
    <mergeCell ref="I9:J9"/>
    <mergeCell ref="I14:J14"/>
    <mergeCell ref="D23:H23"/>
    <mergeCell ref="I7:J7"/>
    <mergeCell ref="D24:H24"/>
    <mergeCell ref="D25:H25"/>
    <mergeCell ref="D26:H26"/>
    <mergeCell ref="D27:H27"/>
    <mergeCell ref="D28:H28"/>
    <mergeCell ref="D45:H45"/>
    <mergeCell ref="D22:H22"/>
    <mergeCell ref="D30:H30"/>
    <mergeCell ref="D31:H31"/>
    <mergeCell ref="D32:H32"/>
    <mergeCell ref="D33:H33"/>
    <mergeCell ref="F2:J2"/>
    <mergeCell ref="F3:J3"/>
    <mergeCell ref="C18:C21"/>
    <mergeCell ref="J18:J21"/>
    <mergeCell ref="I18:I21"/>
    <mergeCell ref="F14:H14"/>
  </mergeCells>
  <pageMargins left="0.51181102362204722" right="0.51181102362204722" top="0.55118110236220474" bottom="0.55118110236220474" header="0.31496062992125984" footer="0.31496062992125984"/>
  <pageSetup paperSize="9" scale="80"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D85ABEE-8730-43EA-8984-93A6143650FA}">
          <x14:formula1>
            <xm:f>cenniktoshiba!$B$1:$B$111</xm:f>
          </x14:formula1>
          <xm:sqref>D66 D64 D62 D60 D58 D56 D54 D52 D50 D48 D46 D44 D86 D84 D82 D80 D78 D76 D74 D72 D70 D68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2C71-422A-45D7-80A8-517C9CF731CF}">
  <sheetPr codeName="Hárok2">
    <pageSetUpPr fitToPage="1"/>
  </sheetPr>
  <dimension ref="A1:F53"/>
  <sheetViews>
    <sheetView topLeftCell="A8" workbookViewId="0">
      <selection activeCell="C19" sqref="C19:E19"/>
    </sheetView>
  </sheetViews>
  <sheetFormatPr defaultColWidth="8.85546875" defaultRowHeight="15" x14ac:dyDescent="0.25"/>
  <cols>
    <col min="1" max="1" width="15.7109375" style="22" customWidth="1"/>
    <col min="2" max="2" width="38" style="22" customWidth="1"/>
    <col min="3" max="3" width="29.5703125" style="22" customWidth="1"/>
    <col min="4" max="4" width="20.7109375" style="22" customWidth="1"/>
    <col min="5" max="5" width="25.7109375" style="22" customWidth="1"/>
    <col min="6" max="16384" width="8.85546875" style="23"/>
  </cols>
  <sheetData>
    <row r="1" spans="1:5" ht="16.899999999999999" customHeight="1" x14ac:dyDescent="0.25">
      <c r="A1" s="408"/>
      <c r="B1" s="411" t="s">
        <v>824</v>
      </c>
      <c r="C1" s="412"/>
      <c r="D1" s="178" t="s">
        <v>825</v>
      </c>
      <c r="E1" s="179" t="s">
        <v>826</v>
      </c>
    </row>
    <row r="2" spans="1:5" ht="16.899999999999999" customHeight="1" x14ac:dyDescent="0.25">
      <c r="A2" s="409"/>
      <c r="B2" s="413"/>
      <c r="C2" s="414"/>
      <c r="D2" s="180" t="s">
        <v>827</v>
      </c>
      <c r="E2" s="181">
        <v>2</v>
      </c>
    </row>
    <row r="3" spans="1:5" ht="16.899999999999999" customHeight="1" x14ac:dyDescent="0.25">
      <c r="A3" s="410"/>
      <c r="B3" s="415"/>
      <c r="C3" s="416"/>
      <c r="D3" s="180" t="s">
        <v>828</v>
      </c>
      <c r="E3" s="182" t="s">
        <v>916</v>
      </c>
    </row>
    <row r="4" spans="1:5" ht="16.899999999999999" customHeight="1" x14ac:dyDescent="0.25"/>
    <row r="5" spans="1:5" ht="16.899999999999999" customHeight="1" x14ac:dyDescent="0.25">
      <c r="A5" s="163" t="s">
        <v>848</v>
      </c>
      <c r="B5" s="14"/>
      <c r="C5" s="14"/>
      <c r="D5" s="164"/>
      <c r="E5" s="164"/>
    </row>
    <row r="6" spans="1:5" ht="16.899999999999999" customHeight="1" thickBot="1" x14ac:dyDescent="0.3">
      <c r="A6" s="163"/>
      <c r="B6" s="164"/>
      <c r="C6" s="164"/>
      <c r="D6" s="164"/>
      <c r="E6" s="164"/>
    </row>
    <row r="7" spans="1:5" ht="16.899999999999999" customHeight="1" thickTop="1" x14ac:dyDescent="0.25">
      <c r="A7" s="417" t="s">
        <v>829</v>
      </c>
      <c r="B7" s="418"/>
      <c r="C7" s="419" t="s">
        <v>915</v>
      </c>
      <c r="D7" s="420"/>
      <c r="E7" s="421"/>
    </row>
    <row r="8" spans="1:5" ht="16.899999999999999" customHeight="1" x14ac:dyDescent="0.25">
      <c r="A8" s="400" t="s">
        <v>830</v>
      </c>
      <c r="B8" s="401"/>
      <c r="C8" s="184" t="s">
        <v>878</v>
      </c>
      <c r="D8" s="162">
        <f>VLOOKUP(C8,'databáza KONTAKTY'!$B$1:$F$14,2,FALSE)</f>
        <v>421902383121</v>
      </c>
      <c r="E8" s="185" t="str">
        <f>VLOOKUP(C8,'databáza KONTAKTY'!$B$1:$F$14,3,FALSE)</f>
        <v>holik@klimafresh.sk</v>
      </c>
    </row>
    <row r="9" spans="1:5" ht="16.899999999999999" customHeight="1" x14ac:dyDescent="0.25">
      <c r="A9" s="400" t="s">
        <v>831</v>
      </c>
      <c r="B9" s="401"/>
      <c r="C9" s="402" t="s">
        <v>917</v>
      </c>
      <c r="D9" s="403"/>
      <c r="E9" s="404"/>
    </row>
    <row r="10" spans="1:5" ht="16.899999999999999" customHeight="1" x14ac:dyDescent="0.25">
      <c r="A10" s="400" t="s">
        <v>832</v>
      </c>
      <c r="B10" s="401"/>
      <c r="C10" s="402">
        <v>53100972</v>
      </c>
      <c r="D10" s="403"/>
      <c r="E10" s="404"/>
    </row>
    <row r="11" spans="1:5" ht="16.899999999999999" customHeight="1" x14ac:dyDescent="0.25">
      <c r="A11" s="400" t="s">
        <v>833</v>
      </c>
      <c r="B11" s="401"/>
      <c r="C11" s="425" t="s">
        <v>918</v>
      </c>
      <c r="D11" s="426"/>
      <c r="E11" s="427"/>
    </row>
    <row r="12" spans="1:5" ht="16.899999999999999" customHeight="1" thickBot="1" x14ac:dyDescent="0.3">
      <c r="A12" s="428" t="s">
        <v>834</v>
      </c>
      <c r="B12" s="429"/>
      <c r="C12" s="430" t="str">
        <f>CP!D23</f>
        <v>ZL-112-24-248</v>
      </c>
      <c r="D12" s="431"/>
      <c r="E12" s="432"/>
    </row>
    <row r="13" spans="1:5" ht="16.899999999999999" customHeight="1" thickTop="1" x14ac:dyDescent="0.25">
      <c r="A13" s="167"/>
      <c r="B13" s="167"/>
      <c r="C13" s="167"/>
      <c r="D13" s="167"/>
      <c r="E13" s="164"/>
    </row>
    <row r="14" spans="1:5" ht="16.899999999999999" customHeight="1" x14ac:dyDescent="0.25">
      <c r="A14" s="168" t="s">
        <v>835</v>
      </c>
      <c r="B14" s="167"/>
      <c r="C14" s="14" t="s">
        <v>919</v>
      </c>
      <c r="E14" s="164"/>
    </row>
    <row r="15" spans="1:5" ht="16.899999999999999" customHeight="1" thickBot="1" x14ac:dyDescent="0.3">
      <c r="A15" s="168"/>
      <c r="B15" s="167"/>
      <c r="C15" s="167"/>
      <c r="D15" s="167"/>
      <c r="E15" s="164"/>
    </row>
    <row r="16" spans="1:5" ht="16.899999999999999" customHeight="1" thickTop="1" x14ac:dyDescent="0.25">
      <c r="A16" s="395" t="s">
        <v>829</v>
      </c>
      <c r="B16" s="396"/>
      <c r="C16" s="397" t="s">
        <v>919</v>
      </c>
      <c r="D16" s="398"/>
      <c r="E16" s="399"/>
    </row>
    <row r="17" spans="1:6" ht="16.899999999999999" customHeight="1" x14ac:dyDescent="0.25">
      <c r="A17" s="384" t="s">
        <v>830</v>
      </c>
      <c r="B17" s="385"/>
      <c r="C17" s="165">
        <f>CP!D20</f>
        <v>0</v>
      </c>
      <c r="D17" s="166">
        <f>CP!E20</f>
        <v>0</v>
      </c>
      <c r="E17" s="183">
        <f>CP!G20</f>
        <v>0</v>
      </c>
      <c r="F17" s="156"/>
    </row>
    <row r="18" spans="1:6" ht="16.899999999999999" customHeight="1" x14ac:dyDescent="0.25">
      <c r="A18" s="384" t="s">
        <v>831</v>
      </c>
      <c r="B18" s="385"/>
      <c r="C18" s="386">
        <f>CP!D21</f>
        <v>0</v>
      </c>
      <c r="D18" s="387"/>
      <c r="E18" s="388"/>
    </row>
    <row r="19" spans="1:6" ht="16.899999999999999" customHeight="1" x14ac:dyDescent="0.25">
      <c r="A19" s="384" t="s">
        <v>832</v>
      </c>
      <c r="B19" s="385"/>
      <c r="C19" s="422" t="s">
        <v>836</v>
      </c>
      <c r="D19" s="423"/>
      <c r="E19" s="424"/>
    </row>
    <row r="20" spans="1:6" ht="16.899999999999999" customHeight="1" x14ac:dyDescent="0.25">
      <c r="A20" s="384" t="s">
        <v>833</v>
      </c>
      <c r="B20" s="385"/>
      <c r="C20" s="386" t="s">
        <v>836</v>
      </c>
      <c r="D20" s="387"/>
      <c r="E20" s="388"/>
    </row>
    <row r="21" spans="1:6" ht="16.899999999999999" customHeight="1" thickBot="1" x14ac:dyDescent="0.3">
      <c r="A21" s="389" t="s">
        <v>837</v>
      </c>
      <c r="B21" s="390"/>
      <c r="C21" s="391" t="s">
        <v>836</v>
      </c>
      <c r="D21" s="392"/>
      <c r="E21" s="393"/>
    </row>
    <row r="22" spans="1:6" ht="16.899999999999999" customHeight="1" thickTop="1" x14ac:dyDescent="0.25">
      <c r="A22" s="164"/>
      <c r="B22" s="164"/>
      <c r="C22" s="164"/>
      <c r="D22" s="164"/>
      <c r="E22" s="164"/>
    </row>
    <row r="23" spans="1:6" ht="16.899999999999999" customHeight="1" x14ac:dyDescent="0.25">
      <c r="A23" s="169" t="s">
        <v>838</v>
      </c>
      <c r="B23" s="164"/>
      <c r="C23" s="164" t="s">
        <v>920</v>
      </c>
      <c r="D23" t="s">
        <v>921</v>
      </c>
      <c r="E23" s="164"/>
    </row>
    <row r="24" spans="1:6" ht="16.899999999999999" customHeight="1" thickBot="1" x14ac:dyDescent="0.3">
      <c r="A24" s="169"/>
      <c r="B24" s="164"/>
      <c r="C24" s="164"/>
      <c r="D24" s="164"/>
      <c r="E24" s="164"/>
    </row>
    <row r="25" spans="1:6" ht="16.899999999999999" customHeight="1" thickTop="1" x14ac:dyDescent="0.25">
      <c r="A25" s="170" t="s">
        <v>839</v>
      </c>
      <c r="B25" s="394" t="s">
        <v>840</v>
      </c>
      <c r="C25" s="394"/>
      <c r="D25" s="394"/>
      <c r="E25" s="171" t="s">
        <v>546</v>
      </c>
    </row>
    <row r="26" spans="1:6" ht="16.899999999999999" customHeight="1" x14ac:dyDescent="0.25">
      <c r="A26" s="186"/>
      <c r="B26" s="405"/>
      <c r="C26" s="406"/>
      <c r="D26" s="407"/>
      <c r="E26" s="187"/>
    </row>
    <row r="27" spans="1:6" ht="16.899999999999999" customHeight="1" x14ac:dyDescent="0.25">
      <c r="A27" s="172"/>
      <c r="B27" s="377"/>
      <c r="C27" s="378"/>
      <c r="D27" s="379"/>
      <c r="E27" s="173"/>
    </row>
    <row r="28" spans="1:6" ht="16.899999999999999" customHeight="1" x14ac:dyDescent="0.25">
      <c r="A28" s="172">
        <v>1</v>
      </c>
      <c r="B28" s="377" t="str">
        <f>CP!D22</f>
        <v>Dodávka a montáž klimatizácie</v>
      </c>
      <c r="C28" s="378"/>
      <c r="D28" s="379"/>
      <c r="E28" s="173" t="s">
        <v>922</v>
      </c>
    </row>
    <row r="29" spans="1:6" ht="16.899999999999999" customHeight="1" x14ac:dyDescent="0.25">
      <c r="A29" s="172"/>
      <c r="B29" s="377"/>
      <c r="C29" s="378"/>
      <c r="D29" s="379"/>
      <c r="E29" s="173"/>
    </row>
    <row r="30" spans="1:6" ht="16.899999999999999" customHeight="1" thickBot="1" x14ac:dyDescent="0.3">
      <c r="A30" s="174"/>
      <c r="B30" s="380"/>
      <c r="C30" s="381"/>
      <c r="D30" s="382"/>
      <c r="E30" s="175"/>
    </row>
    <row r="31" spans="1:6" ht="16.899999999999999" customHeight="1" thickTop="1" x14ac:dyDescent="0.25">
      <c r="A31" s="164"/>
      <c r="B31" s="164"/>
      <c r="C31" s="164"/>
      <c r="D31" s="164"/>
      <c r="E31" s="164"/>
    </row>
    <row r="32" spans="1:6" ht="16.899999999999999" customHeight="1" x14ac:dyDescent="0.25">
      <c r="A32" s="383" t="s">
        <v>841</v>
      </c>
      <c r="B32" s="383"/>
      <c r="C32" s="383"/>
      <c r="D32" s="383"/>
      <c r="E32" s="383"/>
    </row>
    <row r="33" spans="1:5" ht="16.899999999999999" customHeight="1" x14ac:dyDescent="0.25">
      <c r="A33" s="383"/>
      <c r="B33" s="383"/>
      <c r="C33" s="383"/>
      <c r="D33" s="383"/>
      <c r="E33" s="383"/>
    </row>
    <row r="34" spans="1:5" ht="27" customHeight="1" x14ac:dyDescent="0.25">
      <c r="A34" s="198" t="s">
        <v>923</v>
      </c>
      <c r="B34" s="164"/>
      <c r="C34" s="164"/>
      <c r="D34" s="164"/>
      <c r="E34" s="164"/>
    </row>
    <row r="35" spans="1:5" ht="16.899999999999999" customHeight="1" x14ac:dyDescent="0.25">
      <c r="A35" s="164"/>
      <c r="B35" s="164"/>
      <c r="C35" s="164"/>
      <c r="D35" s="164"/>
      <c r="E35" s="164"/>
    </row>
    <row r="36" spans="1:5" ht="16.899999999999999" customHeight="1" x14ac:dyDescent="0.25">
      <c r="A36" s="164"/>
      <c r="B36" s="164"/>
      <c r="C36" s="164"/>
      <c r="D36" s="164"/>
      <c r="E36" s="164"/>
    </row>
    <row r="37" spans="1:5" ht="16.899999999999999" customHeight="1" x14ac:dyDescent="0.25">
      <c r="A37" s="164"/>
      <c r="B37" s="164"/>
      <c r="C37" s="164"/>
      <c r="D37" s="164"/>
      <c r="E37" s="164"/>
    </row>
    <row r="38" spans="1:5" ht="16.899999999999999" customHeight="1" x14ac:dyDescent="0.25">
      <c r="A38" s="164"/>
      <c r="B38" s="164"/>
      <c r="C38" s="164"/>
      <c r="D38" s="164"/>
      <c r="E38" s="164"/>
    </row>
    <row r="39" spans="1:5" ht="16.899999999999999" customHeight="1" x14ac:dyDescent="0.25">
      <c r="A39" s="164"/>
      <c r="B39" s="164"/>
      <c r="C39" s="164"/>
      <c r="D39" s="164"/>
      <c r="E39" s="164"/>
    </row>
    <row r="40" spans="1:5" ht="16.899999999999999" customHeight="1" x14ac:dyDescent="0.25">
      <c r="A40" s="164"/>
      <c r="B40" s="164"/>
      <c r="C40" s="164"/>
      <c r="D40" s="164"/>
      <c r="E40" s="164"/>
    </row>
    <row r="41" spans="1:5" ht="16.899999999999999" customHeight="1" x14ac:dyDescent="0.25">
      <c r="A41" s="164"/>
      <c r="B41" s="164"/>
      <c r="C41" s="164"/>
      <c r="D41" s="164"/>
      <c r="E41" s="164"/>
    </row>
    <row r="42" spans="1:5" ht="16.899999999999999" customHeight="1" x14ac:dyDescent="0.25">
      <c r="A42" s="164"/>
      <c r="B42" s="164"/>
      <c r="C42" s="164"/>
      <c r="D42" s="164"/>
      <c r="E42" s="164"/>
    </row>
    <row r="43" spans="1:5" ht="16.899999999999999" customHeight="1" x14ac:dyDescent="0.25">
      <c r="A43" s="164"/>
      <c r="B43" s="164"/>
      <c r="C43" s="164"/>
      <c r="D43" s="164"/>
      <c r="E43" s="164"/>
    </row>
    <row r="44" spans="1:5" ht="16.899999999999999" customHeight="1" x14ac:dyDescent="0.25">
      <c r="A44" s="164"/>
      <c r="B44" s="164"/>
      <c r="C44" s="164"/>
      <c r="D44" s="164"/>
      <c r="E44" s="164"/>
    </row>
    <row r="45" spans="1:5" ht="16.899999999999999" customHeight="1" x14ac:dyDescent="0.25">
      <c r="A45" s="164"/>
      <c r="B45" s="164"/>
      <c r="C45" s="164"/>
      <c r="D45" s="164"/>
      <c r="E45" s="164"/>
    </row>
    <row r="46" spans="1:5" ht="16.899999999999999" customHeight="1" x14ac:dyDescent="0.25">
      <c r="A46" s="164" t="str">
        <f>C8</f>
        <v>Mgr. Martin Holík</v>
      </c>
      <c r="B46" s="164"/>
      <c r="C46" s="164"/>
      <c r="D46" s="164"/>
      <c r="E46" s="164"/>
    </row>
    <row r="47" spans="1:5" ht="16.899999999999999" customHeight="1" x14ac:dyDescent="0.25">
      <c r="A47" s="176"/>
      <c r="B47" s="177"/>
      <c r="C47" s="164"/>
      <c r="D47" s="177"/>
      <c r="E47" s="177"/>
    </row>
    <row r="48" spans="1:5" ht="16.899999999999999" customHeight="1" x14ac:dyDescent="0.25">
      <c r="A48" s="154" t="s">
        <v>842</v>
      </c>
      <c r="D48" s="154" t="s">
        <v>843</v>
      </c>
    </row>
    <row r="49" spans="1:4" ht="16.899999999999999" customHeight="1" x14ac:dyDescent="0.25">
      <c r="A49" s="154" t="s">
        <v>844</v>
      </c>
      <c r="D49" s="154" t="s">
        <v>845</v>
      </c>
    </row>
    <row r="50" spans="1:4" ht="16.899999999999999" customHeight="1" x14ac:dyDescent="0.25"/>
    <row r="51" spans="1:4" ht="16.899999999999999" customHeight="1" x14ac:dyDescent="0.25">
      <c r="A51" s="157" t="s">
        <v>846</v>
      </c>
      <c r="C51" s="155" t="s">
        <v>836</v>
      </c>
    </row>
    <row r="52" spans="1:4" ht="16.899999999999999" customHeight="1" x14ac:dyDescent="0.25"/>
    <row r="53" spans="1:4" ht="16.899999999999999" customHeight="1" x14ac:dyDescent="0.25"/>
  </sheetData>
  <mergeCells count="31">
    <mergeCell ref="A9:B9"/>
    <mergeCell ref="C9:E9"/>
    <mergeCell ref="B26:D26"/>
    <mergeCell ref="A1:A3"/>
    <mergeCell ref="B1:C3"/>
    <mergeCell ref="A7:B7"/>
    <mergeCell ref="C7:E7"/>
    <mergeCell ref="A8:B8"/>
    <mergeCell ref="A19:B19"/>
    <mergeCell ref="C19:E19"/>
    <mergeCell ref="A10:B10"/>
    <mergeCell ref="C10:E10"/>
    <mergeCell ref="A11:B11"/>
    <mergeCell ref="C11:E11"/>
    <mergeCell ref="A12:B12"/>
    <mergeCell ref="C12:E12"/>
    <mergeCell ref="A16:B16"/>
    <mergeCell ref="C16:E16"/>
    <mergeCell ref="A17:B17"/>
    <mergeCell ref="A18:B18"/>
    <mergeCell ref="C18:E18"/>
    <mergeCell ref="B28:D28"/>
    <mergeCell ref="B29:D29"/>
    <mergeCell ref="B30:D30"/>
    <mergeCell ref="A32:E33"/>
    <mergeCell ref="A20:B20"/>
    <mergeCell ref="C20:E20"/>
    <mergeCell ref="A21:B21"/>
    <mergeCell ref="C21:E21"/>
    <mergeCell ref="B25:D25"/>
    <mergeCell ref="B27:D27"/>
  </mergeCells>
  <conditionalFormatting sqref="C12:E12 C19:E21 C51">
    <cfRule type="cellIs" dxfId="0" priority="1" operator="equal">
      <formula>0</formula>
    </cfRule>
  </conditionalFormatting>
  <pageMargins left="0.7" right="0.7" top="0.75" bottom="0.75" header="0.3" footer="0.3"/>
  <pageSetup paperSize="9" scale="67"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5953866-5FFF-44FA-B3A3-A8CD2A29DACC}">
          <x14:formula1>
            <xm:f>'databáza KONTAKTY'!$B$1:$B$8</xm:f>
          </x14:formula1>
          <xm:sqref>C8</xm:sqref>
        </x14:dataValidation>
        <x14:dataValidation type="list" allowBlank="1" showInputMessage="1" showErrorMessage="1" xr:uid="{E56FEDB2-75D5-477B-B7DF-9EBBFFE91993}">
          <x14:formula1>
            <xm:f>'databáza KONTAKTY'!$A$10:$A$197</xm:f>
          </x14:formula1>
          <xm:sqref>B5:C5 C14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52A8-D77A-43F6-8C41-85FD98B5433C}">
  <sheetPr codeName="Hárok3">
    <outlinePr summaryBelow="0"/>
    <pageSetUpPr fitToPage="1"/>
  </sheetPr>
  <dimension ref="A1:AQ118"/>
  <sheetViews>
    <sheetView topLeftCell="A15" workbookViewId="0">
      <selection activeCell="D73" sqref="D73"/>
    </sheetView>
  </sheetViews>
  <sheetFormatPr defaultRowHeight="15" outlineLevelRow="1" outlineLevelCol="1" x14ac:dyDescent="0.25"/>
  <cols>
    <col min="1" max="2" width="1.7109375" customWidth="1"/>
    <col min="3" max="3" width="25.7109375" customWidth="1"/>
    <col min="4" max="4" width="72.5703125" customWidth="1"/>
    <col min="5" max="6" width="10.7109375" customWidth="1"/>
    <col min="7" max="7" width="13.7109375" hidden="1" customWidth="1" outlineLevel="1"/>
    <col min="8" max="8" width="22.7109375" hidden="1" customWidth="1" outlineLevel="1"/>
    <col min="9" max="9" width="36.7109375" customWidth="1" collapsed="1"/>
    <col min="10" max="10" width="2.7109375" customWidth="1"/>
    <col min="11" max="11" width="10.7109375" customWidth="1"/>
    <col min="12" max="12" width="10.7109375" style="42" customWidth="1"/>
    <col min="13" max="13" width="8.7109375" customWidth="1"/>
    <col min="14" max="14" width="10.7109375" customWidth="1"/>
    <col min="15" max="15" width="14.42578125" bestFit="1" customWidth="1"/>
    <col min="16" max="18" width="10.7109375" customWidth="1"/>
    <col min="19" max="19" width="12.7109375" customWidth="1"/>
    <col min="20" max="22" width="5.7109375" customWidth="1"/>
    <col min="23" max="23" width="8.7109375" customWidth="1"/>
    <col min="24" max="25" width="10.7109375" customWidth="1"/>
    <col min="26" max="27" width="12.7109375" customWidth="1"/>
    <col min="28" max="29" width="10.7109375" style="64" customWidth="1"/>
    <col min="30" max="31" width="10.7109375" customWidth="1"/>
    <col min="32" max="33" width="12.7109375" customWidth="1"/>
    <col min="34" max="34" width="10.7109375" customWidth="1"/>
    <col min="35" max="35" width="12.7109375" customWidth="1"/>
    <col min="36" max="36" width="10.7109375" customWidth="1"/>
    <col min="37" max="37" width="12.7109375" customWidth="1"/>
    <col min="38" max="40" width="10.7109375" customWidth="1"/>
    <col min="41" max="41" width="8.7109375" customWidth="1"/>
    <col min="42" max="43" width="10.7109375" customWidth="1"/>
  </cols>
  <sheetData>
    <row r="1" spans="1:43" x14ac:dyDescent="0.25">
      <c r="A1" s="1">
        <v>3</v>
      </c>
      <c r="B1" s="1">
        <v>1</v>
      </c>
      <c r="C1" s="88"/>
      <c r="D1" s="89" t="s">
        <v>3</v>
      </c>
      <c r="E1" s="90"/>
      <c r="F1" s="90"/>
      <c r="G1" s="90"/>
      <c r="H1" s="90"/>
      <c r="I1" s="90"/>
    </row>
    <row r="2" spans="1:43" x14ac:dyDescent="0.25">
      <c r="A2" s="1">
        <v>3</v>
      </c>
      <c r="B2" s="1">
        <v>2</v>
      </c>
      <c r="C2" s="91"/>
      <c r="D2" s="92" t="s">
        <v>4</v>
      </c>
      <c r="E2" s="93"/>
      <c r="F2" s="93"/>
      <c r="G2" s="93"/>
      <c r="H2" s="93"/>
      <c r="I2" s="93"/>
    </row>
    <row r="3" spans="1:43" x14ac:dyDescent="0.25">
      <c r="A3" s="1">
        <v>3</v>
      </c>
      <c r="B3" s="1">
        <v>3</v>
      </c>
      <c r="C3" s="6"/>
      <c r="D3" s="7" t="s">
        <v>5</v>
      </c>
      <c r="E3" s="4" t="s">
        <v>6</v>
      </c>
      <c r="F3" s="147">
        <v>1000</v>
      </c>
      <c r="G3" s="5"/>
      <c r="H3" s="5"/>
      <c r="I3" s="5"/>
    </row>
    <row r="4" spans="1:43" x14ac:dyDescent="0.25">
      <c r="C4" s="57"/>
      <c r="D4" s="57" t="s">
        <v>727</v>
      </c>
      <c r="E4" s="58" t="e">
        <f>VLOOKUP(D4,cenniktoshiba!$B$3:$D121,3,FALSE)</f>
        <v>#N/A</v>
      </c>
      <c r="F4" s="58">
        <v>1000</v>
      </c>
      <c r="G4" s="59" t="e">
        <f t="shared" ref="G4:G11" si="0">H4/F4</f>
        <v>#N/A</v>
      </c>
      <c r="H4" s="59" t="e">
        <f t="shared" ref="H4:H11" si="1">AK4</f>
        <v>#N/A</v>
      </c>
      <c r="I4" s="59" t="e">
        <f t="shared" ref="I4:I11" si="2">AK4</f>
        <v>#N/A</v>
      </c>
      <c r="K4" s="72" t="e">
        <f>VLOOKUP(D4,cenniktoshiba!$B$3:$F121,5,FALSE)</f>
        <v>#N/A</v>
      </c>
      <c r="L4" s="71" t="e">
        <f>VLOOKUP(D4,cenniktoshiba!$B$3:$C121,2,FALSE)</f>
        <v>#N/A</v>
      </c>
      <c r="M4" s="117" t="e">
        <f>VLOOKUP(D4,cenniktoshiba!$B$3:$E121,4,FALSE)</f>
        <v>#N/A</v>
      </c>
      <c r="N4" s="71" t="e">
        <f t="shared" ref="N4:N11" si="3">L4*(1-M4)</f>
        <v>#N/A</v>
      </c>
      <c r="O4" s="73" t="e">
        <f t="shared" ref="O4:O11" si="4">N4*F4</f>
        <v>#N/A</v>
      </c>
      <c r="P4" s="74" t="s">
        <v>634</v>
      </c>
      <c r="Q4" s="75"/>
      <c r="R4" s="86" cm="1">
        <f t="array" ref="R4">_xlfn.IFS(P4=$P$28,$Q$28,P4=$P$26,Q4*$Q$26,P4=$P$27,Q4*$Q$27,P4=$P$25,Q4*$Q$25,P4=$P$29,$Q$29)</f>
        <v>0</v>
      </c>
      <c r="S4" s="108" t="e">
        <f t="shared" ref="S4:S11" si="5">O4+R4</f>
        <v>#N/A</v>
      </c>
      <c r="T4" s="76">
        <v>1</v>
      </c>
      <c r="U4" s="76"/>
      <c r="V4" s="77">
        <v>0</v>
      </c>
      <c r="W4" s="78"/>
      <c r="X4" s="79">
        <f t="shared" ref="X4:X11" si="6">IF(W4=$W$27,$X$27,0)+IF(W4=$W$28,$X$28,0)+IF(W4=$W$29,$X$29,0)</f>
        <v>0</v>
      </c>
      <c r="Y4" s="79">
        <f t="shared" ref="Y4:Y11" si="7">X4*U4*V4*T4</f>
        <v>0</v>
      </c>
      <c r="Z4" s="80">
        <f t="shared" ref="Z4:Z11" si="8">Y4*F4</f>
        <v>0</v>
      </c>
      <c r="AA4" s="131" t="e">
        <f t="shared" ref="AA4:AA11" si="9">S4+Z4</f>
        <v>#N/A</v>
      </c>
      <c r="AB4" s="81">
        <f t="shared" ref="AB4:AB11" si="10">$AB$34</f>
        <v>0.3</v>
      </c>
      <c r="AC4" s="81">
        <f t="shared" ref="AC4:AC11" si="11">$AC$34</f>
        <v>0.01</v>
      </c>
      <c r="AD4" s="119" t="e">
        <f t="shared" ref="AD4:AD11" si="12">S4*AB4</f>
        <v>#N/A</v>
      </c>
      <c r="AE4" s="119">
        <f t="shared" ref="AE4:AE11" si="13">Z4*AC4</f>
        <v>0</v>
      </c>
      <c r="AF4" s="120" t="e">
        <f t="shared" ref="AF4:AF11" si="14">AD4+AE4</f>
        <v>#N/A</v>
      </c>
      <c r="AG4" s="148" t="e">
        <f t="shared" ref="AG4:AG11" si="15">AA4+AF4</f>
        <v>#N/A</v>
      </c>
      <c r="AH4" s="148" t="e">
        <f t="shared" ref="AH4:AH11" si="16">$AH$34/$Z$86*AA4</f>
        <v>#N/A</v>
      </c>
      <c r="AI4" s="152" t="e">
        <f t="shared" ref="AI4:AI11" si="17">AG4+AH4</f>
        <v>#N/A</v>
      </c>
      <c r="AJ4" s="152" t="e">
        <f t="shared" ref="AJ4:AJ11" si="18">$AJ$34/$AF$86*AF4</f>
        <v>#N/A</v>
      </c>
      <c r="AK4" s="135" t="e">
        <f t="shared" ref="AK4:AK11" si="19">AI4+AJ4</f>
        <v>#N/A</v>
      </c>
      <c r="AM4" s="98" t="s">
        <v>581</v>
      </c>
      <c r="AN4" s="100" t="e">
        <f t="shared" ref="AN4:AN11" si="20">IF(AM4="Powering",O4)</f>
        <v>#N/A</v>
      </c>
      <c r="AO4" s="99">
        <f t="shared" ref="AO4:AO11" si="21">$AO$34</f>
        <v>0.01</v>
      </c>
      <c r="AP4" s="100" t="e">
        <f t="shared" ref="AP4:AP11" si="22">AN4*AO4</f>
        <v>#N/A</v>
      </c>
      <c r="AQ4" s="101" t="e">
        <f t="shared" ref="AQ4:AQ11" si="23">AN4-AP4</f>
        <v>#N/A</v>
      </c>
    </row>
    <row r="5" spans="1:43" x14ac:dyDescent="0.25">
      <c r="C5" s="57"/>
      <c r="D5" s="57" t="s">
        <v>690</v>
      </c>
      <c r="E5" s="58" t="e">
        <f>VLOOKUP(D5,'Cenník Beijer Anmima'!$B$3:$D$52,3,FALSE)</f>
        <v>#N/A</v>
      </c>
      <c r="F5" s="58">
        <v>1000</v>
      </c>
      <c r="G5" s="59" t="e">
        <f t="shared" si="0"/>
        <v>#N/A</v>
      </c>
      <c r="H5" s="59" t="e">
        <f t="shared" si="1"/>
        <v>#N/A</v>
      </c>
      <c r="I5" s="59" t="e">
        <f t="shared" si="2"/>
        <v>#N/A</v>
      </c>
      <c r="K5" s="72" t="e">
        <f>VLOOKUP(D5,'Cenník Beijer Anmima'!$B$3:$G100,6,FALSE)</f>
        <v>#N/A</v>
      </c>
      <c r="L5" s="71" t="e">
        <f>VLOOKUP(D5,'Cenník Beijer Anmima'!$B$2:$C$100,2,FALSE)</f>
        <v>#N/A</v>
      </c>
      <c r="M5" s="72">
        <v>0</v>
      </c>
      <c r="N5" s="71" t="e">
        <f t="shared" si="3"/>
        <v>#N/A</v>
      </c>
      <c r="O5" s="73" t="e">
        <f t="shared" si="4"/>
        <v>#N/A</v>
      </c>
      <c r="P5" s="74" t="s">
        <v>634</v>
      </c>
      <c r="Q5" s="75"/>
      <c r="R5" s="86" cm="1">
        <f t="array" ref="R5">_xlfn.IFS(P5=$P$28,$Q$28,P5=$P$26,Q5*$Q$26,P5=$P$27,Q5*$Q$27,P5=$P$25,Q5*$Q$25,P5=$P$29,$Q$29)</f>
        <v>0</v>
      </c>
      <c r="S5" s="108" t="e">
        <f t="shared" si="5"/>
        <v>#N/A</v>
      </c>
      <c r="T5" s="76">
        <v>1</v>
      </c>
      <c r="U5" s="76"/>
      <c r="V5" s="77">
        <v>0</v>
      </c>
      <c r="W5" s="78"/>
      <c r="X5" s="79">
        <f t="shared" si="6"/>
        <v>0</v>
      </c>
      <c r="Y5" s="79">
        <f t="shared" si="7"/>
        <v>0</v>
      </c>
      <c r="Z5" s="80">
        <f t="shared" si="8"/>
        <v>0</v>
      </c>
      <c r="AA5" s="131" t="e">
        <f t="shared" si="9"/>
        <v>#N/A</v>
      </c>
      <c r="AB5" s="81">
        <f t="shared" si="10"/>
        <v>0.3</v>
      </c>
      <c r="AC5" s="81">
        <f t="shared" si="11"/>
        <v>0.01</v>
      </c>
      <c r="AD5" s="119" t="e">
        <f t="shared" si="12"/>
        <v>#N/A</v>
      </c>
      <c r="AE5" s="119">
        <f t="shared" si="13"/>
        <v>0</v>
      </c>
      <c r="AF5" s="120" t="e">
        <f t="shared" si="14"/>
        <v>#N/A</v>
      </c>
      <c r="AG5" s="148" t="e">
        <f t="shared" si="15"/>
        <v>#N/A</v>
      </c>
      <c r="AH5" s="148" t="e">
        <f t="shared" si="16"/>
        <v>#N/A</v>
      </c>
      <c r="AI5" s="152" t="e">
        <f t="shared" si="17"/>
        <v>#N/A</v>
      </c>
      <c r="AJ5" s="152" t="e">
        <f t="shared" si="18"/>
        <v>#N/A</v>
      </c>
      <c r="AK5" s="135" t="e">
        <f t="shared" si="19"/>
        <v>#N/A</v>
      </c>
      <c r="AM5" s="98"/>
      <c r="AN5" s="100" t="b">
        <f t="shared" si="20"/>
        <v>0</v>
      </c>
      <c r="AO5" s="99">
        <f t="shared" si="21"/>
        <v>0.01</v>
      </c>
      <c r="AP5" s="100">
        <f t="shared" si="22"/>
        <v>0</v>
      </c>
      <c r="AQ5" s="101">
        <f t="shared" si="23"/>
        <v>0</v>
      </c>
    </row>
    <row r="6" spans="1:43" x14ac:dyDescent="0.25">
      <c r="C6" s="57"/>
      <c r="D6" s="57" t="s">
        <v>587</v>
      </c>
      <c r="E6" s="58" t="e">
        <f>VLOOKUP(D6,'Cenník Sinclair '!$B$2:$D$43,3,FALSE)</f>
        <v>#N/A</v>
      </c>
      <c r="F6" s="58">
        <v>1000</v>
      </c>
      <c r="G6" s="59" t="e">
        <f t="shared" si="0"/>
        <v>#N/A</v>
      </c>
      <c r="H6" s="59" t="e">
        <f t="shared" si="1"/>
        <v>#N/A</v>
      </c>
      <c r="I6" s="59" t="e">
        <f>AK6</f>
        <v>#N/A</v>
      </c>
      <c r="K6" s="72" t="e">
        <f>VLOOKUP(D6,'Cenník Sinclair '!$B$2:$F$101,5,FALSE)</f>
        <v>#N/A</v>
      </c>
      <c r="L6" s="71" t="e">
        <f>VLOOKUP(D6,'Cenník Sinclair '!$B$2:$C$101,2,FALSE)</f>
        <v>#N/A</v>
      </c>
      <c r="M6" s="117" t="e">
        <f>VLOOKUP(D6,'Cenník Sinclair '!$B$2:$E$101,4,FALSE)</f>
        <v>#N/A</v>
      </c>
      <c r="N6" s="71" t="e">
        <f t="shared" si="3"/>
        <v>#N/A</v>
      </c>
      <c r="O6" s="73" t="e">
        <f t="shared" si="4"/>
        <v>#N/A</v>
      </c>
      <c r="P6" s="74" t="s">
        <v>634</v>
      </c>
      <c r="Q6" s="75"/>
      <c r="R6" s="86" cm="1">
        <f t="array" ref="R6">_xlfn.IFS(P6=$P$28,$Q$28,P6=$P$26,Q6*$Q$26,P6=$P$27,Q6*$Q$27,P6=$P$25,Q6*$Q$25,P6=$P$29,$Q$29)</f>
        <v>0</v>
      </c>
      <c r="S6" s="108" t="e">
        <f t="shared" si="5"/>
        <v>#N/A</v>
      </c>
      <c r="T6" s="76">
        <v>1</v>
      </c>
      <c r="U6" s="76"/>
      <c r="V6" s="77">
        <v>0</v>
      </c>
      <c r="W6" s="78"/>
      <c r="X6" s="79">
        <f t="shared" si="6"/>
        <v>0</v>
      </c>
      <c r="Y6" s="79">
        <f t="shared" si="7"/>
        <v>0</v>
      </c>
      <c r="Z6" s="80">
        <f t="shared" si="8"/>
        <v>0</v>
      </c>
      <c r="AA6" s="131" t="e">
        <f t="shared" si="9"/>
        <v>#N/A</v>
      </c>
      <c r="AB6" s="81">
        <f t="shared" si="10"/>
        <v>0.3</v>
      </c>
      <c r="AC6" s="81">
        <f t="shared" si="11"/>
        <v>0.01</v>
      </c>
      <c r="AD6" s="119" t="e">
        <f t="shared" si="12"/>
        <v>#N/A</v>
      </c>
      <c r="AE6" s="119">
        <f t="shared" si="13"/>
        <v>0</v>
      </c>
      <c r="AF6" s="120" t="e">
        <f t="shared" si="14"/>
        <v>#N/A</v>
      </c>
      <c r="AG6" s="148" t="e">
        <f t="shared" si="15"/>
        <v>#N/A</v>
      </c>
      <c r="AH6" s="148" t="e">
        <f t="shared" si="16"/>
        <v>#N/A</v>
      </c>
      <c r="AI6" s="152" t="e">
        <f t="shared" si="17"/>
        <v>#N/A</v>
      </c>
      <c r="AJ6" s="152" t="e">
        <f t="shared" si="18"/>
        <v>#N/A</v>
      </c>
      <c r="AK6" s="135" t="e">
        <f t="shared" si="19"/>
        <v>#N/A</v>
      </c>
      <c r="AM6" s="98"/>
      <c r="AN6" s="100" t="b">
        <f t="shared" si="20"/>
        <v>0</v>
      </c>
      <c r="AO6" s="99">
        <f t="shared" si="21"/>
        <v>0.01</v>
      </c>
      <c r="AP6" s="100">
        <f t="shared" si="22"/>
        <v>0</v>
      </c>
      <c r="AQ6" s="101">
        <f t="shared" si="23"/>
        <v>0</v>
      </c>
    </row>
    <row r="7" spans="1:43" x14ac:dyDescent="0.25">
      <c r="C7" s="57"/>
      <c r="D7" s="57" t="s">
        <v>1188</v>
      </c>
      <c r="E7" s="58" t="e">
        <f>VLOOKUP(D7,'Cenník Sinclair '!$B$2:$D$43,3,FALSE)</f>
        <v>#N/A</v>
      </c>
      <c r="F7" s="58">
        <v>1001</v>
      </c>
      <c r="G7" s="59" t="e">
        <f t="shared" ref="G7" si="24">H7/F7</f>
        <v>#N/A</v>
      </c>
      <c r="H7" s="59" t="e">
        <f t="shared" ref="H7" si="25">AK7</f>
        <v>#N/A</v>
      </c>
      <c r="I7" s="59" t="e">
        <f>AK7</f>
        <v>#N/A</v>
      </c>
      <c r="K7" s="72" t="e">
        <f>VLOOKUP(D7,'Cenník Sinclair '!$B$2:$F$101,5,FALSE)</f>
        <v>#N/A</v>
      </c>
      <c r="L7" s="71" t="e">
        <f>VLOOKUP(D7,'Cenník Sinclair '!$B$2:$C$101,2,FALSE)</f>
        <v>#N/A</v>
      </c>
      <c r="M7" s="117" t="e">
        <f>VLOOKUP(D7,'Cenník Sinclair '!$B$2:$E$101,4,FALSE)</f>
        <v>#N/A</v>
      </c>
      <c r="N7" s="71" t="e">
        <f t="shared" ref="N7" si="26">L7*(1-M7)</f>
        <v>#N/A</v>
      </c>
      <c r="O7" s="73" t="e">
        <f t="shared" ref="O7" si="27">N7*F7</f>
        <v>#N/A</v>
      </c>
      <c r="P7" s="74" t="s">
        <v>634</v>
      </c>
      <c r="Q7" s="75"/>
      <c r="R7" s="86" cm="1">
        <f t="array" ref="R7">_xlfn.IFS(P7=$P$28,$Q$28,P7=$P$26,Q7*$Q$26,P7=$P$27,Q7*$Q$27,P7=$P$25,Q7*$Q$25,P7=$P$29,$Q$29)</f>
        <v>0</v>
      </c>
      <c r="S7" s="108" t="e">
        <f t="shared" ref="S7" si="28">O7+R7</f>
        <v>#N/A</v>
      </c>
      <c r="T7" s="76">
        <v>1</v>
      </c>
      <c r="U7" s="76"/>
      <c r="V7" s="77">
        <v>0</v>
      </c>
      <c r="W7" s="78"/>
      <c r="X7" s="79">
        <f t="shared" ref="X7" si="29">IF(W7=$W$27,$X$27,0)+IF(W7=$W$28,$X$28,0)+IF(W7=$W$29,$X$29,0)</f>
        <v>0</v>
      </c>
      <c r="Y7" s="79">
        <f t="shared" ref="Y7" si="30">X7*U7*V7*T7</f>
        <v>0</v>
      </c>
      <c r="Z7" s="80">
        <f t="shared" ref="Z7" si="31">Y7*F7</f>
        <v>0</v>
      </c>
      <c r="AA7" s="131" t="e">
        <f t="shared" ref="AA7" si="32">S7+Z7</f>
        <v>#N/A</v>
      </c>
      <c r="AB7" s="81">
        <f t="shared" si="10"/>
        <v>0.3</v>
      </c>
      <c r="AC7" s="81">
        <f t="shared" si="11"/>
        <v>0.01</v>
      </c>
      <c r="AD7" s="119" t="e">
        <f t="shared" ref="AD7" si="33">S7*AB7</f>
        <v>#N/A</v>
      </c>
      <c r="AE7" s="119">
        <f t="shared" ref="AE7" si="34">Z7*AC7</f>
        <v>0</v>
      </c>
      <c r="AF7" s="120" t="e">
        <f t="shared" ref="AF7" si="35">AD7+AE7</f>
        <v>#N/A</v>
      </c>
      <c r="AG7" s="148" t="e">
        <f t="shared" ref="AG7" si="36">AA7+AF7</f>
        <v>#N/A</v>
      </c>
      <c r="AH7" s="148" t="e">
        <f t="shared" si="16"/>
        <v>#N/A</v>
      </c>
      <c r="AI7" s="152" t="e">
        <f t="shared" ref="AI7" si="37">AG7+AH7</f>
        <v>#N/A</v>
      </c>
      <c r="AJ7" s="152" t="e">
        <f t="shared" si="18"/>
        <v>#N/A</v>
      </c>
      <c r="AK7" s="135" t="e">
        <f t="shared" ref="AK7" si="38">AI7+AJ7</f>
        <v>#N/A</v>
      </c>
      <c r="AM7" s="98"/>
      <c r="AN7" s="100" t="b">
        <f t="shared" ref="AN7" si="39">IF(AM7="Powering",O7)</f>
        <v>0</v>
      </c>
      <c r="AO7" s="99">
        <f t="shared" si="21"/>
        <v>0.01</v>
      </c>
      <c r="AP7" s="100">
        <f t="shared" ref="AP7" si="40">AN7*AO7</f>
        <v>0</v>
      </c>
      <c r="AQ7" s="101">
        <f t="shared" ref="AQ7" si="41">AN7-AP7</f>
        <v>0</v>
      </c>
    </row>
    <row r="8" spans="1:43" x14ac:dyDescent="0.25">
      <c r="C8" s="57"/>
      <c r="D8" s="277" t="s">
        <v>950</v>
      </c>
      <c r="E8" s="58" t="e">
        <f>VLOOKUP(D8,'Cenník Sinclair '!$B$2:$D$43,3,FALSE)</f>
        <v>#N/A</v>
      </c>
      <c r="F8" s="58">
        <v>1001</v>
      </c>
      <c r="G8" s="59" t="e">
        <f t="shared" ref="G8" si="42">H8/F8</f>
        <v>#N/A</v>
      </c>
      <c r="H8" s="59" t="e">
        <f t="shared" ref="H8" si="43">AK8</f>
        <v>#N/A</v>
      </c>
      <c r="I8" s="59" t="e">
        <f>AK8</f>
        <v>#N/A</v>
      </c>
      <c r="K8" s="72" t="e">
        <f>VLOOKUP(D8,'Cenník Sinclair '!$B$2:$F$101,5,FALSE)</f>
        <v>#N/A</v>
      </c>
      <c r="L8" s="71" t="e">
        <f>VLOOKUP(D8,'Cenník Sinclair '!$B$2:$C$101,2,FALSE)</f>
        <v>#N/A</v>
      </c>
      <c r="M8" s="117" t="e">
        <f>VLOOKUP(D8,'Cenník Sinclair '!$B$2:$E$101,4,FALSE)</f>
        <v>#N/A</v>
      </c>
      <c r="N8" s="71" t="e">
        <f t="shared" ref="N8" si="44">L8*(1-M8)</f>
        <v>#N/A</v>
      </c>
      <c r="O8" s="73" t="e">
        <f t="shared" ref="O8" si="45">N8*F8</f>
        <v>#N/A</v>
      </c>
      <c r="P8" s="74" t="s">
        <v>634</v>
      </c>
      <c r="Q8" s="75"/>
      <c r="R8" s="86" cm="1">
        <f t="array" ref="R8">_xlfn.IFS(P8=$P$28,$Q$28,P8=$P$26,Q8*$Q$26,P8=$P$27,Q8*$Q$27,P8=$P$25,Q8*$Q$25,P8=$P$29,$Q$29)</f>
        <v>0</v>
      </c>
      <c r="S8" s="108" t="e">
        <f t="shared" ref="S8" si="46">O8+R8</f>
        <v>#N/A</v>
      </c>
      <c r="T8" s="76">
        <v>1</v>
      </c>
      <c r="U8" s="76"/>
      <c r="V8" s="77">
        <v>0</v>
      </c>
      <c r="W8" s="78"/>
      <c r="X8" s="79">
        <f t="shared" ref="X8" si="47">IF(W8=$W$27,$X$27,0)+IF(W8=$W$28,$X$28,0)+IF(W8=$W$29,$X$29,0)</f>
        <v>0</v>
      </c>
      <c r="Y8" s="79">
        <f t="shared" ref="Y8" si="48">X8*U8*V8*T8</f>
        <v>0</v>
      </c>
      <c r="Z8" s="80">
        <f t="shared" ref="Z8" si="49">Y8*F8</f>
        <v>0</v>
      </c>
      <c r="AA8" s="131" t="e">
        <f t="shared" ref="AA8" si="50">S8+Z8</f>
        <v>#N/A</v>
      </c>
      <c r="AB8" s="81">
        <f t="shared" si="10"/>
        <v>0.3</v>
      </c>
      <c r="AC8" s="81">
        <f t="shared" si="11"/>
        <v>0.01</v>
      </c>
      <c r="AD8" s="119" t="e">
        <f t="shared" ref="AD8" si="51">S8*AB8</f>
        <v>#N/A</v>
      </c>
      <c r="AE8" s="119">
        <f t="shared" ref="AE8" si="52">Z8*AC8</f>
        <v>0</v>
      </c>
      <c r="AF8" s="120" t="e">
        <f t="shared" ref="AF8" si="53">AD8+AE8</f>
        <v>#N/A</v>
      </c>
      <c r="AG8" s="148" t="e">
        <f t="shared" ref="AG8" si="54">AA8+AF8</f>
        <v>#N/A</v>
      </c>
      <c r="AH8" s="148" t="e">
        <f t="shared" si="16"/>
        <v>#N/A</v>
      </c>
      <c r="AI8" s="152" t="e">
        <f t="shared" ref="AI8" si="55">AG8+AH8</f>
        <v>#N/A</v>
      </c>
      <c r="AJ8" s="152" t="e">
        <f t="shared" si="18"/>
        <v>#N/A</v>
      </c>
      <c r="AK8" s="135" t="e">
        <f t="shared" ref="AK8" si="56">AI8+AJ8</f>
        <v>#N/A</v>
      </c>
      <c r="AM8" s="98"/>
      <c r="AN8" s="100" t="b">
        <f t="shared" ref="AN8" si="57">IF(AM8="Powering",O8)</f>
        <v>0</v>
      </c>
      <c r="AO8" s="99">
        <f t="shared" si="21"/>
        <v>0.01</v>
      </c>
      <c r="AP8" s="100">
        <f t="shared" ref="AP8" si="58">AN8*AO8</f>
        <v>0</v>
      </c>
      <c r="AQ8" s="101">
        <f t="shared" ref="AQ8" si="59">AN8-AP8</f>
        <v>0</v>
      </c>
    </row>
    <row r="9" spans="1:43" x14ac:dyDescent="0.25">
      <c r="A9" t="s">
        <v>1004</v>
      </c>
      <c r="C9" s="57"/>
      <c r="D9" s="57" t="s">
        <v>819</v>
      </c>
      <c r="E9" s="58" t="e">
        <f>VLOOKUP(D9,'Cenník Mitsubishi'!$B$2:$D$116,3,FALSE)</f>
        <v>#N/A</v>
      </c>
      <c r="F9" s="58">
        <v>1</v>
      </c>
      <c r="G9" s="59" t="e">
        <f t="shared" si="0"/>
        <v>#N/A</v>
      </c>
      <c r="H9" s="59" t="e">
        <f t="shared" si="1"/>
        <v>#N/A</v>
      </c>
      <c r="I9" s="59" t="e">
        <f t="shared" si="2"/>
        <v>#N/A</v>
      </c>
      <c r="K9" s="72" t="e">
        <f>VLOOKUP(D9,'Cenník Mitsubishi'!$B$2:$F$116,5,FALSE)</f>
        <v>#N/A</v>
      </c>
      <c r="L9" s="71" t="e">
        <f>VLOOKUP(D9,'Cenník Mitsubishi'!$B$2:$F$116,2,FALSE)</f>
        <v>#N/A</v>
      </c>
      <c r="M9" s="117" t="e">
        <f>VLOOKUP(D9,'Cenník Mitsubishi'!$B$2:$F$120,4,FALSE)</f>
        <v>#N/A</v>
      </c>
      <c r="N9" s="71" t="e">
        <f t="shared" si="3"/>
        <v>#N/A</v>
      </c>
      <c r="O9" s="73" t="e">
        <f t="shared" si="4"/>
        <v>#N/A</v>
      </c>
      <c r="P9" s="74" t="s">
        <v>634</v>
      </c>
      <c r="Q9" s="75"/>
      <c r="R9" s="86" cm="1">
        <f t="array" ref="R9">_xlfn.IFS(P9=$P$28,$Q$28,P9=$P$26,Q9*$Q$26,P9=$P$27,Q9*$Q$27,P9=$P$25,Q9*$Q$25,P9=$P$29,$Q$29)</f>
        <v>0</v>
      </c>
      <c r="S9" s="108" t="e">
        <f t="shared" si="5"/>
        <v>#N/A</v>
      </c>
      <c r="T9" s="76">
        <v>1</v>
      </c>
      <c r="U9" s="76"/>
      <c r="V9" s="77">
        <v>0</v>
      </c>
      <c r="W9" s="78"/>
      <c r="X9" s="79">
        <f t="shared" si="6"/>
        <v>0</v>
      </c>
      <c r="Y9" s="79">
        <f t="shared" si="7"/>
        <v>0</v>
      </c>
      <c r="Z9" s="80">
        <f t="shared" si="8"/>
        <v>0</v>
      </c>
      <c r="AA9" s="131" t="e">
        <f t="shared" si="9"/>
        <v>#N/A</v>
      </c>
      <c r="AB9" s="81">
        <f t="shared" si="10"/>
        <v>0.3</v>
      </c>
      <c r="AC9" s="81">
        <f t="shared" si="11"/>
        <v>0.01</v>
      </c>
      <c r="AD9" s="119" t="e">
        <f t="shared" si="12"/>
        <v>#N/A</v>
      </c>
      <c r="AE9" s="119">
        <f t="shared" si="13"/>
        <v>0</v>
      </c>
      <c r="AF9" s="120" t="e">
        <f t="shared" si="14"/>
        <v>#N/A</v>
      </c>
      <c r="AG9" s="148" t="e">
        <f t="shared" si="15"/>
        <v>#N/A</v>
      </c>
      <c r="AH9" s="148" t="e">
        <f t="shared" si="16"/>
        <v>#N/A</v>
      </c>
      <c r="AI9" s="152" t="e">
        <f t="shared" si="17"/>
        <v>#N/A</v>
      </c>
      <c r="AJ9" s="152" t="e">
        <f t="shared" si="18"/>
        <v>#N/A</v>
      </c>
      <c r="AK9" s="135" t="e">
        <f t="shared" si="19"/>
        <v>#N/A</v>
      </c>
      <c r="AM9" s="98"/>
      <c r="AN9" s="100" t="b">
        <f t="shared" si="20"/>
        <v>0</v>
      </c>
      <c r="AO9" s="99">
        <f t="shared" si="21"/>
        <v>0.01</v>
      </c>
      <c r="AP9" s="100">
        <f t="shared" si="22"/>
        <v>0</v>
      </c>
      <c r="AQ9" s="101">
        <f t="shared" si="23"/>
        <v>0</v>
      </c>
    </row>
    <row r="10" spans="1:43" ht="16.5" customHeight="1" x14ac:dyDescent="0.25">
      <c r="C10" s="57"/>
      <c r="D10" s="57" t="s">
        <v>820</v>
      </c>
      <c r="E10" s="58" t="e">
        <f>VLOOKUP(D10,#REF!,3,FALSE)</f>
        <v>#REF!</v>
      </c>
      <c r="F10" s="58">
        <v>1000</v>
      </c>
      <c r="G10" s="59" t="e">
        <f t="shared" si="0"/>
        <v>#REF!</v>
      </c>
      <c r="H10" s="59" t="e">
        <f t="shared" si="1"/>
        <v>#REF!</v>
      </c>
      <c r="I10" s="59" t="e">
        <f t="shared" si="2"/>
        <v>#REF!</v>
      </c>
      <c r="K10" s="72" t="e">
        <f>VLOOKUP(D10,#REF!,5,FALSE)</f>
        <v>#REF!</v>
      </c>
      <c r="L10" s="71" t="e">
        <f>VLOOKUP(D10,#REF!,2,FALSE)</f>
        <v>#REF!</v>
      </c>
      <c r="M10" s="117" t="e">
        <f>VLOOKUP(D10,#REF!,4,FALSE)</f>
        <v>#REF!</v>
      </c>
      <c r="N10" s="71" t="e">
        <f t="shared" si="3"/>
        <v>#REF!</v>
      </c>
      <c r="O10" s="73" t="e">
        <f t="shared" si="4"/>
        <v>#REF!</v>
      </c>
      <c r="P10" s="74" t="s">
        <v>634</v>
      </c>
      <c r="Q10" s="75"/>
      <c r="R10" s="86" cm="1">
        <f t="array" ref="R10">_xlfn.IFS(P10=$P$28,$Q$28,P10=$P$26,Q10*$Q$26,P10=$P$27,Q10*$Q$27,P10=$P$25,Q10*$Q$25,P10=$P$29,$Q$29)</f>
        <v>0</v>
      </c>
      <c r="S10" s="108" t="e">
        <f t="shared" si="5"/>
        <v>#REF!</v>
      </c>
      <c r="T10" s="76">
        <v>1</v>
      </c>
      <c r="U10" s="76"/>
      <c r="V10" s="77">
        <v>0</v>
      </c>
      <c r="W10" s="78"/>
      <c r="X10" s="79">
        <f t="shared" si="6"/>
        <v>0</v>
      </c>
      <c r="Y10" s="79">
        <f t="shared" si="7"/>
        <v>0</v>
      </c>
      <c r="Z10" s="80">
        <f t="shared" si="8"/>
        <v>0</v>
      </c>
      <c r="AA10" s="131" t="e">
        <f t="shared" si="9"/>
        <v>#REF!</v>
      </c>
      <c r="AB10" s="81">
        <f t="shared" si="10"/>
        <v>0.3</v>
      </c>
      <c r="AC10" s="81">
        <f t="shared" si="11"/>
        <v>0.01</v>
      </c>
      <c r="AD10" s="119" t="e">
        <f t="shared" si="12"/>
        <v>#REF!</v>
      </c>
      <c r="AE10" s="119">
        <f t="shared" si="13"/>
        <v>0</v>
      </c>
      <c r="AF10" s="120" t="e">
        <f t="shared" si="14"/>
        <v>#REF!</v>
      </c>
      <c r="AG10" s="148" t="e">
        <f t="shared" si="15"/>
        <v>#REF!</v>
      </c>
      <c r="AH10" s="148" t="e">
        <f t="shared" si="16"/>
        <v>#N/A</v>
      </c>
      <c r="AI10" s="152" t="e">
        <f t="shared" si="17"/>
        <v>#REF!</v>
      </c>
      <c r="AJ10" s="152" t="e">
        <f t="shared" si="18"/>
        <v>#N/A</v>
      </c>
      <c r="AK10" s="135" t="e">
        <f t="shared" si="19"/>
        <v>#REF!</v>
      </c>
      <c r="AM10" s="98"/>
      <c r="AN10" s="100" t="b">
        <f t="shared" si="20"/>
        <v>0</v>
      </c>
      <c r="AO10" s="99">
        <f t="shared" si="21"/>
        <v>0.01</v>
      </c>
      <c r="AP10" s="100">
        <f t="shared" si="22"/>
        <v>0</v>
      </c>
      <c r="AQ10" s="101">
        <f t="shared" si="23"/>
        <v>0</v>
      </c>
    </row>
    <row r="11" spans="1:43" ht="11.25" customHeight="1" x14ac:dyDescent="0.25">
      <c r="C11" s="57"/>
      <c r="D11" s="57" t="s">
        <v>821</v>
      </c>
      <c r="E11" s="58" t="e">
        <f>VLOOKUP(D11,#REF!,3,FALSE)</f>
        <v>#REF!</v>
      </c>
      <c r="F11" s="58">
        <v>1000</v>
      </c>
      <c r="G11" s="59" t="e">
        <f t="shared" si="0"/>
        <v>#REF!</v>
      </c>
      <c r="H11" s="59" t="e">
        <f t="shared" si="1"/>
        <v>#REF!</v>
      </c>
      <c r="I11" s="59" t="e">
        <f t="shared" si="2"/>
        <v>#REF!</v>
      </c>
      <c r="K11" s="72" t="e">
        <f>VLOOKUP(D11,#REF!,5,FALSE)</f>
        <v>#REF!</v>
      </c>
      <c r="L11" s="71" t="e">
        <f>VLOOKUP(D11,#REF!,2,FALSE)</f>
        <v>#REF!</v>
      </c>
      <c r="M11" s="117" t="e">
        <f>VLOOKUP(D11,#REF!,4,FALSE)</f>
        <v>#REF!</v>
      </c>
      <c r="N11" s="71" t="e">
        <f t="shared" si="3"/>
        <v>#REF!</v>
      </c>
      <c r="O11" s="73" t="e">
        <f t="shared" si="4"/>
        <v>#REF!</v>
      </c>
      <c r="P11" s="74" t="s">
        <v>634</v>
      </c>
      <c r="Q11" s="75"/>
      <c r="R11" s="86" cm="1">
        <f t="array" ref="R11">_xlfn.IFS(P11=$P$28,$Q$28,P11=$P$26,Q11*$Q$26,P11=$P$27,Q11*$Q$27,P11=$P$25,Q11*$Q$25,P11=$P$29,$Q$29)</f>
        <v>0</v>
      </c>
      <c r="S11" s="108" t="e">
        <f t="shared" si="5"/>
        <v>#REF!</v>
      </c>
      <c r="T11" s="76">
        <v>1</v>
      </c>
      <c r="U11" s="76"/>
      <c r="V11" s="77">
        <v>0</v>
      </c>
      <c r="W11" s="78"/>
      <c r="X11" s="79">
        <f t="shared" si="6"/>
        <v>0</v>
      </c>
      <c r="Y11" s="79">
        <f t="shared" si="7"/>
        <v>0</v>
      </c>
      <c r="Z11" s="80">
        <f t="shared" si="8"/>
        <v>0</v>
      </c>
      <c r="AA11" s="131" t="e">
        <f t="shared" si="9"/>
        <v>#REF!</v>
      </c>
      <c r="AB11" s="81">
        <f t="shared" si="10"/>
        <v>0.3</v>
      </c>
      <c r="AC11" s="81">
        <f t="shared" si="11"/>
        <v>0.01</v>
      </c>
      <c r="AD11" s="119" t="e">
        <f t="shared" si="12"/>
        <v>#REF!</v>
      </c>
      <c r="AE11" s="119">
        <f t="shared" si="13"/>
        <v>0</v>
      </c>
      <c r="AF11" s="120" t="e">
        <f t="shared" si="14"/>
        <v>#REF!</v>
      </c>
      <c r="AG11" s="148" t="e">
        <f t="shared" si="15"/>
        <v>#REF!</v>
      </c>
      <c r="AH11" s="148" t="e">
        <f t="shared" si="16"/>
        <v>#N/A</v>
      </c>
      <c r="AI11" s="152" t="e">
        <f t="shared" si="17"/>
        <v>#REF!</v>
      </c>
      <c r="AJ11" s="152" t="e">
        <f t="shared" si="18"/>
        <v>#N/A</v>
      </c>
      <c r="AK11" s="135" t="e">
        <f t="shared" si="19"/>
        <v>#REF!</v>
      </c>
      <c r="AM11" s="98"/>
      <c r="AN11" s="100" t="b">
        <f t="shared" si="20"/>
        <v>0</v>
      </c>
      <c r="AO11" s="99">
        <f t="shared" si="21"/>
        <v>0.01</v>
      </c>
      <c r="AP11" s="100">
        <f t="shared" si="22"/>
        <v>0</v>
      </c>
      <c r="AQ11" s="101">
        <f t="shared" si="23"/>
        <v>0</v>
      </c>
    </row>
    <row r="12" spans="1:43" hidden="1" x14ac:dyDescent="0.25">
      <c r="A12" s="1"/>
      <c r="B12" s="1"/>
      <c r="C12" s="2"/>
      <c r="D12" s="2"/>
      <c r="E12" s="3"/>
      <c r="F12" s="3"/>
      <c r="G12" s="3"/>
      <c r="H12" s="3"/>
      <c r="I12" s="3"/>
    </row>
    <row r="13" spans="1:43" ht="40.5" customHeight="1" x14ac:dyDescent="0.25">
      <c r="A13" s="1"/>
      <c r="B13" s="1"/>
      <c r="C13" s="497"/>
      <c r="D13" s="497"/>
      <c r="E13" s="497"/>
      <c r="F13" s="497"/>
      <c r="G13" s="497"/>
      <c r="H13" s="497"/>
      <c r="I13" s="497"/>
    </row>
    <row r="14" spans="1:43" ht="14.45" customHeight="1" x14ac:dyDescent="0.25">
      <c r="A14" s="1"/>
      <c r="B14" s="1"/>
      <c r="C14" s="8"/>
      <c r="D14" s="160"/>
      <c r="E14" s="353"/>
      <c r="F14" s="353"/>
      <c r="G14" s="353"/>
      <c r="H14" s="353"/>
      <c r="I14" s="353"/>
    </row>
    <row r="15" spans="1:43" ht="14.45" customHeight="1" x14ac:dyDescent="0.25">
      <c r="A15" s="1"/>
      <c r="B15" s="1"/>
      <c r="C15" s="2"/>
      <c r="D15" s="161"/>
      <c r="E15" s="366"/>
      <c r="F15" s="366"/>
      <c r="G15" s="366"/>
      <c r="H15" s="366"/>
      <c r="I15" s="366"/>
    </row>
    <row r="16" spans="1:43" ht="21.75" customHeight="1" x14ac:dyDescent="0.25">
      <c r="A16" s="1"/>
      <c r="B16" s="1"/>
      <c r="C16" s="2"/>
      <c r="D16" s="10"/>
      <c r="E16" s="9"/>
      <c r="F16" s="9"/>
      <c r="G16" s="9"/>
      <c r="H16" s="9"/>
      <c r="I16" s="9"/>
    </row>
    <row r="17" spans="1:43" ht="48.75" customHeight="1" x14ac:dyDescent="0.25">
      <c r="A17" s="1"/>
      <c r="B17" s="1"/>
      <c r="C17" s="498" t="s">
        <v>956</v>
      </c>
      <c r="D17" s="498"/>
      <c r="E17" s="501" t="s">
        <v>928</v>
      </c>
      <c r="F17" s="352"/>
      <c r="G17" s="352"/>
      <c r="H17" s="352"/>
      <c r="I17" s="352"/>
    </row>
    <row r="18" spans="1:43" ht="14.45" customHeight="1" x14ac:dyDescent="0.25">
      <c r="A18" s="1"/>
      <c r="B18" s="1"/>
      <c r="C18" s="11"/>
      <c r="D18" s="11"/>
      <c r="E18" s="365" t="s">
        <v>8</v>
      </c>
      <c r="F18" s="365"/>
      <c r="G18" s="365" t="s">
        <v>9</v>
      </c>
      <c r="H18" s="365"/>
      <c r="I18" s="365"/>
      <c r="J18" s="159"/>
      <c r="K18" s="158"/>
    </row>
    <row r="19" spans="1:43" ht="15.75" hidden="1" x14ac:dyDescent="0.25">
      <c r="A19" s="1"/>
      <c r="B19" s="1"/>
      <c r="C19" s="13" t="s">
        <v>10</v>
      </c>
      <c r="D19" s="244"/>
      <c r="E19" s="435">
        <v>421910950582</v>
      </c>
      <c r="F19" s="489"/>
      <c r="G19" s="15"/>
      <c r="H19" s="15"/>
      <c r="I19" s="60" t="s">
        <v>961</v>
      </c>
    </row>
    <row r="20" spans="1:43" ht="15.75" x14ac:dyDescent="0.25">
      <c r="A20" s="1"/>
      <c r="B20" s="1"/>
      <c r="C20" s="13" t="s">
        <v>12</v>
      </c>
      <c r="D20" s="244"/>
      <c r="E20" s="435"/>
      <c r="F20" s="435"/>
      <c r="G20" s="488"/>
      <c r="H20" s="488"/>
      <c r="I20" s="488"/>
      <c r="J20" s="52"/>
      <c r="K20" s="52"/>
    </row>
    <row r="21" spans="1:43" ht="15.75" x14ac:dyDescent="0.25">
      <c r="A21" s="1"/>
      <c r="B21" s="1"/>
      <c r="C21" s="13" t="s">
        <v>13</v>
      </c>
      <c r="D21" s="244"/>
      <c r="E21" s="15"/>
      <c r="F21" s="15"/>
      <c r="G21" s="15"/>
      <c r="H21" s="15"/>
      <c r="I21" s="15"/>
      <c r="Y21" s="97"/>
      <c r="Z21" s="104"/>
      <c r="AA21" s="104"/>
      <c r="AB21" s="104"/>
      <c r="AC21" s="104"/>
      <c r="AD21" s="97"/>
      <c r="AE21" s="97"/>
      <c r="AF21" s="97"/>
      <c r="AG21" s="97"/>
      <c r="AH21" s="97"/>
      <c r="AI21" s="97"/>
      <c r="AJ21" s="97"/>
      <c r="AK21" s="97"/>
    </row>
    <row r="22" spans="1:43" x14ac:dyDescent="0.25">
      <c r="A22" s="1"/>
      <c r="B22" s="1"/>
      <c r="C22" s="13" t="s">
        <v>14</v>
      </c>
      <c r="D22" s="14" t="s">
        <v>676</v>
      </c>
      <c r="E22" s="15"/>
      <c r="F22" s="15"/>
      <c r="G22" s="15"/>
      <c r="H22" s="15"/>
      <c r="I22" s="15"/>
      <c r="Y22" s="97"/>
      <c r="Z22" s="104"/>
      <c r="AA22" s="104"/>
      <c r="AB22" s="104"/>
      <c r="AC22" s="104"/>
      <c r="AD22" s="97"/>
      <c r="AE22" s="97"/>
      <c r="AF22" s="97"/>
      <c r="AG22" s="97"/>
      <c r="AH22" s="97"/>
      <c r="AI22" s="97"/>
      <c r="AJ22" s="97"/>
      <c r="AK22" s="97"/>
    </row>
    <row r="23" spans="1:43" ht="15.75" thickBot="1" x14ac:dyDescent="0.3">
      <c r="A23" s="1"/>
      <c r="B23" s="1"/>
      <c r="C23" s="13" t="s">
        <v>15</v>
      </c>
      <c r="D23" s="14" t="s">
        <v>951</v>
      </c>
      <c r="E23" s="15"/>
      <c r="F23" s="15"/>
      <c r="G23" s="15"/>
      <c r="H23" s="15"/>
      <c r="I23" s="15"/>
      <c r="Y23" s="97"/>
      <c r="Z23" s="62"/>
      <c r="AA23" s="62"/>
      <c r="AB23" s="102"/>
      <c r="AC23" s="62"/>
      <c r="AD23" s="103"/>
      <c r="AE23" s="64"/>
      <c r="AF23" s="64"/>
      <c r="AG23" s="64"/>
      <c r="AH23" s="64"/>
      <c r="AI23" s="64"/>
      <c r="AJ23" s="64"/>
      <c r="AK23" s="64"/>
    </row>
    <row r="24" spans="1:43" ht="14.45" customHeight="1" thickBot="1" x14ac:dyDescent="0.3">
      <c r="A24" s="1"/>
      <c r="B24" s="1"/>
      <c r="C24" s="13" t="s">
        <v>16</v>
      </c>
      <c r="D24" s="14" t="s">
        <v>956</v>
      </c>
      <c r="E24" s="15"/>
      <c r="F24" s="15"/>
      <c r="G24" s="15"/>
      <c r="H24" s="15"/>
      <c r="I24" s="15"/>
      <c r="L24" s="454" t="s">
        <v>580</v>
      </c>
      <c r="M24" s="455"/>
      <c r="P24" s="137" t="s">
        <v>1</v>
      </c>
      <c r="Q24" s="105" t="s">
        <v>618</v>
      </c>
    </row>
    <row r="25" spans="1:43" ht="14.45" customHeight="1" thickBot="1" x14ac:dyDescent="0.3">
      <c r="A25" s="1"/>
      <c r="B25" s="1"/>
      <c r="C25" s="13" t="s">
        <v>17</v>
      </c>
      <c r="D25" s="16" t="s">
        <v>914</v>
      </c>
      <c r="E25" s="15"/>
      <c r="F25" s="15"/>
      <c r="G25" s="15"/>
      <c r="H25" s="15"/>
      <c r="I25" s="15"/>
      <c r="L25" s="70" t="s">
        <v>552</v>
      </c>
      <c r="M25" s="124">
        <v>0.52</v>
      </c>
      <c r="P25" s="112" t="s">
        <v>634</v>
      </c>
      <c r="Q25" s="126">
        <v>0.3</v>
      </c>
      <c r="W25" s="460" t="s">
        <v>610</v>
      </c>
      <c r="X25" s="461"/>
    </row>
    <row r="26" spans="1:43" ht="15.75" thickBot="1" x14ac:dyDescent="0.3">
      <c r="A26" s="1"/>
      <c r="B26" s="1"/>
      <c r="C26" s="13" t="s">
        <v>18</v>
      </c>
      <c r="D26" s="14" t="s">
        <v>878</v>
      </c>
      <c r="E26" s="435">
        <f>VLOOKUP(D26,'databáza KONTAKTY'!$B$1:$F$10,2,FALSE)</f>
        <v>421902383121</v>
      </c>
      <c r="F26" s="435"/>
      <c r="G26" s="435"/>
      <c r="H26" s="435"/>
      <c r="I26" s="435"/>
      <c r="L26" s="109" t="s">
        <v>581</v>
      </c>
      <c r="M26" s="125">
        <v>0.5</v>
      </c>
      <c r="P26" s="113" t="s">
        <v>633</v>
      </c>
      <c r="Q26" s="127">
        <v>0.5</v>
      </c>
      <c r="W26" s="82" t="s">
        <v>573</v>
      </c>
      <c r="X26" s="83" t="s">
        <v>556</v>
      </c>
    </row>
    <row r="27" spans="1:43" ht="15.75" thickBot="1" x14ac:dyDescent="0.3">
      <c r="A27" s="1"/>
      <c r="B27" s="1"/>
      <c r="C27" s="13" t="s">
        <v>20</v>
      </c>
      <c r="D27" s="14" t="s">
        <v>878</v>
      </c>
      <c r="E27" s="435">
        <f>VLOOKUP(D27,'databáza KONTAKTY'!$B$1:$F$10,2,FALSE)</f>
        <v>421902383121</v>
      </c>
      <c r="F27" s="435"/>
      <c r="G27" s="435"/>
      <c r="H27" s="435"/>
      <c r="I27" s="435"/>
      <c r="P27" s="114" t="s">
        <v>635</v>
      </c>
      <c r="Q27" s="128">
        <v>0.7</v>
      </c>
      <c r="W27" s="84" t="s">
        <v>558</v>
      </c>
      <c r="X27" s="149">
        <v>22</v>
      </c>
    </row>
    <row r="28" spans="1:43" ht="15.75" thickBot="1" x14ac:dyDescent="0.3">
      <c r="A28" s="1"/>
      <c r="B28" s="1"/>
      <c r="C28" s="13" t="s">
        <v>21</v>
      </c>
      <c r="D28" s="14" t="s">
        <v>878</v>
      </c>
      <c r="E28" s="435">
        <f>VLOOKUP(D28,'databáza KONTAKTY'!$B$1:$F$10,2,FALSE)</f>
        <v>421902383121</v>
      </c>
      <c r="F28" s="435"/>
      <c r="G28" s="435"/>
      <c r="H28" s="435"/>
      <c r="I28" s="435"/>
      <c r="L28" s="456" t="s">
        <v>623</v>
      </c>
      <c r="M28" s="457"/>
      <c r="P28" s="113" t="s">
        <v>628</v>
      </c>
      <c r="Q28" s="129">
        <v>10</v>
      </c>
      <c r="W28" s="66" t="s">
        <v>559</v>
      </c>
      <c r="X28" s="150">
        <v>35</v>
      </c>
      <c r="AC28" s="122"/>
    </row>
    <row r="29" spans="1:43" ht="15.75" thickBot="1" x14ac:dyDescent="0.3">
      <c r="A29" s="1"/>
      <c r="B29" s="1"/>
      <c r="C29" s="17" t="s">
        <v>22</v>
      </c>
      <c r="D29" s="61">
        <f ca="1">TODAY()</f>
        <v>45714</v>
      </c>
      <c r="E29" s="18"/>
      <c r="F29" s="18"/>
      <c r="G29" s="18"/>
      <c r="H29" s="18"/>
      <c r="I29" s="18"/>
      <c r="L29" s="111" t="s">
        <v>582</v>
      </c>
      <c r="M29" s="123">
        <v>0.3</v>
      </c>
      <c r="P29" s="115" t="s">
        <v>627</v>
      </c>
      <c r="Q29" s="130">
        <v>15</v>
      </c>
      <c r="W29" s="85" t="s">
        <v>560</v>
      </c>
      <c r="X29" s="151">
        <v>25</v>
      </c>
    </row>
    <row r="30" spans="1:43" ht="14.45" customHeight="1" thickTop="1" x14ac:dyDescent="0.25">
      <c r="C30" s="132"/>
      <c r="D30" s="133" t="s">
        <v>542</v>
      </c>
      <c r="E30" s="133"/>
      <c r="F30" s="134"/>
      <c r="G30" s="134"/>
      <c r="H30" s="134"/>
      <c r="I30" s="134"/>
    </row>
    <row r="31" spans="1:43" ht="14.45" customHeight="1" x14ac:dyDescent="0.25">
      <c r="A31" s="53"/>
      <c r="B31" s="54"/>
      <c r="C31" s="54"/>
      <c r="D31" s="54"/>
      <c r="E31" s="55"/>
      <c r="F31" s="55"/>
      <c r="G31" s="55"/>
      <c r="H31" s="55"/>
      <c r="I31" s="55"/>
      <c r="J31" s="56"/>
      <c r="K31" s="466" t="s">
        <v>561</v>
      </c>
      <c r="L31" s="466"/>
      <c r="M31" s="466"/>
      <c r="N31" s="466"/>
      <c r="O31" s="466"/>
      <c r="P31" s="466"/>
      <c r="Q31" s="466"/>
      <c r="R31" s="466"/>
      <c r="S31" s="466"/>
      <c r="T31" s="466"/>
      <c r="U31" s="466"/>
      <c r="V31" s="466"/>
      <c r="W31" s="466"/>
      <c r="X31" s="466"/>
      <c r="Y31" s="466"/>
      <c r="Z31" s="466"/>
      <c r="AA31" s="466"/>
      <c r="AB31" s="470" t="s">
        <v>0</v>
      </c>
      <c r="AC31" s="471"/>
      <c r="AD31" s="471"/>
      <c r="AE31" s="471"/>
      <c r="AF31" s="472"/>
      <c r="AG31" s="449" t="s">
        <v>629</v>
      </c>
      <c r="AH31" s="449"/>
      <c r="AI31" s="449"/>
      <c r="AJ31" s="449"/>
      <c r="AK31" s="449"/>
      <c r="AM31" s="436" t="s">
        <v>632</v>
      </c>
      <c r="AN31" s="436"/>
      <c r="AO31" s="436"/>
      <c r="AP31" s="436"/>
      <c r="AQ31" s="436"/>
    </row>
    <row r="32" spans="1:43" s="244" customFormat="1" ht="14.45" customHeight="1" x14ac:dyDescent="0.25">
      <c r="C32" s="441" t="s">
        <v>543</v>
      </c>
      <c r="D32" s="441" t="s">
        <v>544</v>
      </c>
      <c r="E32" s="444" t="s">
        <v>545</v>
      </c>
      <c r="F32" s="441" t="s">
        <v>546</v>
      </c>
      <c r="G32" s="502" t="s">
        <v>548</v>
      </c>
      <c r="H32" s="441" t="s">
        <v>547</v>
      </c>
      <c r="I32" s="441" t="s">
        <v>547</v>
      </c>
      <c r="K32" s="467" t="s">
        <v>564</v>
      </c>
      <c r="L32" s="467"/>
      <c r="M32" s="467"/>
      <c r="N32" s="467"/>
      <c r="O32" s="467"/>
      <c r="P32" s="467"/>
      <c r="Q32" s="467"/>
      <c r="R32" s="467"/>
      <c r="S32" s="467"/>
      <c r="T32" s="464" t="s">
        <v>557</v>
      </c>
      <c r="U32" s="464"/>
      <c r="V32" s="464"/>
      <c r="W32" s="464"/>
      <c r="X32" s="464"/>
      <c r="Y32" s="464"/>
      <c r="Z32" s="464"/>
      <c r="AA32" s="473" t="s">
        <v>638</v>
      </c>
      <c r="AB32" s="458" t="s">
        <v>562</v>
      </c>
      <c r="AC32" s="458"/>
      <c r="AD32" s="481" t="s">
        <v>0</v>
      </c>
      <c r="AE32" s="482"/>
      <c r="AF32" s="483"/>
      <c r="AG32" s="490" t="s">
        <v>720</v>
      </c>
      <c r="AH32" s="491"/>
      <c r="AI32" s="491"/>
      <c r="AJ32" s="492"/>
      <c r="AK32" s="450" t="s">
        <v>639</v>
      </c>
      <c r="AM32" s="436"/>
      <c r="AN32" s="436"/>
      <c r="AO32" s="436"/>
      <c r="AP32" s="436"/>
      <c r="AQ32" s="436"/>
    </row>
    <row r="33" spans="1:43" s="244" customFormat="1" ht="14.45" customHeight="1" x14ac:dyDescent="0.25">
      <c r="C33" s="442"/>
      <c r="D33" s="442"/>
      <c r="E33" s="445"/>
      <c r="F33" s="442"/>
      <c r="G33" s="503"/>
      <c r="H33" s="442"/>
      <c r="I33" s="442"/>
      <c r="K33" s="468" t="s">
        <v>574</v>
      </c>
      <c r="L33" s="468"/>
      <c r="M33" s="468"/>
      <c r="N33" s="468"/>
      <c r="O33" s="468"/>
      <c r="P33" s="463" t="s">
        <v>1</v>
      </c>
      <c r="Q33" s="463"/>
      <c r="R33" s="463"/>
      <c r="S33" s="465" t="s">
        <v>568</v>
      </c>
      <c r="T33" s="448" t="s">
        <v>719</v>
      </c>
      <c r="U33" s="448" t="s">
        <v>589</v>
      </c>
      <c r="V33" s="448" t="s">
        <v>590</v>
      </c>
      <c r="W33" s="448" t="s">
        <v>591</v>
      </c>
      <c r="X33" s="448" t="s">
        <v>555</v>
      </c>
      <c r="Y33" s="448" t="s">
        <v>592</v>
      </c>
      <c r="Z33" s="448" t="s">
        <v>588</v>
      </c>
      <c r="AA33" s="473"/>
      <c r="AB33" s="250" t="s">
        <v>553</v>
      </c>
      <c r="AC33" s="250" t="s">
        <v>554</v>
      </c>
      <c r="AD33" s="469" t="s">
        <v>553</v>
      </c>
      <c r="AE33" s="469" t="s">
        <v>554</v>
      </c>
      <c r="AF33" s="451" t="s">
        <v>593</v>
      </c>
      <c r="AG33" s="474" t="s">
        <v>721</v>
      </c>
      <c r="AH33" s="475"/>
      <c r="AI33" s="478" t="s">
        <v>722</v>
      </c>
      <c r="AJ33" s="478"/>
      <c r="AK33" s="450"/>
      <c r="AM33" s="437" t="s">
        <v>613</v>
      </c>
      <c r="AN33" s="438" t="s">
        <v>636</v>
      </c>
      <c r="AO33" s="251" t="s">
        <v>612</v>
      </c>
      <c r="AP33" s="438" t="s">
        <v>614</v>
      </c>
      <c r="AQ33" s="440" t="s">
        <v>637</v>
      </c>
    </row>
    <row r="34" spans="1:43" s="244" customFormat="1" ht="14.45" customHeight="1" x14ac:dyDescent="0.25">
      <c r="C34" s="442"/>
      <c r="D34" s="442"/>
      <c r="E34" s="445"/>
      <c r="F34" s="442"/>
      <c r="G34" s="503"/>
      <c r="H34" s="442"/>
      <c r="I34" s="442"/>
      <c r="K34" s="447" t="s">
        <v>613</v>
      </c>
      <c r="L34" s="447" t="s">
        <v>548</v>
      </c>
      <c r="M34" s="447" t="s">
        <v>575</v>
      </c>
      <c r="N34" s="447" t="s">
        <v>576</v>
      </c>
      <c r="O34" s="447" t="s">
        <v>563</v>
      </c>
      <c r="P34" s="462" t="s">
        <v>579</v>
      </c>
      <c r="Q34" s="462" t="s">
        <v>578</v>
      </c>
      <c r="R34" s="462" t="s">
        <v>577</v>
      </c>
      <c r="S34" s="465"/>
      <c r="T34" s="448"/>
      <c r="U34" s="448"/>
      <c r="V34" s="448"/>
      <c r="W34" s="448"/>
      <c r="X34" s="448"/>
      <c r="Y34" s="448"/>
      <c r="Z34" s="448"/>
      <c r="AA34" s="473"/>
      <c r="AB34" s="459">
        <v>0.3</v>
      </c>
      <c r="AC34" s="459">
        <v>0.01</v>
      </c>
      <c r="AD34" s="469"/>
      <c r="AE34" s="469"/>
      <c r="AF34" s="452"/>
      <c r="AG34" s="495" t="s">
        <v>630</v>
      </c>
      <c r="AH34" s="493">
        <v>0</v>
      </c>
      <c r="AI34" s="479" t="s">
        <v>723</v>
      </c>
      <c r="AJ34" s="476">
        <v>0</v>
      </c>
      <c r="AK34" s="450"/>
      <c r="AM34" s="437"/>
      <c r="AN34" s="438"/>
      <c r="AO34" s="439">
        <v>0.01</v>
      </c>
      <c r="AP34" s="438"/>
      <c r="AQ34" s="440"/>
    </row>
    <row r="35" spans="1:43" s="244" customFormat="1" ht="15.75" x14ac:dyDescent="0.25">
      <c r="A35" s="252"/>
      <c r="B35" s="253"/>
      <c r="C35" s="443"/>
      <c r="D35" s="443"/>
      <c r="E35" s="446"/>
      <c r="F35" s="443"/>
      <c r="G35" s="504"/>
      <c r="H35" s="443"/>
      <c r="I35" s="442"/>
      <c r="J35" s="254"/>
      <c r="K35" s="447"/>
      <c r="L35" s="447"/>
      <c r="M35" s="447"/>
      <c r="N35" s="447"/>
      <c r="O35" s="447"/>
      <c r="P35" s="462"/>
      <c r="Q35" s="462"/>
      <c r="R35" s="462"/>
      <c r="S35" s="465"/>
      <c r="T35" s="448"/>
      <c r="U35" s="448"/>
      <c r="V35" s="448"/>
      <c r="W35" s="448"/>
      <c r="X35" s="448"/>
      <c r="Y35" s="448"/>
      <c r="Z35" s="448"/>
      <c r="AA35" s="473"/>
      <c r="AB35" s="459"/>
      <c r="AC35" s="459"/>
      <c r="AD35" s="469"/>
      <c r="AE35" s="469"/>
      <c r="AF35" s="453"/>
      <c r="AG35" s="496"/>
      <c r="AH35" s="494"/>
      <c r="AI35" s="480"/>
      <c r="AJ35" s="477"/>
      <c r="AK35" s="450"/>
      <c r="AM35" s="437"/>
      <c r="AN35" s="438"/>
      <c r="AO35" s="439"/>
      <c r="AP35" s="438"/>
      <c r="AQ35" s="440"/>
    </row>
    <row r="36" spans="1:43" ht="15" hidden="1" customHeight="1" x14ac:dyDescent="0.25">
      <c r="C36" s="57"/>
      <c r="D36" s="57"/>
      <c r="E36" s="58" t="s">
        <v>6</v>
      </c>
      <c r="F36" s="58">
        <v>1</v>
      </c>
      <c r="G36" s="59" t="e">
        <f t="shared" ref="G36:G71" si="60">H36/F36</f>
        <v>#N/A</v>
      </c>
      <c r="H36" s="59" t="e">
        <f t="shared" ref="H36:H71" si="61">AK36</f>
        <v>#N/A</v>
      </c>
      <c r="I36" s="273">
        <v>0</v>
      </c>
      <c r="K36" s="72"/>
      <c r="L36" s="71"/>
      <c r="M36" s="72"/>
      <c r="N36" s="71">
        <f t="shared" ref="N36:N71" si="62">L36*(1-M36)</f>
        <v>0</v>
      </c>
      <c r="O36" s="73">
        <f t="shared" ref="O36:O71" si="63">N36*F36</f>
        <v>0</v>
      </c>
      <c r="P36" s="74" t="s">
        <v>634</v>
      </c>
      <c r="Q36" s="75"/>
      <c r="R36" s="86" cm="1">
        <f t="array" ref="R36">_xlfn.IFS(P36=$P$28,$Q$28,P36=$P$26,Q36*$Q$26,P36=$P$27,Q36*$Q$27,P36=$P$25,Q36*$Q$25,P36=$P$29,$Q$29)</f>
        <v>0</v>
      </c>
      <c r="S36" s="108">
        <f t="shared" ref="S36:S71" si="64">O36+R36</f>
        <v>0</v>
      </c>
      <c r="T36" s="76">
        <v>1</v>
      </c>
      <c r="U36" s="76"/>
      <c r="V36" s="77">
        <v>0</v>
      </c>
      <c r="W36" s="78"/>
      <c r="X36" s="79">
        <f t="shared" ref="X36:X71" si="65">IF(W36=$W$27,$X$27,0)+IF(W36=$W$28,$X$28,0)+IF(W36=$W$29,$X$29,0)</f>
        <v>0</v>
      </c>
      <c r="Y36" s="79">
        <f t="shared" ref="Y36:Y71" si="66">X36*U36*V36*T36</f>
        <v>0</v>
      </c>
      <c r="Z36" s="80">
        <f t="shared" ref="Z36:Z71" si="67">Y36*F36</f>
        <v>0</v>
      </c>
      <c r="AA36" s="131">
        <f t="shared" ref="AA36:AA71" si="68">S36+Z36</f>
        <v>0</v>
      </c>
      <c r="AB36" s="81">
        <v>0.43</v>
      </c>
      <c r="AC36" s="81">
        <f t="shared" ref="AC36:AC77" si="69">$AC$34</f>
        <v>0.01</v>
      </c>
      <c r="AD36" s="119">
        <f t="shared" ref="AD36:AD71" si="70">S36*AB36</f>
        <v>0</v>
      </c>
      <c r="AE36" s="119">
        <f t="shared" ref="AE36:AE71" si="71">Z36*AC36</f>
        <v>0</v>
      </c>
      <c r="AF36" s="120">
        <f t="shared" ref="AF36:AF71" si="72">AD36+AE36</f>
        <v>0</v>
      </c>
      <c r="AG36" s="148">
        <f t="shared" ref="AG36:AG71" si="73">AA36+AF36</f>
        <v>0</v>
      </c>
      <c r="AH36" s="148" t="e">
        <f t="shared" ref="AH36:AH71" si="74">$AH$34/$Z$86*AA36</f>
        <v>#N/A</v>
      </c>
      <c r="AI36" s="152" t="e">
        <f t="shared" ref="AI36:AI71" si="75">AG36+AH36</f>
        <v>#N/A</v>
      </c>
      <c r="AJ36" s="152" t="e">
        <f t="shared" ref="AJ36:AJ71" si="76">$AJ$34/$AF$86*AF36</f>
        <v>#N/A</v>
      </c>
      <c r="AK36" s="135" t="e">
        <f t="shared" ref="AK36:AK71" si="77">AI36+AJ36</f>
        <v>#N/A</v>
      </c>
      <c r="AM36" s="98"/>
      <c r="AN36" s="100" t="b">
        <f t="shared" ref="AN36:AN71" si="78">IF(AM36="Powering",O36)</f>
        <v>0</v>
      </c>
      <c r="AO36" s="99">
        <f t="shared" ref="AO36:AO77" si="79">$AO$34</f>
        <v>0.01</v>
      </c>
      <c r="AP36" s="100">
        <f t="shared" ref="AP36:AP71" si="80">AN36*AO36</f>
        <v>0</v>
      </c>
      <c r="AQ36" s="101">
        <f t="shared" ref="AQ36:AQ71" si="81">AN36-AP36</f>
        <v>0</v>
      </c>
    </row>
    <row r="37" spans="1:43" ht="15" hidden="1" customHeight="1" x14ac:dyDescent="0.25">
      <c r="C37" s="57"/>
      <c r="D37" s="57"/>
      <c r="E37" s="58" t="s">
        <v>6</v>
      </c>
      <c r="F37" s="58">
        <v>1</v>
      </c>
      <c r="G37" s="59" t="e">
        <f t="shared" si="60"/>
        <v>#N/A</v>
      </c>
      <c r="H37" s="59" t="e">
        <f t="shared" si="61"/>
        <v>#N/A</v>
      </c>
      <c r="I37" s="273">
        <v>0</v>
      </c>
      <c r="K37" s="72"/>
      <c r="L37" s="71"/>
      <c r="M37" s="72"/>
      <c r="N37" s="71">
        <f t="shared" si="62"/>
        <v>0</v>
      </c>
      <c r="O37" s="73">
        <f t="shared" si="63"/>
        <v>0</v>
      </c>
      <c r="P37" s="74" t="s">
        <v>634</v>
      </c>
      <c r="Q37" s="75"/>
      <c r="R37" s="86" cm="1">
        <f t="array" ref="R37">_xlfn.IFS(P37=$P$28,$Q$28,P37=$P$26,Q37*$Q$26,P37=$P$27,Q37*$Q$27,P37=$P$25,Q37*$Q$25,P37=$P$29,$Q$29)</f>
        <v>0</v>
      </c>
      <c r="S37" s="108">
        <f t="shared" si="64"/>
        <v>0</v>
      </c>
      <c r="T37" s="76">
        <v>1</v>
      </c>
      <c r="U37" s="76"/>
      <c r="V37" s="77">
        <v>0</v>
      </c>
      <c r="W37" s="78"/>
      <c r="X37" s="79">
        <f t="shared" si="65"/>
        <v>0</v>
      </c>
      <c r="Y37" s="79">
        <f t="shared" si="66"/>
        <v>0</v>
      </c>
      <c r="Z37" s="80">
        <f t="shared" si="67"/>
        <v>0</v>
      </c>
      <c r="AA37" s="131">
        <f t="shared" si="68"/>
        <v>0</v>
      </c>
      <c r="AB37" s="81">
        <v>0.43</v>
      </c>
      <c r="AC37" s="81">
        <f t="shared" si="69"/>
        <v>0.01</v>
      </c>
      <c r="AD37" s="119">
        <f t="shared" si="70"/>
        <v>0</v>
      </c>
      <c r="AE37" s="119">
        <f t="shared" si="71"/>
        <v>0</v>
      </c>
      <c r="AF37" s="120">
        <f t="shared" si="72"/>
        <v>0</v>
      </c>
      <c r="AG37" s="148">
        <f t="shared" si="73"/>
        <v>0</v>
      </c>
      <c r="AH37" s="148" t="e">
        <f t="shared" si="74"/>
        <v>#N/A</v>
      </c>
      <c r="AI37" s="152" t="e">
        <f t="shared" si="75"/>
        <v>#N/A</v>
      </c>
      <c r="AJ37" s="152" t="e">
        <f t="shared" si="76"/>
        <v>#N/A</v>
      </c>
      <c r="AK37" s="135" t="e">
        <f t="shared" si="77"/>
        <v>#N/A</v>
      </c>
      <c r="AM37" s="98"/>
      <c r="AN37" s="100" t="b">
        <f t="shared" si="78"/>
        <v>0</v>
      </c>
      <c r="AO37" s="99">
        <f t="shared" si="79"/>
        <v>0.01</v>
      </c>
      <c r="AP37" s="100">
        <f t="shared" si="80"/>
        <v>0</v>
      </c>
      <c r="AQ37" s="101">
        <f t="shared" si="81"/>
        <v>0</v>
      </c>
    </row>
    <row r="38" spans="1:43" ht="15" hidden="1" customHeight="1" x14ac:dyDescent="0.25">
      <c r="C38" s="57"/>
      <c r="D38" s="57"/>
      <c r="E38" s="58" t="s">
        <v>6</v>
      </c>
      <c r="F38" s="58">
        <v>1</v>
      </c>
      <c r="G38" s="59" t="e">
        <f t="shared" si="60"/>
        <v>#N/A</v>
      </c>
      <c r="H38" s="59" t="e">
        <f t="shared" si="61"/>
        <v>#N/A</v>
      </c>
      <c r="I38" s="273">
        <v>0</v>
      </c>
      <c r="K38" s="72"/>
      <c r="L38" s="71"/>
      <c r="M38" s="72"/>
      <c r="N38" s="71">
        <f t="shared" si="62"/>
        <v>0</v>
      </c>
      <c r="O38" s="73">
        <f t="shared" si="63"/>
        <v>0</v>
      </c>
      <c r="P38" s="74" t="s">
        <v>634</v>
      </c>
      <c r="Q38" s="75"/>
      <c r="R38" s="86" cm="1">
        <f t="array" ref="R38">_xlfn.IFS(P38=$P$28,$Q$28,P38=$P$26,Q38*$Q$26,P38=$P$27,Q38*$Q$27,P38=$P$25,Q38*$Q$25,P38=$P$29,$Q$29)</f>
        <v>0</v>
      </c>
      <c r="S38" s="108">
        <f t="shared" si="64"/>
        <v>0</v>
      </c>
      <c r="T38" s="76">
        <v>1</v>
      </c>
      <c r="U38" s="76"/>
      <c r="V38" s="77">
        <v>0</v>
      </c>
      <c r="W38" s="78"/>
      <c r="X38" s="79">
        <f t="shared" si="65"/>
        <v>0</v>
      </c>
      <c r="Y38" s="79">
        <f t="shared" si="66"/>
        <v>0</v>
      </c>
      <c r="Z38" s="80">
        <f t="shared" si="67"/>
        <v>0</v>
      </c>
      <c r="AA38" s="131">
        <f t="shared" si="68"/>
        <v>0</v>
      </c>
      <c r="AB38" s="81">
        <v>0.43</v>
      </c>
      <c r="AC38" s="81">
        <f t="shared" si="69"/>
        <v>0.01</v>
      </c>
      <c r="AD38" s="119">
        <f t="shared" si="70"/>
        <v>0</v>
      </c>
      <c r="AE38" s="119">
        <f t="shared" si="71"/>
        <v>0</v>
      </c>
      <c r="AF38" s="120">
        <f t="shared" si="72"/>
        <v>0</v>
      </c>
      <c r="AG38" s="148">
        <f t="shared" si="73"/>
        <v>0</v>
      </c>
      <c r="AH38" s="148" t="e">
        <f t="shared" si="74"/>
        <v>#N/A</v>
      </c>
      <c r="AI38" s="152" t="e">
        <f t="shared" si="75"/>
        <v>#N/A</v>
      </c>
      <c r="AJ38" s="152" t="e">
        <f t="shared" si="76"/>
        <v>#N/A</v>
      </c>
      <c r="AK38" s="135" t="e">
        <f t="shared" si="77"/>
        <v>#N/A</v>
      </c>
      <c r="AM38" s="98"/>
      <c r="AN38" s="100" t="b">
        <f t="shared" si="78"/>
        <v>0</v>
      </c>
      <c r="AO38" s="99">
        <f t="shared" si="79"/>
        <v>0.01</v>
      </c>
      <c r="AP38" s="100">
        <f t="shared" si="80"/>
        <v>0</v>
      </c>
      <c r="AQ38" s="101">
        <f t="shared" si="81"/>
        <v>0</v>
      </c>
    </row>
    <row r="39" spans="1:43" ht="15" hidden="1" customHeight="1" x14ac:dyDescent="0.25">
      <c r="C39" s="57"/>
      <c r="D39" s="57"/>
      <c r="E39" s="58" t="s">
        <v>6</v>
      </c>
      <c r="F39" s="58">
        <v>1</v>
      </c>
      <c r="G39" s="59" t="e">
        <f t="shared" si="60"/>
        <v>#N/A</v>
      </c>
      <c r="H39" s="59" t="e">
        <f t="shared" si="61"/>
        <v>#N/A</v>
      </c>
      <c r="I39" s="273">
        <v>0</v>
      </c>
      <c r="K39" s="72"/>
      <c r="L39" s="71"/>
      <c r="M39" s="72"/>
      <c r="N39" s="71">
        <f t="shared" si="62"/>
        <v>0</v>
      </c>
      <c r="O39" s="73">
        <f t="shared" si="63"/>
        <v>0</v>
      </c>
      <c r="P39" s="74" t="s">
        <v>634</v>
      </c>
      <c r="Q39" s="75"/>
      <c r="R39" s="86" cm="1">
        <f t="array" ref="R39">_xlfn.IFS(P39=$P$28,$Q$28,P39=$P$26,Q39*$Q$26,P39=$P$27,Q39*$Q$27,P39=$P$25,Q39*$Q$25,P39=$P$29,$Q$29)</f>
        <v>0</v>
      </c>
      <c r="S39" s="108">
        <f t="shared" si="64"/>
        <v>0</v>
      </c>
      <c r="T39" s="76">
        <v>1</v>
      </c>
      <c r="U39" s="76"/>
      <c r="V39" s="77">
        <v>0</v>
      </c>
      <c r="W39" s="78"/>
      <c r="X39" s="79">
        <f t="shared" si="65"/>
        <v>0</v>
      </c>
      <c r="Y39" s="79">
        <f t="shared" si="66"/>
        <v>0</v>
      </c>
      <c r="Z39" s="80">
        <f t="shared" si="67"/>
        <v>0</v>
      </c>
      <c r="AA39" s="131">
        <f t="shared" si="68"/>
        <v>0</v>
      </c>
      <c r="AB39" s="81">
        <v>0.43</v>
      </c>
      <c r="AC39" s="81">
        <f t="shared" si="69"/>
        <v>0.01</v>
      </c>
      <c r="AD39" s="119">
        <f t="shared" si="70"/>
        <v>0</v>
      </c>
      <c r="AE39" s="119">
        <f t="shared" si="71"/>
        <v>0</v>
      </c>
      <c r="AF39" s="120">
        <f t="shared" si="72"/>
        <v>0</v>
      </c>
      <c r="AG39" s="148">
        <f t="shared" si="73"/>
        <v>0</v>
      </c>
      <c r="AH39" s="148" t="e">
        <f t="shared" si="74"/>
        <v>#N/A</v>
      </c>
      <c r="AI39" s="152" t="e">
        <f t="shared" si="75"/>
        <v>#N/A</v>
      </c>
      <c r="AJ39" s="152" t="e">
        <f t="shared" si="76"/>
        <v>#N/A</v>
      </c>
      <c r="AK39" s="135" t="e">
        <f t="shared" si="77"/>
        <v>#N/A</v>
      </c>
      <c r="AM39" s="98"/>
      <c r="AN39" s="100" t="b">
        <f t="shared" si="78"/>
        <v>0</v>
      </c>
      <c r="AO39" s="99">
        <f t="shared" si="79"/>
        <v>0.01</v>
      </c>
      <c r="AP39" s="100">
        <f t="shared" si="80"/>
        <v>0</v>
      </c>
      <c r="AQ39" s="101">
        <f t="shared" si="81"/>
        <v>0</v>
      </c>
    </row>
    <row r="40" spans="1:43" ht="15" hidden="1" customHeight="1" x14ac:dyDescent="0.25">
      <c r="C40" s="57"/>
      <c r="D40" s="57"/>
      <c r="E40" s="58" t="s">
        <v>6</v>
      </c>
      <c r="F40" s="58">
        <v>1</v>
      </c>
      <c r="G40" s="59" t="e">
        <f t="shared" si="60"/>
        <v>#N/A</v>
      </c>
      <c r="H40" s="59" t="e">
        <f t="shared" si="61"/>
        <v>#N/A</v>
      </c>
      <c r="I40" s="273">
        <v>0</v>
      </c>
      <c r="K40" s="72"/>
      <c r="L40" s="71"/>
      <c r="M40" s="72"/>
      <c r="N40" s="71">
        <f t="shared" si="62"/>
        <v>0</v>
      </c>
      <c r="O40" s="73">
        <f t="shared" si="63"/>
        <v>0</v>
      </c>
      <c r="P40" s="74" t="s">
        <v>634</v>
      </c>
      <c r="Q40" s="75"/>
      <c r="R40" s="86" cm="1">
        <f t="array" ref="R40">_xlfn.IFS(P40=$P$28,$Q$28,P40=$P$26,Q40*$Q$26,P40=$P$27,Q40*$Q$27,P40=$P$25,Q40*$Q$25,P40=$P$29,$Q$29)</f>
        <v>0</v>
      </c>
      <c r="S40" s="108">
        <f t="shared" si="64"/>
        <v>0</v>
      </c>
      <c r="T40" s="76">
        <v>1</v>
      </c>
      <c r="U40" s="76"/>
      <c r="V40" s="77">
        <v>0</v>
      </c>
      <c r="W40" s="78"/>
      <c r="X40" s="79">
        <f t="shared" si="65"/>
        <v>0</v>
      </c>
      <c r="Y40" s="79">
        <f t="shared" si="66"/>
        <v>0</v>
      </c>
      <c r="Z40" s="80">
        <f t="shared" si="67"/>
        <v>0</v>
      </c>
      <c r="AA40" s="131">
        <f t="shared" si="68"/>
        <v>0</v>
      </c>
      <c r="AB40" s="81">
        <v>0.43</v>
      </c>
      <c r="AC40" s="81">
        <f t="shared" si="69"/>
        <v>0.01</v>
      </c>
      <c r="AD40" s="119">
        <f t="shared" si="70"/>
        <v>0</v>
      </c>
      <c r="AE40" s="119">
        <f t="shared" si="71"/>
        <v>0</v>
      </c>
      <c r="AF40" s="120">
        <f t="shared" si="72"/>
        <v>0</v>
      </c>
      <c r="AG40" s="148">
        <f t="shared" si="73"/>
        <v>0</v>
      </c>
      <c r="AH40" s="148" t="e">
        <f t="shared" si="74"/>
        <v>#N/A</v>
      </c>
      <c r="AI40" s="152" t="e">
        <f t="shared" si="75"/>
        <v>#N/A</v>
      </c>
      <c r="AJ40" s="152" t="e">
        <f t="shared" si="76"/>
        <v>#N/A</v>
      </c>
      <c r="AK40" s="135" t="e">
        <f t="shared" si="77"/>
        <v>#N/A</v>
      </c>
      <c r="AM40" s="98"/>
      <c r="AN40" s="100" t="b">
        <f t="shared" si="78"/>
        <v>0</v>
      </c>
      <c r="AO40" s="99">
        <f t="shared" si="79"/>
        <v>0.01</v>
      </c>
      <c r="AP40" s="100">
        <f t="shared" si="80"/>
        <v>0</v>
      </c>
      <c r="AQ40" s="101">
        <f t="shared" si="81"/>
        <v>0</v>
      </c>
    </row>
    <row r="41" spans="1:43" ht="15" hidden="1" customHeight="1" x14ac:dyDescent="0.25">
      <c r="C41" s="57"/>
      <c r="D41" s="57"/>
      <c r="E41" s="58" t="s">
        <v>6</v>
      </c>
      <c r="F41" s="58">
        <v>1</v>
      </c>
      <c r="G41" s="59" t="e">
        <f t="shared" si="60"/>
        <v>#N/A</v>
      </c>
      <c r="H41" s="59" t="e">
        <f t="shared" si="61"/>
        <v>#N/A</v>
      </c>
      <c r="I41" s="273">
        <v>0</v>
      </c>
      <c r="K41" s="72"/>
      <c r="L41" s="71"/>
      <c r="M41" s="72"/>
      <c r="N41" s="71">
        <f t="shared" si="62"/>
        <v>0</v>
      </c>
      <c r="O41" s="73">
        <f t="shared" si="63"/>
        <v>0</v>
      </c>
      <c r="P41" s="74" t="s">
        <v>634</v>
      </c>
      <c r="Q41" s="75"/>
      <c r="R41" s="86" cm="1">
        <f t="array" ref="R41">_xlfn.IFS(P41=$P$28,$Q$28,P41=$P$26,Q41*$Q$26,P41=$P$27,Q41*$Q$27,P41=$P$25,Q41*$Q$25,P41=$P$29,$Q$29)</f>
        <v>0</v>
      </c>
      <c r="S41" s="108">
        <f t="shared" si="64"/>
        <v>0</v>
      </c>
      <c r="T41" s="76">
        <v>1</v>
      </c>
      <c r="U41" s="76"/>
      <c r="V41" s="77">
        <v>0</v>
      </c>
      <c r="W41" s="78"/>
      <c r="X41" s="79">
        <f t="shared" si="65"/>
        <v>0</v>
      </c>
      <c r="Y41" s="79">
        <f t="shared" si="66"/>
        <v>0</v>
      </c>
      <c r="Z41" s="80">
        <f t="shared" si="67"/>
        <v>0</v>
      </c>
      <c r="AA41" s="131">
        <f t="shared" si="68"/>
        <v>0</v>
      </c>
      <c r="AB41" s="81">
        <v>0.43</v>
      </c>
      <c r="AC41" s="81">
        <f t="shared" si="69"/>
        <v>0.01</v>
      </c>
      <c r="AD41" s="119">
        <f t="shared" si="70"/>
        <v>0</v>
      </c>
      <c r="AE41" s="119">
        <f t="shared" si="71"/>
        <v>0</v>
      </c>
      <c r="AF41" s="120">
        <f t="shared" si="72"/>
        <v>0</v>
      </c>
      <c r="AG41" s="148">
        <f t="shared" si="73"/>
        <v>0</v>
      </c>
      <c r="AH41" s="148" t="e">
        <f t="shared" si="74"/>
        <v>#N/A</v>
      </c>
      <c r="AI41" s="152" t="e">
        <f t="shared" si="75"/>
        <v>#N/A</v>
      </c>
      <c r="AJ41" s="152" t="e">
        <f t="shared" si="76"/>
        <v>#N/A</v>
      </c>
      <c r="AK41" s="135" t="e">
        <f t="shared" si="77"/>
        <v>#N/A</v>
      </c>
      <c r="AM41" s="98"/>
      <c r="AN41" s="100" t="b">
        <f t="shared" si="78"/>
        <v>0</v>
      </c>
      <c r="AO41" s="99">
        <f t="shared" si="79"/>
        <v>0.01</v>
      </c>
      <c r="AP41" s="100">
        <f t="shared" si="80"/>
        <v>0</v>
      </c>
      <c r="AQ41" s="101">
        <f t="shared" si="81"/>
        <v>0</v>
      </c>
    </row>
    <row r="42" spans="1:43" ht="15" hidden="1" customHeight="1" x14ac:dyDescent="0.25">
      <c r="C42" s="57"/>
      <c r="D42" s="57"/>
      <c r="E42" s="58" t="s">
        <v>6</v>
      </c>
      <c r="F42" s="58">
        <v>1</v>
      </c>
      <c r="G42" s="59" t="e">
        <f t="shared" si="60"/>
        <v>#N/A</v>
      </c>
      <c r="H42" s="59" t="e">
        <f t="shared" si="61"/>
        <v>#N/A</v>
      </c>
      <c r="I42" s="273">
        <v>0</v>
      </c>
      <c r="K42" s="72"/>
      <c r="L42" s="71"/>
      <c r="M42" s="72"/>
      <c r="N42" s="71">
        <f t="shared" si="62"/>
        <v>0</v>
      </c>
      <c r="O42" s="73">
        <f t="shared" si="63"/>
        <v>0</v>
      </c>
      <c r="P42" s="74" t="s">
        <v>634</v>
      </c>
      <c r="Q42" s="75"/>
      <c r="R42" s="86" cm="1">
        <f t="array" ref="R42">_xlfn.IFS(P42=$P$28,$Q$28,P42=$P$26,Q42*$Q$26,P42=$P$27,Q42*$Q$27,P42=$P$25,Q42*$Q$25,P42=$P$29,$Q$29)</f>
        <v>0</v>
      </c>
      <c r="S42" s="108">
        <f t="shared" si="64"/>
        <v>0</v>
      </c>
      <c r="T42" s="76">
        <v>1</v>
      </c>
      <c r="U42" s="76"/>
      <c r="V42" s="77">
        <v>0</v>
      </c>
      <c r="W42" s="78"/>
      <c r="X42" s="79">
        <f t="shared" si="65"/>
        <v>0</v>
      </c>
      <c r="Y42" s="79">
        <f t="shared" si="66"/>
        <v>0</v>
      </c>
      <c r="Z42" s="80">
        <f t="shared" si="67"/>
        <v>0</v>
      </c>
      <c r="AA42" s="131">
        <f t="shared" si="68"/>
        <v>0</v>
      </c>
      <c r="AB42" s="81">
        <v>0.43</v>
      </c>
      <c r="AC42" s="81">
        <f t="shared" si="69"/>
        <v>0.01</v>
      </c>
      <c r="AD42" s="119">
        <f t="shared" si="70"/>
        <v>0</v>
      </c>
      <c r="AE42" s="119">
        <f t="shared" si="71"/>
        <v>0</v>
      </c>
      <c r="AF42" s="120">
        <f t="shared" si="72"/>
        <v>0</v>
      </c>
      <c r="AG42" s="148">
        <f t="shared" si="73"/>
        <v>0</v>
      </c>
      <c r="AH42" s="148" t="e">
        <f t="shared" si="74"/>
        <v>#N/A</v>
      </c>
      <c r="AI42" s="152" t="e">
        <f t="shared" si="75"/>
        <v>#N/A</v>
      </c>
      <c r="AJ42" s="152" t="e">
        <f t="shared" si="76"/>
        <v>#N/A</v>
      </c>
      <c r="AK42" s="135" t="e">
        <f t="shared" si="77"/>
        <v>#N/A</v>
      </c>
      <c r="AM42" s="98"/>
      <c r="AN42" s="100" t="b">
        <f t="shared" si="78"/>
        <v>0</v>
      </c>
      <c r="AO42" s="99">
        <f t="shared" si="79"/>
        <v>0.01</v>
      </c>
      <c r="AP42" s="100">
        <f t="shared" si="80"/>
        <v>0</v>
      </c>
      <c r="AQ42" s="101">
        <f t="shared" si="81"/>
        <v>0</v>
      </c>
    </row>
    <row r="43" spans="1:43" ht="15" hidden="1" customHeight="1" x14ac:dyDescent="0.25">
      <c r="C43" s="57"/>
      <c r="D43" s="57"/>
      <c r="E43" s="58" t="s">
        <v>6</v>
      </c>
      <c r="F43" s="58">
        <v>1</v>
      </c>
      <c r="G43" s="59" t="e">
        <f t="shared" si="60"/>
        <v>#N/A</v>
      </c>
      <c r="H43" s="59" t="e">
        <f t="shared" si="61"/>
        <v>#N/A</v>
      </c>
      <c r="I43" s="273">
        <v>0</v>
      </c>
      <c r="K43" s="72"/>
      <c r="L43" s="71"/>
      <c r="M43" s="72"/>
      <c r="N43" s="71">
        <f t="shared" si="62"/>
        <v>0</v>
      </c>
      <c r="O43" s="73">
        <f t="shared" si="63"/>
        <v>0</v>
      </c>
      <c r="P43" s="74" t="s">
        <v>634</v>
      </c>
      <c r="Q43" s="75"/>
      <c r="R43" s="86" cm="1">
        <f t="array" ref="R43">_xlfn.IFS(P43=$P$28,$Q$28,P43=$P$26,Q43*$Q$26,P43=$P$27,Q43*$Q$27,P43=$P$25,Q43*$Q$25,P43=$P$29,$Q$29)</f>
        <v>0</v>
      </c>
      <c r="S43" s="108">
        <f t="shared" si="64"/>
        <v>0</v>
      </c>
      <c r="T43" s="76">
        <v>1</v>
      </c>
      <c r="U43" s="76"/>
      <c r="V43" s="77">
        <v>0</v>
      </c>
      <c r="W43" s="78"/>
      <c r="X43" s="79">
        <f t="shared" si="65"/>
        <v>0</v>
      </c>
      <c r="Y43" s="79">
        <f t="shared" si="66"/>
        <v>0</v>
      </c>
      <c r="Z43" s="80">
        <f t="shared" si="67"/>
        <v>0</v>
      </c>
      <c r="AA43" s="131">
        <f t="shared" si="68"/>
        <v>0</v>
      </c>
      <c r="AB43" s="81">
        <v>0.43</v>
      </c>
      <c r="AC43" s="81">
        <f t="shared" si="69"/>
        <v>0.01</v>
      </c>
      <c r="AD43" s="119">
        <f t="shared" si="70"/>
        <v>0</v>
      </c>
      <c r="AE43" s="119">
        <f t="shared" si="71"/>
        <v>0</v>
      </c>
      <c r="AF43" s="120">
        <f t="shared" si="72"/>
        <v>0</v>
      </c>
      <c r="AG43" s="148">
        <f t="shared" si="73"/>
        <v>0</v>
      </c>
      <c r="AH43" s="148" t="e">
        <f t="shared" si="74"/>
        <v>#N/A</v>
      </c>
      <c r="AI43" s="152" t="e">
        <f t="shared" si="75"/>
        <v>#N/A</v>
      </c>
      <c r="AJ43" s="152" t="e">
        <f t="shared" si="76"/>
        <v>#N/A</v>
      </c>
      <c r="AK43" s="135" t="e">
        <f t="shared" si="77"/>
        <v>#N/A</v>
      </c>
      <c r="AM43" s="98"/>
      <c r="AN43" s="100" t="b">
        <f t="shared" si="78"/>
        <v>0</v>
      </c>
      <c r="AO43" s="99">
        <f t="shared" si="79"/>
        <v>0.01</v>
      </c>
      <c r="AP43" s="100">
        <f t="shared" si="80"/>
        <v>0</v>
      </c>
      <c r="AQ43" s="101">
        <f t="shared" si="81"/>
        <v>0</v>
      </c>
    </row>
    <row r="44" spans="1:43" ht="15" hidden="1" customHeight="1" x14ac:dyDescent="0.25">
      <c r="C44" s="57"/>
      <c r="D44" s="57"/>
      <c r="E44" s="58" t="s">
        <v>6</v>
      </c>
      <c r="F44" s="58">
        <v>1</v>
      </c>
      <c r="G44" s="59" t="e">
        <f t="shared" si="60"/>
        <v>#N/A</v>
      </c>
      <c r="H44" s="59" t="e">
        <f t="shared" si="61"/>
        <v>#N/A</v>
      </c>
      <c r="I44" s="273">
        <v>0</v>
      </c>
      <c r="K44" s="72"/>
      <c r="L44" s="71"/>
      <c r="M44" s="72"/>
      <c r="N44" s="71">
        <f t="shared" si="62"/>
        <v>0</v>
      </c>
      <c r="O44" s="73">
        <f t="shared" si="63"/>
        <v>0</v>
      </c>
      <c r="P44" s="74" t="s">
        <v>634</v>
      </c>
      <c r="Q44" s="75"/>
      <c r="R44" s="86" cm="1">
        <f t="array" ref="R44">_xlfn.IFS(P44=$P$28,$Q$28,P44=$P$26,Q44*$Q$26,P44=$P$27,Q44*$Q$27,P44=$P$25,Q44*$Q$25,P44=$P$29,$Q$29)</f>
        <v>0</v>
      </c>
      <c r="S44" s="108">
        <f t="shared" si="64"/>
        <v>0</v>
      </c>
      <c r="T44" s="76">
        <v>1</v>
      </c>
      <c r="U44" s="76"/>
      <c r="V44" s="77">
        <v>0</v>
      </c>
      <c r="W44" s="78"/>
      <c r="X44" s="79">
        <f t="shared" si="65"/>
        <v>0</v>
      </c>
      <c r="Y44" s="79">
        <f t="shared" si="66"/>
        <v>0</v>
      </c>
      <c r="Z44" s="80">
        <f t="shared" si="67"/>
        <v>0</v>
      </c>
      <c r="AA44" s="131">
        <f t="shared" si="68"/>
        <v>0</v>
      </c>
      <c r="AB44" s="81">
        <v>0.43</v>
      </c>
      <c r="AC44" s="81">
        <f t="shared" si="69"/>
        <v>0.01</v>
      </c>
      <c r="AD44" s="119">
        <f t="shared" si="70"/>
        <v>0</v>
      </c>
      <c r="AE44" s="119">
        <f t="shared" si="71"/>
        <v>0</v>
      </c>
      <c r="AF44" s="120">
        <f t="shared" si="72"/>
        <v>0</v>
      </c>
      <c r="AG44" s="148">
        <f t="shared" si="73"/>
        <v>0</v>
      </c>
      <c r="AH44" s="148" t="e">
        <f t="shared" si="74"/>
        <v>#N/A</v>
      </c>
      <c r="AI44" s="152" t="e">
        <f t="shared" si="75"/>
        <v>#N/A</v>
      </c>
      <c r="AJ44" s="152" t="e">
        <f t="shared" si="76"/>
        <v>#N/A</v>
      </c>
      <c r="AK44" s="135" t="e">
        <f t="shared" si="77"/>
        <v>#N/A</v>
      </c>
      <c r="AM44" s="98"/>
      <c r="AN44" s="100" t="b">
        <f t="shared" si="78"/>
        <v>0</v>
      </c>
      <c r="AO44" s="99">
        <f t="shared" si="79"/>
        <v>0.01</v>
      </c>
      <c r="AP44" s="100">
        <f t="shared" si="80"/>
        <v>0</v>
      </c>
      <c r="AQ44" s="101">
        <f t="shared" si="81"/>
        <v>0</v>
      </c>
    </row>
    <row r="45" spans="1:43" ht="15" hidden="1" customHeight="1" x14ac:dyDescent="0.25">
      <c r="C45" s="57"/>
      <c r="D45" s="57"/>
      <c r="E45" s="58" t="s">
        <v>6</v>
      </c>
      <c r="F45" s="58">
        <v>1</v>
      </c>
      <c r="G45" s="59" t="e">
        <f t="shared" si="60"/>
        <v>#N/A</v>
      </c>
      <c r="H45" s="59" t="e">
        <f t="shared" si="61"/>
        <v>#N/A</v>
      </c>
      <c r="I45" s="273">
        <v>0</v>
      </c>
      <c r="K45" s="72"/>
      <c r="L45" s="71"/>
      <c r="M45" s="72"/>
      <c r="N45" s="71">
        <f t="shared" si="62"/>
        <v>0</v>
      </c>
      <c r="O45" s="73">
        <f t="shared" si="63"/>
        <v>0</v>
      </c>
      <c r="P45" s="74" t="s">
        <v>634</v>
      </c>
      <c r="Q45" s="75"/>
      <c r="R45" s="86" cm="1">
        <f t="array" ref="R45">_xlfn.IFS(P45=$P$28,$Q$28,P45=$P$26,Q45*$Q$26,P45=$P$27,Q45*$Q$27,P45=$P$25,Q45*$Q$25,P45=$P$29,$Q$29)</f>
        <v>0</v>
      </c>
      <c r="S45" s="108">
        <f t="shared" si="64"/>
        <v>0</v>
      </c>
      <c r="T45" s="76">
        <v>1</v>
      </c>
      <c r="U45" s="76"/>
      <c r="V45" s="77">
        <v>0</v>
      </c>
      <c r="W45" s="78"/>
      <c r="X45" s="79">
        <f t="shared" si="65"/>
        <v>0</v>
      </c>
      <c r="Y45" s="79">
        <f t="shared" si="66"/>
        <v>0</v>
      </c>
      <c r="Z45" s="80">
        <f t="shared" si="67"/>
        <v>0</v>
      </c>
      <c r="AA45" s="131">
        <f t="shared" si="68"/>
        <v>0</v>
      </c>
      <c r="AB45" s="81">
        <v>0.43</v>
      </c>
      <c r="AC45" s="81">
        <f t="shared" si="69"/>
        <v>0.01</v>
      </c>
      <c r="AD45" s="119">
        <f t="shared" si="70"/>
        <v>0</v>
      </c>
      <c r="AE45" s="119">
        <f t="shared" si="71"/>
        <v>0</v>
      </c>
      <c r="AF45" s="120">
        <f t="shared" si="72"/>
        <v>0</v>
      </c>
      <c r="AG45" s="148">
        <f t="shared" si="73"/>
        <v>0</v>
      </c>
      <c r="AH45" s="148" t="e">
        <f t="shared" si="74"/>
        <v>#N/A</v>
      </c>
      <c r="AI45" s="152" t="e">
        <f t="shared" si="75"/>
        <v>#N/A</v>
      </c>
      <c r="AJ45" s="152" t="e">
        <f t="shared" si="76"/>
        <v>#N/A</v>
      </c>
      <c r="AK45" s="135" t="e">
        <f t="shared" si="77"/>
        <v>#N/A</v>
      </c>
      <c r="AM45" s="98"/>
      <c r="AN45" s="100" t="b">
        <f t="shared" si="78"/>
        <v>0</v>
      </c>
      <c r="AO45" s="99">
        <f t="shared" si="79"/>
        <v>0.01</v>
      </c>
      <c r="AP45" s="100">
        <f t="shared" si="80"/>
        <v>0</v>
      </c>
      <c r="AQ45" s="101">
        <f t="shared" si="81"/>
        <v>0</v>
      </c>
    </row>
    <row r="46" spans="1:43" ht="15" hidden="1" customHeight="1" x14ac:dyDescent="0.25">
      <c r="C46" s="57"/>
      <c r="D46" s="57"/>
      <c r="E46" s="58" t="s">
        <v>6</v>
      </c>
      <c r="F46" s="58">
        <v>1</v>
      </c>
      <c r="G46" s="59" t="e">
        <f t="shared" si="60"/>
        <v>#N/A</v>
      </c>
      <c r="H46" s="59" t="e">
        <f t="shared" si="61"/>
        <v>#N/A</v>
      </c>
      <c r="I46" s="273">
        <v>0</v>
      </c>
      <c r="K46" s="72"/>
      <c r="L46" s="71"/>
      <c r="M46" s="72"/>
      <c r="N46" s="71">
        <f t="shared" si="62"/>
        <v>0</v>
      </c>
      <c r="O46" s="73">
        <f t="shared" si="63"/>
        <v>0</v>
      </c>
      <c r="P46" s="74" t="s">
        <v>634</v>
      </c>
      <c r="Q46" s="75"/>
      <c r="R46" s="86" cm="1">
        <f t="array" ref="R46">_xlfn.IFS(P46=$P$28,$Q$28,P46=$P$26,Q46*$Q$26,P46=$P$27,Q46*$Q$27,P46=$P$25,Q46*$Q$25,P46=$P$29,$Q$29)</f>
        <v>0</v>
      </c>
      <c r="S46" s="108">
        <f t="shared" si="64"/>
        <v>0</v>
      </c>
      <c r="T46" s="76">
        <v>1</v>
      </c>
      <c r="U46" s="76"/>
      <c r="V46" s="77">
        <v>0</v>
      </c>
      <c r="W46" s="78"/>
      <c r="X46" s="79">
        <f t="shared" si="65"/>
        <v>0</v>
      </c>
      <c r="Y46" s="79">
        <f t="shared" si="66"/>
        <v>0</v>
      </c>
      <c r="Z46" s="80">
        <f t="shared" si="67"/>
        <v>0</v>
      </c>
      <c r="AA46" s="131">
        <f t="shared" si="68"/>
        <v>0</v>
      </c>
      <c r="AB46" s="81">
        <v>0.43</v>
      </c>
      <c r="AC46" s="81">
        <f t="shared" si="69"/>
        <v>0.01</v>
      </c>
      <c r="AD46" s="119">
        <f t="shared" si="70"/>
        <v>0</v>
      </c>
      <c r="AE46" s="119">
        <f t="shared" si="71"/>
        <v>0</v>
      </c>
      <c r="AF46" s="120">
        <f t="shared" si="72"/>
        <v>0</v>
      </c>
      <c r="AG46" s="148">
        <f t="shared" si="73"/>
        <v>0</v>
      </c>
      <c r="AH46" s="148" t="e">
        <f t="shared" si="74"/>
        <v>#N/A</v>
      </c>
      <c r="AI46" s="152" t="e">
        <f t="shared" si="75"/>
        <v>#N/A</v>
      </c>
      <c r="AJ46" s="152" t="e">
        <f t="shared" si="76"/>
        <v>#N/A</v>
      </c>
      <c r="AK46" s="135" t="e">
        <f t="shared" si="77"/>
        <v>#N/A</v>
      </c>
      <c r="AM46" s="98"/>
      <c r="AN46" s="100" t="b">
        <f t="shared" si="78"/>
        <v>0</v>
      </c>
      <c r="AO46" s="99">
        <f t="shared" si="79"/>
        <v>0.01</v>
      </c>
      <c r="AP46" s="100">
        <f t="shared" si="80"/>
        <v>0</v>
      </c>
      <c r="AQ46" s="101">
        <f t="shared" si="81"/>
        <v>0</v>
      </c>
    </row>
    <row r="47" spans="1:43" ht="15" hidden="1" customHeight="1" x14ac:dyDescent="0.25">
      <c r="C47" s="57"/>
      <c r="D47" s="57"/>
      <c r="E47" s="58" t="s">
        <v>6</v>
      </c>
      <c r="F47" s="58">
        <v>1</v>
      </c>
      <c r="G47" s="59" t="e">
        <f t="shared" si="60"/>
        <v>#N/A</v>
      </c>
      <c r="H47" s="59" t="e">
        <f t="shared" si="61"/>
        <v>#N/A</v>
      </c>
      <c r="I47" s="273">
        <v>0</v>
      </c>
      <c r="K47" s="72"/>
      <c r="L47" s="71"/>
      <c r="M47" s="72"/>
      <c r="N47" s="71">
        <f t="shared" si="62"/>
        <v>0</v>
      </c>
      <c r="O47" s="73">
        <f t="shared" si="63"/>
        <v>0</v>
      </c>
      <c r="P47" s="74" t="s">
        <v>634</v>
      </c>
      <c r="Q47" s="75"/>
      <c r="R47" s="86" cm="1">
        <f t="array" ref="R47">_xlfn.IFS(P47=$P$28,$Q$28,P47=$P$26,Q47*$Q$26,P47=$P$27,Q47*$Q$27,P47=$P$25,Q47*$Q$25,P47=$P$29,$Q$29)</f>
        <v>0</v>
      </c>
      <c r="S47" s="108">
        <f t="shared" si="64"/>
        <v>0</v>
      </c>
      <c r="T47" s="76">
        <v>1</v>
      </c>
      <c r="U47" s="76"/>
      <c r="V47" s="77">
        <v>0</v>
      </c>
      <c r="W47" s="78"/>
      <c r="X47" s="79">
        <f t="shared" si="65"/>
        <v>0</v>
      </c>
      <c r="Y47" s="79">
        <f t="shared" si="66"/>
        <v>0</v>
      </c>
      <c r="Z47" s="80">
        <f t="shared" si="67"/>
        <v>0</v>
      </c>
      <c r="AA47" s="131">
        <f t="shared" si="68"/>
        <v>0</v>
      </c>
      <c r="AB47" s="81">
        <v>0.43</v>
      </c>
      <c r="AC47" s="81">
        <f t="shared" si="69"/>
        <v>0.01</v>
      </c>
      <c r="AD47" s="119">
        <f t="shared" si="70"/>
        <v>0</v>
      </c>
      <c r="AE47" s="119">
        <f t="shared" si="71"/>
        <v>0</v>
      </c>
      <c r="AF47" s="120">
        <f t="shared" si="72"/>
        <v>0</v>
      </c>
      <c r="AG47" s="148">
        <f t="shared" si="73"/>
        <v>0</v>
      </c>
      <c r="AH47" s="148" t="e">
        <f t="shared" si="74"/>
        <v>#N/A</v>
      </c>
      <c r="AI47" s="152" t="e">
        <f t="shared" si="75"/>
        <v>#N/A</v>
      </c>
      <c r="AJ47" s="152" t="e">
        <f t="shared" si="76"/>
        <v>#N/A</v>
      </c>
      <c r="AK47" s="135" t="e">
        <f t="shared" si="77"/>
        <v>#N/A</v>
      </c>
      <c r="AM47" s="98"/>
      <c r="AN47" s="100" t="b">
        <f t="shared" si="78"/>
        <v>0</v>
      </c>
      <c r="AO47" s="99">
        <f t="shared" si="79"/>
        <v>0.01</v>
      </c>
      <c r="AP47" s="100">
        <f t="shared" si="80"/>
        <v>0</v>
      </c>
      <c r="AQ47" s="101">
        <f t="shared" si="81"/>
        <v>0</v>
      </c>
    </row>
    <row r="48" spans="1:43" ht="15" hidden="1" customHeight="1" x14ac:dyDescent="0.25">
      <c r="C48" s="57"/>
      <c r="D48" s="57"/>
      <c r="E48" s="58" t="s">
        <v>6</v>
      </c>
      <c r="F48" s="58">
        <v>1</v>
      </c>
      <c r="G48" s="59" t="e">
        <f t="shared" si="60"/>
        <v>#N/A</v>
      </c>
      <c r="H48" s="59" t="e">
        <f t="shared" si="61"/>
        <v>#N/A</v>
      </c>
      <c r="I48" s="273">
        <v>0</v>
      </c>
      <c r="K48" s="72"/>
      <c r="L48" s="71"/>
      <c r="M48" s="72"/>
      <c r="N48" s="71">
        <f t="shared" si="62"/>
        <v>0</v>
      </c>
      <c r="O48" s="73">
        <f t="shared" si="63"/>
        <v>0</v>
      </c>
      <c r="P48" s="74" t="s">
        <v>634</v>
      </c>
      <c r="Q48" s="75"/>
      <c r="R48" s="86" cm="1">
        <f t="array" ref="R48">_xlfn.IFS(P48=$P$28,$Q$28,P48=$P$26,Q48*$Q$26,P48=$P$27,Q48*$Q$27,P48=$P$25,Q48*$Q$25,P48=$P$29,$Q$29)</f>
        <v>0</v>
      </c>
      <c r="S48" s="108">
        <f t="shared" si="64"/>
        <v>0</v>
      </c>
      <c r="T48" s="76">
        <v>1</v>
      </c>
      <c r="U48" s="76"/>
      <c r="V48" s="77">
        <v>0</v>
      </c>
      <c r="W48" s="78"/>
      <c r="X48" s="79">
        <f t="shared" si="65"/>
        <v>0</v>
      </c>
      <c r="Y48" s="79">
        <f t="shared" si="66"/>
        <v>0</v>
      </c>
      <c r="Z48" s="80">
        <f t="shared" si="67"/>
        <v>0</v>
      </c>
      <c r="AA48" s="131">
        <f t="shared" si="68"/>
        <v>0</v>
      </c>
      <c r="AB48" s="81">
        <v>0.43</v>
      </c>
      <c r="AC48" s="81">
        <f t="shared" si="69"/>
        <v>0.01</v>
      </c>
      <c r="AD48" s="119">
        <f t="shared" si="70"/>
        <v>0</v>
      </c>
      <c r="AE48" s="119">
        <f t="shared" si="71"/>
        <v>0</v>
      </c>
      <c r="AF48" s="120">
        <f t="shared" si="72"/>
        <v>0</v>
      </c>
      <c r="AG48" s="148">
        <f t="shared" si="73"/>
        <v>0</v>
      </c>
      <c r="AH48" s="148" t="e">
        <f t="shared" si="74"/>
        <v>#N/A</v>
      </c>
      <c r="AI48" s="152" t="e">
        <f t="shared" si="75"/>
        <v>#N/A</v>
      </c>
      <c r="AJ48" s="152" t="e">
        <f t="shared" si="76"/>
        <v>#N/A</v>
      </c>
      <c r="AK48" s="135" t="e">
        <f t="shared" si="77"/>
        <v>#N/A</v>
      </c>
      <c r="AM48" s="98"/>
      <c r="AN48" s="100" t="b">
        <f t="shared" si="78"/>
        <v>0</v>
      </c>
      <c r="AO48" s="99">
        <f t="shared" si="79"/>
        <v>0.01</v>
      </c>
      <c r="AP48" s="100">
        <f t="shared" si="80"/>
        <v>0</v>
      </c>
      <c r="AQ48" s="101">
        <f t="shared" si="81"/>
        <v>0</v>
      </c>
    </row>
    <row r="49" spans="3:43" ht="15" hidden="1" customHeight="1" x14ac:dyDescent="0.25">
      <c r="C49" s="57"/>
      <c r="D49" s="57"/>
      <c r="E49" s="58" t="s">
        <v>6</v>
      </c>
      <c r="F49" s="58">
        <v>1</v>
      </c>
      <c r="G49" s="59" t="e">
        <f t="shared" si="60"/>
        <v>#N/A</v>
      </c>
      <c r="H49" s="59" t="e">
        <f t="shared" si="61"/>
        <v>#N/A</v>
      </c>
      <c r="I49" s="273">
        <v>0</v>
      </c>
      <c r="K49" s="72"/>
      <c r="L49" s="71"/>
      <c r="M49" s="72"/>
      <c r="N49" s="71">
        <f t="shared" si="62"/>
        <v>0</v>
      </c>
      <c r="O49" s="73">
        <f t="shared" si="63"/>
        <v>0</v>
      </c>
      <c r="P49" s="74" t="s">
        <v>634</v>
      </c>
      <c r="Q49" s="75"/>
      <c r="R49" s="86" cm="1">
        <f t="array" ref="R49">_xlfn.IFS(P49=$P$28,$Q$28,P49=$P$26,Q49*$Q$26,P49=$P$27,Q49*$Q$27,P49=$P$25,Q49*$Q$25,P49=$P$29,$Q$29)</f>
        <v>0</v>
      </c>
      <c r="S49" s="108">
        <f t="shared" si="64"/>
        <v>0</v>
      </c>
      <c r="T49" s="76">
        <v>1</v>
      </c>
      <c r="U49" s="76"/>
      <c r="V49" s="77">
        <v>0</v>
      </c>
      <c r="W49" s="78"/>
      <c r="X49" s="79">
        <f t="shared" si="65"/>
        <v>0</v>
      </c>
      <c r="Y49" s="79">
        <f t="shared" si="66"/>
        <v>0</v>
      </c>
      <c r="Z49" s="80">
        <f t="shared" si="67"/>
        <v>0</v>
      </c>
      <c r="AA49" s="131">
        <f t="shared" si="68"/>
        <v>0</v>
      </c>
      <c r="AB49" s="81">
        <v>0.43</v>
      </c>
      <c r="AC49" s="81">
        <f t="shared" si="69"/>
        <v>0.01</v>
      </c>
      <c r="AD49" s="119">
        <f t="shared" si="70"/>
        <v>0</v>
      </c>
      <c r="AE49" s="119">
        <f t="shared" si="71"/>
        <v>0</v>
      </c>
      <c r="AF49" s="120">
        <f t="shared" si="72"/>
        <v>0</v>
      </c>
      <c r="AG49" s="148">
        <f t="shared" si="73"/>
        <v>0</v>
      </c>
      <c r="AH49" s="148" t="e">
        <f t="shared" si="74"/>
        <v>#N/A</v>
      </c>
      <c r="AI49" s="152" t="e">
        <f t="shared" si="75"/>
        <v>#N/A</v>
      </c>
      <c r="AJ49" s="152" t="e">
        <f t="shared" si="76"/>
        <v>#N/A</v>
      </c>
      <c r="AK49" s="135" t="e">
        <f t="shared" si="77"/>
        <v>#N/A</v>
      </c>
      <c r="AM49" s="98"/>
      <c r="AN49" s="100" t="b">
        <f t="shared" si="78"/>
        <v>0</v>
      </c>
      <c r="AO49" s="99">
        <f t="shared" si="79"/>
        <v>0.01</v>
      </c>
      <c r="AP49" s="100">
        <f t="shared" si="80"/>
        <v>0</v>
      </c>
      <c r="AQ49" s="101">
        <f t="shared" si="81"/>
        <v>0</v>
      </c>
    </row>
    <row r="50" spans="3:43" ht="15" hidden="1" customHeight="1" x14ac:dyDescent="0.25">
      <c r="C50" s="57"/>
      <c r="D50" s="57"/>
      <c r="E50" s="58" t="s">
        <v>6</v>
      </c>
      <c r="F50" s="58">
        <v>1</v>
      </c>
      <c r="G50" s="59" t="e">
        <f t="shared" si="60"/>
        <v>#N/A</v>
      </c>
      <c r="H50" s="59" t="e">
        <f t="shared" si="61"/>
        <v>#N/A</v>
      </c>
      <c r="I50" s="273">
        <v>0</v>
      </c>
      <c r="K50" s="72"/>
      <c r="L50" s="71"/>
      <c r="M50" s="72"/>
      <c r="N50" s="71">
        <f t="shared" si="62"/>
        <v>0</v>
      </c>
      <c r="O50" s="73">
        <f t="shared" si="63"/>
        <v>0</v>
      </c>
      <c r="P50" s="74" t="s">
        <v>634</v>
      </c>
      <c r="Q50" s="75"/>
      <c r="R50" s="86" cm="1">
        <f t="array" ref="R50">_xlfn.IFS(P50=$P$28,$Q$28,P50=$P$26,Q50*$Q$26,P50=$P$27,Q50*$Q$27,P50=$P$25,Q50*$Q$25,P50=$P$29,$Q$29)</f>
        <v>0</v>
      </c>
      <c r="S50" s="108">
        <f t="shared" si="64"/>
        <v>0</v>
      </c>
      <c r="T50" s="76">
        <v>1</v>
      </c>
      <c r="U50" s="76"/>
      <c r="V50" s="77">
        <v>0</v>
      </c>
      <c r="W50" s="78"/>
      <c r="X50" s="79">
        <f t="shared" si="65"/>
        <v>0</v>
      </c>
      <c r="Y50" s="79">
        <f t="shared" si="66"/>
        <v>0</v>
      </c>
      <c r="Z50" s="80">
        <f t="shared" si="67"/>
        <v>0</v>
      </c>
      <c r="AA50" s="131">
        <f t="shared" si="68"/>
        <v>0</v>
      </c>
      <c r="AB50" s="81">
        <v>0.43</v>
      </c>
      <c r="AC50" s="81">
        <f t="shared" si="69"/>
        <v>0.01</v>
      </c>
      <c r="AD50" s="119">
        <f t="shared" si="70"/>
        <v>0</v>
      </c>
      <c r="AE50" s="119">
        <f t="shared" si="71"/>
        <v>0</v>
      </c>
      <c r="AF50" s="120">
        <f t="shared" si="72"/>
        <v>0</v>
      </c>
      <c r="AG50" s="148">
        <f t="shared" si="73"/>
        <v>0</v>
      </c>
      <c r="AH50" s="148" t="e">
        <f t="shared" si="74"/>
        <v>#N/A</v>
      </c>
      <c r="AI50" s="152" t="e">
        <f t="shared" si="75"/>
        <v>#N/A</v>
      </c>
      <c r="AJ50" s="152" t="e">
        <f t="shared" si="76"/>
        <v>#N/A</v>
      </c>
      <c r="AK50" s="135" t="e">
        <f t="shared" si="77"/>
        <v>#N/A</v>
      </c>
      <c r="AM50" s="98"/>
      <c r="AN50" s="100" t="b">
        <f t="shared" si="78"/>
        <v>0</v>
      </c>
      <c r="AO50" s="99">
        <f t="shared" si="79"/>
        <v>0.01</v>
      </c>
      <c r="AP50" s="100">
        <f t="shared" si="80"/>
        <v>0</v>
      </c>
      <c r="AQ50" s="101">
        <f t="shared" si="81"/>
        <v>0</v>
      </c>
    </row>
    <row r="51" spans="3:43" ht="15" hidden="1" customHeight="1" x14ac:dyDescent="0.25">
      <c r="C51" s="57"/>
      <c r="D51" s="57"/>
      <c r="E51" s="58" t="s">
        <v>6</v>
      </c>
      <c r="F51" s="58">
        <v>1</v>
      </c>
      <c r="G51" s="59" t="e">
        <f t="shared" si="60"/>
        <v>#N/A</v>
      </c>
      <c r="H51" s="59" t="e">
        <f t="shared" si="61"/>
        <v>#N/A</v>
      </c>
      <c r="I51" s="273">
        <v>0</v>
      </c>
      <c r="K51" s="72"/>
      <c r="L51" s="71"/>
      <c r="M51" s="72"/>
      <c r="N51" s="71">
        <f t="shared" si="62"/>
        <v>0</v>
      </c>
      <c r="O51" s="73">
        <f t="shared" si="63"/>
        <v>0</v>
      </c>
      <c r="P51" s="74" t="s">
        <v>634</v>
      </c>
      <c r="Q51" s="75"/>
      <c r="R51" s="86" cm="1">
        <f t="array" ref="R51">_xlfn.IFS(P51=$P$28,$Q$28,P51=$P$26,Q51*$Q$26,P51=$P$27,Q51*$Q$27,P51=$P$25,Q51*$Q$25,P51=$P$29,$Q$29)</f>
        <v>0</v>
      </c>
      <c r="S51" s="108">
        <f t="shared" si="64"/>
        <v>0</v>
      </c>
      <c r="T51" s="76">
        <v>1</v>
      </c>
      <c r="U51" s="76"/>
      <c r="V51" s="77">
        <v>0</v>
      </c>
      <c r="W51" s="78"/>
      <c r="X51" s="79">
        <f t="shared" si="65"/>
        <v>0</v>
      </c>
      <c r="Y51" s="79">
        <f t="shared" si="66"/>
        <v>0</v>
      </c>
      <c r="Z51" s="80">
        <f t="shared" si="67"/>
        <v>0</v>
      </c>
      <c r="AA51" s="131">
        <f t="shared" si="68"/>
        <v>0</v>
      </c>
      <c r="AB51" s="81">
        <v>0.43</v>
      </c>
      <c r="AC51" s="81">
        <f t="shared" si="69"/>
        <v>0.01</v>
      </c>
      <c r="AD51" s="119">
        <f t="shared" si="70"/>
        <v>0</v>
      </c>
      <c r="AE51" s="119">
        <f t="shared" si="71"/>
        <v>0</v>
      </c>
      <c r="AF51" s="120">
        <f t="shared" si="72"/>
        <v>0</v>
      </c>
      <c r="AG51" s="148">
        <f t="shared" si="73"/>
        <v>0</v>
      </c>
      <c r="AH51" s="148" t="e">
        <f t="shared" si="74"/>
        <v>#N/A</v>
      </c>
      <c r="AI51" s="152" t="e">
        <f t="shared" si="75"/>
        <v>#N/A</v>
      </c>
      <c r="AJ51" s="152" t="e">
        <f t="shared" si="76"/>
        <v>#N/A</v>
      </c>
      <c r="AK51" s="135" t="e">
        <f t="shared" si="77"/>
        <v>#N/A</v>
      </c>
      <c r="AM51" s="98"/>
      <c r="AN51" s="100" t="b">
        <f t="shared" si="78"/>
        <v>0</v>
      </c>
      <c r="AO51" s="99">
        <f t="shared" si="79"/>
        <v>0.01</v>
      </c>
      <c r="AP51" s="100">
        <f t="shared" si="80"/>
        <v>0</v>
      </c>
      <c r="AQ51" s="101">
        <f t="shared" si="81"/>
        <v>0</v>
      </c>
    </row>
    <row r="52" spans="3:43" ht="15" hidden="1" customHeight="1" x14ac:dyDescent="0.25">
      <c r="C52" s="57"/>
      <c r="D52" s="57"/>
      <c r="E52" s="58" t="s">
        <v>6</v>
      </c>
      <c r="F52" s="58">
        <v>1</v>
      </c>
      <c r="G52" s="59" t="e">
        <f t="shared" si="60"/>
        <v>#N/A</v>
      </c>
      <c r="H52" s="59" t="e">
        <f t="shared" si="61"/>
        <v>#N/A</v>
      </c>
      <c r="I52" s="273">
        <v>0</v>
      </c>
      <c r="K52" s="72"/>
      <c r="L52" s="71"/>
      <c r="M52" s="72"/>
      <c r="N52" s="71">
        <f t="shared" si="62"/>
        <v>0</v>
      </c>
      <c r="O52" s="73">
        <f t="shared" si="63"/>
        <v>0</v>
      </c>
      <c r="P52" s="74" t="s">
        <v>634</v>
      </c>
      <c r="Q52" s="75"/>
      <c r="R52" s="86" cm="1">
        <f t="array" ref="R52">_xlfn.IFS(P52=$P$28,$Q$28,P52=$P$26,Q52*$Q$26,P52=$P$27,Q52*$Q$27,P52=$P$25,Q52*$Q$25,P52=$P$29,$Q$29)</f>
        <v>0</v>
      </c>
      <c r="S52" s="108">
        <f t="shared" si="64"/>
        <v>0</v>
      </c>
      <c r="T52" s="76">
        <v>1</v>
      </c>
      <c r="U52" s="76"/>
      <c r="V52" s="77">
        <v>0</v>
      </c>
      <c r="W52" s="78"/>
      <c r="X52" s="79">
        <f t="shared" si="65"/>
        <v>0</v>
      </c>
      <c r="Y52" s="79">
        <f t="shared" si="66"/>
        <v>0</v>
      </c>
      <c r="Z52" s="80">
        <f t="shared" si="67"/>
        <v>0</v>
      </c>
      <c r="AA52" s="131">
        <f t="shared" si="68"/>
        <v>0</v>
      </c>
      <c r="AB52" s="81">
        <v>0.43</v>
      </c>
      <c r="AC52" s="81">
        <f t="shared" si="69"/>
        <v>0.01</v>
      </c>
      <c r="AD52" s="119">
        <f t="shared" si="70"/>
        <v>0</v>
      </c>
      <c r="AE52" s="119">
        <f t="shared" si="71"/>
        <v>0</v>
      </c>
      <c r="AF52" s="120">
        <f t="shared" si="72"/>
        <v>0</v>
      </c>
      <c r="AG52" s="148">
        <f t="shared" si="73"/>
        <v>0</v>
      </c>
      <c r="AH52" s="148" t="e">
        <f t="shared" si="74"/>
        <v>#N/A</v>
      </c>
      <c r="AI52" s="152" t="e">
        <f t="shared" si="75"/>
        <v>#N/A</v>
      </c>
      <c r="AJ52" s="152" t="e">
        <f t="shared" si="76"/>
        <v>#N/A</v>
      </c>
      <c r="AK52" s="135" t="e">
        <f t="shared" si="77"/>
        <v>#N/A</v>
      </c>
      <c r="AM52" s="98"/>
      <c r="AN52" s="100" t="b">
        <f t="shared" si="78"/>
        <v>0</v>
      </c>
      <c r="AO52" s="99">
        <f t="shared" si="79"/>
        <v>0.01</v>
      </c>
      <c r="AP52" s="100">
        <f t="shared" si="80"/>
        <v>0</v>
      </c>
      <c r="AQ52" s="101">
        <f t="shared" si="81"/>
        <v>0</v>
      </c>
    </row>
    <row r="53" spans="3:43" ht="15" hidden="1" customHeight="1" x14ac:dyDescent="0.25">
      <c r="C53" s="57"/>
      <c r="D53" s="57"/>
      <c r="E53" s="58" t="s">
        <v>6</v>
      </c>
      <c r="F53" s="58">
        <v>1</v>
      </c>
      <c r="G53" s="59" t="e">
        <f t="shared" si="60"/>
        <v>#N/A</v>
      </c>
      <c r="H53" s="59" t="e">
        <f t="shared" si="61"/>
        <v>#N/A</v>
      </c>
      <c r="I53" s="273">
        <v>0</v>
      </c>
      <c r="K53" s="72"/>
      <c r="L53" s="71"/>
      <c r="M53" s="72"/>
      <c r="N53" s="71">
        <f t="shared" si="62"/>
        <v>0</v>
      </c>
      <c r="O53" s="73">
        <f t="shared" si="63"/>
        <v>0</v>
      </c>
      <c r="P53" s="74" t="s">
        <v>634</v>
      </c>
      <c r="Q53" s="75"/>
      <c r="R53" s="86" cm="1">
        <f t="array" ref="R53">_xlfn.IFS(P53=$P$28,$Q$28,P53=$P$26,Q53*$Q$26,P53=$P$27,Q53*$Q$27,P53=$P$25,Q53*$Q$25,P53=$P$29,$Q$29)</f>
        <v>0</v>
      </c>
      <c r="S53" s="108">
        <f t="shared" si="64"/>
        <v>0</v>
      </c>
      <c r="T53" s="76">
        <v>1</v>
      </c>
      <c r="U53" s="76"/>
      <c r="V53" s="77">
        <v>0</v>
      </c>
      <c r="W53" s="78"/>
      <c r="X53" s="79">
        <f t="shared" si="65"/>
        <v>0</v>
      </c>
      <c r="Y53" s="79">
        <f t="shared" si="66"/>
        <v>0</v>
      </c>
      <c r="Z53" s="80">
        <f t="shared" si="67"/>
        <v>0</v>
      </c>
      <c r="AA53" s="131">
        <f t="shared" si="68"/>
        <v>0</v>
      </c>
      <c r="AB53" s="81">
        <v>0.43</v>
      </c>
      <c r="AC53" s="81">
        <f t="shared" si="69"/>
        <v>0.01</v>
      </c>
      <c r="AD53" s="119">
        <f t="shared" si="70"/>
        <v>0</v>
      </c>
      <c r="AE53" s="119">
        <f t="shared" si="71"/>
        <v>0</v>
      </c>
      <c r="AF53" s="120">
        <f t="shared" si="72"/>
        <v>0</v>
      </c>
      <c r="AG53" s="148">
        <f t="shared" si="73"/>
        <v>0</v>
      </c>
      <c r="AH53" s="148" t="e">
        <f t="shared" si="74"/>
        <v>#N/A</v>
      </c>
      <c r="AI53" s="152" t="e">
        <f t="shared" si="75"/>
        <v>#N/A</v>
      </c>
      <c r="AJ53" s="152" t="e">
        <f t="shared" si="76"/>
        <v>#N/A</v>
      </c>
      <c r="AK53" s="135" t="e">
        <f t="shared" si="77"/>
        <v>#N/A</v>
      </c>
      <c r="AM53" s="98"/>
      <c r="AN53" s="100" t="b">
        <f t="shared" si="78"/>
        <v>0</v>
      </c>
      <c r="AO53" s="99">
        <f t="shared" si="79"/>
        <v>0.01</v>
      </c>
      <c r="AP53" s="100">
        <f t="shared" si="80"/>
        <v>0</v>
      </c>
      <c r="AQ53" s="101">
        <f t="shared" si="81"/>
        <v>0</v>
      </c>
    </row>
    <row r="54" spans="3:43" ht="15" hidden="1" customHeight="1" x14ac:dyDescent="0.25">
      <c r="C54" s="57"/>
      <c r="D54" s="57"/>
      <c r="E54" s="58" t="s">
        <v>6</v>
      </c>
      <c r="F54" s="58">
        <v>1</v>
      </c>
      <c r="G54" s="59" t="e">
        <f t="shared" si="60"/>
        <v>#N/A</v>
      </c>
      <c r="H54" s="59" t="e">
        <f t="shared" si="61"/>
        <v>#N/A</v>
      </c>
      <c r="I54" s="273">
        <v>0</v>
      </c>
      <c r="K54" s="72"/>
      <c r="L54" s="71"/>
      <c r="M54" s="72"/>
      <c r="N54" s="71">
        <f t="shared" si="62"/>
        <v>0</v>
      </c>
      <c r="O54" s="73">
        <f t="shared" si="63"/>
        <v>0</v>
      </c>
      <c r="P54" s="74" t="s">
        <v>634</v>
      </c>
      <c r="Q54" s="75"/>
      <c r="R54" s="86" cm="1">
        <f t="array" ref="R54">_xlfn.IFS(P54=$P$28,$Q$28,P54=$P$26,Q54*$Q$26,P54=$P$27,Q54*$Q$27,P54=$P$25,Q54*$Q$25,P54=$P$29,$Q$29)</f>
        <v>0</v>
      </c>
      <c r="S54" s="108">
        <f t="shared" si="64"/>
        <v>0</v>
      </c>
      <c r="T54" s="76">
        <v>1</v>
      </c>
      <c r="U54" s="76"/>
      <c r="V54" s="77">
        <v>0</v>
      </c>
      <c r="W54" s="78"/>
      <c r="X54" s="79">
        <f t="shared" si="65"/>
        <v>0</v>
      </c>
      <c r="Y54" s="79">
        <f t="shared" si="66"/>
        <v>0</v>
      </c>
      <c r="Z54" s="80">
        <f t="shared" si="67"/>
        <v>0</v>
      </c>
      <c r="AA54" s="131">
        <f t="shared" si="68"/>
        <v>0</v>
      </c>
      <c r="AB54" s="81">
        <v>0.43</v>
      </c>
      <c r="AC54" s="81">
        <f t="shared" si="69"/>
        <v>0.01</v>
      </c>
      <c r="AD54" s="119">
        <f t="shared" si="70"/>
        <v>0</v>
      </c>
      <c r="AE54" s="119">
        <f t="shared" si="71"/>
        <v>0</v>
      </c>
      <c r="AF54" s="120">
        <f t="shared" si="72"/>
        <v>0</v>
      </c>
      <c r="AG54" s="148">
        <f t="shared" si="73"/>
        <v>0</v>
      </c>
      <c r="AH54" s="148" t="e">
        <f t="shared" si="74"/>
        <v>#N/A</v>
      </c>
      <c r="AI54" s="152" t="e">
        <f t="shared" si="75"/>
        <v>#N/A</v>
      </c>
      <c r="AJ54" s="152" t="e">
        <f t="shared" si="76"/>
        <v>#N/A</v>
      </c>
      <c r="AK54" s="135" t="e">
        <f t="shared" si="77"/>
        <v>#N/A</v>
      </c>
      <c r="AM54" s="98"/>
      <c r="AN54" s="100" t="b">
        <f t="shared" si="78"/>
        <v>0</v>
      </c>
      <c r="AO54" s="99">
        <f t="shared" si="79"/>
        <v>0.01</v>
      </c>
      <c r="AP54" s="100">
        <f t="shared" si="80"/>
        <v>0</v>
      </c>
      <c r="AQ54" s="101">
        <f t="shared" si="81"/>
        <v>0</v>
      </c>
    </row>
    <row r="55" spans="3:43" ht="15" hidden="1" customHeight="1" x14ac:dyDescent="0.25">
      <c r="C55" s="57"/>
      <c r="D55" s="57"/>
      <c r="E55" s="58" t="s">
        <v>6</v>
      </c>
      <c r="F55" s="58">
        <v>1</v>
      </c>
      <c r="G55" s="59" t="e">
        <f t="shared" si="60"/>
        <v>#N/A</v>
      </c>
      <c r="H55" s="59" t="e">
        <f t="shared" si="61"/>
        <v>#N/A</v>
      </c>
      <c r="I55" s="273">
        <v>0</v>
      </c>
      <c r="K55" s="72"/>
      <c r="L55" s="71"/>
      <c r="M55" s="72"/>
      <c r="N55" s="71">
        <f t="shared" si="62"/>
        <v>0</v>
      </c>
      <c r="O55" s="73">
        <f t="shared" si="63"/>
        <v>0</v>
      </c>
      <c r="P55" s="74" t="s">
        <v>634</v>
      </c>
      <c r="Q55" s="75"/>
      <c r="R55" s="86" cm="1">
        <f t="array" ref="R55">_xlfn.IFS(P55=$P$28,$Q$28,P55=$P$26,Q55*$Q$26,P55=$P$27,Q55*$Q$27,P55=$P$25,Q55*$Q$25,P55=$P$29,$Q$29)</f>
        <v>0</v>
      </c>
      <c r="S55" s="108">
        <f t="shared" si="64"/>
        <v>0</v>
      </c>
      <c r="T55" s="76">
        <v>1</v>
      </c>
      <c r="U55" s="76"/>
      <c r="V55" s="77">
        <v>0</v>
      </c>
      <c r="W55" s="78"/>
      <c r="X55" s="79">
        <f t="shared" si="65"/>
        <v>0</v>
      </c>
      <c r="Y55" s="79">
        <f t="shared" si="66"/>
        <v>0</v>
      </c>
      <c r="Z55" s="80">
        <f t="shared" si="67"/>
        <v>0</v>
      </c>
      <c r="AA55" s="131">
        <f t="shared" si="68"/>
        <v>0</v>
      </c>
      <c r="AB55" s="81">
        <v>0.43</v>
      </c>
      <c r="AC55" s="81">
        <f t="shared" si="69"/>
        <v>0.01</v>
      </c>
      <c r="AD55" s="119">
        <f t="shared" si="70"/>
        <v>0</v>
      </c>
      <c r="AE55" s="119">
        <f t="shared" si="71"/>
        <v>0</v>
      </c>
      <c r="AF55" s="120">
        <f t="shared" si="72"/>
        <v>0</v>
      </c>
      <c r="AG55" s="148">
        <f t="shared" si="73"/>
        <v>0</v>
      </c>
      <c r="AH55" s="148" t="e">
        <f t="shared" si="74"/>
        <v>#N/A</v>
      </c>
      <c r="AI55" s="152" t="e">
        <f t="shared" si="75"/>
        <v>#N/A</v>
      </c>
      <c r="AJ55" s="152" t="e">
        <f t="shared" si="76"/>
        <v>#N/A</v>
      </c>
      <c r="AK55" s="135" t="e">
        <f t="shared" si="77"/>
        <v>#N/A</v>
      </c>
      <c r="AM55" s="98"/>
      <c r="AN55" s="100" t="b">
        <f t="shared" si="78"/>
        <v>0</v>
      </c>
      <c r="AO55" s="99">
        <f t="shared" si="79"/>
        <v>0.01</v>
      </c>
      <c r="AP55" s="100">
        <f t="shared" si="80"/>
        <v>0</v>
      </c>
      <c r="AQ55" s="101">
        <f t="shared" si="81"/>
        <v>0</v>
      </c>
    </row>
    <row r="56" spans="3:43" ht="15" hidden="1" customHeight="1" x14ac:dyDescent="0.25">
      <c r="C56" s="57"/>
      <c r="D56" s="57"/>
      <c r="E56" s="58" t="s">
        <v>6</v>
      </c>
      <c r="F56" s="58">
        <v>1</v>
      </c>
      <c r="G56" s="59" t="e">
        <f t="shared" si="60"/>
        <v>#N/A</v>
      </c>
      <c r="H56" s="59" t="e">
        <f t="shared" si="61"/>
        <v>#N/A</v>
      </c>
      <c r="I56" s="273">
        <v>0</v>
      </c>
      <c r="K56" s="72"/>
      <c r="L56" s="71"/>
      <c r="M56" s="72"/>
      <c r="N56" s="71">
        <f t="shared" si="62"/>
        <v>0</v>
      </c>
      <c r="O56" s="73">
        <f t="shared" si="63"/>
        <v>0</v>
      </c>
      <c r="P56" s="74" t="s">
        <v>634</v>
      </c>
      <c r="Q56" s="75"/>
      <c r="R56" s="86" cm="1">
        <f t="array" ref="R56">_xlfn.IFS(P56=$P$28,$Q$28,P56=$P$26,Q56*$Q$26,P56=$P$27,Q56*$Q$27,P56=$P$25,Q56*$Q$25,P56=$P$29,$Q$29)</f>
        <v>0</v>
      </c>
      <c r="S56" s="108">
        <f t="shared" si="64"/>
        <v>0</v>
      </c>
      <c r="T56" s="76">
        <v>1</v>
      </c>
      <c r="U56" s="76"/>
      <c r="V56" s="77">
        <v>0</v>
      </c>
      <c r="W56" s="78"/>
      <c r="X56" s="79">
        <f t="shared" si="65"/>
        <v>0</v>
      </c>
      <c r="Y56" s="79">
        <f t="shared" si="66"/>
        <v>0</v>
      </c>
      <c r="Z56" s="80">
        <f t="shared" si="67"/>
        <v>0</v>
      </c>
      <c r="AA56" s="131">
        <f t="shared" si="68"/>
        <v>0</v>
      </c>
      <c r="AB56" s="81">
        <v>0.43</v>
      </c>
      <c r="AC56" s="81">
        <f t="shared" si="69"/>
        <v>0.01</v>
      </c>
      <c r="AD56" s="119">
        <f t="shared" si="70"/>
        <v>0</v>
      </c>
      <c r="AE56" s="119">
        <f t="shared" si="71"/>
        <v>0</v>
      </c>
      <c r="AF56" s="120">
        <f t="shared" si="72"/>
        <v>0</v>
      </c>
      <c r="AG56" s="148">
        <f t="shared" si="73"/>
        <v>0</v>
      </c>
      <c r="AH56" s="148" t="e">
        <f t="shared" si="74"/>
        <v>#N/A</v>
      </c>
      <c r="AI56" s="152" t="e">
        <f t="shared" si="75"/>
        <v>#N/A</v>
      </c>
      <c r="AJ56" s="152" t="e">
        <f t="shared" si="76"/>
        <v>#N/A</v>
      </c>
      <c r="AK56" s="135" t="e">
        <f t="shared" si="77"/>
        <v>#N/A</v>
      </c>
      <c r="AM56" s="98"/>
      <c r="AN56" s="100" t="b">
        <f t="shared" si="78"/>
        <v>0</v>
      </c>
      <c r="AO56" s="99">
        <f t="shared" si="79"/>
        <v>0.01</v>
      </c>
      <c r="AP56" s="100">
        <f t="shared" si="80"/>
        <v>0</v>
      </c>
      <c r="AQ56" s="101">
        <f t="shared" si="81"/>
        <v>0</v>
      </c>
    </row>
    <row r="57" spans="3:43" ht="15" hidden="1" customHeight="1" x14ac:dyDescent="0.25">
      <c r="C57" s="57"/>
      <c r="D57" s="57"/>
      <c r="E57" s="58" t="s">
        <v>6</v>
      </c>
      <c r="F57" s="58">
        <v>1</v>
      </c>
      <c r="G57" s="59" t="e">
        <f t="shared" si="60"/>
        <v>#N/A</v>
      </c>
      <c r="H57" s="59" t="e">
        <f t="shared" si="61"/>
        <v>#N/A</v>
      </c>
      <c r="I57" s="273">
        <v>0</v>
      </c>
      <c r="K57" s="72"/>
      <c r="L57" s="71"/>
      <c r="M57" s="72"/>
      <c r="N57" s="71">
        <f t="shared" si="62"/>
        <v>0</v>
      </c>
      <c r="O57" s="73">
        <f t="shared" si="63"/>
        <v>0</v>
      </c>
      <c r="P57" s="74" t="s">
        <v>634</v>
      </c>
      <c r="Q57" s="75"/>
      <c r="R57" s="86" cm="1">
        <f t="array" ref="R57">_xlfn.IFS(P57=$P$28,$Q$28,P57=$P$26,Q57*$Q$26,P57=$P$27,Q57*$Q$27,P57=$P$25,Q57*$Q$25,P57=$P$29,$Q$29)</f>
        <v>0</v>
      </c>
      <c r="S57" s="108">
        <f t="shared" si="64"/>
        <v>0</v>
      </c>
      <c r="T57" s="76">
        <v>1</v>
      </c>
      <c r="U57" s="76"/>
      <c r="V57" s="77">
        <v>0</v>
      </c>
      <c r="W57" s="78"/>
      <c r="X57" s="79">
        <f t="shared" si="65"/>
        <v>0</v>
      </c>
      <c r="Y57" s="79">
        <f t="shared" si="66"/>
        <v>0</v>
      </c>
      <c r="Z57" s="80">
        <f t="shared" si="67"/>
        <v>0</v>
      </c>
      <c r="AA57" s="131">
        <f t="shared" si="68"/>
        <v>0</v>
      </c>
      <c r="AB57" s="81">
        <v>0.43</v>
      </c>
      <c r="AC57" s="81">
        <f t="shared" si="69"/>
        <v>0.01</v>
      </c>
      <c r="AD57" s="119">
        <f t="shared" si="70"/>
        <v>0</v>
      </c>
      <c r="AE57" s="119">
        <f t="shared" si="71"/>
        <v>0</v>
      </c>
      <c r="AF57" s="120">
        <f t="shared" si="72"/>
        <v>0</v>
      </c>
      <c r="AG57" s="148">
        <f t="shared" si="73"/>
        <v>0</v>
      </c>
      <c r="AH57" s="148" t="e">
        <f t="shared" si="74"/>
        <v>#N/A</v>
      </c>
      <c r="AI57" s="152" t="e">
        <f t="shared" si="75"/>
        <v>#N/A</v>
      </c>
      <c r="AJ57" s="152" t="e">
        <f t="shared" si="76"/>
        <v>#N/A</v>
      </c>
      <c r="AK57" s="135" t="e">
        <f t="shared" si="77"/>
        <v>#N/A</v>
      </c>
      <c r="AM57" s="98"/>
      <c r="AN57" s="100" t="b">
        <f t="shared" si="78"/>
        <v>0</v>
      </c>
      <c r="AO57" s="99">
        <f t="shared" si="79"/>
        <v>0.01</v>
      </c>
      <c r="AP57" s="100">
        <f t="shared" si="80"/>
        <v>0</v>
      </c>
      <c r="AQ57" s="101">
        <f t="shared" si="81"/>
        <v>0</v>
      </c>
    </row>
    <row r="58" spans="3:43" ht="15" hidden="1" customHeight="1" x14ac:dyDescent="0.25">
      <c r="C58" s="57"/>
      <c r="D58" s="57"/>
      <c r="E58" s="58" t="s">
        <v>6</v>
      </c>
      <c r="F58" s="58">
        <v>1</v>
      </c>
      <c r="G58" s="59" t="e">
        <f t="shared" si="60"/>
        <v>#N/A</v>
      </c>
      <c r="H58" s="59" t="e">
        <f t="shared" si="61"/>
        <v>#N/A</v>
      </c>
      <c r="I58" s="273">
        <v>0</v>
      </c>
      <c r="K58" s="72"/>
      <c r="L58" s="71"/>
      <c r="M58" s="72"/>
      <c r="N58" s="71">
        <f t="shared" si="62"/>
        <v>0</v>
      </c>
      <c r="O58" s="73">
        <f t="shared" si="63"/>
        <v>0</v>
      </c>
      <c r="P58" s="74" t="s">
        <v>634</v>
      </c>
      <c r="Q58" s="75"/>
      <c r="R58" s="86" cm="1">
        <f t="array" ref="R58">_xlfn.IFS(P58=$P$28,$Q$28,P58=$P$26,Q58*$Q$26,P58=$P$27,Q58*$Q$27,P58=$P$25,Q58*$Q$25,P58=$P$29,$Q$29)</f>
        <v>0</v>
      </c>
      <c r="S58" s="108">
        <f t="shared" si="64"/>
        <v>0</v>
      </c>
      <c r="T58" s="76">
        <v>1</v>
      </c>
      <c r="U58" s="76"/>
      <c r="V58" s="77">
        <v>0</v>
      </c>
      <c r="W58" s="78"/>
      <c r="X58" s="79">
        <f t="shared" si="65"/>
        <v>0</v>
      </c>
      <c r="Y58" s="79">
        <f t="shared" si="66"/>
        <v>0</v>
      </c>
      <c r="Z58" s="80">
        <f t="shared" si="67"/>
        <v>0</v>
      </c>
      <c r="AA58" s="131">
        <f t="shared" si="68"/>
        <v>0</v>
      </c>
      <c r="AB58" s="81">
        <v>0.43</v>
      </c>
      <c r="AC58" s="81">
        <f t="shared" si="69"/>
        <v>0.01</v>
      </c>
      <c r="AD58" s="119">
        <f t="shared" si="70"/>
        <v>0</v>
      </c>
      <c r="AE58" s="119">
        <f t="shared" si="71"/>
        <v>0</v>
      </c>
      <c r="AF58" s="120">
        <f t="shared" si="72"/>
        <v>0</v>
      </c>
      <c r="AG58" s="148">
        <f t="shared" si="73"/>
        <v>0</v>
      </c>
      <c r="AH58" s="148" t="e">
        <f t="shared" si="74"/>
        <v>#N/A</v>
      </c>
      <c r="AI58" s="152" t="e">
        <f t="shared" si="75"/>
        <v>#N/A</v>
      </c>
      <c r="AJ58" s="152" t="e">
        <f t="shared" si="76"/>
        <v>#N/A</v>
      </c>
      <c r="AK58" s="135" t="e">
        <f t="shared" si="77"/>
        <v>#N/A</v>
      </c>
      <c r="AM58" s="98"/>
      <c r="AN58" s="100" t="b">
        <f t="shared" si="78"/>
        <v>0</v>
      </c>
      <c r="AO58" s="99">
        <f t="shared" si="79"/>
        <v>0.01</v>
      </c>
      <c r="AP58" s="100">
        <f t="shared" si="80"/>
        <v>0</v>
      </c>
      <c r="AQ58" s="101">
        <f t="shared" si="81"/>
        <v>0</v>
      </c>
    </row>
    <row r="59" spans="3:43" ht="15" hidden="1" customHeight="1" x14ac:dyDescent="0.25">
      <c r="C59" s="57"/>
      <c r="D59" s="57"/>
      <c r="E59" s="58" t="s">
        <v>6</v>
      </c>
      <c r="F59" s="58">
        <v>1</v>
      </c>
      <c r="G59" s="59" t="e">
        <f t="shared" si="60"/>
        <v>#N/A</v>
      </c>
      <c r="H59" s="59" t="e">
        <f t="shared" si="61"/>
        <v>#N/A</v>
      </c>
      <c r="I59" s="273">
        <v>0</v>
      </c>
      <c r="K59" s="72"/>
      <c r="L59" s="71"/>
      <c r="M59" s="72"/>
      <c r="N59" s="71">
        <f t="shared" si="62"/>
        <v>0</v>
      </c>
      <c r="O59" s="73">
        <f t="shared" si="63"/>
        <v>0</v>
      </c>
      <c r="P59" s="74" t="s">
        <v>634</v>
      </c>
      <c r="Q59" s="75"/>
      <c r="R59" s="86" cm="1">
        <f t="array" ref="R59">_xlfn.IFS(P59=$P$28,$Q$28,P59=$P$26,Q59*$Q$26,P59=$P$27,Q59*$Q$27,P59=$P$25,Q59*$Q$25,P59=$P$29,$Q$29)</f>
        <v>0</v>
      </c>
      <c r="S59" s="108">
        <f t="shared" si="64"/>
        <v>0</v>
      </c>
      <c r="T59" s="76">
        <v>1</v>
      </c>
      <c r="U59" s="76"/>
      <c r="V59" s="77">
        <v>0</v>
      </c>
      <c r="W59" s="78"/>
      <c r="X59" s="79">
        <f t="shared" si="65"/>
        <v>0</v>
      </c>
      <c r="Y59" s="79">
        <f t="shared" si="66"/>
        <v>0</v>
      </c>
      <c r="Z59" s="80">
        <f t="shared" si="67"/>
        <v>0</v>
      </c>
      <c r="AA59" s="131">
        <f t="shared" si="68"/>
        <v>0</v>
      </c>
      <c r="AB59" s="81">
        <v>0.43</v>
      </c>
      <c r="AC59" s="81">
        <f t="shared" si="69"/>
        <v>0.01</v>
      </c>
      <c r="AD59" s="119">
        <f t="shared" si="70"/>
        <v>0</v>
      </c>
      <c r="AE59" s="119">
        <f t="shared" si="71"/>
        <v>0</v>
      </c>
      <c r="AF59" s="120">
        <f t="shared" si="72"/>
        <v>0</v>
      </c>
      <c r="AG59" s="148">
        <f t="shared" si="73"/>
        <v>0</v>
      </c>
      <c r="AH59" s="148" t="e">
        <f t="shared" si="74"/>
        <v>#N/A</v>
      </c>
      <c r="AI59" s="152" t="e">
        <f t="shared" si="75"/>
        <v>#N/A</v>
      </c>
      <c r="AJ59" s="152" t="e">
        <f t="shared" si="76"/>
        <v>#N/A</v>
      </c>
      <c r="AK59" s="135" t="e">
        <f t="shared" si="77"/>
        <v>#N/A</v>
      </c>
      <c r="AM59" s="98"/>
      <c r="AN59" s="100" t="b">
        <f t="shared" si="78"/>
        <v>0</v>
      </c>
      <c r="AO59" s="99">
        <f t="shared" si="79"/>
        <v>0.01</v>
      </c>
      <c r="AP59" s="100">
        <f t="shared" si="80"/>
        <v>0</v>
      </c>
      <c r="AQ59" s="101">
        <f t="shared" si="81"/>
        <v>0</v>
      </c>
    </row>
    <row r="60" spans="3:43" ht="15" hidden="1" customHeight="1" x14ac:dyDescent="0.25">
      <c r="C60" s="57"/>
      <c r="D60" s="57"/>
      <c r="E60" s="58" t="s">
        <v>6</v>
      </c>
      <c r="F60" s="58">
        <v>1</v>
      </c>
      <c r="G60" s="59" t="e">
        <f t="shared" si="60"/>
        <v>#N/A</v>
      </c>
      <c r="H60" s="59" t="e">
        <f t="shared" si="61"/>
        <v>#N/A</v>
      </c>
      <c r="I60" s="273">
        <v>0</v>
      </c>
      <c r="K60" s="72"/>
      <c r="L60" s="71"/>
      <c r="M60" s="72"/>
      <c r="N60" s="71">
        <f t="shared" si="62"/>
        <v>0</v>
      </c>
      <c r="O60" s="73">
        <f t="shared" si="63"/>
        <v>0</v>
      </c>
      <c r="P60" s="74" t="s">
        <v>634</v>
      </c>
      <c r="Q60" s="75"/>
      <c r="R60" s="86" cm="1">
        <f t="array" ref="R60">_xlfn.IFS(P60=$P$28,$Q$28,P60=$P$26,Q60*$Q$26,P60=$P$27,Q60*$Q$27,P60=$P$25,Q60*$Q$25,P60=$P$29,$Q$29)</f>
        <v>0</v>
      </c>
      <c r="S60" s="108">
        <f t="shared" si="64"/>
        <v>0</v>
      </c>
      <c r="T60" s="76">
        <v>1</v>
      </c>
      <c r="U60" s="76"/>
      <c r="V60" s="77">
        <v>0</v>
      </c>
      <c r="W60" s="78"/>
      <c r="X60" s="79">
        <f t="shared" si="65"/>
        <v>0</v>
      </c>
      <c r="Y60" s="79">
        <f t="shared" si="66"/>
        <v>0</v>
      </c>
      <c r="Z60" s="80">
        <f t="shared" si="67"/>
        <v>0</v>
      </c>
      <c r="AA60" s="131">
        <f t="shared" si="68"/>
        <v>0</v>
      </c>
      <c r="AB60" s="81">
        <v>0.43</v>
      </c>
      <c r="AC60" s="81">
        <f t="shared" si="69"/>
        <v>0.01</v>
      </c>
      <c r="AD60" s="119">
        <f t="shared" si="70"/>
        <v>0</v>
      </c>
      <c r="AE60" s="119">
        <f t="shared" si="71"/>
        <v>0</v>
      </c>
      <c r="AF60" s="120">
        <f t="shared" si="72"/>
        <v>0</v>
      </c>
      <c r="AG60" s="148">
        <f t="shared" si="73"/>
        <v>0</v>
      </c>
      <c r="AH60" s="148" t="e">
        <f t="shared" si="74"/>
        <v>#N/A</v>
      </c>
      <c r="AI60" s="152" t="e">
        <f t="shared" si="75"/>
        <v>#N/A</v>
      </c>
      <c r="AJ60" s="152" t="e">
        <f t="shared" si="76"/>
        <v>#N/A</v>
      </c>
      <c r="AK60" s="135" t="e">
        <f t="shared" si="77"/>
        <v>#N/A</v>
      </c>
      <c r="AM60" s="98"/>
      <c r="AN60" s="100" t="b">
        <f t="shared" si="78"/>
        <v>0</v>
      </c>
      <c r="AO60" s="99">
        <f t="shared" si="79"/>
        <v>0.01</v>
      </c>
      <c r="AP60" s="100">
        <f t="shared" si="80"/>
        <v>0</v>
      </c>
      <c r="AQ60" s="101">
        <f t="shared" si="81"/>
        <v>0</v>
      </c>
    </row>
    <row r="61" spans="3:43" ht="15" hidden="1" customHeight="1" x14ac:dyDescent="0.25">
      <c r="C61" s="57"/>
      <c r="D61" s="57"/>
      <c r="E61" s="58" t="s">
        <v>6</v>
      </c>
      <c r="F61" s="58">
        <v>1</v>
      </c>
      <c r="G61" s="59" t="e">
        <f t="shared" si="60"/>
        <v>#N/A</v>
      </c>
      <c r="H61" s="59" t="e">
        <f t="shared" si="61"/>
        <v>#N/A</v>
      </c>
      <c r="I61" s="273">
        <v>0</v>
      </c>
      <c r="K61" s="72"/>
      <c r="L61" s="71"/>
      <c r="M61" s="72"/>
      <c r="N61" s="71">
        <f t="shared" si="62"/>
        <v>0</v>
      </c>
      <c r="O61" s="73">
        <f t="shared" si="63"/>
        <v>0</v>
      </c>
      <c r="P61" s="74" t="s">
        <v>634</v>
      </c>
      <c r="Q61" s="75"/>
      <c r="R61" s="86" cm="1">
        <f t="array" ref="R61">_xlfn.IFS(P61=$P$28,$Q$28,P61=$P$26,Q61*$Q$26,P61=$P$27,Q61*$Q$27,P61=$P$25,Q61*$Q$25,P61=$P$29,$Q$29)</f>
        <v>0</v>
      </c>
      <c r="S61" s="108">
        <f t="shared" si="64"/>
        <v>0</v>
      </c>
      <c r="T61" s="76">
        <v>1</v>
      </c>
      <c r="U61" s="76"/>
      <c r="V61" s="77">
        <v>0</v>
      </c>
      <c r="W61" s="78"/>
      <c r="X61" s="79">
        <f t="shared" si="65"/>
        <v>0</v>
      </c>
      <c r="Y61" s="79">
        <f t="shared" si="66"/>
        <v>0</v>
      </c>
      <c r="Z61" s="80">
        <f t="shared" si="67"/>
        <v>0</v>
      </c>
      <c r="AA61" s="131">
        <f t="shared" si="68"/>
        <v>0</v>
      </c>
      <c r="AB61" s="81">
        <v>0.43</v>
      </c>
      <c r="AC61" s="81">
        <f t="shared" si="69"/>
        <v>0.01</v>
      </c>
      <c r="AD61" s="119">
        <f t="shared" si="70"/>
        <v>0</v>
      </c>
      <c r="AE61" s="119">
        <f t="shared" si="71"/>
        <v>0</v>
      </c>
      <c r="AF61" s="120">
        <f t="shared" si="72"/>
        <v>0</v>
      </c>
      <c r="AG61" s="148">
        <f t="shared" si="73"/>
        <v>0</v>
      </c>
      <c r="AH61" s="148" t="e">
        <f t="shared" si="74"/>
        <v>#N/A</v>
      </c>
      <c r="AI61" s="152" t="e">
        <f t="shared" si="75"/>
        <v>#N/A</v>
      </c>
      <c r="AJ61" s="152" t="e">
        <f t="shared" si="76"/>
        <v>#N/A</v>
      </c>
      <c r="AK61" s="135" t="e">
        <f t="shared" si="77"/>
        <v>#N/A</v>
      </c>
      <c r="AM61" s="98"/>
      <c r="AN61" s="100" t="b">
        <f t="shared" si="78"/>
        <v>0</v>
      </c>
      <c r="AO61" s="99">
        <f t="shared" si="79"/>
        <v>0.01</v>
      </c>
      <c r="AP61" s="100">
        <f t="shared" si="80"/>
        <v>0</v>
      </c>
      <c r="AQ61" s="101">
        <f t="shared" si="81"/>
        <v>0</v>
      </c>
    </row>
    <row r="62" spans="3:43" ht="15" hidden="1" customHeight="1" x14ac:dyDescent="0.25">
      <c r="C62" s="57"/>
      <c r="D62" s="57"/>
      <c r="E62" s="58" t="s">
        <v>6</v>
      </c>
      <c r="F62" s="58">
        <v>1</v>
      </c>
      <c r="G62" s="59" t="e">
        <f t="shared" si="60"/>
        <v>#N/A</v>
      </c>
      <c r="H62" s="59" t="e">
        <f t="shared" si="61"/>
        <v>#N/A</v>
      </c>
      <c r="I62" s="273">
        <v>0</v>
      </c>
      <c r="K62" s="72"/>
      <c r="L62" s="71"/>
      <c r="M62" s="72"/>
      <c r="N62" s="71">
        <f t="shared" si="62"/>
        <v>0</v>
      </c>
      <c r="O62" s="73">
        <f t="shared" si="63"/>
        <v>0</v>
      </c>
      <c r="P62" s="74" t="s">
        <v>634</v>
      </c>
      <c r="Q62" s="75"/>
      <c r="R62" s="86" cm="1">
        <f t="array" ref="R62">_xlfn.IFS(P62=$P$28,$Q$28,P62=$P$26,Q62*$Q$26,P62=$P$27,Q62*$Q$27,P62=$P$25,Q62*$Q$25,P62=$P$29,$Q$29)</f>
        <v>0</v>
      </c>
      <c r="S62" s="108">
        <f t="shared" si="64"/>
        <v>0</v>
      </c>
      <c r="T62" s="76">
        <v>1</v>
      </c>
      <c r="U62" s="76"/>
      <c r="V62" s="77">
        <v>0</v>
      </c>
      <c r="W62" s="78"/>
      <c r="X62" s="79">
        <f t="shared" si="65"/>
        <v>0</v>
      </c>
      <c r="Y62" s="79">
        <f t="shared" si="66"/>
        <v>0</v>
      </c>
      <c r="Z62" s="80">
        <f t="shared" si="67"/>
        <v>0</v>
      </c>
      <c r="AA62" s="131">
        <f t="shared" si="68"/>
        <v>0</v>
      </c>
      <c r="AB62" s="81">
        <v>0.43</v>
      </c>
      <c r="AC62" s="81">
        <f t="shared" si="69"/>
        <v>0.01</v>
      </c>
      <c r="AD62" s="119">
        <f t="shared" si="70"/>
        <v>0</v>
      </c>
      <c r="AE62" s="119">
        <f t="shared" si="71"/>
        <v>0</v>
      </c>
      <c r="AF62" s="120">
        <f t="shared" si="72"/>
        <v>0</v>
      </c>
      <c r="AG62" s="148">
        <f t="shared" si="73"/>
        <v>0</v>
      </c>
      <c r="AH62" s="148" t="e">
        <f t="shared" si="74"/>
        <v>#N/A</v>
      </c>
      <c r="AI62" s="152" t="e">
        <f t="shared" si="75"/>
        <v>#N/A</v>
      </c>
      <c r="AJ62" s="152" t="e">
        <f t="shared" si="76"/>
        <v>#N/A</v>
      </c>
      <c r="AK62" s="135" t="e">
        <f t="shared" si="77"/>
        <v>#N/A</v>
      </c>
      <c r="AM62" s="98"/>
      <c r="AN62" s="100" t="b">
        <f t="shared" si="78"/>
        <v>0</v>
      </c>
      <c r="AO62" s="99">
        <f t="shared" si="79"/>
        <v>0.01</v>
      </c>
      <c r="AP62" s="100">
        <f t="shared" si="80"/>
        <v>0</v>
      </c>
      <c r="AQ62" s="101">
        <f t="shared" si="81"/>
        <v>0</v>
      </c>
    </row>
    <row r="63" spans="3:43" ht="15" hidden="1" customHeight="1" x14ac:dyDescent="0.25">
      <c r="C63" s="57"/>
      <c r="D63" s="57"/>
      <c r="E63" s="58" t="s">
        <v>6</v>
      </c>
      <c r="F63" s="58">
        <v>1</v>
      </c>
      <c r="G63" s="59" t="e">
        <f t="shared" si="60"/>
        <v>#N/A</v>
      </c>
      <c r="H63" s="59" t="e">
        <f t="shared" si="61"/>
        <v>#N/A</v>
      </c>
      <c r="I63" s="273">
        <v>0</v>
      </c>
      <c r="K63" s="72"/>
      <c r="L63" s="71"/>
      <c r="M63" s="72"/>
      <c r="N63" s="71">
        <f t="shared" si="62"/>
        <v>0</v>
      </c>
      <c r="O63" s="73">
        <f t="shared" si="63"/>
        <v>0</v>
      </c>
      <c r="P63" s="74" t="s">
        <v>634</v>
      </c>
      <c r="Q63" s="75"/>
      <c r="R63" s="86" cm="1">
        <f t="array" ref="R63">_xlfn.IFS(P63=$P$28,$Q$28,P63=$P$26,Q63*$Q$26,P63=$P$27,Q63*$Q$27,P63=$P$25,Q63*$Q$25,P63=$P$29,$Q$29)</f>
        <v>0</v>
      </c>
      <c r="S63" s="108">
        <f t="shared" si="64"/>
        <v>0</v>
      </c>
      <c r="T63" s="76">
        <v>1</v>
      </c>
      <c r="U63" s="76"/>
      <c r="V63" s="77">
        <v>0</v>
      </c>
      <c r="W63" s="78"/>
      <c r="X63" s="79">
        <f t="shared" si="65"/>
        <v>0</v>
      </c>
      <c r="Y63" s="79">
        <f t="shared" si="66"/>
        <v>0</v>
      </c>
      <c r="Z63" s="80">
        <f t="shared" si="67"/>
        <v>0</v>
      </c>
      <c r="AA63" s="131">
        <f t="shared" si="68"/>
        <v>0</v>
      </c>
      <c r="AB63" s="81">
        <v>0.43</v>
      </c>
      <c r="AC63" s="81">
        <f t="shared" si="69"/>
        <v>0.01</v>
      </c>
      <c r="AD63" s="119">
        <f t="shared" si="70"/>
        <v>0</v>
      </c>
      <c r="AE63" s="119">
        <f t="shared" si="71"/>
        <v>0</v>
      </c>
      <c r="AF63" s="120">
        <f t="shared" si="72"/>
        <v>0</v>
      </c>
      <c r="AG63" s="148">
        <f t="shared" si="73"/>
        <v>0</v>
      </c>
      <c r="AH63" s="148" t="e">
        <f t="shared" si="74"/>
        <v>#N/A</v>
      </c>
      <c r="AI63" s="152" t="e">
        <f t="shared" si="75"/>
        <v>#N/A</v>
      </c>
      <c r="AJ63" s="152" t="e">
        <f t="shared" si="76"/>
        <v>#N/A</v>
      </c>
      <c r="AK63" s="135" t="e">
        <f t="shared" si="77"/>
        <v>#N/A</v>
      </c>
      <c r="AM63" s="98"/>
      <c r="AN63" s="100" t="b">
        <f t="shared" si="78"/>
        <v>0</v>
      </c>
      <c r="AO63" s="99">
        <f t="shared" si="79"/>
        <v>0.01</v>
      </c>
      <c r="AP63" s="100">
        <f t="shared" si="80"/>
        <v>0</v>
      </c>
      <c r="AQ63" s="101">
        <f t="shared" si="81"/>
        <v>0</v>
      </c>
    </row>
    <row r="64" spans="3:43" ht="15" hidden="1" customHeight="1" x14ac:dyDescent="0.25">
      <c r="C64" s="57"/>
      <c r="D64" s="57"/>
      <c r="E64" s="58" t="s">
        <v>6</v>
      </c>
      <c r="F64" s="58">
        <v>1</v>
      </c>
      <c r="G64" s="59" t="e">
        <f t="shared" si="60"/>
        <v>#N/A</v>
      </c>
      <c r="H64" s="59" t="e">
        <f t="shared" si="61"/>
        <v>#N/A</v>
      </c>
      <c r="I64" s="273">
        <v>0</v>
      </c>
      <c r="K64" s="72"/>
      <c r="L64" s="71"/>
      <c r="M64" s="72"/>
      <c r="N64" s="71">
        <f t="shared" si="62"/>
        <v>0</v>
      </c>
      <c r="O64" s="73">
        <f t="shared" si="63"/>
        <v>0</v>
      </c>
      <c r="P64" s="74" t="s">
        <v>634</v>
      </c>
      <c r="Q64" s="75"/>
      <c r="R64" s="86" cm="1">
        <f t="array" ref="R64">_xlfn.IFS(P64=$P$28,$Q$28,P64=$P$26,Q64*$Q$26,P64=$P$27,Q64*$Q$27,P64=$P$25,Q64*$Q$25,P64=$P$29,$Q$29)</f>
        <v>0</v>
      </c>
      <c r="S64" s="108">
        <f t="shared" si="64"/>
        <v>0</v>
      </c>
      <c r="T64" s="76">
        <v>1</v>
      </c>
      <c r="U64" s="76"/>
      <c r="V64" s="77">
        <v>0</v>
      </c>
      <c r="W64" s="78"/>
      <c r="X64" s="79">
        <f t="shared" si="65"/>
        <v>0</v>
      </c>
      <c r="Y64" s="79">
        <f t="shared" si="66"/>
        <v>0</v>
      </c>
      <c r="Z64" s="80">
        <f t="shared" si="67"/>
        <v>0</v>
      </c>
      <c r="AA64" s="131">
        <f t="shared" si="68"/>
        <v>0</v>
      </c>
      <c r="AB64" s="81">
        <v>0.43</v>
      </c>
      <c r="AC64" s="81">
        <f t="shared" si="69"/>
        <v>0.01</v>
      </c>
      <c r="AD64" s="119">
        <f t="shared" si="70"/>
        <v>0</v>
      </c>
      <c r="AE64" s="119">
        <f t="shared" si="71"/>
        <v>0</v>
      </c>
      <c r="AF64" s="120">
        <f t="shared" si="72"/>
        <v>0</v>
      </c>
      <c r="AG64" s="148">
        <f t="shared" si="73"/>
        <v>0</v>
      </c>
      <c r="AH64" s="148" t="e">
        <f t="shared" si="74"/>
        <v>#N/A</v>
      </c>
      <c r="AI64" s="152" t="e">
        <f t="shared" si="75"/>
        <v>#N/A</v>
      </c>
      <c r="AJ64" s="152" t="e">
        <f t="shared" si="76"/>
        <v>#N/A</v>
      </c>
      <c r="AK64" s="135" t="e">
        <f t="shared" si="77"/>
        <v>#N/A</v>
      </c>
      <c r="AM64" s="98"/>
      <c r="AN64" s="100" t="b">
        <f t="shared" si="78"/>
        <v>0</v>
      </c>
      <c r="AO64" s="99">
        <f t="shared" si="79"/>
        <v>0.01</v>
      </c>
      <c r="AP64" s="100">
        <f t="shared" si="80"/>
        <v>0</v>
      </c>
      <c r="AQ64" s="101">
        <f t="shared" si="81"/>
        <v>0</v>
      </c>
    </row>
    <row r="65" spans="3:43" ht="15" hidden="1" customHeight="1" x14ac:dyDescent="0.25">
      <c r="C65" s="57"/>
      <c r="D65" s="57"/>
      <c r="E65" s="58" t="s">
        <v>6</v>
      </c>
      <c r="F65" s="58">
        <v>1</v>
      </c>
      <c r="G65" s="59" t="e">
        <f t="shared" si="60"/>
        <v>#N/A</v>
      </c>
      <c r="H65" s="59" t="e">
        <f t="shared" si="61"/>
        <v>#N/A</v>
      </c>
      <c r="I65" s="273">
        <v>0</v>
      </c>
      <c r="K65" s="72"/>
      <c r="L65" s="71"/>
      <c r="M65" s="72"/>
      <c r="N65" s="71">
        <f t="shared" si="62"/>
        <v>0</v>
      </c>
      <c r="O65" s="73">
        <f t="shared" si="63"/>
        <v>0</v>
      </c>
      <c r="P65" s="74" t="s">
        <v>634</v>
      </c>
      <c r="Q65" s="75"/>
      <c r="R65" s="86" cm="1">
        <f t="array" ref="R65">_xlfn.IFS(P65=$P$28,$Q$28,P65=$P$26,Q65*$Q$26,P65=$P$27,Q65*$Q$27,P65=$P$25,Q65*$Q$25,P65=$P$29,$Q$29)</f>
        <v>0</v>
      </c>
      <c r="S65" s="108">
        <f t="shared" si="64"/>
        <v>0</v>
      </c>
      <c r="T65" s="76">
        <v>1</v>
      </c>
      <c r="U65" s="76"/>
      <c r="V65" s="77">
        <v>0</v>
      </c>
      <c r="W65" s="78"/>
      <c r="X65" s="79">
        <f t="shared" si="65"/>
        <v>0</v>
      </c>
      <c r="Y65" s="79">
        <f t="shared" si="66"/>
        <v>0</v>
      </c>
      <c r="Z65" s="80">
        <f t="shared" si="67"/>
        <v>0</v>
      </c>
      <c r="AA65" s="131">
        <f t="shared" si="68"/>
        <v>0</v>
      </c>
      <c r="AB65" s="81">
        <v>0.43</v>
      </c>
      <c r="AC65" s="81">
        <f t="shared" si="69"/>
        <v>0.01</v>
      </c>
      <c r="AD65" s="119">
        <f t="shared" si="70"/>
        <v>0</v>
      </c>
      <c r="AE65" s="119">
        <f t="shared" si="71"/>
        <v>0</v>
      </c>
      <c r="AF65" s="120">
        <f t="shared" si="72"/>
        <v>0</v>
      </c>
      <c r="AG65" s="148">
        <f t="shared" si="73"/>
        <v>0</v>
      </c>
      <c r="AH65" s="148" t="e">
        <f t="shared" si="74"/>
        <v>#N/A</v>
      </c>
      <c r="AI65" s="152" t="e">
        <f t="shared" si="75"/>
        <v>#N/A</v>
      </c>
      <c r="AJ65" s="152" t="e">
        <f t="shared" si="76"/>
        <v>#N/A</v>
      </c>
      <c r="AK65" s="135" t="e">
        <f t="shared" si="77"/>
        <v>#N/A</v>
      </c>
      <c r="AM65" s="98"/>
      <c r="AN65" s="100" t="b">
        <f t="shared" si="78"/>
        <v>0</v>
      </c>
      <c r="AO65" s="99">
        <f t="shared" si="79"/>
        <v>0.01</v>
      </c>
      <c r="AP65" s="100">
        <f t="shared" si="80"/>
        <v>0</v>
      </c>
      <c r="AQ65" s="101">
        <f t="shared" si="81"/>
        <v>0</v>
      </c>
    </row>
    <row r="66" spans="3:43" ht="15" hidden="1" customHeight="1" x14ac:dyDescent="0.25">
      <c r="C66" s="57"/>
      <c r="D66" s="57"/>
      <c r="E66" s="58" t="s">
        <v>6</v>
      </c>
      <c r="F66" s="58">
        <v>1</v>
      </c>
      <c r="G66" s="59" t="e">
        <f t="shared" si="60"/>
        <v>#N/A</v>
      </c>
      <c r="H66" s="59" t="e">
        <f t="shared" si="61"/>
        <v>#N/A</v>
      </c>
      <c r="I66" s="273">
        <v>0</v>
      </c>
      <c r="K66" s="72"/>
      <c r="L66" s="71"/>
      <c r="M66" s="72"/>
      <c r="N66" s="71">
        <f t="shared" si="62"/>
        <v>0</v>
      </c>
      <c r="O66" s="73">
        <f t="shared" si="63"/>
        <v>0</v>
      </c>
      <c r="P66" s="74" t="s">
        <v>634</v>
      </c>
      <c r="Q66" s="75"/>
      <c r="R66" s="86" cm="1">
        <f t="array" ref="R66">_xlfn.IFS(P66=$P$28,$Q$28,P66=$P$26,Q66*$Q$26,P66=$P$27,Q66*$Q$27,P66=$P$25,Q66*$Q$25,P66=$P$29,$Q$29)</f>
        <v>0</v>
      </c>
      <c r="S66" s="108">
        <f t="shared" si="64"/>
        <v>0</v>
      </c>
      <c r="T66" s="76">
        <v>1</v>
      </c>
      <c r="U66" s="76"/>
      <c r="V66" s="77">
        <v>0</v>
      </c>
      <c r="W66" s="78"/>
      <c r="X66" s="79">
        <f t="shared" si="65"/>
        <v>0</v>
      </c>
      <c r="Y66" s="79">
        <f t="shared" si="66"/>
        <v>0</v>
      </c>
      <c r="Z66" s="80">
        <f t="shared" si="67"/>
        <v>0</v>
      </c>
      <c r="AA66" s="131">
        <f t="shared" si="68"/>
        <v>0</v>
      </c>
      <c r="AB66" s="81">
        <v>0.43</v>
      </c>
      <c r="AC66" s="81">
        <f t="shared" si="69"/>
        <v>0.01</v>
      </c>
      <c r="AD66" s="119">
        <f t="shared" si="70"/>
        <v>0</v>
      </c>
      <c r="AE66" s="119">
        <f t="shared" si="71"/>
        <v>0</v>
      </c>
      <c r="AF66" s="120">
        <f t="shared" si="72"/>
        <v>0</v>
      </c>
      <c r="AG66" s="148">
        <f t="shared" si="73"/>
        <v>0</v>
      </c>
      <c r="AH66" s="148" t="e">
        <f t="shared" si="74"/>
        <v>#N/A</v>
      </c>
      <c r="AI66" s="152" t="e">
        <f t="shared" si="75"/>
        <v>#N/A</v>
      </c>
      <c r="AJ66" s="152" t="e">
        <f t="shared" si="76"/>
        <v>#N/A</v>
      </c>
      <c r="AK66" s="135" t="e">
        <f t="shared" si="77"/>
        <v>#N/A</v>
      </c>
      <c r="AM66" s="98"/>
      <c r="AN66" s="100" t="b">
        <f t="shared" si="78"/>
        <v>0</v>
      </c>
      <c r="AO66" s="99">
        <f t="shared" si="79"/>
        <v>0.01</v>
      </c>
      <c r="AP66" s="100">
        <f t="shared" si="80"/>
        <v>0</v>
      </c>
      <c r="AQ66" s="101">
        <f t="shared" si="81"/>
        <v>0</v>
      </c>
    </row>
    <row r="67" spans="3:43" ht="15" hidden="1" customHeight="1" x14ac:dyDescent="0.25">
      <c r="C67" s="57"/>
      <c r="D67" s="57"/>
      <c r="E67" s="58" t="s">
        <v>6</v>
      </c>
      <c r="F67" s="58">
        <v>1</v>
      </c>
      <c r="G67" s="59" t="e">
        <f t="shared" si="60"/>
        <v>#N/A</v>
      </c>
      <c r="H67" s="59" t="e">
        <f t="shared" si="61"/>
        <v>#N/A</v>
      </c>
      <c r="I67" s="273">
        <v>0</v>
      </c>
      <c r="K67" s="72"/>
      <c r="L67" s="71"/>
      <c r="M67" s="72"/>
      <c r="N67" s="71">
        <f t="shared" si="62"/>
        <v>0</v>
      </c>
      <c r="O67" s="73">
        <f t="shared" si="63"/>
        <v>0</v>
      </c>
      <c r="P67" s="74" t="s">
        <v>634</v>
      </c>
      <c r="Q67" s="75"/>
      <c r="R67" s="86" cm="1">
        <f t="array" ref="R67">_xlfn.IFS(P67=$P$28,$Q$28,P67=$P$26,Q67*$Q$26,P67=$P$27,Q67*$Q$27,P67=$P$25,Q67*$Q$25,P67=$P$29,$Q$29)</f>
        <v>0</v>
      </c>
      <c r="S67" s="108">
        <f t="shared" si="64"/>
        <v>0</v>
      </c>
      <c r="T67" s="76">
        <v>1</v>
      </c>
      <c r="U67" s="76"/>
      <c r="V67" s="77">
        <v>0</v>
      </c>
      <c r="W67" s="78"/>
      <c r="X67" s="79">
        <f t="shared" si="65"/>
        <v>0</v>
      </c>
      <c r="Y67" s="79">
        <f t="shared" si="66"/>
        <v>0</v>
      </c>
      <c r="Z67" s="80">
        <f t="shared" si="67"/>
        <v>0</v>
      </c>
      <c r="AA67" s="131">
        <f t="shared" si="68"/>
        <v>0</v>
      </c>
      <c r="AB67" s="81">
        <v>0.43</v>
      </c>
      <c r="AC67" s="81">
        <f t="shared" si="69"/>
        <v>0.01</v>
      </c>
      <c r="AD67" s="119">
        <f t="shared" si="70"/>
        <v>0</v>
      </c>
      <c r="AE67" s="119">
        <f t="shared" si="71"/>
        <v>0</v>
      </c>
      <c r="AF67" s="120">
        <f t="shared" si="72"/>
        <v>0</v>
      </c>
      <c r="AG67" s="148">
        <f t="shared" si="73"/>
        <v>0</v>
      </c>
      <c r="AH67" s="148" t="e">
        <f t="shared" si="74"/>
        <v>#N/A</v>
      </c>
      <c r="AI67" s="152" t="e">
        <f t="shared" si="75"/>
        <v>#N/A</v>
      </c>
      <c r="AJ67" s="152" t="e">
        <f t="shared" si="76"/>
        <v>#N/A</v>
      </c>
      <c r="AK67" s="135" t="e">
        <f t="shared" si="77"/>
        <v>#N/A</v>
      </c>
      <c r="AM67" s="98"/>
      <c r="AN67" s="100" t="b">
        <f t="shared" si="78"/>
        <v>0</v>
      </c>
      <c r="AO67" s="99">
        <f t="shared" si="79"/>
        <v>0.01</v>
      </c>
      <c r="AP67" s="100">
        <f t="shared" si="80"/>
        <v>0</v>
      </c>
      <c r="AQ67" s="101">
        <f t="shared" si="81"/>
        <v>0</v>
      </c>
    </row>
    <row r="68" spans="3:43" ht="15" hidden="1" customHeight="1" x14ac:dyDescent="0.25">
      <c r="C68" s="57"/>
      <c r="D68" s="57"/>
      <c r="E68" s="58" t="s">
        <v>6</v>
      </c>
      <c r="F68" s="58">
        <v>1</v>
      </c>
      <c r="G68" s="59" t="e">
        <f t="shared" si="60"/>
        <v>#N/A</v>
      </c>
      <c r="H68" s="59" t="e">
        <f t="shared" si="61"/>
        <v>#N/A</v>
      </c>
      <c r="I68" s="273">
        <v>0</v>
      </c>
      <c r="K68" s="72"/>
      <c r="L68" s="71"/>
      <c r="M68" s="72"/>
      <c r="N68" s="71">
        <f t="shared" si="62"/>
        <v>0</v>
      </c>
      <c r="O68" s="73">
        <f t="shared" si="63"/>
        <v>0</v>
      </c>
      <c r="P68" s="74" t="s">
        <v>634</v>
      </c>
      <c r="Q68" s="75"/>
      <c r="R68" s="86" cm="1">
        <f t="array" ref="R68">_xlfn.IFS(P68=$P$28,$Q$28,P68=$P$26,Q68*$Q$26,P68=$P$27,Q68*$Q$27,P68=$P$25,Q68*$Q$25,P68=$P$29,$Q$29)</f>
        <v>0</v>
      </c>
      <c r="S68" s="108">
        <f t="shared" si="64"/>
        <v>0</v>
      </c>
      <c r="T68" s="76">
        <v>1</v>
      </c>
      <c r="U68" s="76"/>
      <c r="V68" s="77">
        <v>0</v>
      </c>
      <c r="W68" s="78"/>
      <c r="X68" s="79">
        <f t="shared" si="65"/>
        <v>0</v>
      </c>
      <c r="Y68" s="79">
        <f t="shared" si="66"/>
        <v>0</v>
      </c>
      <c r="Z68" s="80">
        <f t="shared" si="67"/>
        <v>0</v>
      </c>
      <c r="AA68" s="131">
        <f t="shared" si="68"/>
        <v>0</v>
      </c>
      <c r="AB68" s="81">
        <v>0.43</v>
      </c>
      <c r="AC68" s="81">
        <f t="shared" si="69"/>
        <v>0.01</v>
      </c>
      <c r="AD68" s="119">
        <f t="shared" si="70"/>
        <v>0</v>
      </c>
      <c r="AE68" s="119">
        <f t="shared" si="71"/>
        <v>0</v>
      </c>
      <c r="AF68" s="120">
        <f t="shared" si="72"/>
        <v>0</v>
      </c>
      <c r="AG68" s="148">
        <f t="shared" si="73"/>
        <v>0</v>
      </c>
      <c r="AH68" s="148" t="e">
        <f t="shared" si="74"/>
        <v>#N/A</v>
      </c>
      <c r="AI68" s="152" t="e">
        <f t="shared" si="75"/>
        <v>#N/A</v>
      </c>
      <c r="AJ68" s="152" t="e">
        <f t="shared" si="76"/>
        <v>#N/A</v>
      </c>
      <c r="AK68" s="135" t="e">
        <f t="shared" si="77"/>
        <v>#N/A</v>
      </c>
      <c r="AM68" s="98"/>
      <c r="AN68" s="100" t="b">
        <f t="shared" si="78"/>
        <v>0</v>
      </c>
      <c r="AO68" s="99">
        <f t="shared" si="79"/>
        <v>0.01</v>
      </c>
      <c r="AP68" s="100">
        <f t="shared" si="80"/>
        <v>0</v>
      </c>
      <c r="AQ68" s="101">
        <f t="shared" si="81"/>
        <v>0</v>
      </c>
    </row>
    <row r="69" spans="3:43" ht="15" hidden="1" customHeight="1" x14ac:dyDescent="0.25">
      <c r="C69" s="57"/>
      <c r="D69" s="57"/>
      <c r="E69" s="58" t="s">
        <v>6</v>
      </c>
      <c r="F69" s="58">
        <v>1</v>
      </c>
      <c r="G69" s="59" t="e">
        <f t="shared" si="60"/>
        <v>#N/A</v>
      </c>
      <c r="H69" s="59" t="e">
        <f t="shared" si="61"/>
        <v>#N/A</v>
      </c>
      <c r="I69" s="273">
        <v>0</v>
      </c>
      <c r="K69" s="72"/>
      <c r="L69" s="71"/>
      <c r="M69" s="72"/>
      <c r="N69" s="71">
        <f t="shared" si="62"/>
        <v>0</v>
      </c>
      <c r="O69" s="73">
        <f t="shared" si="63"/>
        <v>0</v>
      </c>
      <c r="P69" s="74" t="s">
        <v>634</v>
      </c>
      <c r="Q69" s="75"/>
      <c r="R69" s="86" cm="1">
        <f t="array" ref="R69">_xlfn.IFS(P69=$P$28,$Q$28,P69=$P$26,Q69*$Q$26,P69=$P$27,Q69*$Q$27,P69=$P$25,Q69*$Q$25,P69=$P$29,$Q$29)</f>
        <v>0</v>
      </c>
      <c r="S69" s="108">
        <f t="shared" si="64"/>
        <v>0</v>
      </c>
      <c r="T69" s="76">
        <v>1</v>
      </c>
      <c r="U69" s="76"/>
      <c r="V69" s="77">
        <v>0</v>
      </c>
      <c r="W69" s="78"/>
      <c r="X69" s="79">
        <f t="shared" si="65"/>
        <v>0</v>
      </c>
      <c r="Y69" s="79">
        <f t="shared" si="66"/>
        <v>0</v>
      </c>
      <c r="Z69" s="80">
        <f t="shared" si="67"/>
        <v>0</v>
      </c>
      <c r="AA69" s="131">
        <f t="shared" si="68"/>
        <v>0</v>
      </c>
      <c r="AB69" s="81">
        <v>0.43</v>
      </c>
      <c r="AC69" s="81">
        <f t="shared" si="69"/>
        <v>0.01</v>
      </c>
      <c r="AD69" s="119">
        <f t="shared" si="70"/>
        <v>0</v>
      </c>
      <c r="AE69" s="119">
        <f t="shared" si="71"/>
        <v>0</v>
      </c>
      <c r="AF69" s="120">
        <f t="shared" si="72"/>
        <v>0</v>
      </c>
      <c r="AG69" s="148">
        <f t="shared" si="73"/>
        <v>0</v>
      </c>
      <c r="AH69" s="148" t="e">
        <f t="shared" si="74"/>
        <v>#N/A</v>
      </c>
      <c r="AI69" s="152" t="e">
        <f t="shared" si="75"/>
        <v>#N/A</v>
      </c>
      <c r="AJ69" s="152" t="e">
        <f t="shared" si="76"/>
        <v>#N/A</v>
      </c>
      <c r="AK69" s="135" t="e">
        <f t="shared" si="77"/>
        <v>#N/A</v>
      </c>
      <c r="AM69" s="98"/>
      <c r="AN69" s="100" t="b">
        <f t="shared" si="78"/>
        <v>0</v>
      </c>
      <c r="AO69" s="99">
        <f t="shared" si="79"/>
        <v>0.01</v>
      </c>
      <c r="AP69" s="100">
        <f t="shared" si="80"/>
        <v>0</v>
      </c>
      <c r="AQ69" s="101">
        <f t="shared" si="81"/>
        <v>0</v>
      </c>
    </row>
    <row r="70" spans="3:43" ht="15" hidden="1" customHeight="1" x14ac:dyDescent="0.25">
      <c r="C70" s="57"/>
      <c r="D70" s="57"/>
      <c r="E70" s="58" t="s">
        <v>6</v>
      </c>
      <c r="F70" s="58">
        <v>1</v>
      </c>
      <c r="G70" s="59" t="e">
        <f t="shared" si="60"/>
        <v>#N/A</v>
      </c>
      <c r="H70" s="59" t="e">
        <f t="shared" si="61"/>
        <v>#N/A</v>
      </c>
      <c r="I70" s="273">
        <v>0</v>
      </c>
      <c r="K70" s="72"/>
      <c r="L70" s="71"/>
      <c r="M70" s="72"/>
      <c r="N70" s="71">
        <f t="shared" si="62"/>
        <v>0</v>
      </c>
      <c r="O70" s="73">
        <f t="shared" si="63"/>
        <v>0</v>
      </c>
      <c r="P70" s="74" t="s">
        <v>634</v>
      </c>
      <c r="Q70" s="75"/>
      <c r="R70" s="86" cm="1">
        <f t="array" ref="R70">_xlfn.IFS(P70=$P$28,$Q$28,P70=$P$26,Q70*$Q$26,P70=$P$27,Q70*$Q$27,P70=$P$25,Q70*$Q$25,P70=$P$29,$Q$29)</f>
        <v>0</v>
      </c>
      <c r="S70" s="108">
        <f t="shared" si="64"/>
        <v>0</v>
      </c>
      <c r="T70" s="76">
        <v>1</v>
      </c>
      <c r="U70" s="76"/>
      <c r="V70" s="77">
        <v>0</v>
      </c>
      <c r="W70" s="78"/>
      <c r="X70" s="79">
        <f t="shared" si="65"/>
        <v>0</v>
      </c>
      <c r="Y70" s="79">
        <f t="shared" si="66"/>
        <v>0</v>
      </c>
      <c r="Z70" s="80">
        <f t="shared" si="67"/>
        <v>0</v>
      </c>
      <c r="AA70" s="131">
        <f t="shared" si="68"/>
        <v>0</v>
      </c>
      <c r="AB70" s="81">
        <v>0.43</v>
      </c>
      <c r="AC70" s="81">
        <f t="shared" si="69"/>
        <v>0.01</v>
      </c>
      <c r="AD70" s="119">
        <f t="shared" si="70"/>
        <v>0</v>
      </c>
      <c r="AE70" s="119">
        <f t="shared" si="71"/>
        <v>0</v>
      </c>
      <c r="AF70" s="120">
        <f t="shared" si="72"/>
        <v>0</v>
      </c>
      <c r="AG70" s="148">
        <f t="shared" si="73"/>
        <v>0</v>
      </c>
      <c r="AH70" s="148" t="e">
        <f t="shared" si="74"/>
        <v>#N/A</v>
      </c>
      <c r="AI70" s="152" t="e">
        <f t="shared" si="75"/>
        <v>#N/A</v>
      </c>
      <c r="AJ70" s="152" t="e">
        <f t="shared" si="76"/>
        <v>#N/A</v>
      </c>
      <c r="AK70" s="135" t="e">
        <f t="shared" si="77"/>
        <v>#N/A</v>
      </c>
      <c r="AM70" s="98"/>
      <c r="AN70" s="100" t="b">
        <f t="shared" si="78"/>
        <v>0</v>
      </c>
      <c r="AO70" s="99">
        <f t="shared" si="79"/>
        <v>0.01</v>
      </c>
      <c r="AP70" s="100">
        <f t="shared" si="80"/>
        <v>0</v>
      </c>
      <c r="AQ70" s="101">
        <f t="shared" si="81"/>
        <v>0</v>
      </c>
    </row>
    <row r="71" spans="3:43" ht="15" hidden="1" customHeight="1" x14ac:dyDescent="0.25">
      <c r="C71" s="57"/>
      <c r="D71" s="57"/>
      <c r="E71" s="58" t="s">
        <v>6</v>
      </c>
      <c r="F71" s="58">
        <v>1</v>
      </c>
      <c r="G71" s="59" t="e">
        <f t="shared" si="60"/>
        <v>#N/A</v>
      </c>
      <c r="H71" s="59" t="e">
        <f t="shared" si="61"/>
        <v>#N/A</v>
      </c>
      <c r="I71" s="273">
        <v>0</v>
      </c>
      <c r="K71" s="72"/>
      <c r="L71" s="71"/>
      <c r="M71" s="72"/>
      <c r="N71" s="71">
        <f t="shared" si="62"/>
        <v>0</v>
      </c>
      <c r="O71" s="73">
        <f t="shared" si="63"/>
        <v>0</v>
      </c>
      <c r="P71" s="74" t="s">
        <v>634</v>
      </c>
      <c r="Q71" s="75"/>
      <c r="R71" s="86" cm="1">
        <f t="array" ref="R71">_xlfn.IFS(P71=$P$28,$Q$28,P71=$P$26,Q71*$Q$26,P71=$P$27,Q71*$Q$27,P71=$P$25,Q71*$Q$25,P71=$P$29,$Q$29)</f>
        <v>0</v>
      </c>
      <c r="S71" s="108">
        <f t="shared" si="64"/>
        <v>0</v>
      </c>
      <c r="T71" s="76">
        <v>1</v>
      </c>
      <c r="U71" s="76"/>
      <c r="V71" s="77">
        <v>0</v>
      </c>
      <c r="W71" s="78"/>
      <c r="X71" s="79">
        <f t="shared" si="65"/>
        <v>0</v>
      </c>
      <c r="Y71" s="79">
        <f t="shared" si="66"/>
        <v>0</v>
      </c>
      <c r="Z71" s="80">
        <f t="shared" si="67"/>
        <v>0</v>
      </c>
      <c r="AA71" s="131">
        <f t="shared" si="68"/>
        <v>0</v>
      </c>
      <c r="AB71" s="81">
        <v>0.43</v>
      </c>
      <c r="AC71" s="81">
        <f t="shared" si="69"/>
        <v>0.01</v>
      </c>
      <c r="AD71" s="119">
        <f t="shared" si="70"/>
        <v>0</v>
      </c>
      <c r="AE71" s="119">
        <f t="shared" si="71"/>
        <v>0</v>
      </c>
      <c r="AF71" s="120">
        <f t="shared" si="72"/>
        <v>0</v>
      </c>
      <c r="AG71" s="148">
        <f t="shared" si="73"/>
        <v>0</v>
      </c>
      <c r="AH71" s="148" t="e">
        <f t="shared" si="74"/>
        <v>#N/A</v>
      </c>
      <c r="AI71" s="152" t="e">
        <f t="shared" si="75"/>
        <v>#N/A</v>
      </c>
      <c r="AJ71" s="152" t="e">
        <f t="shared" si="76"/>
        <v>#N/A</v>
      </c>
      <c r="AK71" s="135" t="e">
        <f t="shared" si="77"/>
        <v>#N/A</v>
      </c>
      <c r="AM71" s="98"/>
      <c r="AN71" s="100" t="b">
        <f t="shared" si="78"/>
        <v>0</v>
      </c>
      <c r="AO71" s="99">
        <f t="shared" si="79"/>
        <v>0.01</v>
      </c>
      <c r="AP71" s="100">
        <f t="shared" si="80"/>
        <v>0</v>
      </c>
      <c r="AQ71" s="101">
        <f t="shared" si="81"/>
        <v>0</v>
      </c>
    </row>
    <row r="72" spans="3:43" hidden="1" x14ac:dyDescent="0.25">
      <c r="C72" s="57"/>
      <c r="D72" s="57"/>
      <c r="E72" s="58"/>
      <c r="F72" s="58"/>
      <c r="G72" s="59"/>
      <c r="H72" s="59"/>
      <c r="I72" s="273"/>
      <c r="K72" s="72"/>
      <c r="L72" s="71"/>
      <c r="M72" s="72"/>
      <c r="N72" s="71"/>
      <c r="O72" s="73"/>
      <c r="P72" s="74"/>
      <c r="Q72" s="75"/>
      <c r="R72" s="86"/>
      <c r="S72" s="108"/>
      <c r="T72" s="76"/>
      <c r="U72" s="76"/>
      <c r="V72" s="77"/>
      <c r="W72" s="78"/>
      <c r="X72" s="79"/>
      <c r="Y72" s="79"/>
      <c r="Z72" s="80"/>
      <c r="AA72" s="131"/>
      <c r="AB72" s="81"/>
      <c r="AC72" s="81"/>
      <c r="AD72" s="119"/>
      <c r="AE72" s="119"/>
      <c r="AF72" s="120"/>
      <c r="AG72" s="148"/>
      <c r="AH72" s="148"/>
      <c r="AI72" s="152"/>
      <c r="AJ72" s="152"/>
      <c r="AK72" s="135"/>
      <c r="AM72" s="98"/>
      <c r="AN72" s="100"/>
      <c r="AO72" s="99"/>
      <c r="AP72" s="100"/>
      <c r="AQ72" s="101"/>
    </row>
    <row r="73" spans="3:43" x14ac:dyDescent="0.25">
      <c r="C73" s="57"/>
      <c r="D73" s="277" t="s">
        <v>950</v>
      </c>
      <c r="E73" s="58" t="e">
        <f>VLOOKUP(D73,'Cenník Sinclair '!$B$2:$D$43,3,FALSE)</f>
        <v>#N/A</v>
      </c>
      <c r="F73" s="58">
        <v>1001</v>
      </c>
      <c r="G73" s="59" t="e">
        <f t="shared" ref="G73" si="82">H73/F73</f>
        <v>#N/A</v>
      </c>
      <c r="H73" s="59" t="e">
        <f t="shared" ref="H73" si="83">AK73</f>
        <v>#N/A</v>
      </c>
      <c r="I73" s="59" t="e">
        <f>AK73</f>
        <v>#N/A</v>
      </c>
      <c r="K73" s="72" t="e">
        <f>VLOOKUP(D73,'Cenník Sinclair '!$B$2:$F$101,5,FALSE)</f>
        <v>#N/A</v>
      </c>
      <c r="L73" s="71" t="e">
        <f>VLOOKUP(D73,'Cenník Sinclair '!$B$2:$C$101,2,FALSE)</f>
        <v>#N/A</v>
      </c>
      <c r="M73" s="117" t="e">
        <f>VLOOKUP(D73,'Cenník Sinclair '!$B$2:$E$101,4,FALSE)</f>
        <v>#N/A</v>
      </c>
      <c r="N73" s="71" t="e">
        <f t="shared" ref="N73" si="84">L73*(1-M73)</f>
        <v>#N/A</v>
      </c>
      <c r="O73" s="73" t="e">
        <f t="shared" ref="O73" si="85">N73*F73</f>
        <v>#N/A</v>
      </c>
      <c r="P73" s="74" t="s">
        <v>634</v>
      </c>
      <c r="Q73" s="75"/>
      <c r="R73" s="86" cm="1">
        <f t="array" ref="R73">_xlfn.IFS(P73=$P$28,$Q$28,P73=$P$26,Q73*$Q$26,P73=$P$27,Q73*$Q$27,P73=$P$25,Q73*$Q$25,P73=$P$29,$Q$29)</f>
        <v>0</v>
      </c>
      <c r="S73" s="108" t="e">
        <f t="shared" ref="S73" si="86">O73+R73</f>
        <v>#N/A</v>
      </c>
      <c r="T73" s="76">
        <v>1</v>
      </c>
      <c r="U73" s="76"/>
      <c r="V73" s="77">
        <v>0</v>
      </c>
      <c r="W73" s="78"/>
      <c r="X73" s="79">
        <f t="shared" ref="X73" si="87">IF(W73=$W$27,$X$27,0)+IF(W73=$W$28,$X$28,0)+IF(W73=$W$29,$X$29,0)</f>
        <v>0</v>
      </c>
      <c r="Y73" s="79">
        <f t="shared" ref="Y73" si="88">X73*U73*V73*T73</f>
        <v>0</v>
      </c>
      <c r="Z73" s="80">
        <f t="shared" ref="Z73" si="89">Y73*F73</f>
        <v>0</v>
      </c>
      <c r="AA73" s="131" t="e">
        <f t="shared" ref="AA73" si="90">S73+Z73</f>
        <v>#N/A</v>
      </c>
      <c r="AB73" s="81">
        <f t="shared" ref="AB73" si="91">$AB$34</f>
        <v>0.3</v>
      </c>
      <c r="AC73" s="81">
        <f t="shared" ref="AC73" si="92">$AC$34</f>
        <v>0.01</v>
      </c>
      <c r="AD73" s="119" t="e">
        <f t="shared" ref="AD73" si="93">S73*AB73</f>
        <v>#N/A</v>
      </c>
      <c r="AE73" s="119">
        <f t="shared" ref="AE73" si="94">Z73*AC73</f>
        <v>0</v>
      </c>
      <c r="AF73" s="120" t="e">
        <f t="shared" ref="AF73" si="95">AD73+AE73</f>
        <v>#N/A</v>
      </c>
      <c r="AG73" s="148" t="e">
        <f t="shared" ref="AG73" si="96">AA73+AF73</f>
        <v>#N/A</v>
      </c>
      <c r="AH73" s="148" t="e">
        <f>$AH$34/$Z$86*AA73</f>
        <v>#N/A</v>
      </c>
      <c r="AI73" s="152" t="e">
        <f t="shared" ref="AI73" si="97">AG73+AH73</f>
        <v>#N/A</v>
      </c>
      <c r="AJ73" s="152" t="e">
        <f>$AJ$34/$AF$86*AF73</f>
        <v>#N/A</v>
      </c>
      <c r="AK73" s="135" t="e">
        <f t="shared" ref="AK73" si="98">AI73+AJ73</f>
        <v>#N/A</v>
      </c>
      <c r="AM73" s="98"/>
      <c r="AN73" s="100" t="b">
        <f t="shared" ref="AN73" si="99">IF(AM73="Powering",O73)</f>
        <v>0</v>
      </c>
      <c r="AO73" s="99">
        <f t="shared" ref="AO73" si="100">$AO$34</f>
        <v>0.01</v>
      </c>
      <c r="AP73" s="100">
        <f t="shared" ref="AP73" si="101">AN73*AO73</f>
        <v>0</v>
      </c>
      <c r="AQ73" s="101">
        <f t="shared" ref="AQ73" si="102">AN73-AP73</f>
        <v>0</v>
      </c>
    </row>
    <row r="74" spans="3:43" x14ac:dyDescent="0.25">
      <c r="C74" s="57"/>
      <c r="D74" s="57" t="s">
        <v>727</v>
      </c>
      <c r="E74" s="58" t="e">
        <f>VLOOKUP(D74,cenniktoshiba!$B$3:$D190,3,FALSE)</f>
        <v>#N/A</v>
      </c>
      <c r="F74" s="58">
        <v>1000</v>
      </c>
      <c r="G74" s="59" t="e">
        <f t="shared" ref="G74" si="103">H74/F74</f>
        <v>#N/A</v>
      </c>
      <c r="H74" s="59" t="e">
        <f t="shared" ref="H74" si="104">AK74</f>
        <v>#N/A</v>
      </c>
      <c r="I74" s="59" t="e">
        <f t="shared" ref="I74" si="105">AK74</f>
        <v>#N/A</v>
      </c>
      <c r="K74" s="72" t="e">
        <f>VLOOKUP(D74,cenniktoshiba!$B$3:$F190,5,FALSE)</f>
        <v>#N/A</v>
      </c>
      <c r="L74" s="71" t="e">
        <f>VLOOKUP(D74,cenniktoshiba!$B$3:$C190,2,FALSE)</f>
        <v>#N/A</v>
      </c>
      <c r="M74" s="117" t="e">
        <f>VLOOKUP(D74,cenniktoshiba!$B$3:$E190,4,FALSE)</f>
        <v>#N/A</v>
      </c>
      <c r="N74" s="71" t="e">
        <f t="shared" ref="N74" si="106">L74*(1-M74)</f>
        <v>#N/A</v>
      </c>
      <c r="O74" s="73" t="e">
        <f t="shared" ref="O74" si="107">N74*F74</f>
        <v>#N/A</v>
      </c>
      <c r="P74" s="74" t="s">
        <v>634</v>
      </c>
      <c r="Q74" s="75"/>
      <c r="R74" s="86" cm="1">
        <f t="array" ref="R74">_xlfn.IFS(P74=$P$28,$Q$28,P74=$P$26,Q74*$Q$26,P74=$P$27,Q74*$Q$27,P74=$P$25,Q74*$Q$25,P74=$P$29,$Q$29)</f>
        <v>0</v>
      </c>
      <c r="S74" s="108" t="e">
        <f t="shared" ref="S74" si="108">O74+R74</f>
        <v>#N/A</v>
      </c>
      <c r="T74" s="76">
        <v>1</v>
      </c>
      <c r="U74" s="76"/>
      <c r="V74" s="77">
        <v>0</v>
      </c>
      <c r="W74" s="78"/>
      <c r="X74" s="79">
        <f t="shared" ref="X74" si="109">IF(W74=$W$27,$X$27,0)+IF(W74=$W$28,$X$28,0)+IF(W74=$W$29,$X$29,0)</f>
        <v>0</v>
      </c>
      <c r="Y74" s="79">
        <f t="shared" ref="Y74" si="110">X74*U74*V74*T74</f>
        <v>0</v>
      </c>
      <c r="Z74" s="80">
        <f t="shared" ref="Z74" si="111">Y74*F74</f>
        <v>0</v>
      </c>
      <c r="AA74" s="131" t="e">
        <f t="shared" ref="AA74" si="112">S74+Z74</f>
        <v>#N/A</v>
      </c>
      <c r="AB74" s="81">
        <f t="shared" ref="AB74" si="113">$AB$34</f>
        <v>0.3</v>
      </c>
      <c r="AC74" s="81">
        <f t="shared" ref="AC74" si="114">$AC$34</f>
        <v>0.01</v>
      </c>
      <c r="AD74" s="119" t="e">
        <f t="shared" ref="AD74" si="115">S74*AB74</f>
        <v>#N/A</v>
      </c>
      <c r="AE74" s="119">
        <f t="shared" ref="AE74" si="116">Z74*AC74</f>
        <v>0</v>
      </c>
      <c r="AF74" s="120" t="e">
        <f t="shared" ref="AF74" si="117">AD74+AE74</f>
        <v>#N/A</v>
      </c>
      <c r="AG74" s="148" t="e">
        <f t="shared" ref="AG74" si="118">AA74+AF74</f>
        <v>#N/A</v>
      </c>
      <c r="AH74" s="148" t="e">
        <f>$AH$34/$Z$86*AA74</f>
        <v>#N/A</v>
      </c>
      <c r="AI74" s="152" t="e">
        <f t="shared" ref="AI74" si="119">AG74+AH74</f>
        <v>#N/A</v>
      </c>
      <c r="AJ74" s="152" t="e">
        <f>$AJ$34/$AF$86*AF74</f>
        <v>#N/A</v>
      </c>
      <c r="AK74" s="135" t="e">
        <f t="shared" ref="AK74" si="120">AI74+AJ74</f>
        <v>#N/A</v>
      </c>
      <c r="AM74" s="98" t="s">
        <v>581</v>
      </c>
      <c r="AN74" s="100" t="e">
        <f t="shared" ref="AN74" si="121">IF(AM74="Powering",O74)</f>
        <v>#N/A</v>
      </c>
      <c r="AO74" s="99">
        <f t="shared" ref="AO74" si="122">$AO$34</f>
        <v>0.01</v>
      </c>
      <c r="AP74" s="100" t="e">
        <f t="shared" ref="AP74" si="123">AN74*AO74</f>
        <v>#N/A</v>
      </c>
      <c r="AQ74" s="101" t="e">
        <f t="shared" ref="AQ74" si="124">AN74-AP74</f>
        <v>#N/A</v>
      </c>
    </row>
    <row r="75" spans="3:43" x14ac:dyDescent="0.25">
      <c r="C75" s="57"/>
      <c r="D75" s="57" t="s">
        <v>1491</v>
      </c>
      <c r="E75" s="58" t="s">
        <v>6</v>
      </c>
      <c r="F75" s="58">
        <v>1</v>
      </c>
      <c r="G75" s="59" t="e">
        <f>H75/F75</f>
        <v>#N/A</v>
      </c>
      <c r="H75" s="59" t="e">
        <f>AK75</f>
        <v>#N/A</v>
      </c>
      <c r="I75" s="59">
        <v>200</v>
      </c>
      <c r="K75" s="72"/>
      <c r="L75" s="71">
        <v>135</v>
      </c>
      <c r="M75" s="275">
        <v>0</v>
      </c>
      <c r="N75" s="71">
        <f>L75*(1-M75)</f>
        <v>135</v>
      </c>
      <c r="O75" s="73">
        <f>N75*F75</f>
        <v>135</v>
      </c>
      <c r="P75" s="74" t="s">
        <v>634</v>
      </c>
      <c r="Q75" s="75"/>
      <c r="R75" s="86" cm="1">
        <f t="array" ref="R75">_xlfn.IFS(P75=$P$28,$Q$28,P75=$P$26,Q75*$Q$26,P75=$P$27,Q75*$Q$27,P75=$P$25,Q75*$Q$25,P75=$P$29,$Q$29)</f>
        <v>0</v>
      </c>
      <c r="S75" s="108">
        <f>O75+R75</f>
        <v>135</v>
      </c>
      <c r="T75" s="76">
        <v>1</v>
      </c>
      <c r="U75" s="76"/>
      <c r="V75" s="77">
        <v>0</v>
      </c>
      <c r="W75" s="78"/>
      <c r="X75" s="79">
        <f>IF(W75=$W$27,$X$27,0)+IF(W75=$W$28,$X$28,0)+IF(W75=$W$29,$X$29,0)</f>
        <v>0</v>
      </c>
      <c r="Y75" s="79">
        <f>X75*U75*V75*T75</f>
        <v>0</v>
      </c>
      <c r="Z75" s="80">
        <f>Y75*F75</f>
        <v>0</v>
      </c>
      <c r="AA75" s="131">
        <f>S75+Z75</f>
        <v>135</v>
      </c>
      <c r="AB75" s="81">
        <v>0</v>
      </c>
      <c r="AC75" s="81">
        <f t="shared" si="69"/>
        <v>0.01</v>
      </c>
      <c r="AD75" s="119">
        <f>S75*AB75</f>
        <v>0</v>
      </c>
      <c r="AE75" s="119">
        <f>Z75*AC75</f>
        <v>0</v>
      </c>
      <c r="AF75" s="120">
        <f>AD75+AE75</f>
        <v>0</v>
      </c>
      <c r="AG75" s="148">
        <f>AA75+AF75</f>
        <v>135</v>
      </c>
      <c r="AH75" s="148" t="e">
        <f>$AH$34/$Z$86*AA75</f>
        <v>#N/A</v>
      </c>
      <c r="AI75" s="152" t="e">
        <f>AG75+AH75</f>
        <v>#N/A</v>
      </c>
      <c r="AJ75" s="152" t="e">
        <f>$AJ$34/$AF$86*AF75</f>
        <v>#N/A</v>
      </c>
      <c r="AK75" s="135" t="e">
        <f>AI75+AJ75</f>
        <v>#N/A</v>
      </c>
      <c r="AM75" s="98"/>
      <c r="AN75" s="100" t="b">
        <f>IF(AM75="Powering",O75)</f>
        <v>0</v>
      </c>
      <c r="AO75" s="99">
        <f t="shared" si="79"/>
        <v>0.01</v>
      </c>
      <c r="AP75" s="100">
        <f>AN75*AO75</f>
        <v>0</v>
      </c>
      <c r="AQ75" s="101">
        <f>AN75-AP75</f>
        <v>0</v>
      </c>
    </row>
    <row r="76" spans="3:43" ht="16.5" hidden="1" customHeight="1" x14ac:dyDescent="0.25">
      <c r="C76" s="57"/>
      <c r="D76" s="57"/>
      <c r="E76" s="58"/>
      <c r="F76" s="58"/>
      <c r="G76" s="59"/>
      <c r="H76" s="59"/>
      <c r="I76" s="328"/>
      <c r="K76" s="72"/>
      <c r="L76" s="71"/>
      <c r="M76" s="117"/>
      <c r="N76" s="71"/>
      <c r="O76" s="73"/>
      <c r="P76" s="74"/>
      <c r="Q76" s="75"/>
      <c r="R76" s="86"/>
      <c r="S76" s="108"/>
      <c r="T76" s="76"/>
      <c r="U76" s="76"/>
      <c r="V76" s="77"/>
      <c r="W76" s="78"/>
      <c r="X76" s="79"/>
      <c r="Y76" s="79"/>
      <c r="Z76" s="80"/>
      <c r="AA76" s="131"/>
      <c r="AB76" s="81"/>
      <c r="AC76" s="81"/>
      <c r="AD76" s="119"/>
      <c r="AE76" s="119"/>
      <c r="AF76" s="120"/>
      <c r="AG76" s="148"/>
      <c r="AH76" s="148"/>
      <c r="AI76" s="152"/>
      <c r="AJ76" s="152"/>
      <c r="AK76" s="135"/>
      <c r="AM76" s="98"/>
      <c r="AN76" s="100"/>
      <c r="AO76" s="99"/>
      <c r="AP76" s="100"/>
      <c r="AQ76" s="101"/>
    </row>
    <row r="77" spans="3:43" x14ac:dyDescent="0.25">
      <c r="C77" s="199"/>
      <c r="D77" s="57" t="s">
        <v>962</v>
      </c>
      <c r="E77" s="58" t="s">
        <v>6</v>
      </c>
      <c r="F77" s="58">
        <v>1</v>
      </c>
      <c r="G77" s="59" t="e">
        <f>H77/F77</f>
        <v>#N/A</v>
      </c>
      <c r="H77" s="59" t="e">
        <f>AK77</f>
        <v>#N/A</v>
      </c>
      <c r="I77" s="328">
        <v>20</v>
      </c>
      <c r="K77" s="200"/>
      <c r="L77" s="201">
        <v>20</v>
      </c>
      <c r="M77" s="200"/>
      <c r="N77" s="201">
        <f>L77*(1-M77)</f>
        <v>20</v>
      </c>
      <c r="O77" s="202">
        <f>N77*F77</f>
        <v>20</v>
      </c>
      <c r="P77" s="203" t="s">
        <v>634</v>
      </c>
      <c r="Q77" s="204"/>
      <c r="R77" s="205" cm="1">
        <f t="array" ref="R77">_xlfn.IFS(P77=$P$28,$Q$28,P77=$P$26,Q77*$Q$26,P77=$P$27,Q77*$Q$27,P77=$P$25,Q77*$Q$25,P77=$P$29,$Q$29)</f>
        <v>0</v>
      </c>
      <c r="S77" s="206">
        <f>O77+R77</f>
        <v>20</v>
      </c>
      <c r="T77" s="207">
        <v>1</v>
      </c>
      <c r="U77" s="207"/>
      <c r="V77" s="208">
        <v>0</v>
      </c>
      <c r="W77" s="209"/>
      <c r="X77" s="210">
        <f>IF(W77=$W$27,$X$27,0)+IF(W77=$W$28,$X$28,0)+IF(W77=$W$29,$X$29,0)</f>
        <v>0</v>
      </c>
      <c r="Y77" s="210">
        <f>X77*U77*V77*T77</f>
        <v>0</v>
      </c>
      <c r="Z77" s="211">
        <f>Y77*F77</f>
        <v>0</v>
      </c>
      <c r="AA77" s="212">
        <f>S77+Z77</f>
        <v>20</v>
      </c>
      <c r="AB77" s="81">
        <v>0</v>
      </c>
      <c r="AC77" s="213">
        <f t="shared" si="69"/>
        <v>0.01</v>
      </c>
      <c r="AD77" s="214">
        <f>S77*AB77</f>
        <v>0</v>
      </c>
      <c r="AE77" s="214">
        <f>Z77*AC77</f>
        <v>0</v>
      </c>
      <c r="AF77" s="215">
        <f>AD77+AE77</f>
        <v>0</v>
      </c>
      <c r="AG77" s="216">
        <f>AA77+AF77</f>
        <v>20</v>
      </c>
      <c r="AH77" s="216" t="e">
        <f>$AH$34/$Z$86*AA77</f>
        <v>#N/A</v>
      </c>
      <c r="AI77" s="217" t="e">
        <f>AG77+AH77</f>
        <v>#N/A</v>
      </c>
      <c r="AJ77" s="217" t="e">
        <f>$AJ$34/$AF$86*AF77</f>
        <v>#N/A</v>
      </c>
      <c r="AK77" s="218" t="e">
        <f>AI77+AJ77</f>
        <v>#N/A</v>
      </c>
      <c r="AM77" s="219"/>
      <c r="AN77" s="220" t="b">
        <f>IF(AM77="Powering",O77)</f>
        <v>0</v>
      </c>
      <c r="AO77" s="221">
        <f t="shared" si="79"/>
        <v>0.01</v>
      </c>
      <c r="AP77" s="220">
        <f>AN77*AO77</f>
        <v>0</v>
      </c>
      <c r="AQ77" s="222">
        <f>AN77-AP77</f>
        <v>0</v>
      </c>
    </row>
    <row r="78" spans="3:43" hidden="1" x14ac:dyDescent="0.25">
      <c r="C78" s="57"/>
      <c r="D78" s="57"/>
      <c r="E78" s="58"/>
      <c r="F78" s="58"/>
      <c r="G78" s="59"/>
      <c r="H78" s="59"/>
      <c r="I78" s="328"/>
      <c r="K78" s="72"/>
      <c r="L78" s="71"/>
      <c r="M78" s="117"/>
      <c r="N78" s="71"/>
      <c r="O78" s="73"/>
      <c r="P78" s="74"/>
      <c r="Q78" s="75"/>
      <c r="R78" s="86"/>
      <c r="S78" s="108"/>
      <c r="T78" s="76"/>
      <c r="U78" s="76"/>
      <c r="V78" s="77"/>
      <c r="W78" s="78"/>
      <c r="X78" s="79"/>
      <c r="Y78" s="79"/>
      <c r="Z78" s="80"/>
      <c r="AA78" s="131"/>
      <c r="AB78" s="81"/>
      <c r="AC78" s="81"/>
      <c r="AD78" s="119"/>
      <c r="AE78" s="119"/>
      <c r="AF78" s="120"/>
      <c r="AG78" s="148"/>
      <c r="AH78" s="148"/>
      <c r="AI78" s="152"/>
      <c r="AJ78" s="152"/>
      <c r="AK78" s="135"/>
      <c r="AM78" s="98"/>
      <c r="AN78" s="100"/>
      <c r="AO78" s="99"/>
      <c r="AP78" s="100"/>
      <c r="AQ78" s="101"/>
    </row>
    <row r="79" spans="3:43" hidden="1" x14ac:dyDescent="0.25">
      <c r="C79" s="57"/>
      <c r="D79" s="57"/>
      <c r="E79" s="58"/>
      <c r="F79" s="58"/>
      <c r="G79" s="59"/>
      <c r="H79" s="59"/>
      <c r="I79" s="328"/>
      <c r="K79" s="72"/>
      <c r="L79" s="71"/>
      <c r="M79" s="72"/>
      <c r="N79" s="71"/>
      <c r="O79" s="73"/>
      <c r="P79" s="74"/>
      <c r="Q79" s="75"/>
      <c r="R79" s="86"/>
      <c r="S79" s="108"/>
      <c r="T79" s="76"/>
      <c r="U79" s="76"/>
      <c r="V79" s="77"/>
      <c r="W79" s="78"/>
      <c r="X79" s="79"/>
      <c r="Y79" s="79"/>
      <c r="Z79" s="80"/>
      <c r="AA79" s="131"/>
      <c r="AB79" s="81"/>
      <c r="AC79" s="81"/>
      <c r="AD79" s="119"/>
      <c r="AE79" s="119"/>
      <c r="AF79" s="120"/>
      <c r="AG79" s="148"/>
      <c r="AH79" s="148"/>
      <c r="AI79" s="152"/>
      <c r="AJ79" s="152"/>
      <c r="AK79" s="135"/>
      <c r="AM79" s="98"/>
      <c r="AN79" s="100"/>
      <c r="AO79" s="99"/>
      <c r="AP79" s="100"/>
      <c r="AQ79" s="101"/>
    </row>
    <row r="80" spans="3:43" hidden="1" x14ac:dyDescent="0.25">
      <c r="C80" s="57"/>
      <c r="D80" s="57"/>
      <c r="E80" s="58"/>
      <c r="F80" s="58"/>
      <c r="G80" s="59"/>
      <c r="H80" s="59"/>
      <c r="I80" s="328"/>
      <c r="K80" s="72"/>
      <c r="L80" s="71"/>
      <c r="M80" s="72"/>
      <c r="N80" s="71"/>
      <c r="O80" s="73"/>
      <c r="P80" s="74"/>
      <c r="Q80" s="75"/>
      <c r="R80" s="86"/>
      <c r="S80" s="108"/>
      <c r="T80" s="76"/>
      <c r="U80" s="76"/>
      <c r="V80" s="77"/>
      <c r="W80" s="78"/>
      <c r="X80" s="79"/>
      <c r="Y80" s="79"/>
      <c r="Z80" s="80"/>
      <c r="AA80" s="131"/>
      <c r="AB80" s="81"/>
      <c r="AC80" s="81"/>
      <c r="AD80" s="119"/>
      <c r="AE80" s="119"/>
      <c r="AF80" s="120"/>
      <c r="AG80" s="148"/>
      <c r="AH80" s="148"/>
      <c r="AI80" s="152"/>
      <c r="AJ80" s="152"/>
      <c r="AK80" s="135"/>
      <c r="AM80" s="98"/>
      <c r="AN80" s="100"/>
      <c r="AO80" s="99"/>
      <c r="AP80" s="100"/>
      <c r="AQ80" s="101"/>
    </row>
    <row r="81" spans="1:43" hidden="1" x14ac:dyDescent="0.25">
      <c r="C81" s="57"/>
      <c r="D81" s="57"/>
      <c r="E81" s="58"/>
      <c r="F81" s="58"/>
      <c r="G81" s="59"/>
      <c r="H81" s="59"/>
      <c r="I81" s="328"/>
      <c r="K81" s="72"/>
      <c r="L81" s="71"/>
      <c r="M81" s="72"/>
      <c r="N81" s="71"/>
      <c r="O81" s="73"/>
      <c r="P81" s="74"/>
      <c r="Q81" s="75"/>
      <c r="R81" s="86"/>
      <c r="S81" s="108"/>
      <c r="T81" s="76"/>
      <c r="U81" s="76"/>
      <c r="V81" s="77"/>
      <c r="W81" s="78"/>
      <c r="X81" s="79"/>
      <c r="Y81" s="79"/>
      <c r="Z81" s="80"/>
      <c r="AA81" s="131"/>
      <c r="AB81" s="81"/>
      <c r="AC81" s="81"/>
      <c r="AD81" s="119"/>
      <c r="AE81" s="119"/>
      <c r="AF81" s="120"/>
      <c r="AG81" s="148"/>
      <c r="AH81" s="148"/>
      <c r="AI81" s="152"/>
      <c r="AJ81" s="152"/>
      <c r="AK81" s="135"/>
      <c r="AM81" s="98"/>
      <c r="AN81" s="100"/>
      <c r="AO81" s="99"/>
      <c r="AP81" s="100"/>
      <c r="AQ81" s="101"/>
    </row>
    <row r="82" spans="1:43" x14ac:dyDescent="0.25">
      <c r="C82" s="57"/>
      <c r="D82" s="57" t="s">
        <v>684</v>
      </c>
      <c r="E82" s="58" t="s">
        <v>2</v>
      </c>
      <c r="F82" s="58">
        <v>5</v>
      </c>
      <c r="G82" s="59" t="e">
        <f t="shared" ref="G82:G83" si="125">H82/F82</f>
        <v>#N/A</v>
      </c>
      <c r="H82" s="59" t="e">
        <f t="shared" ref="H82:H83" si="126">AK82</f>
        <v>#N/A</v>
      </c>
      <c r="I82" s="59" t="e">
        <f t="shared" ref="I82:I83" si="127">AK82</f>
        <v>#N/A</v>
      </c>
      <c r="K82" s="72" t="str">
        <f>VLOOKUP(D82,'Cenník Beijer Anmima'!$B$3:$G176,6,FALSE)</f>
        <v>Beijer</v>
      </c>
      <c r="L82" s="71">
        <f>VLOOKUP(D82,'Cenník Beijer Anmima'!$B$2:$C$100,2,FALSE)</f>
        <v>4.1500000000000004</v>
      </c>
      <c r="M82" s="72">
        <v>0</v>
      </c>
      <c r="N82" s="71">
        <f t="shared" ref="N82:N83" si="128">L82*(1-M82)</f>
        <v>4.1500000000000004</v>
      </c>
      <c r="O82" s="73">
        <f t="shared" ref="O82:O83" si="129">N82*F82</f>
        <v>20.75</v>
      </c>
      <c r="P82" s="74" t="s">
        <v>634</v>
      </c>
      <c r="Q82" s="75"/>
      <c r="R82" s="86" cm="1">
        <f t="array" ref="R82">_xlfn.IFS(P82=$P$28,$Q$28,P82=$P$26,Q82*$Q$26,P82=$P$27,Q82*$Q$27,P82=$P$25,Q82*$Q$25,P82=$P$29,$Q$29)</f>
        <v>0</v>
      </c>
      <c r="S82" s="108">
        <f t="shared" ref="S82:S83" si="130">O82+R82</f>
        <v>20.75</v>
      </c>
      <c r="T82" s="76">
        <v>1</v>
      </c>
      <c r="U82" s="76"/>
      <c r="V82" s="77">
        <v>0</v>
      </c>
      <c r="W82" s="78"/>
      <c r="X82" s="79">
        <f t="shared" ref="X82:X83" si="131">IF(W82=$W$27,$X$27,0)+IF(W82=$W$28,$X$28,0)+IF(W82=$W$29,$X$29,0)</f>
        <v>0</v>
      </c>
      <c r="Y82" s="79">
        <f t="shared" ref="Y82:Y83" si="132">X82*U82*V82*T82</f>
        <v>0</v>
      </c>
      <c r="Z82" s="80">
        <f t="shared" ref="Z82:Z83" si="133">Y82*F82</f>
        <v>0</v>
      </c>
      <c r="AA82" s="131">
        <f t="shared" ref="AA82:AA83" si="134">S82+Z82</f>
        <v>20.75</v>
      </c>
      <c r="AB82" s="81">
        <f t="shared" ref="AB82:AB83" si="135">$AB$34</f>
        <v>0.3</v>
      </c>
      <c r="AC82" s="81">
        <f t="shared" ref="AC82:AC83" si="136">$AC$34</f>
        <v>0.01</v>
      </c>
      <c r="AD82" s="119">
        <f t="shared" ref="AD82:AD83" si="137">S82*AB82</f>
        <v>6.2249999999999996</v>
      </c>
      <c r="AE82" s="119">
        <f t="shared" ref="AE82:AE83" si="138">Z82*AC82</f>
        <v>0</v>
      </c>
      <c r="AF82" s="120">
        <f t="shared" ref="AF82:AF83" si="139">AD82+AE82</f>
        <v>6.2249999999999996</v>
      </c>
      <c r="AG82" s="148">
        <f t="shared" ref="AG82:AG83" si="140">AA82+AF82</f>
        <v>26.975000000000001</v>
      </c>
      <c r="AH82" s="148" t="e">
        <f>$AH$34/$Z$86*AA82</f>
        <v>#N/A</v>
      </c>
      <c r="AI82" s="152" t="e">
        <f t="shared" ref="AI82:AI83" si="141">AG82+AH82</f>
        <v>#N/A</v>
      </c>
      <c r="AJ82" s="152" t="e">
        <f>$AJ$34/$AF$86*AF82</f>
        <v>#N/A</v>
      </c>
      <c r="AK82" s="135" t="e">
        <f t="shared" ref="AK82:AK83" si="142">AI82+AJ82</f>
        <v>#N/A</v>
      </c>
      <c r="AM82" s="98"/>
      <c r="AN82" s="100" t="b">
        <f t="shared" ref="AN82:AN83" si="143">IF(AM82="Powering",O82)</f>
        <v>0</v>
      </c>
      <c r="AO82" s="99">
        <f t="shared" ref="AO82:AO83" si="144">$AO$34</f>
        <v>0.01</v>
      </c>
      <c r="AP82" s="100">
        <f t="shared" ref="AP82:AP83" si="145">AN82*AO82</f>
        <v>0</v>
      </c>
      <c r="AQ82" s="101">
        <f t="shared" ref="AQ82:AQ83" si="146">AN82-AP82</f>
        <v>0</v>
      </c>
    </row>
    <row r="83" spans="1:43" x14ac:dyDescent="0.25">
      <c r="C83" s="57"/>
      <c r="D83" s="57" t="s">
        <v>1492</v>
      </c>
      <c r="E83" s="58" t="s">
        <v>2</v>
      </c>
      <c r="F83" s="58">
        <v>3</v>
      </c>
      <c r="G83" s="59" t="e">
        <f t="shared" si="125"/>
        <v>#N/A</v>
      </c>
      <c r="H83" s="59" t="e">
        <f t="shared" si="126"/>
        <v>#N/A</v>
      </c>
      <c r="I83" s="59" t="e">
        <f t="shared" si="127"/>
        <v>#N/A</v>
      </c>
      <c r="K83" s="72" t="e">
        <f>VLOOKUP(D83,'Cenník Beijer Anmima'!$B$3:$G177,6,FALSE)</f>
        <v>#N/A</v>
      </c>
      <c r="L83" s="71">
        <f>VLOOKUP(D83,'Cenník Beijer Anmima'!$B$2:$C$100,2,FALSE)</f>
        <v>2.8600000000000003</v>
      </c>
      <c r="M83" s="72">
        <v>0</v>
      </c>
      <c r="N83" s="71">
        <f t="shared" si="128"/>
        <v>2.8600000000000003</v>
      </c>
      <c r="O83" s="73">
        <f t="shared" si="129"/>
        <v>8.5800000000000018</v>
      </c>
      <c r="P83" s="74" t="s">
        <v>634</v>
      </c>
      <c r="Q83" s="75"/>
      <c r="R83" s="86" cm="1">
        <f t="array" ref="R83">_xlfn.IFS(P83=$P$28,$Q$28,P83=$P$26,Q83*$Q$26,P83=$P$27,Q83*$Q$27,P83=$P$25,Q83*$Q$25,P83=$P$29,$Q$29)</f>
        <v>0</v>
      </c>
      <c r="S83" s="108">
        <f t="shared" si="130"/>
        <v>8.5800000000000018</v>
      </c>
      <c r="T83" s="76">
        <v>1</v>
      </c>
      <c r="U83" s="76"/>
      <c r="V83" s="77">
        <v>0</v>
      </c>
      <c r="W83" s="78"/>
      <c r="X83" s="79">
        <f t="shared" si="131"/>
        <v>0</v>
      </c>
      <c r="Y83" s="79">
        <f t="shared" si="132"/>
        <v>0</v>
      </c>
      <c r="Z83" s="80">
        <f t="shared" si="133"/>
        <v>0</v>
      </c>
      <c r="AA83" s="131">
        <f t="shared" si="134"/>
        <v>8.5800000000000018</v>
      </c>
      <c r="AB83" s="81">
        <f t="shared" si="135"/>
        <v>0.3</v>
      </c>
      <c r="AC83" s="81">
        <f t="shared" si="136"/>
        <v>0.01</v>
      </c>
      <c r="AD83" s="119">
        <f t="shared" si="137"/>
        <v>2.5740000000000003</v>
      </c>
      <c r="AE83" s="119">
        <f t="shared" si="138"/>
        <v>0</v>
      </c>
      <c r="AF83" s="120">
        <f t="shared" si="139"/>
        <v>2.5740000000000003</v>
      </c>
      <c r="AG83" s="148">
        <f t="shared" si="140"/>
        <v>11.154000000000002</v>
      </c>
      <c r="AH83" s="148" t="e">
        <f>$AH$34/$Z$86*AA83</f>
        <v>#N/A</v>
      </c>
      <c r="AI83" s="152" t="e">
        <f t="shared" si="141"/>
        <v>#N/A</v>
      </c>
      <c r="AJ83" s="152" t="e">
        <f>$AJ$34/$AF$86*AF83</f>
        <v>#N/A</v>
      </c>
      <c r="AK83" s="135" t="e">
        <f t="shared" si="142"/>
        <v>#N/A</v>
      </c>
      <c r="AM83" s="98"/>
      <c r="AN83" s="100" t="b">
        <f t="shared" si="143"/>
        <v>0</v>
      </c>
      <c r="AO83" s="99">
        <f t="shared" si="144"/>
        <v>0.01</v>
      </c>
      <c r="AP83" s="100">
        <f t="shared" si="145"/>
        <v>0</v>
      </c>
      <c r="AQ83" s="101">
        <f t="shared" si="146"/>
        <v>0</v>
      </c>
    </row>
    <row r="84" spans="1:43" x14ac:dyDescent="0.25">
      <c r="A84" s="1">
        <v>3</v>
      </c>
      <c r="B84" s="1">
        <v>3</v>
      </c>
      <c r="C84" s="6"/>
      <c r="D84" s="7" t="s">
        <v>1493</v>
      </c>
      <c r="E84" s="4" t="s">
        <v>2</v>
      </c>
      <c r="F84" s="147">
        <v>1</v>
      </c>
      <c r="G84" s="5"/>
      <c r="H84" s="5"/>
      <c r="I84" s="59">
        <v>55</v>
      </c>
    </row>
    <row r="85" spans="1:43" ht="27" thickBot="1" x14ac:dyDescent="0.3">
      <c r="A85" s="1"/>
      <c r="B85" s="1"/>
      <c r="C85" s="1"/>
      <c r="D85" s="245"/>
      <c r="E85" s="246"/>
      <c r="F85" s="247"/>
      <c r="G85" s="248"/>
      <c r="H85" s="248"/>
      <c r="I85" s="249" t="e">
        <f>SUM(I75:I84)</f>
        <v>#N/A</v>
      </c>
    </row>
    <row r="86" spans="1:43" ht="28.9" hidden="1" customHeight="1" outlineLevel="1" thickBot="1" x14ac:dyDescent="0.5">
      <c r="D86" s="260" t="s">
        <v>1003</v>
      </c>
      <c r="E86" s="261"/>
      <c r="F86" s="261"/>
      <c r="G86" s="261"/>
      <c r="H86" s="262" t="e">
        <f>I86</f>
        <v>#N/A</v>
      </c>
      <c r="I86" s="249" t="e">
        <f>SUM(I75:I85)</f>
        <v>#N/A</v>
      </c>
      <c r="N86" s="223" t="s">
        <v>565</v>
      </c>
      <c r="O86" s="224" t="e">
        <f>SUM(O35:O83)</f>
        <v>#N/A</v>
      </c>
      <c r="P86" s="225" t="s">
        <v>569</v>
      </c>
      <c r="Q86" s="226">
        <f>SUM(R35:R83)</f>
        <v>0</v>
      </c>
      <c r="R86" s="227" t="s">
        <v>570</v>
      </c>
      <c r="S86" s="228" t="e">
        <f>O86+Q86</f>
        <v>#N/A</v>
      </c>
      <c r="W86" s="229" t="s">
        <v>566</v>
      </c>
      <c r="X86" s="230">
        <f>SUM(Z35:Z83)</f>
        <v>0</v>
      </c>
      <c r="Y86" s="231" t="s">
        <v>567</v>
      </c>
      <c r="Z86" s="232" t="e">
        <f>S86+X86</f>
        <v>#N/A</v>
      </c>
      <c r="AA86" s="233" t="s">
        <v>746</v>
      </c>
      <c r="AB86" s="234" t="e">
        <f>SUM(AD35:AD83)</f>
        <v>#N/A</v>
      </c>
      <c r="AC86" s="233" t="s">
        <v>571</v>
      </c>
      <c r="AD86" s="235">
        <f>SUM(AE35:AE83)</f>
        <v>0</v>
      </c>
      <c r="AE86" s="236" t="s">
        <v>593</v>
      </c>
      <c r="AF86" s="237" t="e">
        <f>AB86+AD86</f>
        <v>#N/A</v>
      </c>
      <c r="AI86" s="484" t="s">
        <v>631</v>
      </c>
      <c r="AJ86" s="485"/>
      <c r="AK86" s="238" t="e">
        <f>SUM(AK35:AK83)</f>
        <v>#N/A</v>
      </c>
      <c r="AM86" s="239" t="s">
        <v>611</v>
      </c>
      <c r="AN86" s="240" t="e">
        <f>SUM(AN35:AN83)</f>
        <v>#N/A</v>
      </c>
      <c r="AO86" s="241">
        <f>AO34</f>
        <v>0.01</v>
      </c>
      <c r="AP86" s="242" t="e">
        <f>SUM(AP35:AP83)</f>
        <v>#N/A</v>
      </c>
      <c r="AQ86" s="243" t="e">
        <f>SUM(AQ35:AQ83)</f>
        <v>#N/A</v>
      </c>
    </row>
    <row r="87" spans="1:43" ht="33" customHeight="1" outlineLevel="1" thickBot="1" x14ac:dyDescent="0.5">
      <c r="D87" s="260"/>
      <c r="E87" s="261"/>
      <c r="F87" s="261"/>
      <c r="G87" s="261"/>
      <c r="H87" s="262"/>
      <c r="I87" s="269"/>
      <c r="K87" s="67" t="s">
        <v>572</v>
      </c>
      <c r="L87" s="68" t="e">
        <f>AB86</f>
        <v>#N/A</v>
      </c>
      <c r="M87" s="67" t="s">
        <v>571</v>
      </c>
      <c r="N87" s="69">
        <f>AD86</f>
        <v>0</v>
      </c>
      <c r="O87" s="87" t="s">
        <v>593</v>
      </c>
      <c r="P87" s="188" t="e">
        <f>AF86</f>
        <v>#N/A</v>
      </c>
      <c r="Q87" s="486" t="s">
        <v>724</v>
      </c>
      <c r="R87" s="487"/>
      <c r="S87" s="153" t="e">
        <f>$AF$86+$AJ$34</f>
        <v>#N/A</v>
      </c>
      <c r="T87" s="121"/>
      <c r="X87" s="433" t="s">
        <v>642</v>
      </c>
      <c r="Y87" s="434"/>
      <c r="Z87" s="140" t="e">
        <f>Z86+AH34</f>
        <v>#N/A</v>
      </c>
      <c r="AD87" s="486" t="s">
        <v>724</v>
      </c>
      <c r="AE87" s="487"/>
      <c r="AF87" s="153" t="e">
        <f>$AF$86+$AJ$34</f>
        <v>#N/A</v>
      </c>
      <c r="AG87" s="121"/>
      <c r="AH87" s="121"/>
      <c r="AI87" s="121"/>
      <c r="AJ87" s="121"/>
      <c r="AK87" s="121"/>
    </row>
    <row r="88" spans="1:43" ht="28.5" hidden="1" outlineLevel="1" x14ac:dyDescent="0.45">
      <c r="D88" s="260" t="s">
        <v>960</v>
      </c>
      <c r="E88" s="261"/>
      <c r="F88" s="261"/>
      <c r="G88" s="261"/>
      <c r="H88" s="262"/>
      <c r="I88" s="262" t="e">
        <f>I86*1.2</f>
        <v>#N/A</v>
      </c>
      <c r="U88" s="97"/>
      <c r="V88" s="97"/>
    </row>
    <row r="89" spans="1:43" ht="26.25" outlineLevel="1" x14ac:dyDescent="0.25">
      <c r="D89" s="65"/>
      <c r="T89" s="97"/>
      <c r="U89" s="97"/>
      <c r="V89" s="97"/>
    </row>
    <row r="90" spans="1:43" ht="15.75" outlineLevel="1" x14ac:dyDescent="0.25">
      <c r="C90" s="255" t="s">
        <v>594</v>
      </c>
      <c r="D90" s="244" t="s">
        <v>595</v>
      </c>
      <c r="E90" s="244"/>
      <c r="F90" s="244"/>
      <c r="G90" s="244"/>
      <c r="H90" s="244"/>
      <c r="I90" s="244"/>
      <c r="L90"/>
    </row>
    <row r="91" spans="1:43" ht="15.75" outlineLevel="1" x14ac:dyDescent="0.25">
      <c r="C91" s="244"/>
      <c r="D91" s="244"/>
      <c r="E91" s="244"/>
      <c r="F91" s="244"/>
      <c r="G91" s="244"/>
      <c r="H91" s="244"/>
      <c r="I91" s="244"/>
      <c r="L91"/>
    </row>
    <row r="92" spans="1:43" ht="21.75" customHeight="1" x14ac:dyDescent="0.25">
      <c r="C92" s="255" t="s">
        <v>596</v>
      </c>
      <c r="D92" s="256" t="s">
        <v>952</v>
      </c>
      <c r="E92" s="244"/>
      <c r="F92" s="244"/>
      <c r="G92" s="244"/>
      <c r="H92" s="244"/>
      <c r="I92" s="244"/>
      <c r="L92"/>
    </row>
    <row r="93" spans="1:43" ht="15.75" x14ac:dyDescent="0.25">
      <c r="C93" s="244"/>
      <c r="D93" s="244"/>
      <c r="E93" s="244"/>
      <c r="F93" s="244"/>
      <c r="G93" s="244"/>
      <c r="H93" s="244"/>
      <c r="I93" s="244"/>
      <c r="L93"/>
      <c r="N93" s="94"/>
    </row>
    <row r="94" spans="1:43" ht="7.9" customHeight="1" x14ac:dyDescent="0.25">
      <c r="C94" s="244"/>
      <c r="D94" s="244"/>
      <c r="E94" s="244"/>
      <c r="F94" s="244"/>
      <c r="G94" s="244"/>
      <c r="H94" s="244"/>
      <c r="I94" s="244"/>
      <c r="L94"/>
      <c r="N94" s="94"/>
    </row>
    <row r="95" spans="1:43" ht="15.75" x14ac:dyDescent="0.25">
      <c r="C95" s="255" t="s">
        <v>597</v>
      </c>
      <c r="D95" s="244" t="s">
        <v>932</v>
      </c>
      <c r="E95" s="244"/>
      <c r="F95" s="244"/>
      <c r="G95" s="244"/>
      <c r="H95" s="244"/>
      <c r="I95" s="244"/>
      <c r="L95"/>
      <c r="M95" s="94"/>
      <c r="N95" s="94"/>
    </row>
    <row r="96" spans="1:43" ht="7.9" customHeight="1" x14ac:dyDescent="0.25">
      <c r="C96" s="257"/>
      <c r="D96" s="257"/>
      <c r="E96" s="244"/>
      <c r="F96" s="244"/>
      <c r="G96" s="244"/>
      <c r="H96" s="244"/>
      <c r="I96" s="244"/>
      <c r="L96"/>
      <c r="M96" s="94"/>
      <c r="N96" s="94"/>
    </row>
    <row r="97" spans="3:14" ht="15.75" x14ac:dyDescent="0.25">
      <c r="C97" s="257"/>
      <c r="D97" s="257"/>
      <c r="E97" s="244"/>
      <c r="F97" s="244"/>
      <c r="G97" s="244"/>
      <c r="H97" s="244"/>
      <c r="I97" s="244"/>
      <c r="L97"/>
      <c r="M97" s="94"/>
      <c r="N97" s="94"/>
    </row>
    <row r="98" spans="3:14" ht="15.75" x14ac:dyDescent="0.25">
      <c r="C98" s="255" t="s">
        <v>598</v>
      </c>
      <c r="D98" s="244" t="s">
        <v>616</v>
      </c>
      <c r="E98" s="244"/>
      <c r="F98" s="244"/>
      <c r="G98" s="244"/>
      <c r="H98" s="244"/>
      <c r="I98" s="244"/>
      <c r="L98"/>
      <c r="M98" s="94"/>
      <c r="N98" s="94"/>
    </row>
    <row r="99" spans="3:14" ht="15.75" x14ac:dyDescent="0.25">
      <c r="C99" s="244"/>
      <c r="D99" s="244"/>
      <c r="E99" s="244"/>
      <c r="F99" s="244"/>
      <c r="G99" s="244"/>
      <c r="H99" s="244"/>
      <c r="I99" s="244"/>
      <c r="L99"/>
      <c r="M99" s="94"/>
      <c r="N99" s="94"/>
    </row>
    <row r="100" spans="3:14" ht="15.75" x14ac:dyDescent="0.25">
      <c r="C100" s="255" t="s">
        <v>599</v>
      </c>
      <c r="D100" s="499" t="s">
        <v>823</v>
      </c>
      <c r="E100" s="499"/>
      <c r="F100" s="499"/>
      <c r="G100" s="499"/>
      <c r="H100" s="499"/>
      <c r="I100" s="499"/>
      <c r="L100"/>
      <c r="M100" s="94"/>
      <c r="N100" s="94"/>
    </row>
    <row r="101" spans="3:14" ht="19.5" customHeight="1" x14ac:dyDescent="0.25">
      <c r="C101" s="244"/>
      <c r="D101" s="499"/>
      <c r="E101" s="499"/>
      <c r="F101" s="499"/>
      <c r="G101" s="499"/>
      <c r="H101" s="499"/>
      <c r="I101" s="499"/>
      <c r="L101"/>
    </row>
    <row r="102" spans="3:14" ht="16.5" customHeight="1" x14ac:dyDescent="0.25">
      <c r="C102" s="244"/>
      <c r="D102" s="244"/>
      <c r="E102" s="244"/>
      <c r="F102" s="244"/>
      <c r="G102" s="244"/>
      <c r="H102" s="244"/>
      <c r="I102" s="244"/>
      <c r="L102"/>
    </row>
    <row r="103" spans="3:14" ht="15.75" x14ac:dyDescent="0.25">
      <c r="C103" s="255" t="s">
        <v>600</v>
      </c>
      <c r="D103" s="500" t="s">
        <v>601</v>
      </c>
      <c r="E103" s="500"/>
      <c r="F103" s="500"/>
      <c r="G103" s="500"/>
      <c r="H103" s="500"/>
      <c r="I103" s="500"/>
      <c r="L103"/>
      <c r="M103" s="94"/>
      <c r="N103" s="94"/>
    </row>
    <row r="104" spans="3:14" ht="15.75" x14ac:dyDescent="0.25">
      <c r="C104" s="244"/>
      <c r="D104" s="244" t="s">
        <v>606</v>
      </c>
      <c r="E104" s="244"/>
      <c r="F104" s="244"/>
      <c r="G104" s="244"/>
      <c r="H104" s="244"/>
      <c r="I104" s="244"/>
    </row>
    <row r="105" spans="3:14" ht="14.45" customHeight="1" x14ac:dyDescent="0.25">
      <c r="C105" s="244"/>
      <c r="D105" s="500" t="s">
        <v>605</v>
      </c>
      <c r="E105" s="500"/>
      <c r="F105" s="500"/>
      <c r="G105" s="500"/>
      <c r="H105" s="500"/>
      <c r="I105" s="500"/>
    </row>
    <row r="106" spans="3:14" ht="14.45" customHeight="1" x14ac:dyDescent="0.25">
      <c r="C106" s="244"/>
      <c r="D106" s="500"/>
      <c r="E106" s="500"/>
      <c r="F106" s="500"/>
      <c r="G106" s="500"/>
      <c r="H106" s="500"/>
      <c r="I106" s="500"/>
      <c r="J106" s="95"/>
      <c r="K106" s="95"/>
      <c r="L106" s="95"/>
      <c r="M106" s="95"/>
      <c r="N106" s="95"/>
    </row>
    <row r="107" spans="3:14" ht="15.75" x14ac:dyDescent="0.25">
      <c r="C107" s="244"/>
      <c r="D107" s="244"/>
      <c r="E107" s="244"/>
      <c r="F107" s="244"/>
      <c r="G107" s="244"/>
      <c r="H107" s="244"/>
      <c r="I107" s="244"/>
      <c r="J107" s="96"/>
      <c r="K107" s="96"/>
      <c r="L107" s="96"/>
      <c r="M107" s="96"/>
      <c r="N107" s="96"/>
    </row>
    <row r="108" spans="3:14" ht="15" customHeight="1" x14ac:dyDescent="0.25">
      <c r="C108" s="255" t="s">
        <v>602</v>
      </c>
      <c r="D108" s="244" t="s">
        <v>607</v>
      </c>
      <c r="E108" s="244"/>
      <c r="F108" s="244"/>
      <c r="G108" s="244"/>
      <c r="H108" s="244"/>
      <c r="I108" s="244"/>
      <c r="L108"/>
      <c r="M108" s="94"/>
      <c r="N108" s="94"/>
    </row>
    <row r="109" spans="3:14" ht="14.45" customHeight="1" x14ac:dyDescent="0.25">
      <c r="C109" s="244"/>
      <c r="D109" s="244" t="s">
        <v>603</v>
      </c>
      <c r="E109" s="244"/>
      <c r="F109" s="244"/>
      <c r="G109" s="244"/>
      <c r="H109" s="244"/>
      <c r="I109" s="244"/>
      <c r="J109" s="64"/>
      <c r="K109" s="64"/>
      <c r="L109" s="64"/>
      <c r="M109" s="64"/>
      <c r="N109" s="64"/>
    </row>
    <row r="110" spans="3:14" ht="15" customHeight="1" x14ac:dyDescent="0.25">
      <c r="C110" s="244"/>
      <c r="D110" s="258" t="s">
        <v>617</v>
      </c>
      <c r="E110" s="244"/>
      <c r="F110" s="244"/>
      <c r="G110" s="244"/>
      <c r="H110" s="244"/>
      <c r="I110" s="244"/>
      <c r="L110"/>
      <c r="M110" s="94"/>
      <c r="N110" s="94"/>
    </row>
    <row r="111" spans="3:14" ht="14.45" customHeight="1" x14ac:dyDescent="0.25">
      <c r="C111" s="244"/>
      <c r="D111" s="258" t="s">
        <v>608</v>
      </c>
      <c r="E111" s="258"/>
      <c r="F111" s="258"/>
      <c r="G111" s="244"/>
      <c r="H111" s="244"/>
      <c r="I111" s="244"/>
      <c r="J111" s="64"/>
      <c r="K111" s="64"/>
      <c r="L111" s="64"/>
      <c r="M111" s="64"/>
      <c r="N111" s="64"/>
    </row>
    <row r="112" spans="3:14" ht="7.9" customHeight="1" x14ac:dyDescent="0.25">
      <c r="C112" s="244"/>
      <c r="D112" s="258"/>
      <c r="E112" s="258"/>
      <c r="F112" s="258"/>
      <c r="G112" s="259"/>
      <c r="H112" s="259"/>
      <c r="I112" s="259"/>
      <c r="J112" s="64"/>
      <c r="K112" s="64"/>
      <c r="L112" s="64"/>
      <c r="M112" s="64"/>
      <c r="N112" s="64"/>
    </row>
    <row r="113" spans="3:14" ht="15.75" x14ac:dyDescent="0.25">
      <c r="C113" s="244"/>
      <c r="D113" s="244"/>
      <c r="E113" s="258"/>
      <c r="F113" s="258"/>
      <c r="G113" s="244"/>
      <c r="H113" s="244"/>
      <c r="I113" s="244"/>
      <c r="L113"/>
      <c r="M113" s="94"/>
      <c r="N113" s="94"/>
    </row>
    <row r="114" spans="3:14" ht="15.75" x14ac:dyDescent="0.25">
      <c r="C114" s="244"/>
      <c r="D114" s="244" t="s">
        <v>604</v>
      </c>
      <c r="E114" s="244"/>
      <c r="F114" s="244"/>
      <c r="G114" s="244"/>
      <c r="H114" s="244"/>
      <c r="I114" s="244"/>
      <c r="L114"/>
      <c r="M114" s="94"/>
      <c r="N114" s="94"/>
    </row>
    <row r="115" spans="3:14" ht="15.75" x14ac:dyDescent="0.25">
      <c r="C115" s="244"/>
      <c r="D115" s="244"/>
      <c r="E115" s="244"/>
      <c r="F115" s="244"/>
      <c r="G115" s="244"/>
      <c r="H115" s="244"/>
      <c r="I115" s="244"/>
      <c r="L115"/>
    </row>
    <row r="116" spans="3:14" ht="15.75" x14ac:dyDescent="0.25">
      <c r="C116" s="244"/>
      <c r="D116" s="244"/>
      <c r="E116" s="244"/>
      <c r="F116" s="244"/>
      <c r="G116" s="244"/>
      <c r="H116" s="244"/>
      <c r="I116" s="244"/>
    </row>
    <row r="117" spans="3:14" ht="15.75" x14ac:dyDescent="0.25">
      <c r="C117" s="244"/>
      <c r="D117" s="257" t="str">
        <f>D28</f>
        <v>Mgr. Martin Holík</v>
      </c>
      <c r="E117" s="244"/>
      <c r="F117" s="244"/>
      <c r="G117" s="244"/>
      <c r="H117" s="244"/>
      <c r="I117" s="244"/>
    </row>
    <row r="118" spans="3:14" ht="15.75" x14ac:dyDescent="0.25">
      <c r="C118" s="244"/>
      <c r="D118" s="244" t="str">
        <f>VLOOKUP(D117,'databáza KONTAKTY'!$B$1:$F$14,5,FALSE)</f>
        <v>Konateľ</v>
      </c>
      <c r="E118" s="244"/>
      <c r="F118" s="244"/>
      <c r="G118" s="244"/>
      <c r="H118" s="244"/>
      <c r="I118" s="244"/>
    </row>
  </sheetData>
  <mergeCells count="78">
    <mergeCell ref="C13:I13"/>
    <mergeCell ref="C17:D17"/>
    <mergeCell ref="D100:I101"/>
    <mergeCell ref="D103:I103"/>
    <mergeCell ref="D105:I106"/>
    <mergeCell ref="E14:I14"/>
    <mergeCell ref="E15:I15"/>
    <mergeCell ref="E17:I17"/>
    <mergeCell ref="C32:C35"/>
    <mergeCell ref="I32:I35"/>
    <mergeCell ref="G32:G35"/>
    <mergeCell ref="G26:I26"/>
    <mergeCell ref="D32:D35"/>
    <mergeCell ref="AI86:AJ86"/>
    <mergeCell ref="AD87:AE87"/>
    <mergeCell ref="Q87:R87"/>
    <mergeCell ref="E18:F18"/>
    <mergeCell ref="G20:I20"/>
    <mergeCell ref="G27:I27"/>
    <mergeCell ref="G28:I28"/>
    <mergeCell ref="G18:I18"/>
    <mergeCell ref="E27:F27"/>
    <mergeCell ref="P34:P35"/>
    <mergeCell ref="E28:F28"/>
    <mergeCell ref="E20:F20"/>
    <mergeCell ref="E19:F19"/>
    <mergeCell ref="AG32:AJ32"/>
    <mergeCell ref="AH34:AH35"/>
    <mergeCell ref="AG34:AG35"/>
    <mergeCell ref="AG33:AH33"/>
    <mergeCell ref="AJ34:AJ35"/>
    <mergeCell ref="AI33:AJ33"/>
    <mergeCell ref="AI34:AI35"/>
    <mergeCell ref="AD32:AF32"/>
    <mergeCell ref="K31:AA31"/>
    <mergeCell ref="K32:S32"/>
    <mergeCell ref="K33:O33"/>
    <mergeCell ref="AD33:AD35"/>
    <mergeCell ref="AE33:AE35"/>
    <mergeCell ref="AB31:AF31"/>
    <mergeCell ref="AA32:AA35"/>
    <mergeCell ref="V33:V35"/>
    <mergeCell ref="W33:W35"/>
    <mergeCell ref="X33:X35"/>
    <mergeCell ref="Y33:Y35"/>
    <mergeCell ref="Z33:Z35"/>
    <mergeCell ref="L24:M24"/>
    <mergeCell ref="L28:M28"/>
    <mergeCell ref="AB32:AC32"/>
    <mergeCell ref="AB34:AB35"/>
    <mergeCell ref="AC34:AC35"/>
    <mergeCell ref="W25:X25"/>
    <mergeCell ref="L34:L35"/>
    <mergeCell ref="M34:M35"/>
    <mergeCell ref="N34:N35"/>
    <mergeCell ref="O34:O35"/>
    <mergeCell ref="Q34:Q35"/>
    <mergeCell ref="R34:R35"/>
    <mergeCell ref="P33:R33"/>
    <mergeCell ref="T32:Z32"/>
    <mergeCell ref="S33:S35"/>
    <mergeCell ref="T33:T35"/>
    <mergeCell ref="X87:Y87"/>
    <mergeCell ref="E26:F26"/>
    <mergeCell ref="AM31:AQ32"/>
    <mergeCell ref="AM33:AM35"/>
    <mergeCell ref="AN33:AN35"/>
    <mergeCell ref="AO34:AO35"/>
    <mergeCell ref="AP33:AP35"/>
    <mergeCell ref="AQ33:AQ35"/>
    <mergeCell ref="F32:F35"/>
    <mergeCell ref="E32:E35"/>
    <mergeCell ref="H32:H35"/>
    <mergeCell ref="K34:K35"/>
    <mergeCell ref="U33:U35"/>
    <mergeCell ref="AG31:AK31"/>
    <mergeCell ref="AK32:AK35"/>
    <mergeCell ref="AF33:AF35"/>
  </mergeCells>
  <phoneticPr fontId="27" type="noConversion"/>
  <dataValidations count="3">
    <dataValidation type="list" allowBlank="1" showInputMessage="1" showErrorMessage="1" sqref="W4:W11 W36:W83" xr:uid="{CEB26F90-E586-4B81-9F0D-063E64A5E2C9}">
      <formula1>$W$27:$W$30</formula1>
    </dataValidation>
    <dataValidation type="list" allowBlank="1" showInputMessage="1" showErrorMessage="1" sqref="P4:P11 P36:P83" xr:uid="{1807B791-92D7-43FA-BCEA-38050C2B8C28}">
      <formula1>$P$25:$P$29</formula1>
    </dataValidation>
    <dataValidation type="list" allowBlank="1" showInputMessage="1" showErrorMessage="1" sqref="D10:D11 D76" xr:uid="{70C3A791-88A3-45B0-8122-C5B9EE2CB84A}">
      <formula1>#REF!</formula1>
    </dataValidation>
  </dataValidations>
  <hyperlinks>
    <hyperlink ref="I19" r:id="rId1" xr:uid="{F6E14C5C-B335-4160-9CEC-A38AE370A67B}"/>
  </hyperlinks>
  <pageMargins left="0.7" right="0.7" top="0.75" bottom="0.75" header="0.3" footer="0.3"/>
  <pageSetup paperSize="9" scale="55" orientation="portrait" horizontalDpi="300" verticalDpi="300" r:id="rId2"/>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D3F5267C-9071-4E48-84A7-B951FC2E0FFD}">
          <x14:formula1>
            <xm:f>'databáza KONTAKTY'!$B$1:$B$8</xm:f>
          </x14:formula1>
          <xm:sqref>D26:D28</xm:sqref>
        </x14:dataValidation>
        <x14:dataValidation type="list" allowBlank="1" showInputMessage="1" showErrorMessage="1" xr:uid="{E3E61603-1919-4F40-B392-C6136AB3B405}">
          <x14:formula1>
            <xm:f>'Cenník Sinclair '!$B$1:$B$43</xm:f>
          </x14:formula1>
          <xm:sqref>D78 D8 D73</xm:sqref>
        </x14:dataValidation>
        <x14:dataValidation type="list" allowBlank="1" showInputMessage="1" showErrorMessage="1" xr:uid="{8EFC1D37-25AC-4707-AF0F-6C381F25BA40}">
          <x14:formula1>
            <xm:f>'Cenník Beijer Anmima'!$B$1:$B$52</xm:f>
          </x14:formula1>
          <xm:sqref>D5 D79 D72</xm:sqref>
        </x14:dataValidation>
        <x14:dataValidation type="list" allowBlank="1" showInputMessage="1" showErrorMessage="1" xr:uid="{8C5E467B-4E95-448C-A101-BA8AC7DD80C6}">
          <x14:formula1>
            <xm:f>'Cenník Mitsubishi'!$B$1:$B$116</xm:f>
          </x14:formula1>
          <xm:sqref>D9</xm:sqref>
        </x14:dataValidation>
        <x14:dataValidation type="list" allowBlank="1" showInputMessage="1" showErrorMessage="1" xr:uid="{E7D6888A-999C-40C0-94C8-8E9C20BBA26F}">
          <x14:formula1>
            <xm:f>cenniktoshiba!$B$1:$B$111</xm:f>
          </x14:formula1>
          <xm:sqref>D4 D74</xm:sqref>
        </x14:dataValidation>
        <x14:dataValidation type="list" allowBlank="1" showInputMessage="1" showErrorMessage="1" xr:uid="{A1EF723B-74A3-4716-8C30-286C0D325193}">
          <x14:formula1>
            <xm:f>'Cenník Powering '!$B$1:$B$43</xm:f>
          </x14:formula1>
          <xm:sqref>D6</xm:sqref>
        </x14:dataValidation>
        <x14:dataValidation type="list" allowBlank="1" showInputMessage="1" showErrorMessage="1" xr:uid="{9210E9CD-FFD2-4BDA-8DB5-8779FCE01967}">
          <x14:formula1>
            <xm:f>'Cenník VIVAX '!$B$1:$B$43</xm:f>
          </x14:formula1>
          <xm:sqref>D7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AEBA-7523-46EB-965D-00CAF2E80210}">
  <sheetPr codeName="Hárok4"/>
  <dimension ref="A1:I38"/>
  <sheetViews>
    <sheetView topLeftCell="A17" workbookViewId="0">
      <selection activeCell="F19" sqref="F19"/>
    </sheetView>
  </sheetViews>
  <sheetFormatPr defaultRowHeight="15" x14ac:dyDescent="0.25"/>
  <cols>
    <col min="2" max="2" width="60.7109375" style="41" customWidth="1"/>
    <col min="3" max="3" width="9.28515625" style="42" bestFit="1" customWidth="1"/>
    <col min="4" max="4" width="9.28515625" style="42" customWidth="1"/>
    <col min="5" max="5" width="10.140625" bestFit="1" customWidth="1"/>
    <col min="6" max="6" width="12.28515625" bestFit="1" customWidth="1"/>
  </cols>
  <sheetData>
    <row r="1" spans="1:9" s="49" customFormat="1" ht="15.75" thickBot="1" x14ac:dyDescent="0.3">
      <c r="A1" s="116" t="s">
        <v>541</v>
      </c>
      <c r="B1" s="142" t="s">
        <v>690</v>
      </c>
      <c r="C1" s="110" t="s">
        <v>624</v>
      </c>
      <c r="D1" s="138" t="s">
        <v>745</v>
      </c>
      <c r="E1" s="49" t="s">
        <v>644</v>
      </c>
      <c r="F1" s="49" t="s">
        <v>645</v>
      </c>
      <c r="G1" s="49" t="s">
        <v>613</v>
      </c>
    </row>
    <row r="2" spans="1:9" x14ac:dyDescent="0.25">
      <c r="A2">
        <v>1</v>
      </c>
      <c r="B2" s="41" t="str">
        <f>IF($H$3&gt;0,"Žľab 60x45 mm + tvarovky","Žľab 60x45 mm")</f>
        <v>Žľab 60x45 mm + tvarovky</v>
      </c>
      <c r="C2" s="42">
        <f>2.2*(1+$H$3)</f>
        <v>2.8600000000000003</v>
      </c>
      <c r="D2" s="42" t="s">
        <v>551</v>
      </c>
      <c r="E2" s="141">
        <v>45331</v>
      </c>
      <c r="F2" s="141">
        <v>45331</v>
      </c>
      <c r="G2" s="139" t="s">
        <v>717</v>
      </c>
      <c r="H2" s="107" t="s">
        <v>621</v>
      </c>
      <c r="I2" s="106"/>
    </row>
    <row r="3" spans="1:9" ht="15.75" thickBot="1" x14ac:dyDescent="0.3">
      <c r="A3">
        <v>2</v>
      </c>
      <c r="B3" s="41" t="str">
        <f>IF($H$3&gt;0,"Žľab 80x60 mm + tvarovky","Žľab 80x60 mm")</f>
        <v>Žľab 80x60 mm + tvarovky</v>
      </c>
      <c r="C3" s="42">
        <f>3.3*(1+$H$3)</f>
        <v>4.29</v>
      </c>
      <c r="D3" s="42" t="s">
        <v>551</v>
      </c>
      <c r="E3" s="141">
        <v>45331</v>
      </c>
      <c r="F3" s="141">
        <v>45331</v>
      </c>
      <c r="G3" s="139" t="s">
        <v>717</v>
      </c>
      <c r="H3" s="505">
        <f>CP!M29</f>
        <v>0.3</v>
      </c>
      <c r="I3" s="506"/>
    </row>
    <row r="4" spans="1:9" x14ac:dyDescent="0.25">
      <c r="A4">
        <v>3</v>
      </c>
      <c r="B4" s="41" t="str">
        <f>IF($H$3&gt;0,"Žľab 110x75 mm + tvarovky","Žľab 110x75 mm")</f>
        <v>Žľab 110x75 mm + tvarovky</v>
      </c>
      <c r="C4" s="42">
        <f>4.7*(1+$H$3)</f>
        <v>6.11</v>
      </c>
      <c r="D4" s="42" t="s">
        <v>551</v>
      </c>
      <c r="E4" s="141">
        <v>45331</v>
      </c>
      <c r="F4" s="141">
        <v>45331</v>
      </c>
      <c r="G4" s="139" t="s">
        <v>717</v>
      </c>
      <c r="I4" s="60"/>
    </row>
    <row r="5" spans="1:9" x14ac:dyDescent="0.25">
      <c r="A5">
        <v>4</v>
      </c>
      <c r="B5" s="41" t="s">
        <v>684</v>
      </c>
      <c r="C5" s="42">
        <v>4.1500000000000004</v>
      </c>
      <c r="D5" s="42" t="s">
        <v>551</v>
      </c>
      <c r="E5" s="141">
        <v>45331</v>
      </c>
      <c r="F5" s="141">
        <v>45331</v>
      </c>
      <c r="G5" s="139" t="s">
        <v>717</v>
      </c>
    </row>
    <row r="6" spans="1:9" x14ac:dyDescent="0.25">
      <c r="A6">
        <v>5</v>
      </c>
      <c r="B6" s="41" t="s">
        <v>685</v>
      </c>
      <c r="C6" s="42">
        <v>5.25</v>
      </c>
      <c r="D6" s="42" t="s">
        <v>551</v>
      </c>
      <c r="E6" s="141">
        <v>45331</v>
      </c>
      <c r="F6" s="141">
        <v>45331</v>
      </c>
      <c r="G6" s="139" t="s">
        <v>717</v>
      </c>
      <c r="I6" s="60"/>
    </row>
    <row r="7" spans="1:9" x14ac:dyDescent="0.25">
      <c r="A7">
        <v>6</v>
      </c>
      <c r="B7" s="41" t="s">
        <v>714</v>
      </c>
      <c r="C7" s="42">
        <v>8.9</v>
      </c>
      <c r="D7" s="42" t="s">
        <v>551</v>
      </c>
      <c r="E7" s="141">
        <v>45405</v>
      </c>
      <c r="F7" s="141">
        <v>45405</v>
      </c>
      <c r="G7" s="139" t="s">
        <v>717</v>
      </c>
      <c r="I7" s="60"/>
    </row>
    <row r="8" spans="1:9" x14ac:dyDescent="0.25">
      <c r="A8">
        <v>7</v>
      </c>
      <c r="B8" s="41" t="s">
        <v>686</v>
      </c>
      <c r="C8" s="42">
        <v>1.65</v>
      </c>
      <c r="D8" s="42" t="s">
        <v>551</v>
      </c>
      <c r="E8" s="141">
        <v>45331</v>
      </c>
      <c r="F8" s="141">
        <v>45331</v>
      </c>
      <c r="G8" s="139" t="s">
        <v>717</v>
      </c>
    </row>
    <row r="9" spans="1:9" x14ac:dyDescent="0.25">
      <c r="A9">
        <v>8</v>
      </c>
      <c r="B9" s="41" t="s">
        <v>687</v>
      </c>
      <c r="C9" s="42">
        <v>2.5</v>
      </c>
      <c r="D9" s="42" t="s">
        <v>551</v>
      </c>
      <c r="E9" s="141">
        <v>45331</v>
      </c>
      <c r="F9" s="141">
        <v>45331</v>
      </c>
      <c r="G9" s="139" t="s">
        <v>717</v>
      </c>
      <c r="I9" s="60"/>
    </row>
    <row r="10" spans="1:9" x14ac:dyDescent="0.25">
      <c r="A10">
        <v>9</v>
      </c>
      <c r="B10" s="41" t="s">
        <v>688</v>
      </c>
      <c r="C10" s="42">
        <v>3.45</v>
      </c>
      <c r="D10" s="42" t="s">
        <v>551</v>
      </c>
      <c r="E10" s="141">
        <v>45331</v>
      </c>
      <c r="F10" s="141">
        <v>45331</v>
      </c>
      <c r="G10" s="139" t="s">
        <v>717</v>
      </c>
    </row>
    <row r="11" spans="1:9" x14ac:dyDescent="0.25">
      <c r="A11">
        <v>10</v>
      </c>
      <c r="B11" s="41" t="s">
        <v>689</v>
      </c>
      <c r="C11" s="42">
        <v>5.5</v>
      </c>
      <c r="D11" s="42" t="s">
        <v>551</v>
      </c>
      <c r="E11" s="141">
        <v>45331</v>
      </c>
      <c r="F11" s="141">
        <v>45331</v>
      </c>
      <c r="G11" s="139" t="s">
        <v>717</v>
      </c>
      <c r="I11" s="60"/>
    </row>
    <row r="12" spans="1:9" x14ac:dyDescent="0.25">
      <c r="A12">
        <v>11</v>
      </c>
      <c r="B12" s="41" t="s">
        <v>715</v>
      </c>
      <c r="C12" s="42">
        <v>9.3000000000000007</v>
      </c>
      <c r="D12" s="42" t="s">
        <v>551</v>
      </c>
      <c r="E12" s="141">
        <v>45331</v>
      </c>
      <c r="F12" s="141">
        <v>45331</v>
      </c>
      <c r="G12" s="139" t="s">
        <v>717</v>
      </c>
      <c r="I12" s="60"/>
    </row>
    <row r="13" spans="1:9" x14ac:dyDescent="0.25">
      <c r="A13">
        <v>12</v>
      </c>
      <c r="B13" s="41" t="s">
        <v>549</v>
      </c>
      <c r="C13" s="42">
        <v>0.48</v>
      </c>
      <c r="D13" s="42" t="s">
        <v>551</v>
      </c>
      <c r="E13" s="141">
        <v>45225</v>
      </c>
      <c r="F13" s="141">
        <v>45271</v>
      </c>
      <c r="G13" s="139" t="s">
        <v>717</v>
      </c>
    </row>
    <row r="14" spans="1:9" x14ac:dyDescent="0.25">
      <c r="A14">
        <v>13</v>
      </c>
      <c r="B14" s="41" t="s">
        <v>643</v>
      </c>
      <c r="C14" s="42">
        <v>0.54</v>
      </c>
      <c r="D14" s="42" t="s">
        <v>551</v>
      </c>
      <c r="E14" s="141">
        <v>45238</v>
      </c>
      <c r="F14" s="141">
        <v>45271</v>
      </c>
      <c r="G14" s="139" t="s">
        <v>717</v>
      </c>
    </row>
    <row r="15" spans="1:9" x14ac:dyDescent="0.25">
      <c r="A15">
        <v>14</v>
      </c>
      <c r="B15" s="41" t="s">
        <v>619</v>
      </c>
      <c r="C15" s="42">
        <v>1</v>
      </c>
      <c r="D15" s="42" t="s">
        <v>2</v>
      </c>
      <c r="E15" s="141">
        <v>45159</v>
      </c>
      <c r="F15" s="141">
        <v>45271</v>
      </c>
      <c r="G15" s="139" t="s">
        <v>717</v>
      </c>
      <c r="I15" s="60"/>
    </row>
    <row r="16" spans="1:9" x14ac:dyDescent="0.25">
      <c r="A16">
        <v>15</v>
      </c>
      <c r="B16" s="41" t="s">
        <v>734</v>
      </c>
      <c r="C16" s="42">
        <v>0.56999999999999995</v>
      </c>
      <c r="D16" s="42" t="s">
        <v>551</v>
      </c>
      <c r="E16" s="141">
        <v>45133</v>
      </c>
      <c r="F16" s="141">
        <v>45271</v>
      </c>
      <c r="G16" s="139" t="s">
        <v>718</v>
      </c>
    </row>
    <row r="17" spans="1:9" x14ac:dyDescent="0.25">
      <c r="A17">
        <v>16</v>
      </c>
      <c r="B17" s="41" t="s">
        <v>735</v>
      </c>
      <c r="C17" s="42">
        <v>0.96</v>
      </c>
      <c r="D17" s="42" t="s">
        <v>551</v>
      </c>
      <c r="E17" s="141">
        <v>45125</v>
      </c>
      <c r="F17" s="141">
        <v>45271</v>
      </c>
      <c r="G17" s="139" t="s">
        <v>718</v>
      </c>
    </row>
    <row r="18" spans="1:9" x14ac:dyDescent="0.25">
      <c r="A18">
        <v>17</v>
      </c>
      <c r="B18" s="41" t="s">
        <v>736</v>
      </c>
      <c r="C18" s="42">
        <v>1.66</v>
      </c>
      <c r="D18" s="42" t="s">
        <v>551</v>
      </c>
      <c r="E18" s="141">
        <v>45306</v>
      </c>
      <c r="F18" s="141">
        <v>45306</v>
      </c>
      <c r="G18" s="139" t="s">
        <v>718</v>
      </c>
      <c r="I18" s="60" t="s">
        <v>702</v>
      </c>
    </row>
    <row r="19" spans="1:9" x14ac:dyDescent="0.25">
      <c r="A19">
        <v>18</v>
      </c>
      <c r="B19" s="41" t="s">
        <v>737</v>
      </c>
      <c r="C19" s="42">
        <v>3.33</v>
      </c>
      <c r="D19" s="42" t="s">
        <v>551</v>
      </c>
      <c r="E19" s="141">
        <v>45306</v>
      </c>
      <c r="F19" s="141">
        <v>45306</v>
      </c>
      <c r="G19" s="139" t="s">
        <v>718</v>
      </c>
      <c r="I19" s="60" t="s">
        <v>701</v>
      </c>
    </row>
    <row r="20" spans="1:9" x14ac:dyDescent="0.25">
      <c r="A20">
        <v>19</v>
      </c>
      <c r="B20" s="41" t="s">
        <v>738</v>
      </c>
      <c r="C20" s="42">
        <v>1.75</v>
      </c>
      <c r="D20" s="42" t="s">
        <v>551</v>
      </c>
      <c r="E20" s="141">
        <v>45306</v>
      </c>
      <c r="F20" s="141">
        <v>45306</v>
      </c>
      <c r="G20" s="139" t="s">
        <v>718</v>
      </c>
      <c r="I20" s="60" t="s">
        <v>704</v>
      </c>
    </row>
    <row r="21" spans="1:9" x14ac:dyDescent="0.25">
      <c r="A21">
        <v>20</v>
      </c>
      <c r="B21" s="41" t="s">
        <v>739</v>
      </c>
      <c r="C21" s="42">
        <v>0.78</v>
      </c>
      <c r="D21" s="42" t="s">
        <v>551</v>
      </c>
      <c r="E21" s="141">
        <v>45195</v>
      </c>
      <c r="F21" s="141">
        <v>45271</v>
      </c>
      <c r="G21" s="139" t="s">
        <v>718</v>
      </c>
      <c r="I21" s="60"/>
    </row>
    <row r="22" spans="1:9" x14ac:dyDescent="0.25">
      <c r="A22">
        <v>21</v>
      </c>
      <c r="B22" s="41" t="s">
        <v>740</v>
      </c>
      <c r="C22" s="42">
        <v>1.49</v>
      </c>
      <c r="D22" s="42" t="s">
        <v>551</v>
      </c>
      <c r="E22" s="141">
        <v>45033</v>
      </c>
      <c r="F22" s="141">
        <v>45306</v>
      </c>
      <c r="G22" s="139" t="s">
        <v>718</v>
      </c>
    </row>
    <row r="23" spans="1:9" x14ac:dyDescent="0.25">
      <c r="A23">
        <v>22</v>
      </c>
      <c r="B23" s="41" t="s">
        <v>741</v>
      </c>
      <c r="C23" s="42">
        <v>0.26</v>
      </c>
      <c r="D23" s="42" t="s">
        <v>551</v>
      </c>
      <c r="E23" s="141">
        <v>45264</v>
      </c>
      <c r="F23" s="141">
        <v>45271</v>
      </c>
      <c r="G23" s="139" t="s">
        <v>718</v>
      </c>
    </row>
    <row r="24" spans="1:9" x14ac:dyDescent="0.25">
      <c r="A24">
        <v>23</v>
      </c>
      <c r="B24" s="41" t="s">
        <v>742</v>
      </c>
      <c r="C24" s="42">
        <v>0.36</v>
      </c>
      <c r="D24" s="42" t="s">
        <v>551</v>
      </c>
      <c r="E24" s="141">
        <v>45236</v>
      </c>
      <c r="F24" s="141">
        <v>45303</v>
      </c>
      <c r="G24" s="139" t="s">
        <v>718</v>
      </c>
    </row>
    <row r="25" spans="1:9" x14ac:dyDescent="0.25">
      <c r="A25">
        <v>24</v>
      </c>
      <c r="B25" s="41" t="s">
        <v>696</v>
      </c>
      <c r="C25" s="42">
        <v>4.26</v>
      </c>
      <c r="D25" s="42" t="s">
        <v>2</v>
      </c>
      <c r="E25" s="141">
        <v>45035</v>
      </c>
      <c r="F25" s="141">
        <v>45303</v>
      </c>
      <c r="G25" s="139" t="s">
        <v>718</v>
      </c>
    </row>
    <row r="26" spans="1:9" x14ac:dyDescent="0.25">
      <c r="A26">
        <v>25</v>
      </c>
      <c r="B26" s="41" t="s">
        <v>695</v>
      </c>
      <c r="C26" s="42">
        <v>5.95</v>
      </c>
      <c r="D26" s="42" t="s">
        <v>2</v>
      </c>
      <c r="E26" s="141">
        <v>45306</v>
      </c>
      <c r="F26" s="141">
        <v>45306</v>
      </c>
      <c r="G26" s="139" t="s">
        <v>718</v>
      </c>
      <c r="I26" s="60" t="s">
        <v>703</v>
      </c>
    </row>
    <row r="27" spans="1:9" x14ac:dyDescent="0.25">
      <c r="A27">
        <v>26</v>
      </c>
      <c r="B27" s="41" t="s">
        <v>694</v>
      </c>
      <c r="C27" s="42">
        <v>6.8</v>
      </c>
      <c r="D27" s="42" t="s">
        <v>2</v>
      </c>
      <c r="E27" s="141">
        <v>45306</v>
      </c>
      <c r="F27" s="141">
        <v>45306</v>
      </c>
      <c r="G27" s="139" t="s">
        <v>718</v>
      </c>
      <c r="I27" s="60" t="s">
        <v>697</v>
      </c>
    </row>
    <row r="28" spans="1:9" x14ac:dyDescent="0.25">
      <c r="A28">
        <v>27</v>
      </c>
      <c r="B28" s="41" t="s">
        <v>693</v>
      </c>
      <c r="C28" s="42">
        <v>11.57</v>
      </c>
      <c r="D28" s="42" t="s">
        <v>2</v>
      </c>
      <c r="E28" s="141">
        <v>45306</v>
      </c>
      <c r="F28" s="141">
        <v>45306</v>
      </c>
      <c r="G28" s="139" t="s">
        <v>718</v>
      </c>
      <c r="I28" s="60" t="s">
        <v>692</v>
      </c>
    </row>
    <row r="29" spans="1:9" x14ac:dyDescent="0.25">
      <c r="A29">
        <v>28</v>
      </c>
      <c r="B29" s="41" t="s">
        <v>699</v>
      </c>
      <c r="C29" s="42">
        <v>16.29</v>
      </c>
      <c r="D29" s="42" t="s">
        <v>2</v>
      </c>
      <c r="E29" s="141">
        <v>45306</v>
      </c>
      <c r="F29" s="141">
        <v>45306</v>
      </c>
      <c r="G29" s="139" t="s">
        <v>718</v>
      </c>
      <c r="I29" s="60" t="s">
        <v>698</v>
      </c>
    </row>
    <row r="30" spans="1:9" x14ac:dyDescent="0.25">
      <c r="A30">
        <v>29</v>
      </c>
      <c r="B30" s="41" t="s">
        <v>700</v>
      </c>
      <c r="C30" s="42">
        <v>23.23</v>
      </c>
      <c r="D30" s="42" t="s">
        <v>2</v>
      </c>
      <c r="E30" s="141">
        <v>45306</v>
      </c>
      <c r="F30" s="141">
        <v>45306</v>
      </c>
      <c r="G30" s="139" t="s">
        <v>718</v>
      </c>
      <c r="I30" s="60"/>
    </row>
    <row r="31" spans="1:9" x14ac:dyDescent="0.25">
      <c r="A31">
        <v>30</v>
      </c>
      <c r="B31" s="41" t="s">
        <v>743</v>
      </c>
      <c r="C31" s="42">
        <v>0.65</v>
      </c>
      <c r="D31" s="42" t="s">
        <v>551</v>
      </c>
      <c r="E31" s="141">
        <v>45223</v>
      </c>
      <c r="F31" s="141">
        <v>45271</v>
      </c>
      <c r="G31" s="139" t="s">
        <v>718</v>
      </c>
    </row>
    <row r="32" spans="1:9" x14ac:dyDescent="0.25">
      <c r="A32">
        <v>31</v>
      </c>
      <c r="B32" s="41" t="s">
        <v>744</v>
      </c>
      <c r="C32" s="42">
        <v>0.77</v>
      </c>
      <c r="D32" s="42" t="s">
        <v>551</v>
      </c>
      <c r="E32" s="141">
        <v>45239</v>
      </c>
      <c r="F32" s="141">
        <v>45271</v>
      </c>
      <c r="G32" s="139" t="s">
        <v>718</v>
      </c>
    </row>
    <row r="33" spans="1:7" x14ac:dyDescent="0.25">
      <c r="A33">
        <v>32</v>
      </c>
      <c r="B33" s="41" t="s">
        <v>622</v>
      </c>
      <c r="C33" s="42">
        <v>1.1599999999999999</v>
      </c>
      <c r="D33" s="42" t="s">
        <v>2</v>
      </c>
      <c r="E33" s="141">
        <v>45195</v>
      </c>
      <c r="F33" s="141">
        <v>45271</v>
      </c>
      <c r="G33" s="139" t="s">
        <v>718</v>
      </c>
    </row>
    <row r="34" spans="1:7" x14ac:dyDescent="0.25">
      <c r="A34">
        <v>33</v>
      </c>
      <c r="B34" s="41" t="s">
        <v>625</v>
      </c>
      <c r="C34" s="42">
        <v>24</v>
      </c>
      <c r="D34" s="42" t="s">
        <v>713</v>
      </c>
      <c r="E34" s="141">
        <v>45457</v>
      </c>
      <c r="F34" s="141">
        <f>E34</f>
        <v>45457</v>
      </c>
      <c r="G34" s="139" t="s">
        <v>717</v>
      </c>
    </row>
    <row r="35" spans="1:7" x14ac:dyDescent="0.25">
      <c r="A35">
        <v>34</v>
      </c>
      <c r="B35" s="41" t="s">
        <v>626</v>
      </c>
      <c r="C35" s="42">
        <v>45</v>
      </c>
      <c r="D35" s="42" t="s">
        <v>713</v>
      </c>
      <c r="E35" s="141">
        <v>45335</v>
      </c>
      <c r="F35" s="141">
        <v>45457</v>
      </c>
      <c r="G35" s="139" t="s">
        <v>717</v>
      </c>
    </row>
    <row r="36" spans="1:7" x14ac:dyDescent="0.25">
      <c r="A36">
        <v>35</v>
      </c>
      <c r="B36" s="41" t="s">
        <v>648</v>
      </c>
      <c r="C36" s="42">
        <v>29</v>
      </c>
      <c r="D36" s="42" t="s">
        <v>2</v>
      </c>
      <c r="E36" t="s">
        <v>646</v>
      </c>
      <c r="F36" s="141">
        <v>45271</v>
      </c>
      <c r="G36" s="139" t="s">
        <v>717</v>
      </c>
    </row>
    <row r="37" spans="1:7" x14ac:dyDescent="0.25">
      <c r="A37">
        <v>36</v>
      </c>
      <c r="B37" s="41" t="s">
        <v>647</v>
      </c>
      <c r="C37" s="42">
        <v>89</v>
      </c>
      <c r="D37" s="42" t="s">
        <v>2</v>
      </c>
      <c r="E37" t="s">
        <v>646</v>
      </c>
      <c r="F37" s="141">
        <v>45271</v>
      </c>
      <c r="G37" s="139" t="s">
        <v>717</v>
      </c>
    </row>
    <row r="38" spans="1:7" x14ac:dyDescent="0.25">
      <c r="A38">
        <v>37</v>
      </c>
      <c r="B38" s="41" t="s">
        <v>716</v>
      </c>
      <c r="C38" s="42">
        <v>32</v>
      </c>
      <c r="D38" s="42" t="s">
        <v>2</v>
      </c>
      <c r="E38" t="s">
        <v>646</v>
      </c>
      <c r="F38" s="141">
        <v>45344</v>
      </c>
      <c r="G38" s="139" t="s">
        <v>717</v>
      </c>
    </row>
  </sheetData>
  <mergeCells count="1">
    <mergeCell ref="H3:I3"/>
  </mergeCells>
  <hyperlinks>
    <hyperlink ref="I28" r:id="rId1" xr:uid="{1A0CF453-3EA6-411B-80EF-4DA1BBDF81B4}"/>
    <hyperlink ref="I19" r:id="rId2" xr:uid="{93FEBEB7-7F48-4AE6-8F75-F347F1CED0B8}"/>
    <hyperlink ref="I27" r:id="rId3" xr:uid="{36CF9584-6BFE-41C1-AFEF-41BD43AB7B87}"/>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8576-4DAE-4C53-B91D-1292A7E2D713}">
  <sheetPr codeName="Hárok5"/>
  <dimension ref="A1:H40"/>
  <sheetViews>
    <sheetView workbookViewId="0">
      <selection activeCell="C14" sqref="C14"/>
    </sheetView>
  </sheetViews>
  <sheetFormatPr defaultRowHeight="15" x14ac:dyDescent="0.25"/>
  <cols>
    <col min="2" max="2" width="60.7109375" style="41" customWidth="1"/>
    <col min="3" max="3" width="9.28515625" style="42" bestFit="1" customWidth="1"/>
  </cols>
  <sheetData>
    <row r="1" spans="1:8" s="49" customFormat="1" ht="14.45" customHeight="1" thickBot="1" x14ac:dyDescent="0.3">
      <c r="A1" s="116" t="s">
        <v>541</v>
      </c>
      <c r="B1" s="142" t="s">
        <v>691</v>
      </c>
      <c r="C1" s="110" t="s">
        <v>624</v>
      </c>
      <c r="D1" s="49" t="s">
        <v>745</v>
      </c>
      <c r="E1" s="49" t="s">
        <v>612</v>
      </c>
      <c r="F1" s="49" t="s">
        <v>613</v>
      </c>
    </row>
    <row r="2" spans="1:8" x14ac:dyDescent="0.25">
      <c r="A2">
        <v>1</v>
      </c>
      <c r="B2" s="41" t="str">
        <f>IF($G$3&gt;0,"Žľab 65x50 mm + tvarovky","Žľab 65x50 mm")</f>
        <v>Žľab 65x50 mm + tvarovky</v>
      </c>
      <c r="C2" s="42">
        <f>5.74*(1+$G$3)</f>
        <v>7.4620000000000006</v>
      </c>
      <c r="D2" t="s">
        <v>551</v>
      </c>
      <c r="E2" s="143">
        <v>0.5</v>
      </c>
      <c r="F2" t="s">
        <v>581</v>
      </c>
      <c r="G2" s="107" t="s">
        <v>621</v>
      </c>
      <c r="H2" s="106"/>
    </row>
    <row r="3" spans="1:8" ht="15.75" thickBot="1" x14ac:dyDescent="0.3">
      <c r="A3">
        <v>2</v>
      </c>
      <c r="B3" s="41" t="str">
        <f>IF($G$3&gt;0,"Žľab 80x60 mm + tvarovky","Žľab 80x60 mm")</f>
        <v>Žľab 80x60 mm + tvarovky</v>
      </c>
      <c r="C3" s="42">
        <f>6.32*(1+$G$3)</f>
        <v>8.2160000000000011</v>
      </c>
      <c r="D3" t="s">
        <v>551</v>
      </c>
      <c r="E3" s="143">
        <v>0.5</v>
      </c>
      <c r="F3" t="s">
        <v>581</v>
      </c>
      <c r="G3" s="505">
        <f>CP!M29</f>
        <v>0.3</v>
      </c>
      <c r="H3" s="506"/>
    </row>
    <row r="4" spans="1:8" x14ac:dyDescent="0.25">
      <c r="A4">
        <v>3</v>
      </c>
      <c r="B4" s="41" t="str">
        <f>IF($G$3&gt;0,"Žľab 90x65 mm + tvarovky","Žľab 90x65 mm")</f>
        <v>Žľab 90x65 mm + tvarovky</v>
      </c>
      <c r="C4" s="42">
        <f>7.64*(1+$G$3)</f>
        <v>9.9320000000000004</v>
      </c>
      <c r="D4" t="s">
        <v>551</v>
      </c>
      <c r="E4" s="143">
        <v>0.5</v>
      </c>
      <c r="F4" t="s">
        <v>581</v>
      </c>
    </row>
    <row r="5" spans="1:8" x14ac:dyDescent="0.25">
      <c r="A5">
        <v>4</v>
      </c>
      <c r="B5" s="41" t="s">
        <v>620</v>
      </c>
      <c r="C5" s="42">
        <f>14.92*(1+$G$3)</f>
        <v>19.396000000000001</v>
      </c>
      <c r="D5" t="s">
        <v>551</v>
      </c>
      <c r="E5" s="143">
        <v>0.5</v>
      </c>
      <c r="F5" t="s">
        <v>581</v>
      </c>
    </row>
    <row r="6" spans="1:8" x14ac:dyDescent="0.25">
      <c r="A6">
        <v>5</v>
      </c>
      <c r="B6" s="41" t="s">
        <v>684</v>
      </c>
      <c r="C6" s="42">
        <f>4.48*2</f>
        <v>8.9600000000000009</v>
      </c>
      <c r="D6" t="s">
        <v>551</v>
      </c>
      <c r="E6" s="143">
        <v>0.5</v>
      </c>
      <c r="F6" t="s">
        <v>581</v>
      </c>
    </row>
    <row r="7" spans="1:8" x14ac:dyDescent="0.25">
      <c r="A7">
        <v>6</v>
      </c>
      <c r="B7" s="41" t="s">
        <v>685</v>
      </c>
      <c r="C7" s="42">
        <f>5.6*2</f>
        <v>11.2</v>
      </c>
      <c r="D7" t="s">
        <v>551</v>
      </c>
      <c r="E7" s="143">
        <v>0.5</v>
      </c>
      <c r="F7" t="s">
        <v>581</v>
      </c>
    </row>
    <row r="8" spans="1:8" x14ac:dyDescent="0.25">
      <c r="A8">
        <v>7</v>
      </c>
      <c r="B8" s="41" t="s">
        <v>686</v>
      </c>
      <c r="C8" s="42">
        <f>2*1.87</f>
        <v>3.74</v>
      </c>
      <c r="D8" t="s">
        <v>551</v>
      </c>
      <c r="E8" s="143">
        <v>0.5</v>
      </c>
      <c r="F8" t="s">
        <v>581</v>
      </c>
    </row>
    <row r="9" spans="1:8" x14ac:dyDescent="0.25">
      <c r="A9">
        <v>8</v>
      </c>
      <c r="B9" s="41" t="s">
        <v>687</v>
      </c>
      <c r="C9" s="42">
        <f>2.78*2</f>
        <v>5.56</v>
      </c>
      <c r="D9" t="s">
        <v>551</v>
      </c>
      <c r="E9" s="143">
        <v>0.5</v>
      </c>
      <c r="F9" t="s">
        <v>581</v>
      </c>
    </row>
    <row r="10" spans="1:8" x14ac:dyDescent="0.25">
      <c r="A10">
        <v>9</v>
      </c>
      <c r="B10" s="41" t="s">
        <v>688</v>
      </c>
      <c r="C10" s="42">
        <f>2*3.69</f>
        <v>7.38</v>
      </c>
      <c r="D10" t="s">
        <v>551</v>
      </c>
      <c r="E10" s="143">
        <v>0.5</v>
      </c>
      <c r="F10" t="s">
        <v>581</v>
      </c>
    </row>
    <row r="11" spans="1:8" x14ac:dyDescent="0.25">
      <c r="A11">
        <v>10</v>
      </c>
      <c r="B11" s="41" t="s">
        <v>689</v>
      </c>
      <c r="C11" s="42">
        <f>6.22*2</f>
        <v>12.44</v>
      </c>
      <c r="D11" t="s">
        <v>551</v>
      </c>
      <c r="E11" s="143">
        <v>0.5</v>
      </c>
      <c r="F11" t="s">
        <v>581</v>
      </c>
    </row>
    <row r="12" spans="1:8" x14ac:dyDescent="0.25">
      <c r="A12">
        <v>11</v>
      </c>
      <c r="B12" s="41" t="s">
        <v>549</v>
      </c>
      <c r="C12" s="42">
        <v>0.96</v>
      </c>
      <c r="D12" t="s">
        <v>551</v>
      </c>
      <c r="E12" s="143">
        <v>0.5</v>
      </c>
      <c r="F12" t="s">
        <v>581</v>
      </c>
      <c r="H12" s="118"/>
    </row>
    <row r="13" spans="1:8" x14ac:dyDescent="0.25">
      <c r="A13">
        <v>12</v>
      </c>
      <c r="B13" s="41" t="s">
        <v>550</v>
      </c>
      <c r="C13" s="42">
        <v>0.96</v>
      </c>
      <c r="D13" t="s">
        <v>551</v>
      </c>
      <c r="E13" s="143">
        <v>0.5</v>
      </c>
      <c r="F13" t="s">
        <v>581</v>
      </c>
    </row>
    <row r="14" spans="1:8" x14ac:dyDescent="0.25">
      <c r="A14">
        <v>13</v>
      </c>
      <c r="B14" s="41" t="s">
        <v>643</v>
      </c>
      <c r="C14" s="42">
        <v>1.08</v>
      </c>
      <c r="D14" t="s">
        <v>551</v>
      </c>
      <c r="E14" s="143">
        <v>0.5</v>
      </c>
      <c r="F14" t="s">
        <v>581</v>
      </c>
    </row>
    <row r="15" spans="1:8" x14ac:dyDescent="0.25">
      <c r="A15">
        <v>14</v>
      </c>
      <c r="B15" s="41" t="s">
        <v>640</v>
      </c>
      <c r="C15" s="42">
        <v>1.66</v>
      </c>
      <c r="D15" t="s">
        <v>2</v>
      </c>
      <c r="E15" s="143">
        <v>0.5</v>
      </c>
      <c r="F15" t="s">
        <v>581</v>
      </c>
    </row>
    <row r="16" spans="1:8" x14ac:dyDescent="0.25">
      <c r="A16">
        <v>15</v>
      </c>
      <c r="B16" s="41" t="s">
        <v>586</v>
      </c>
      <c r="C16" s="42">
        <v>25.66</v>
      </c>
      <c r="D16" t="s">
        <v>2</v>
      </c>
      <c r="E16" s="143">
        <v>0.5</v>
      </c>
      <c r="F16" t="s">
        <v>581</v>
      </c>
    </row>
    <row r="17" spans="1:6" x14ac:dyDescent="0.25">
      <c r="A17">
        <v>16</v>
      </c>
      <c r="B17" s="41" t="s">
        <v>587</v>
      </c>
      <c r="C17" s="42">
        <v>29.29</v>
      </c>
      <c r="D17" t="s">
        <v>2</v>
      </c>
      <c r="E17" s="143">
        <v>0.5</v>
      </c>
      <c r="F17" t="s">
        <v>581</v>
      </c>
    </row>
    <row r="18" spans="1:6" x14ac:dyDescent="0.25">
      <c r="A18">
        <v>17</v>
      </c>
      <c r="B18" s="41" t="s">
        <v>677</v>
      </c>
      <c r="C18" s="42">
        <v>44.06</v>
      </c>
      <c r="D18" t="s">
        <v>2</v>
      </c>
      <c r="E18" s="143">
        <v>0.5</v>
      </c>
      <c r="F18" t="s">
        <v>581</v>
      </c>
    </row>
    <row r="19" spans="1:6" x14ac:dyDescent="0.25">
      <c r="A19">
        <v>18</v>
      </c>
      <c r="B19" s="41" t="s">
        <v>583</v>
      </c>
      <c r="C19" s="42">
        <v>15.78</v>
      </c>
      <c r="D19" t="s">
        <v>2</v>
      </c>
      <c r="E19" s="143">
        <v>0.5</v>
      </c>
      <c r="F19" t="s">
        <v>581</v>
      </c>
    </row>
    <row r="20" spans="1:6" x14ac:dyDescent="0.25">
      <c r="A20">
        <v>19</v>
      </c>
      <c r="B20" s="41" t="s">
        <v>584</v>
      </c>
      <c r="C20" s="42">
        <v>44.54</v>
      </c>
      <c r="D20" t="s">
        <v>2</v>
      </c>
      <c r="E20" s="143">
        <v>0.5</v>
      </c>
      <c r="F20" t="s">
        <v>581</v>
      </c>
    </row>
    <row r="21" spans="1:6" x14ac:dyDescent="0.25">
      <c r="A21">
        <v>20</v>
      </c>
      <c r="B21" s="41" t="s">
        <v>885</v>
      </c>
      <c r="C21" s="42">
        <v>73.78</v>
      </c>
      <c r="D21" t="s">
        <v>2</v>
      </c>
      <c r="E21" s="143">
        <v>0.5</v>
      </c>
      <c r="F21" t="s">
        <v>581</v>
      </c>
    </row>
    <row r="22" spans="1:6" x14ac:dyDescent="0.25">
      <c r="A22">
        <v>21</v>
      </c>
      <c r="B22" s="41" t="s">
        <v>585</v>
      </c>
      <c r="C22" s="42">
        <v>4.8</v>
      </c>
      <c r="D22" t="s">
        <v>2</v>
      </c>
      <c r="E22" s="143">
        <v>0.5</v>
      </c>
      <c r="F22" t="s">
        <v>581</v>
      </c>
    </row>
    <row r="23" spans="1:6" x14ac:dyDescent="0.25">
      <c r="A23">
        <v>22</v>
      </c>
      <c r="B23" s="41" t="s">
        <v>886</v>
      </c>
      <c r="C23" s="42">
        <v>149</v>
      </c>
      <c r="D23" t="s">
        <v>2</v>
      </c>
      <c r="E23" s="143">
        <v>0.5</v>
      </c>
      <c r="F23" t="s">
        <v>581</v>
      </c>
    </row>
    <row r="24" spans="1:6" x14ac:dyDescent="0.25">
      <c r="A24">
        <v>23</v>
      </c>
      <c r="B24" s="41" t="s">
        <v>649</v>
      </c>
      <c r="C24" s="42">
        <v>137</v>
      </c>
      <c r="D24" t="s">
        <v>2</v>
      </c>
      <c r="E24" s="143">
        <v>0.5</v>
      </c>
      <c r="F24" t="s">
        <v>581</v>
      </c>
    </row>
    <row r="25" spans="1:6" x14ac:dyDescent="0.25">
      <c r="A25">
        <v>24</v>
      </c>
      <c r="B25" s="41" t="s">
        <v>678</v>
      </c>
      <c r="C25" s="42">
        <v>112.06</v>
      </c>
      <c r="D25" t="s">
        <v>2</v>
      </c>
      <c r="E25" s="143">
        <v>0.5</v>
      </c>
      <c r="F25" t="s">
        <v>581</v>
      </c>
    </row>
    <row r="26" spans="1:6" x14ac:dyDescent="0.25">
      <c r="A26">
        <v>25</v>
      </c>
      <c r="B26" s="41" t="s">
        <v>679</v>
      </c>
      <c r="C26" s="42">
        <v>103.36</v>
      </c>
      <c r="D26" t="s">
        <v>2</v>
      </c>
      <c r="E26" s="143">
        <v>0.5</v>
      </c>
      <c r="F26" t="s">
        <v>581</v>
      </c>
    </row>
    <row r="27" spans="1:6" x14ac:dyDescent="0.25">
      <c r="A27">
        <v>26</v>
      </c>
      <c r="B27" s="41" t="s">
        <v>650</v>
      </c>
      <c r="C27" s="42">
        <v>331</v>
      </c>
      <c r="D27" t="s">
        <v>2</v>
      </c>
      <c r="E27" s="143">
        <v>0.5</v>
      </c>
      <c r="F27" t="s">
        <v>581</v>
      </c>
    </row>
    <row r="28" spans="1:6" x14ac:dyDescent="0.25">
      <c r="A28">
        <v>27</v>
      </c>
      <c r="B28" s="41" t="s">
        <v>887</v>
      </c>
      <c r="C28" s="42">
        <v>158</v>
      </c>
      <c r="D28" t="s">
        <v>2</v>
      </c>
      <c r="E28" s="143">
        <v>0.5</v>
      </c>
      <c r="F28" t="s">
        <v>581</v>
      </c>
    </row>
    <row r="29" spans="1:6" x14ac:dyDescent="0.25">
      <c r="A29">
        <v>28</v>
      </c>
      <c r="B29" s="41" t="s">
        <v>651</v>
      </c>
      <c r="C29" s="42">
        <v>182</v>
      </c>
      <c r="D29" t="s">
        <v>2</v>
      </c>
      <c r="E29" s="143">
        <v>0.5</v>
      </c>
      <c r="F29" t="s">
        <v>581</v>
      </c>
    </row>
    <row r="30" spans="1:6" x14ac:dyDescent="0.25">
      <c r="A30">
        <v>29</v>
      </c>
      <c r="B30" s="41" t="s">
        <v>652</v>
      </c>
      <c r="C30" s="42">
        <v>292</v>
      </c>
      <c r="D30" t="s">
        <v>2</v>
      </c>
      <c r="E30" s="143">
        <v>0.5</v>
      </c>
      <c r="F30" t="s">
        <v>581</v>
      </c>
    </row>
    <row r="31" spans="1:6" x14ac:dyDescent="0.25">
      <c r="A31">
        <v>30</v>
      </c>
      <c r="B31" s="41" t="s">
        <v>653</v>
      </c>
      <c r="C31" s="42">
        <v>331</v>
      </c>
      <c r="D31" t="s">
        <v>2</v>
      </c>
      <c r="E31" s="143">
        <v>0.5</v>
      </c>
      <c r="F31" t="s">
        <v>581</v>
      </c>
    </row>
    <row r="32" spans="1:6" x14ac:dyDescent="0.25">
      <c r="A32">
        <v>31</v>
      </c>
      <c r="B32" s="41" t="s">
        <v>654</v>
      </c>
      <c r="C32" s="42">
        <v>473</v>
      </c>
      <c r="D32" t="s">
        <v>2</v>
      </c>
      <c r="E32" s="143">
        <v>0.5</v>
      </c>
      <c r="F32" t="s">
        <v>581</v>
      </c>
    </row>
    <row r="33" spans="1:6" x14ac:dyDescent="0.25">
      <c r="A33">
        <v>32</v>
      </c>
      <c r="B33" s="41" t="s">
        <v>655</v>
      </c>
      <c r="C33" s="42">
        <v>53</v>
      </c>
      <c r="D33" t="s">
        <v>2</v>
      </c>
      <c r="E33" s="143">
        <v>0.5</v>
      </c>
      <c r="F33" t="s">
        <v>581</v>
      </c>
    </row>
    <row r="34" spans="1:6" x14ac:dyDescent="0.25">
      <c r="A34">
        <v>33</v>
      </c>
      <c r="B34" s="41" t="s">
        <v>656</v>
      </c>
      <c r="C34" s="42">
        <v>367</v>
      </c>
      <c r="D34" t="s">
        <v>2</v>
      </c>
      <c r="E34" s="143">
        <v>0.5</v>
      </c>
      <c r="F34" t="s">
        <v>581</v>
      </c>
    </row>
    <row r="35" spans="1:6" x14ac:dyDescent="0.25">
      <c r="A35">
        <v>34</v>
      </c>
      <c r="B35" s="41" t="s">
        <v>657</v>
      </c>
      <c r="C35" s="42">
        <v>441</v>
      </c>
      <c r="D35" t="s">
        <v>2</v>
      </c>
      <c r="E35" s="143">
        <v>0.5</v>
      </c>
      <c r="F35" t="s">
        <v>581</v>
      </c>
    </row>
    <row r="36" spans="1:6" x14ac:dyDescent="0.25">
      <c r="A36">
        <v>35</v>
      </c>
      <c r="B36" s="41" t="s">
        <v>658</v>
      </c>
      <c r="C36" s="42">
        <v>132</v>
      </c>
      <c r="D36" t="s">
        <v>2</v>
      </c>
      <c r="E36" s="143">
        <v>0.5</v>
      </c>
      <c r="F36" t="s">
        <v>581</v>
      </c>
    </row>
    <row r="37" spans="1:6" x14ac:dyDescent="0.25">
      <c r="A37">
        <v>36</v>
      </c>
      <c r="B37" s="41" t="s">
        <v>659</v>
      </c>
      <c r="C37" s="42">
        <v>97</v>
      </c>
      <c r="D37" t="s">
        <v>2</v>
      </c>
      <c r="E37" s="143">
        <v>0.5</v>
      </c>
      <c r="F37" t="s">
        <v>581</v>
      </c>
    </row>
    <row r="38" spans="1:6" x14ac:dyDescent="0.25">
      <c r="A38">
        <v>37</v>
      </c>
      <c r="B38" s="41" t="s">
        <v>660</v>
      </c>
      <c r="C38" s="42">
        <v>103</v>
      </c>
      <c r="D38" t="s">
        <v>2</v>
      </c>
      <c r="E38" s="143">
        <v>0.5</v>
      </c>
      <c r="F38" t="s">
        <v>581</v>
      </c>
    </row>
    <row r="39" spans="1:6" x14ac:dyDescent="0.25">
      <c r="A39">
        <v>38</v>
      </c>
      <c r="B39" s="41" t="s">
        <v>662</v>
      </c>
      <c r="C39" s="42">
        <v>118</v>
      </c>
      <c r="D39" t="s">
        <v>2</v>
      </c>
      <c r="E39" s="143">
        <v>0.5</v>
      </c>
      <c r="F39" t="s">
        <v>581</v>
      </c>
    </row>
    <row r="40" spans="1:6" x14ac:dyDescent="0.25">
      <c r="A40">
        <v>39</v>
      </c>
      <c r="B40" s="41" t="s">
        <v>661</v>
      </c>
      <c r="C40" s="42">
        <v>344</v>
      </c>
      <c r="D40" t="s">
        <v>2</v>
      </c>
      <c r="E40" s="143">
        <v>0.5</v>
      </c>
      <c r="F40" t="s">
        <v>581</v>
      </c>
    </row>
  </sheetData>
  <mergeCells count="1">
    <mergeCell ref="G3:H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CF0F-8523-42C6-BA6C-6C7C18A34CFC}">
  <sheetPr codeName="Hárok6"/>
  <dimension ref="A1:H216"/>
  <sheetViews>
    <sheetView topLeftCell="A194" workbookViewId="0">
      <selection activeCell="B3" sqref="B3"/>
    </sheetView>
  </sheetViews>
  <sheetFormatPr defaultRowHeight="15" x14ac:dyDescent="0.25"/>
  <cols>
    <col min="2" max="2" width="60.7109375" style="41" customWidth="1"/>
    <col min="3" max="3" width="9.28515625" style="42" bestFit="1" customWidth="1"/>
  </cols>
  <sheetData>
    <row r="1" spans="1:8" s="49" customFormat="1" ht="14.45" customHeight="1" thickBot="1" x14ac:dyDescent="0.3">
      <c r="A1" s="300" t="s">
        <v>541</v>
      </c>
      <c r="B1" s="279" t="s">
        <v>1188</v>
      </c>
      <c r="C1" s="279" t="s">
        <v>624</v>
      </c>
      <c r="D1" s="280" t="s">
        <v>745</v>
      </c>
      <c r="E1" s="280" t="s">
        <v>612</v>
      </c>
      <c r="F1" s="280" t="s">
        <v>613</v>
      </c>
    </row>
    <row r="2" spans="1:8" ht="18.75" x14ac:dyDescent="0.3">
      <c r="A2" s="301">
        <v>1</v>
      </c>
      <c r="B2" s="276" t="s">
        <v>1160</v>
      </c>
      <c r="C2" s="277"/>
      <c r="D2" s="277" t="s">
        <v>2</v>
      </c>
      <c r="E2" s="284">
        <v>0.5</v>
      </c>
      <c r="F2" s="277" t="s">
        <v>1187</v>
      </c>
      <c r="G2" s="107" t="s">
        <v>621</v>
      </c>
      <c r="H2" s="106"/>
    </row>
    <row r="3" spans="1:8" ht="15.75" thickBot="1" x14ac:dyDescent="0.3">
      <c r="A3" s="302">
        <v>2</v>
      </c>
      <c r="B3" s="303" t="s">
        <v>1005</v>
      </c>
      <c r="C3" s="304" t="s">
        <v>1006</v>
      </c>
      <c r="D3" s="304" t="s">
        <v>2</v>
      </c>
      <c r="E3" s="305">
        <v>0.5</v>
      </c>
      <c r="F3" s="304" t="s">
        <v>1187</v>
      </c>
      <c r="G3" s="505"/>
      <c r="H3" s="506"/>
    </row>
    <row r="4" spans="1:8" x14ac:dyDescent="0.25">
      <c r="A4" s="301">
        <v>3</v>
      </c>
      <c r="B4" s="57" t="s">
        <v>1007</v>
      </c>
      <c r="C4" s="277"/>
      <c r="D4" s="277" t="s">
        <v>2</v>
      </c>
      <c r="E4" s="284">
        <v>0.5</v>
      </c>
      <c r="F4" s="277" t="s">
        <v>1187</v>
      </c>
    </row>
    <row r="5" spans="1:8" x14ac:dyDescent="0.25">
      <c r="A5" s="302">
        <v>4</v>
      </c>
      <c r="B5" s="303" t="s">
        <v>1161</v>
      </c>
      <c r="C5" s="304"/>
      <c r="D5" s="304" t="s">
        <v>2</v>
      </c>
      <c r="E5" s="305">
        <v>0.5</v>
      </c>
      <c r="F5" s="304" t="s">
        <v>1187</v>
      </c>
    </row>
    <row r="6" spans="1:8" x14ac:dyDescent="0.25">
      <c r="A6" s="301">
        <v>5</v>
      </c>
      <c r="B6" s="57" t="s">
        <v>1008</v>
      </c>
      <c r="C6" s="277" t="s">
        <v>1009</v>
      </c>
      <c r="D6" s="277" t="s">
        <v>2</v>
      </c>
      <c r="E6" s="284">
        <v>0.5</v>
      </c>
      <c r="F6" s="277" t="s">
        <v>1187</v>
      </c>
    </row>
    <row r="7" spans="1:8" x14ac:dyDescent="0.25">
      <c r="A7" s="302">
        <v>6</v>
      </c>
      <c r="B7" s="303"/>
      <c r="C7" s="304"/>
      <c r="D7" s="304" t="s">
        <v>2</v>
      </c>
      <c r="E7" s="305">
        <v>0.5</v>
      </c>
      <c r="F7" s="304" t="s">
        <v>1187</v>
      </c>
    </row>
    <row r="8" spans="1:8" ht="18.75" x14ac:dyDescent="0.3">
      <c r="A8" s="301">
        <v>7</v>
      </c>
      <c r="B8" s="276" t="s">
        <v>1162</v>
      </c>
      <c r="C8" s="277"/>
      <c r="D8" s="277" t="s">
        <v>2</v>
      </c>
      <c r="E8" s="284">
        <v>0.5</v>
      </c>
      <c r="F8" s="277" t="s">
        <v>1187</v>
      </c>
    </row>
    <row r="9" spans="1:8" x14ac:dyDescent="0.25">
      <c r="A9" s="302">
        <v>8</v>
      </c>
      <c r="B9" s="303" t="s">
        <v>1010</v>
      </c>
      <c r="C9" s="304" t="s">
        <v>1011</v>
      </c>
      <c r="D9" s="304" t="s">
        <v>2</v>
      </c>
      <c r="E9" s="305">
        <v>0.5</v>
      </c>
      <c r="F9" s="304" t="s">
        <v>1187</v>
      </c>
    </row>
    <row r="10" spans="1:8" x14ac:dyDescent="0.25">
      <c r="A10" s="301">
        <v>9</v>
      </c>
      <c r="B10" s="57" t="s">
        <v>1012</v>
      </c>
      <c r="C10" s="277" t="s">
        <v>1013</v>
      </c>
      <c r="D10" s="277" t="s">
        <v>2</v>
      </c>
      <c r="E10" s="284">
        <v>0.5</v>
      </c>
      <c r="F10" s="277" t="s">
        <v>1187</v>
      </c>
    </row>
    <row r="11" spans="1:8" x14ac:dyDescent="0.25">
      <c r="A11" s="302">
        <v>10</v>
      </c>
      <c r="B11" s="303" t="s">
        <v>1014</v>
      </c>
      <c r="C11" s="304"/>
      <c r="D11" s="304" t="s">
        <v>2</v>
      </c>
      <c r="E11" s="305">
        <v>0.5</v>
      </c>
      <c r="F11" s="304" t="s">
        <v>1187</v>
      </c>
    </row>
    <row r="12" spans="1:8" x14ac:dyDescent="0.25">
      <c r="A12" s="301">
        <v>11</v>
      </c>
      <c r="B12" s="57" t="s">
        <v>1015</v>
      </c>
      <c r="C12" s="277" t="s">
        <v>1016</v>
      </c>
      <c r="D12" s="277" t="s">
        <v>2</v>
      </c>
      <c r="E12" s="284">
        <v>0.5</v>
      </c>
      <c r="F12" s="277" t="s">
        <v>1187</v>
      </c>
      <c r="H12" s="118"/>
    </row>
    <row r="13" spans="1:8" x14ac:dyDescent="0.25">
      <c r="A13" s="302">
        <v>12</v>
      </c>
      <c r="B13" s="303" t="s">
        <v>1014</v>
      </c>
      <c r="C13" s="304"/>
      <c r="D13" s="304" t="s">
        <v>2</v>
      </c>
      <c r="E13" s="305">
        <v>0.5</v>
      </c>
      <c r="F13" s="304" t="s">
        <v>1187</v>
      </c>
    </row>
    <row r="14" spans="1:8" x14ac:dyDescent="0.25">
      <c r="A14" s="301">
        <v>13</v>
      </c>
      <c r="B14" s="57" t="s">
        <v>1017</v>
      </c>
      <c r="C14" s="277" t="s">
        <v>1016</v>
      </c>
      <c r="D14" s="277" t="s">
        <v>2</v>
      </c>
      <c r="E14" s="284">
        <v>0.5</v>
      </c>
      <c r="F14" s="277" t="s">
        <v>1187</v>
      </c>
    </row>
    <row r="15" spans="1:8" x14ac:dyDescent="0.25">
      <c r="A15" s="302">
        <v>14</v>
      </c>
      <c r="B15" s="303" t="s">
        <v>1014</v>
      </c>
      <c r="C15" s="304"/>
      <c r="D15" s="304" t="s">
        <v>2</v>
      </c>
      <c r="E15" s="305">
        <v>0.5</v>
      </c>
      <c r="F15" s="304" t="s">
        <v>1187</v>
      </c>
    </row>
    <row r="16" spans="1:8" x14ac:dyDescent="0.25">
      <c r="A16" s="301">
        <v>15</v>
      </c>
      <c r="B16" s="57" t="s">
        <v>1018</v>
      </c>
      <c r="C16" s="277" t="s">
        <v>1019</v>
      </c>
      <c r="D16" s="277" t="s">
        <v>2</v>
      </c>
      <c r="E16" s="284">
        <v>0.5</v>
      </c>
      <c r="F16" s="277" t="s">
        <v>1187</v>
      </c>
    </row>
    <row r="17" spans="1:6" x14ac:dyDescent="0.25">
      <c r="A17" s="302">
        <v>16</v>
      </c>
      <c r="B17" s="303" t="s">
        <v>1014</v>
      </c>
      <c r="C17" s="304"/>
      <c r="D17" s="304" t="s">
        <v>2</v>
      </c>
      <c r="E17" s="305">
        <v>0.5</v>
      </c>
      <c r="F17" s="304" t="s">
        <v>1187</v>
      </c>
    </row>
    <row r="18" spans="1:6" x14ac:dyDescent="0.25">
      <c r="A18" s="301">
        <v>17</v>
      </c>
      <c r="B18" s="57" t="s">
        <v>1020</v>
      </c>
      <c r="C18" s="277" t="s">
        <v>1021</v>
      </c>
      <c r="D18" s="277" t="s">
        <v>2</v>
      </c>
      <c r="E18" s="284">
        <v>0.5</v>
      </c>
      <c r="F18" s="277" t="s">
        <v>1187</v>
      </c>
    </row>
    <row r="19" spans="1:6" x14ac:dyDescent="0.25">
      <c r="A19" s="302">
        <v>18</v>
      </c>
      <c r="B19" s="303" t="s">
        <v>1022</v>
      </c>
      <c r="C19" s="304"/>
      <c r="D19" s="304" t="s">
        <v>2</v>
      </c>
      <c r="E19" s="305">
        <v>0.5</v>
      </c>
      <c r="F19" s="304" t="s">
        <v>1187</v>
      </c>
    </row>
    <row r="20" spans="1:6" x14ac:dyDescent="0.25">
      <c r="A20" s="301">
        <v>19</v>
      </c>
      <c r="B20" s="57" t="s">
        <v>1023</v>
      </c>
      <c r="C20" s="277" t="s">
        <v>1024</v>
      </c>
      <c r="D20" s="277" t="s">
        <v>2</v>
      </c>
      <c r="E20" s="284">
        <v>0.5</v>
      </c>
      <c r="F20" s="277" t="s">
        <v>1187</v>
      </c>
    </row>
    <row r="21" spans="1:6" x14ac:dyDescent="0.25">
      <c r="A21" s="302">
        <v>20</v>
      </c>
      <c r="B21" s="303" t="s">
        <v>1022</v>
      </c>
      <c r="C21" s="304"/>
      <c r="D21" s="304" t="s">
        <v>2</v>
      </c>
      <c r="E21" s="305">
        <v>0.5</v>
      </c>
      <c r="F21" s="304" t="s">
        <v>1187</v>
      </c>
    </row>
    <row r="22" spans="1:6" x14ac:dyDescent="0.25">
      <c r="A22" s="301">
        <v>21</v>
      </c>
      <c r="B22" s="57" t="s">
        <v>1025</v>
      </c>
      <c r="C22" s="277" t="s">
        <v>1024</v>
      </c>
      <c r="D22" s="277" t="s">
        <v>2</v>
      </c>
      <c r="E22" s="284">
        <v>0.5</v>
      </c>
      <c r="F22" s="277" t="s">
        <v>1187</v>
      </c>
    </row>
    <row r="23" spans="1:6" x14ac:dyDescent="0.25">
      <c r="A23" s="302">
        <v>22</v>
      </c>
      <c r="B23" s="303" t="s">
        <v>1022</v>
      </c>
      <c r="C23" s="304"/>
      <c r="D23" s="304" t="s">
        <v>2</v>
      </c>
      <c r="E23" s="305">
        <v>0.5</v>
      </c>
      <c r="F23" s="304" t="s">
        <v>1187</v>
      </c>
    </row>
    <row r="24" spans="1:6" x14ac:dyDescent="0.25">
      <c r="A24" s="301">
        <v>23</v>
      </c>
      <c r="B24" s="57" t="s">
        <v>1026</v>
      </c>
      <c r="C24" s="277" t="s">
        <v>1027</v>
      </c>
      <c r="D24" s="277" t="s">
        <v>2</v>
      </c>
      <c r="E24" s="284">
        <v>0.5</v>
      </c>
      <c r="F24" s="277" t="s">
        <v>1187</v>
      </c>
    </row>
    <row r="25" spans="1:6" x14ac:dyDescent="0.25">
      <c r="A25" s="302">
        <v>24</v>
      </c>
      <c r="B25" s="303" t="s">
        <v>1022</v>
      </c>
      <c r="C25" s="304"/>
      <c r="D25" s="304" t="s">
        <v>2</v>
      </c>
      <c r="E25" s="305">
        <v>0.5</v>
      </c>
      <c r="F25" s="304" t="s">
        <v>1187</v>
      </c>
    </row>
    <row r="26" spans="1:6" x14ac:dyDescent="0.25">
      <c r="A26" s="301">
        <v>25</v>
      </c>
      <c r="B26" s="57"/>
      <c r="C26" s="277"/>
      <c r="D26" s="277" t="s">
        <v>2</v>
      </c>
      <c r="E26" s="284">
        <v>0.5</v>
      </c>
      <c r="F26" s="277" t="s">
        <v>1187</v>
      </c>
    </row>
    <row r="27" spans="1:6" ht="18.75" x14ac:dyDescent="0.3">
      <c r="A27" s="302">
        <v>26</v>
      </c>
      <c r="B27" s="306" t="s">
        <v>1028</v>
      </c>
      <c r="C27" s="304"/>
      <c r="D27" s="304" t="s">
        <v>2</v>
      </c>
      <c r="E27" s="305">
        <v>0.5</v>
      </c>
      <c r="F27" s="304" t="s">
        <v>1187</v>
      </c>
    </row>
    <row r="28" spans="1:6" ht="18.75" x14ac:dyDescent="0.3">
      <c r="A28" s="301">
        <v>27</v>
      </c>
      <c r="B28" s="276" t="s">
        <v>1163</v>
      </c>
      <c r="C28" s="277"/>
      <c r="D28" s="277" t="s">
        <v>2</v>
      </c>
      <c r="E28" s="284">
        <v>0.5</v>
      </c>
      <c r="F28" s="277" t="s">
        <v>1187</v>
      </c>
    </row>
    <row r="29" spans="1:6" x14ac:dyDescent="0.25">
      <c r="A29" s="302">
        <v>28</v>
      </c>
      <c r="B29" s="303" t="s">
        <v>1029</v>
      </c>
      <c r="C29" s="304">
        <v>732.04</v>
      </c>
      <c r="D29" s="304" t="s">
        <v>2</v>
      </c>
      <c r="E29" s="305">
        <v>0.5</v>
      </c>
      <c r="F29" s="304" t="s">
        <v>1187</v>
      </c>
    </row>
    <row r="30" spans="1:6" x14ac:dyDescent="0.25">
      <c r="A30" s="301">
        <v>29</v>
      </c>
      <c r="B30" s="57" t="s">
        <v>1030</v>
      </c>
      <c r="C30" s="277"/>
      <c r="D30" s="277" t="s">
        <v>2</v>
      </c>
      <c r="E30" s="284">
        <v>0.5</v>
      </c>
      <c r="F30" s="277" t="s">
        <v>1187</v>
      </c>
    </row>
    <row r="31" spans="1:6" x14ac:dyDescent="0.25">
      <c r="A31" s="302">
        <v>30</v>
      </c>
      <c r="B31" s="303" t="s">
        <v>1031</v>
      </c>
      <c r="C31" s="304">
        <v>764.61</v>
      </c>
      <c r="D31" s="304" t="s">
        <v>2</v>
      </c>
      <c r="E31" s="305">
        <v>0.5</v>
      </c>
      <c r="F31" s="304" t="s">
        <v>1187</v>
      </c>
    </row>
    <row r="32" spans="1:6" x14ac:dyDescent="0.25">
      <c r="A32" s="301">
        <v>31</v>
      </c>
      <c r="B32" s="57" t="s">
        <v>1030</v>
      </c>
      <c r="C32" s="277"/>
      <c r="D32" s="277" t="s">
        <v>2</v>
      </c>
      <c r="E32" s="284">
        <v>0.5</v>
      </c>
      <c r="F32" s="277" t="s">
        <v>1187</v>
      </c>
    </row>
    <row r="33" spans="1:6" x14ac:dyDescent="0.25">
      <c r="A33" s="302">
        <v>32</v>
      </c>
      <c r="B33" s="303" t="s">
        <v>1032</v>
      </c>
      <c r="C33" s="304">
        <v>764.61</v>
      </c>
      <c r="D33" s="304" t="s">
        <v>2</v>
      </c>
      <c r="E33" s="305">
        <v>0.5</v>
      </c>
      <c r="F33" s="304" t="s">
        <v>1187</v>
      </c>
    </row>
    <row r="34" spans="1:6" x14ac:dyDescent="0.25">
      <c r="A34" s="301">
        <v>33</v>
      </c>
      <c r="B34" s="57" t="s">
        <v>1030</v>
      </c>
      <c r="C34" s="277"/>
      <c r="D34" s="277" t="s">
        <v>2</v>
      </c>
      <c r="E34" s="284">
        <v>0.5</v>
      </c>
      <c r="F34" s="277" t="s">
        <v>1187</v>
      </c>
    </row>
    <row r="35" spans="1:6" x14ac:dyDescent="0.25">
      <c r="A35" s="302">
        <v>34</v>
      </c>
      <c r="B35" s="303" t="s">
        <v>1033</v>
      </c>
      <c r="C35" s="304">
        <v>762.34</v>
      </c>
      <c r="D35" s="304" t="s">
        <v>2</v>
      </c>
      <c r="E35" s="305">
        <v>0.5</v>
      </c>
      <c r="F35" s="304" t="s">
        <v>1187</v>
      </c>
    </row>
    <row r="36" spans="1:6" x14ac:dyDescent="0.25">
      <c r="A36" s="301">
        <v>35</v>
      </c>
      <c r="B36" s="57" t="s">
        <v>1034</v>
      </c>
      <c r="C36" s="277"/>
      <c r="D36" s="277" t="s">
        <v>2</v>
      </c>
      <c r="E36" s="284">
        <v>0.5</v>
      </c>
      <c r="F36" s="277" t="s">
        <v>1187</v>
      </c>
    </row>
    <row r="37" spans="1:6" x14ac:dyDescent="0.25">
      <c r="A37" s="302">
        <v>36</v>
      </c>
      <c r="B37" s="303" t="s">
        <v>1035</v>
      </c>
      <c r="C37" s="304">
        <v>816.3</v>
      </c>
      <c r="D37" s="304" t="s">
        <v>2</v>
      </c>
      <c r="E37" s="305">
        <v>0.5</v>
      </c>
      <c r="F37" s="304" t="s">
        <v>1187</v>
      </c>
    </row>
    <row r="38" spans="1:6" x14ac:dyDescent="0.25">
      <c r="A38" s="301">
        <v>37</v>
      </c>
      <c r="B38" s="57" t="s">
        <v>1034</v>
      </c>
      <c r="C38" s="277"/>
      <c r="D38" s="277" t="s">
        <v>2</v>
      </c>
      <c r="E38" s="284">
        <v>0.5</v>
      </c>
      <c r="F38" s="277" t="s">
        <v>1187</v>
      </c>
    </row>
    <row r="39" spans="1:6" x14ac:dyDescent="0.25">
      <c r="A39" s="302">
        <v>38</v>
      </c>
      <c r="B39" s="303" t="s">
        <v>1036</v>
      </c>
      <c r="C39" s="304">
        <v>816.3</v>
      </c>
      <c r="D39" s="304" t="s">
        <v>2</v>
      </c>
      <c r="E39" s="305">
        <v>0.5</v>
      </c>
      <c r="F39" s="304" t="s">
        <v>1187</v>
      </c>
    </row>
    <row r="40" spans="1:6" x14ac:dyDescent="0.25">
      <c r="A40" s="301">
        <v>39</v>
      </c>
      <c r="B40" s="57" t="s">
        <v>1034</v>
      </c>
      <c r="C40" s="277"/>
      <c r="D40" s="277" t="s">
        <v>2</v>
      </c>
      <c r="E40" s="284">
        <v>0.5</v>
      </c>
      <c r="F40" s="277" t="s">
        <v>1187</v>
      </c>
    </row>
    <row r="41" spans="1:6" x14ac:dyDescent="0.25">
      <c r="A41" s="302">
        <v>40</v>
      </c>
      <c r="B41" s="303" t="s">
        <v>1037</v>
      </c>
      <c r="C41" s="304">
        <v>816.3</v>
      </c>
      <c r="D41" s="304" t="s">
        <v>2</v>
      </c>
      <c r="E41" s="305">
        <v>0.5</v>
      </c>
      <c r="F41" s="304" t="s">
        <v>1187</v>
      </c>
    </row>
    <row r="42" spans="1:6" x14ac:dyDescent="0.25">
      <c r="A42" s="301">
        <v>41</v>
      </c>
      <c r="B42" s="57" t="s">
        <v>1038</v>
      </c>
      <c r="C42" s="277"/>
      <c r="D42" s="277" t="s">
        <v>2</v>
      </c>
      <c r="E42" s="284">
        <v>0.5</v>
      </c>
      <c r="F42" s="277" t="s">
        <v>1187</v>
      </c>
    </row>
    <row r="43" spans="1:6" x14ac:dyDescent="0.25">
      <c r="A43" s="302">
        <v>42</v>
      </c>
      <c r="B43" s="303" t="s">
        <v>1039</v>
      </c>
      <c r="C43" s="304">
        <v>816.3</v>
      </c>
      <c r="D43" s="304" t="s">
        <v>2</v>
      </c>
      <c r="E43" s="305">
        <v>0.5</v>
      </c>
      <c r="F43" s="304" t="s">
        <v>1187</v>
      </c>
    </row>
    <row r="44" spans="1:6" x14ac:dyDescent="0.25">
      <c r="A44" s="301">
        <v>43</v>
      </c>
      <c r="B44" s="57" t="s">
        <v>1034</v>
      </c>
      <c r="C44" s="277"/>
      <c r="D44" s="277" t="s">
        <v>2</v>
      </c>
      <c r="E44" s="284">
        <v>0.5</v>
      </c>
      <c r="F44" s="277" t="s">
        <v>1187</v>
      </c>
    </row>
    <row r="45" spans="1:6" x14ac:dyDescent="0.25">
      <c r="A45" s="302">
        <v>44</v>
      </c>
      <c r="B45" s="303" t="s">
        <v>1040</v>
      </c>
      <c r="C45" s="304">
        <v>1167.9000000000001</v>
      </c>
      <c r="D45" s="304" t="s">
        <v>2</v>
      </c>
      <c r="E45" s="305">
        <v>0.5</v>
      </c>
      <c r="F45" s="304" t="s">
        <v>1187</v>
      </c>
    </row>
    <row r="46" spans="1:6" x14ac:dyDescent="0.25">
      <c r="A46" s="301">
        <v>45</v>
      </c>
      <c r="B46" s="57" t="s">
        <v>1041</v>
      </c>
      <c r="C46" s="277"/>
      <c r="D46" s="277" t="s">
        <v>2</v>
      </c>
      <c r="E46" s="284">
        <v>0.5</v>
      </c>
      <c r="F46" s="277" t="s">
        <v>1187</v>
      </c>
    </row>
    <row r="47" spans="1:6" x14ac:dyDescent="0.25">
      <c r="A47" s="302">
        <v>46</v>
      </c>
      <c r="B47" s="303" t="s">
        <v>1042</v>
      </c>
      <c r="C47" s="304"/>
      <c r="D47" s="304" t="s">
        <v>2</v>
      </c>
      <c r="E47" s="305">
        <v>0.5</v>
      </c>
      <c r="F47" s="304" t="s">
        <v>1187</v>
      </c>
    </row>
    <row r="48" spans="1:6" x14ac:dyDescent="0.25">
      <c r="A48" s="301">
        <v>47</v>
      </c>
      <c r="B48" s="57" t="s">
        <v>1043</v>
      </c>
      <c r="C48" s="277">
        <v>1226.44</v>
      </c>
      <c r="D48" s="277" t="s">
        <v>2</v>
      </c>
      <c r="E48" s="284">
        <v>0.5</v>
      </c>
      <c r="F48" s="277" t="s">
        <v>1187</v>
      </c>
    </row>
    <row r="49" spans="1:6" x14ac:dyDescent="0.25">
      <c r="A49" s="302">
        <v>48</v>
      </c>
      <c r="B49" s="303" t="s">
        <v>1044</v>
      </c>
      <c r="C49" s="304">
        <v>1568.7</v>
      </c>
      <c r="D49" s="304" t="s">
        <v>2</v>
      </c>
      <c r="E49" s="305">
        <v>0.5</v>
      </c>
      <c r="F49" s="304" t="s">
        <v>1187</v>
      </c>
    </row>
    <row r="50" spans="1:6" x14ac:dyDescent="0.25">
      <c r="A50" s="301">
        <v>49</v>
      </c>
      <c r="B50" s="57" t="s">
        <v>1045</v>
      </c>
      <c r="C50" s="277"/>
      <c r="D50" s="277" t="s">
        <v>2</v>
      </c>
      <c r="E50" s="284">
        <v>0.5</v>
      </c>
      <c r="F50" s="277" t="s">
        <v>1187</v>
      </c>
    </row>
    <row r="51" spans="1:6" x14ac:dyDescent="0.25">
      <c r="A51" s="302">
        <v>50</v>
      </c>
      <c r="B51" s="303"/>
      <c r="C51" s="304"/>
      <c r="D51" s="304" t="s">
        <v>2</v>
      </c>
      <c r="E51" s="305">
        <v>0.5</v>
      </c>
      <c r="F51" s="304" t="s">
        <v>1187</v>
      </c>
    </row>
    <row r="52" spans="1:6" ht="18.75" x14ac:dyDescent="0.3">
      <c r="A52" s="301">
        <v>51</v>
      </c>
      <c r="B52" s="276" t="s">
        <v>1164</v>
      </c>
      <c r="C52" s="277"/>
      <c r="D52" s="277" t="s">
        <v>2</v>
      </c>
      <c r="E52" s="284">
        <v>0.5</v>
      </c>
      <c r="F52" s="277" t="s">
        <v>1187</v>
      </c>
    </row>
    <row r="53" spans="1:6" x14ac:dyDescent="0.25">
      <c r="A53" s="302">
        <v>52</v>
      </c>
      <c r="B53" s="303" t="s">
        <v>1046</v>
      </c>
      <c r="C53" s="304">
        <v>599.86</v>
      </c>
      <c r="D53" s="304" t="s">
        <v>2</v>
      </c>
      <c r="E53" s="305">
        <v>0.5</v>
      </c>
      <c r="F53" s="304" t="s">
        <v>1187</v>
      </c>
    </row>
    <row r="54" spans="1:6" x14ac:dyDescent="0.25">
      <c r="A54" s="301">
        <v>53</v>
      </c>
      <c r="B54" s="57" t="s">
        <v>1047</v>
      </c>
      <c r="C54" s="277"/>
      <c r="D54" s="277" t="s">
        <v>2</v>
      </c>
      <c r="E54" s="284">
        <v>0.5</v>
      </c>
      <c r="F54" s="277" t="s">
        <v>1187</v>
      </c>
    </row>
    <row r="55" spans="1:6" x14ac:dyDescent="0.25">
      <c r="A55" s="302">
        <v>54</v>
      </c>
      <c r="B55" s="303" t="s">
        <v>1048</v>
      </c>
      <c r="C55" s="304">
        <v>634.63</v>
      </c>
      <c r="D55" s="304" t="s">
        <v>2</v>
      </c>
      <c r="E55" s="305">
        <v>0.5</v>
      </c>
      <c r="F55" s="304" t="s">
        <v>1187</v>
      </c>
    </row>
    <row r="56" spans="1:6" x14ac:dyDescent="0.25">
      <c r="A56" s="301">
        <v>55</v>
      </c>
      <c r="B56" s="57" t="s">
        <v>1049</v>
      </c>
      <c r="C56" s="277"/>
      <c r="D56" s="277" t="s">
        <v>2</v>
      </c>
      <c r="E56" s="284">
        <v>0.5</v>
      </c>
      <c r="F56" s="277" t="s">
        <v>1187</v>
      </c>
    </row>
    <row r="57" spans="1:6" x14ac:dyDescent="0.25">
      <c r="A57" s="302">
        <v>56</v>
      </c>
      <c r="B57" s="303" t="s">
        <v>1050</v>
      </c>
      <c r="C57" s="304">
        <v>1002.54</v>
      </c>
      <c r="D57" s="304" t="s">
        <v>2</v>
      </c>
      <c r="E57" s="305">
        <v>0.5</v>
      </c>
      <c r="F57" s="304" t="s">
        <v>1187</v>
      </c>
    </row>
    <row r="58" spans="1:6" x14ac:dyDescent="0.25">
      <c r="A58" s="301">
        <v>57</v>
      </c>
      <c r="B58" s="57" t="s">
        <v>1051</v>
      </c>
      <c r="C58" s="277"/>
      <c r="D58" s="277" t="s">
        <v>2</v>
      </c>
      <c r="E58" s="284">
        <v>0.5</v>
      </c>
      <c r="F58" s="277" t="s">
        <v>1187</v>
      </c>
    </row>
    <row r="59" spans="1:6" x14ac:dyDescent="0.25">
      <c r="A59" s="302">
        <v>58</v>
      </c>
      <c r="B59" s="303" t="s">
        <v>1052</v>
      </c>
      <c r="C59" s="304">
        <v>1348.86</v>
      </c>
      <c r="D59" s="304" t="s">
        <v>2</v>
      </c>
      <c r="E59" s="305">
        <v>0.5</v>
      </c>
      <c r="F59" s="304" t="s">
        <v>1187</v>
      </c>
    </row>
    <row r="60" spans="1:6" x14ac:dyDescent="0.25">
      <c r="A60" s="301">
        <v>59</v>
      </c>
      <c r="B60" s="57" t="s">
        <v>1053</v>
      </c>
      <c r="C60" s="277"/>
      <c r="D60" s="277" t="s">
        <v>2</v>
      </c>
      <c r="E60" s="284">
        <v>0.5</v>
      </c>
      <c r="F60" s="277" t="s">
        <v>1187</v>
      </c>
    </row>
    <row r="61" spans="1:6" x14ac:dyDescent="0.25">
      <c r="A61" s="302">
        <v>60</v>
      </c>
      <c r="B61" s="303"/>
      <c r="C61" s="304"/>
      <c r="D61" s="304" t="s">
        <v>2</v>
      </c>
      <c r="E61" s="305">
        <v>0.5</v>
      </c>
      <c r="F61" s="304" t="s">
        <v>1187</v>
      </c>
    </row>
    <row r="62" spans="1:6" ht="18.75" x14ac:dyDescent="0.3">
      <c r="A62" s="301">
        <v>61</v>
      </c>
      <c r="B62" s="276" t="s">
        <v>1165</v>
      </c>
      <c r="C62" s="277"/>
      <c r="D62" s="277" t="s">
        <v>2</v>
      </c>
      <c r="E62" s="284">
        <v>0.5</v>
      </c>
      <c r="F62" s="277" t="s">
        <v>1187</v>
      </c>
    </row>
    <row r="63" spans="1:6" x14ac:dyDescent="0.25">
      <c r="A63" s="302">
        <v>62</v>
      </c>
      <c r="B63" s="303" t="s">
        <v>1054</v>
      </c>
      <c r="C63" s="304">
        <v>577.46</v>
      </c>
      <c r="D63" s="304" t="s">
        <v>2</v>
      </c>
      <c r="E63" s="305">
        <v>0.5</v>
      </c>
      <c r="F63" s="304" t="s">
        <v>1187</v>
      </c>
    </row>
    <row r="64" spans="1:6" x14ac:dyDescent="0.25">
      <c r="A64" s="301">
        <v>63</v>
      </c>
      <c r="B64" s="57" t="s">
        <v>1055</v>
      </c>
      <c r="C64" s="277"/>
      <c r="D64" s="277" t="s">
        <v>2</v>
      </c>
      <c r="E64" s="284">
        <v>0.5</v>
      </c>
      <c r="F64" s="277" t="s">
        <v>1187</v>
      </c>
    </row>
    <row r="65" spans="1:6" x14ac:dyDescent="0.25">
      <c r="A65" s="302">
        <v>64</v>
      </c>
      <c r="B65" s="303" t="s">
        <v>1056</v>
      </c>
      <c r="C65" s="304">
        <v>602.20000000000005</v>
      </c>
      <c r="D65" s="304" t="s">
        <v>2</v>
      </c>
      <c r="E65" s="305">
        <v>0.5</v>
      </c>
      <c r="F65" s="304" t="s">
        <v>1187</v>
      </c>
    </row>
    <row r="66" spans="1:6" x14ac:dyDescent="0.25">
      <c r="A66" s="301">
        <v>65</v>
      </c>
      <c r="B66" s="57" t="s">
        <v>1057</v>
      </c>
      <c r="C66" s="277"/>
      <c r="D66" s="277" t="s">
        <v>2</v>
      </c>
      <c r="E66" s="284">
        <v>0.5</v>
      </c>
      <c r="F66" s="277" t="s">
        <v>1187</v>
      </c>
    </row>
    <row r="67" spans="1:6" x14ac:dyDescent="0.25">
      <c r="A67" s="302">
        <v>66</v>
      </c>
      <c r="B67" s="303" t="s">
        <v>1058</v>
      </c>
      <c r="C67" s="304">
        <v>952.28</v>
      </c>
      <c r="D67" s="304" t="s">
        <v>2</v>
      </c>
      <c r="E67" s="305">
        <v>0.5</v>
      </c>
      <c r="F67" s="304" t="s">
        <v>1187</v>
      </c>
    </row>
    <row r="68" spans="1:6" x14ac:dyDescent="0.25">
      <c r="A68" s="301">
        <v>67</v>
      </c>
      <c r="B68" s="57" t="s">
        <v>1059</v>
      </c>
      <c r="C68" s="277"/>
      <c r="D68" s="277" t="s">
        <v>2</v>
      </c>
      <c r="E68" s="284">
        <v>0.5</v>
      </c>
      <c r="F68" s="277" t="s">
        <v>1187</v>
      </c>
    </row>
    <row r="69" spans="1:6" x14ac:dyDescent="0.25">
      <c r="A69" s="302">
        <v>68</v>
      </c>
      <c r="B69" s="303" t="s">
        <v>1060</v>
      </c>
      <c r="C69" s="304">
        <v>1302.3800000000001</v>
      </c>
      <c r="D69" s="304" t="s">
        <v>2</v>
      </c>
      <c r="E69" s="305">
        <v>0.5</v>
      </c>
      <c r="F69" s="304" t="s">
        <v>1187</v>
      </c>
    </row>
    <row r="70" spans="1:6" x14ac:dyDescent="0.25">
      <c r="A70" s="301">
        <v>69</v>
      </c>
      <c r="B70" s="57" t="s">
        <v>1061</v>
      </c>
      <c r="C70" s="277"/>
      <c r="D70" s="277" t="s">
        <v>2</v>
      </c>
      <c r="E70" s="284">
        <v>0.5</v>
      </c>
      <c r="F70" s="277" t="s">
        <v>1187</v>
      </c>
    </row>
    <row r="71" spans="1:6" x14ac:dyDescent="0.25">
      <c r="A71" s="302">
        <v>70</v>
      </c>
      <c r="B71" s="303"/>
      <c r="C71" s="304"/>
      <c r="D71" s="304" t="s">
        <v>2</v>
      </c>
      <c r="E71" s="305">
        <v>0.5</v>
      </c>
      <c r="F71" s="304" t="s">
        <v>1187</v>
      </c>
    </row>
    <row r="72" spans="1:6" ht="18.75" x14ac:dyDescent="0.3">
      <c r="A72" s="301">
        <v>71</v>
      </c>
      <c r="B72" s="276" t="s">
        <v>1166</v>
      </c>
      <c r="C72" s="277"/>
      <c r="D72" s="277" t="s">
        <v>2</v>
      </c>
      <c r="E72" s="284">
        <v>0.5</v>
      </c>
      <c r="F72" s="277" t="s">
        <v>1187</v>
      </c>
    </row>
    <row r="73" spans="1:6" x14ac:dyDescent="0.25">
      <c r="A73" s="302">
        <v>72</v>
      </c>
      <c r="B73" s="303" t="s">
        <v>1062</v>
      </c>
      <c r="C73" s="304">
        <v>277.48</v>
      </c>
      <c r="D73" s="304" t="s">
        <v>2</v>
      </c>
      <c r="E73" s="305">
        <v>0.5</v>
      </c>
      <c r="F73" s="304" t="s">
        <v>1187</v>
      </c>
    </row>
    <row r="74" spans="1:6" x14ac:dyDescent="0.25">
      <c r="A74" s="301">
        <v>73</v>
      </c>
      <c r="B74" s="57" t="s">
        <v>1063</v>
      </c>
      <c r="C74" s="277">
        <v>310.05</v>
      </c>
      <c r="D74" s="277" t="s">
        <v>2</v>
      </c>
      <c r="E74" s="284">
        <v>0.5</v>
      </c>
      <c r="F74" s="277" t="s">
        <v>1187</v>
      </c>
    </row>
    <row r="75" spans="1:6" x14ac:dyDescent="0.25">
      <c r="A75" s="302">
        <v>74</v>
      </c>
      <c r="B75" s="303" t="s">
        <v>1064</v>
      </c>
      <c r="C75" s="304">
        <v>310.05</v>
      </c>
      <c r="D75" s="304" t="s">
        <v>2</v>
      </c>
      <c r="E75" s="305">
        <v>0.5</v>
      </c>
      <c r="F75" s="304" t="s">
        <v>1187</v>
      </c>
    </row>
    <row r="76" spans="1:6" x14ac:dyDescent="0.25">
      <c r="A76" s="301">
        <v>75</v>
      </c>
      <c r="B76" s="57" t="s">
        <v>1065</v>
      </c>
      <c r="C76" s="277">
        <v>288.89999999999998</v>
      </c>
      <c r="D76" s="277" t="s">
        <v>2</v>
      </c>
      <c r="E76" s="284">
        <v>0.5</v>
      </c>
      <c r="F76" s="277" t="s">
        <v>1187</v>
      </c>
    </row>
    <row r="77" spans="1:6" x14ac:dyDescent="0.25">
      <c r="A77" s="302">
        <v>76</v>
      </c>
      <c r="B77" s="303" t="s">
        <v>1066</v>
      </c>
      <c r="C77" s="304">
        <v>335.76</v>
      </c>
      <c r="D77" s="304" t="s">
        <v>2</v>
      </c>
      <c r="E77" s="305">
        <v>0.5</v>
      </c>
      <c r="F77" s="304" t="s">
        <v>1187</v>
      </c>
    </row>
    <row r="78" spans="1:6" x14ac:dyDescent="0.25">
      <c r="A78" s="301">
        <v>77</v>
      </c>
      <c r="B78" s="57" t="s">
        <v>1067</v>
      </c>
      <c r="C78" s="277">
        <v>335.76</v>
      </c>
      <c r="D78" s="277" t="s">
        <v>2</v>
      </c>
      <c r="E78" s="284">
        <v>0.5</v>
      </c>
      <c r="F78" s="277" t="s">
        <v>1187</v>
      </c>
    </row>
    <row r="79" spans="1:6" x14ac:dyDescent="0.25">
      <c r="A79" s="302">
        <v>78</v>
      </c>
      <c r="B79" s="303" t="s">
        <v>1068</v>
      </c>
      <c r="C79" s="304">
        <v>335.76</v>
      </c>
      <c r="D79" s="304" t="s">
        <v>2</v>
      </c>
      <c r="E79" s="305">
        <v>0.5</v>
      </c>
      <c r="F79" s="304" t="s">
        <v>1187</v>
      </c>
    </row>
    <row r="80" spans="1:6" x14ac:dyDescent="0.25">
      <c r="A80" s="301">
        <v>79</v>
      </c>
      <c r="B80" s="57" t="s">
        <v>1069</v>
      </c>
      <c r="C80" s="277">
        <v>335.76</v>
      </c>
      <c r="D80" s="277" t="s">
        <v>2</v>
      </c>
      <c r="E80" s="284">
        <v>0.5</v>
      </c>
      <c r="F80" s="277" t="s">
        <v>1187</v>
      </c>
    </row>
    <row r="81" spans="1:6" x14ac:dyDescent="0.25">
      <c r="A81" s="302">
        <v>80</v>
      </c>
      <c r="B81" s="303" t="s">
        <v>1070</v>
      </c>
      <c r="C81" s="304">
        <v>408.28</v>
      </c>
      <c r="D81" s="304" t="s">
        <v>2</v>
      </c>
      <c r="E81" s="305">
        <v>0.5</v>
      </c>
      <c r="F81" s="304" t="s">
        <v>1187</v>
      </c>
    </row>
    <row r="82" spans="1:6" x14ac:dyDescent="0.25">
      <c r="A82" s="301">
        <v>81</v>
      </c>
      <c r="B82" s="57" t="s">
        <v>1071</v>
      </c>
      <c r="C82" s="277">
        <v>466.82</v>
      </c>
      <c r="D82" s="277" t="s">
        <v>2</v>
      </c>
      <c r="E82" s="284">
        <v>0.5</v>
      </c>
      <c r="F82" s="277" t="s">
        <v>1187</v>
      </c>
    </row>
    <row r="83" spans="1:6" x14ac:dyDescent="0.25">
      <c r="A83" s="302">
        <v>82</v>
      </c>
      <c r="B83" s="303"/>
      <c r="C83" s="304"/>
      <c r="D83" s="304" t="s">
        <v>2</v>
      </c>
      <c r="E83" s="305">
        <v>0.5</v>
      </c>
      <c r="F83" s="304" t="s">
        <v>1187</v>
      </c>
    </row>
    <row r="84" spans="1:6" ht="18.75" x14ac:dyDescent="0.3">
      <c r="A84" s="301">
        <v>83</v>
      </c>
      <c r="B84" s="276" t="s">
        <v>1167</v>
      </c>
      <c r="C84" s="277"/>
      <c r="D84" s="277" t="s">
        <v>2</v>
      </c>
      <c r="E84" s="284">
        <v>0.5</v>
      </c>
      <c r="F84" s="277" t="s">
        <v>1187</v>
      </c>
    </row>
    <row r="85" spans="1:6" x14ac:dyDescent="0.25">
      <c r="A85" s="302">
        <v>84</v>
      </c>
      <c r="B85" s="303" t="s">
        <v>1008</v>
      </c>
      <c r="C85" s="304">
        <v>216.36</v>
      </c>
      <c r="D85" s="304" t="s">
        <v>2</v>
      </c>
      <c r="E85" s="305">
        <v>0.5</v>
      </c>
      <c r="F85" s="304" t="s">
        <v>1187</v>
      </c>
    </row>
    <row r="86" spans="1:6" x14ac:dyDescent="0.25">
      <c r="A86" s="301">
        <v>85</v>
      </c>
      <c r="B86" s="57"/>
      <c r="C86" s="277"/>
      <c r="D86" s="277" t="s">
        <v>2</v>
      </c>
      <c r="E86" s="284">
        <v>0.5</v>
      </c>
      <c r="F86" s="277" t="s">
        <v>1187</v>
      </c>
    </row>
    <row r="87" spans="1:6" x14ac:dyDescent="0.25">
      <c r="A87" s="302">
        <v>86</v>
      </c>
      <c r="B87" s="303" t="s">
        <v>1168</v>
      </c>
      <c r="C87" s="304"/>
      <c r="D87" s="304" t="s">
        <v>2</v>
      </c>
      <c r="E87" s="305">
        <v>0.5</v>
      </c>
      <c r="F87" s="304" t="s">
        <v>1187</v>
      </c>
    </row>
    <row r="88" spans="1:6" x14ac:dyDescent="0.25">
      <c r="A88" s="301">
        <v>87</v>
      </c>
      <c r="B88" s="57" t="s">
        <v>1072</v>
      </c>
      <c r="C88" s="277">
        <v>547.55999999999995</v>
      </c>
      <c r="D88" s="277" t="s">
        <v>2</v>
      </c>
      <c r="E88" s="284">
        <v>0.5</v>
      </c>
      <c r="F88" s="277" t="s">
        <v>1187</v>
      </c>
    </row>
    <row r="89" spans="1:6" x14ac:dyDescent="0.25">
      <c r="A89" s="302">
        <v>88</v>
      </c>
      <c r="B89" s="303" t="s">
        <v>1073</v>
      </c>
      <c r="C89" s="304">
        <v>576.6</v>
      </c>
      <c r="D89" s="304" t="s">
        <v>2</v>
      </c>
      <c r="E89" s="305">
        <v>0.5</v>
      </c>
      <c r="F89" s="304" t="s">
        <v>1187</v>
      </c>
    </row>
    <row r="90" spans="1:6" x14ac:dyDescent="0.25">
      <c r="A90" s="301">
        <v>89</v>
      </c>
      <c r="B90" s="57" t="s">
        <v>1074</v>
      </c>
      <c r="C90" s="277">
        <v>628.25</v>
      </c>
      <c r="D90" s="277" t="s">
        <v>2</v>
      </c>
      <c r="E90" s="284">
        <v>0.5</v>
      </c>
      <c r="F90" s="277" t="s">
        <v>1187</v>
      </c>
    </row>
    <row r="91" spans="1:6" x14ac:dyDescent="0.25">
      <c r="A91" s="302">
        <v>90</v>
      </c>
      <c r="B91" s="303"/>
      <c r="C91" s="304"/>
      <c r="D91" s="304" t="s">
        <v>2</v>
      </c>
      <c r="E91" s="305">
        <v>0.5</v>
      </c>
      <c r="F91" s="304" t="s">
        <v>1187</v>
      </c>
    </row>
    <row r="92" spans="1:6" ht="18.75" x14ac:dyDescent="0.3">
      <c r="A92" s="301">
        <v>91</v>
      </c>
      <c r="B92" s="276" t="s">
        <v>1169</v>
      </c>
      <c r="C92" s="277"/>
      <c r="D92" s="277" t="s">
        <v>2</v>
      </c>
      <c r="E92" s="284">
        <v>0.5</v>
      </c>
      <c r="F92" s="277" t="s">
        <v>1187</v>
      </c>
    </row>
    <row r="93" spans="1:6" x14ac:dyDescent="0.25">
      <c r="A93" s="302">
        <v>92</v>
      </c>
      <c r="B93" s="303" t="s">
        <v>1075</v>
      </c>
      <c r="C93" s="304">
        <v>450.96</v>
      </c>
      <c r="D93" s="304" t="s">
        <v>2</v>
      </c>
      <c r="E93" s="305">
        <v>0.5</v>
      </c>
      <c r="F93" s="304" t="s">
        <v>1187</v>
      </c>
    </row>
    <row r="94" spans="1:6" x14ac:dyDescent="0.25">
      <c r="A94" s="301">
        <v>93</v>
      </c>
      <c r="B94" s="57" t="s">
        <v>1076</v>
      </c>
      <c r="C94" s="277">
        <v>484.82</v>
      </c>
      <c r="D94" s="277" t="s">
        <v>2</v>
      </c>
      <c r="E94" s="284">
        <v>0.5</v>
      </c>
      <c r="F94" s="277" t="s">
        <v>1187</v>
      </c>
    </row>
    <row r="95" spans="1:6" x14ac:dyDescent="0.25">
      <c r="A95" s="302">
        <v>94</v>
      </c>
      <c r="B95" s="303" t="s">
        <v>1077</v>
      </c>
      <c r="C95" s="304">
        <v>487.74</v>
      </c>
      <c r="D95" s="304" t="s">
        <v>2</v>
      </c>
      <c r="E95" s="305">
        <v>0.5</v>
      </c>
      <c r="F95" s="304" t="s">
        <v>1187</v>
      </c>
    </row>
    <row r="96" spans="1:6" x14ac:dyDescent="0.25">
      <c r="A96" s="301">
        <v>95</v>
      </c>
      <c r="B96" s="57"/>
      <c r="C96" s="277"/>
      <c r="D96" s="277" t="s">
        <v>2</v>
      </c>
      <c r="E96" s="284">
        <v>0.5</v>
      </c>
      <c r="F96" s="277" t="s">
        <v>1187</v>
      </c>
    </row>
    <row r="97" spans="1:6" ht="18.75" x14ac:dyDescent="0.3">
      <c r="A97" s="302">
        <v>96</v>
      </c>
      <c r="B97" s="306" t="s">
        <v>1170</v>
      </c>
      <c r="C97" s="304"/>
      <c r="D97" s="304" t="s">
        <v>2</v>
      </c>
      <c r="E97" s="305">
        <v>0.5</v>
      </c>
      <c r="F97" s="304" t="s">
        <v>1187</v>
      </c>
    </row>
    <row r="98" spans="1:6" x14ac:dyDescent="0.25">
      <c r="A98" s="301">
        <v>97</v>
      </c>
      <c r="B98" s="57" t="s">
        <v>1078</v>
      </c>
      <c r="C98" s="277">
        <v>637.08000000000004</v>
      </c>
      <c r="D98" s="277" t="s">
        <v>2</v>
      </c>
      <c r="E98" s="284">
        <v>0.5</v>
      </c>
      <c r="F98" s="277" t="s">
        <v>1187</v>
      </c>
    </row>
    <row r="99" spans="1:6" x14ac:dyDescent="0.25">
      <c r="A99" s="302">
        <v>98</v>
      </c>
      <c r="B99" s="303" t="s">
        <v>1079</v>
      </c>
      <c r="C99" s="304">
        <v>802.09</v>
      </c>
      <c r="D99" s="304" t="s">
        <v>2</v>
      </c>
      <c r="E99" s="305">
        <v>0.5</v>
      </c>
      <c r="F99" s="304" t="s">
        <v>1187</v>
      </c>
    </row>
    <row r="100" spans="1:6" x14ac:dyDescent="0.25">
      <c r="A100" s="301">
        <v>99</v>
      </c>
      <c r="B100" s="57"/>
      <c r="C100" s="277"/>
      <c r="D100" s="277" t="s">
        <v>2</v>
      </c>
      <c r="E100" s="284">
        <v>0.5</v>
      </c>
      <c r="F100" s="277" t="s">
        <v>1187</v>
      </c>
    </row>
    <row r="101" spans="1:6" ht="18.75" x14ac:dyDescent="0.3">
      <c r="A101" s="302">
        <v>100</v>
      </c>
      <c r="B101" s="306" t="s">
        <v>1171</v>
      </c>
      <c r="C101" s="304"/>
      <c r="D101" s="304" t="s">
        <v>2</v>
      </c>
      <c r="E101" s="305">
        <v>0.5</v>
      </c>
      <c r="F101" s="304" t="s">
        <v>1187</v>
      </c>
    </row>
    <row r="102" spans="1:6" x14ac:dyDescent="0.25">
      <c r="A102" s="301">
        <v>101</v>
      </c>
      <c r="B102" s="57" t="s">
        <v>1080</v>
      </c>
      <c r="C102" s="277">
        <v>709.51</v>
      </c>
      <c r="D102" s="277" t="s">
        <v>2</v>
      </c>
      <c r="E102" s="284">
        <v>0.5</v>
      </c>
      <c r="F102" s="277" t="s">
        <v>1187</v>
      </c>
    </row>
    <row r="103" spans="1:6" x14ac:dyDescent="0.25">
      <c r="A103" s="302">
        <v>102</v>
      </c>
      <c r="B103" s="303"/>
      <c r="C103" s="304"/>
      <c r="D103" s="304" t="s">
        <v>2</v>
      </c>
      <c r="E103" s="305">
        <v>0.5</v>
      </c>
      <c r="F103" s="304" t="s">
        <v>1187</v>
      </c>
    </row>
    <row r="104" spans="1:6" ht="18.75" x14ac:dyDescent="0.3">
      <c r="A104" s="301">
        <v>103</v>
      </c>
      <c r="B104" s="276" t="s">
        <v>1172</v>
      </c>
      <c r="C104" s="277"/>
      <c r="D104" s="277" t="s">
        <v>2</v>
      </c>
      <c r="E104" s="284">
        <v>0.5</v>
      </c>
      <c r="F104" s="277" t="s">
        <v>1187</v>
      </c>
    </row>
    <row r="105" spans="1:6" x14ac:dyDescent="0.25">
      <c r="A105" s="302">
        <v>104</v>
      </c>
      <c r="B105" s="303" t="s">
        <v>1081</v>
      </c>
      <c r="C105" s="304">
        <v>998.98</v>
      </c>
      <c r="D105" s="304" t="s">
        <v>2</v>
      </c>
      <c r="E105" s="305">
        <v>0.5</v>
      </c>
      <c r="F105" s="304" t="s">
        <v>1187</v>
      </c>
    </row>
    <row r="106" spans="1:6" x14ac:dyDescent="0.25">
      <c r="A106" s="301">
        <v>105</v>
      </c>
      <c r="B106" s="57" t="s">
        <v>1082</v>
      </c>
      <c r="C106" s="277">
        <v>1102.75</v>
      </c>
      <c r="D106" s="277" t="s">
        <v>2</v>
      </c>
      <c r="E106" s="284">
        <v>0.5</v>
      </c>
      <c r="F106" s="277" t="s">
        <v>1187</v>
      </c>
    </row>
    <row r="107" spans="1:6" x14ac:dyDescent="0.25">
      <c r="A107" s="302">
        <v>106</v>
      </c>
      <c r="B107" s="303" t="s">
        <v>1083</v>
      </c>
      <c r="C107" s="304">
        <v>1224.68</v>
      </c>
      <c r="D107" s="304" t="s">
        <v>2</v>
      </c>
      <c r="E107" s="305">
        <v>0.5</v>
      </c>
      <c r="F107" s="304" t="s">
        <v>1187</v>
      </c>
    </row>
    <row r="108" spans="1:6" x14ac:dyDescent="0.25">
      <c r="A108" s="301">
        <v>107</v>
      </c>
      <c r="B108" s="57" t="s">
        <v>1084</v>
      </c>
      <c r="C108" s="277">
        <v>1447.14</v>
      </c>
      <c r="D108" s="277" t="s">
        <v>2</v>
      </c>
      <c r="E108" s="284">
        <v>0.5</v>
      </c>
      <c r="F108" s="277" t="s">
        <v>1187</v>
      </c>
    </row>
    <row r="109" spans="1:6" x14ac:dyDescent="0.25">
      <c r="A109" s="302">
        <v>108</v>
      </c>
      <c r="B109" s="303" t="s">
        <v>1085</v>
      </c>
      <c r="C109" s="304">
        <v>1739.69</v>
      </c>
      <c r="D109" s="304" t="s">
        <v>2</v>
      </c>
      <c r="E109" s="305">
        <v>0.5</v>
      </c>
      <c r="F109" s="304" t="s">
        <v>1187</v>
      </c>
    </row>
    <row r="110" spans="1:6" x14ac:dyDescent="0.25">
      <c r="A110" s="301">
        <v>109</v>
      </c>
      <c r="B110" s="57" t="s">
        <v>1086</v>
      </c>
      <c r="C110" s="277">
        <v>2265.94</v>
      </c>
      <c r="D110" s="277" t="s">
        <v>2</v>
      </c>
      <c r="E110" s="284">
        <v>0.5</v>
      </c>
      <c r="F110" s="277" t="s">
        <v>1187</v>
      </c>
    </row>
    <row r="111" spans="1:6" x14ac:dyDescent="0.25">
      <c r="A111" s="302">
        <v>110</v>
      </c>
      <c r="B111" s="303" t="s">
        <v>1087</v>
      </c>
      <c r="C111" s="304">
        <v>2460.9</v>
      </c>
      <c r="D111" s="304" t="s">
        <v>2</v>
      </c>
      <c r="E111" s="305">
        <v>0.5</v>
      </c>
      <c r="F111" s="304" t="s">
        <v>1187</v>
      </c>
    </row>
    <row r="112" spans="1:6" x14ac:dyDescent="0.25">
      <c r="A112" s="301">
        <v>111</v>
      </c>
      <c r="B112" s="57"/>
      <c r="C112" s="277"/>
      <c r="D112" s="277" t="s">
        <v>2</v>
      </c>
      <c r="E112" s="284">
        <v>0.5</v>
      </c>
      <c r="F112" s="277" t="s">
        <v>1187</v>
      </c>
    </row>
    <row r="113" spans="1:6" ht="18.75" x14ac:dyDescent="0.3">
      <c r="A113" s="302">
        <v>112</v>
      </c>
      <c r="B113" s="306" t="s">
        <v>1173</v>
      </c>
      <c r="C113" s="304"/>
      <c r="D113" s="304" t="s">
        <v>2</v>
      </c>
      <c r="E113" s="305">
        <v>0.5</v>
      </c>
      <c r="F113" s="304" t="s">
        <v>1187</v>
      </c>
    </row>
    <row r="114" spans="1:6" x14ac:dyDescent="0.25">
      <c r="A114" s="301">
        <v>113</v>
      </c>
      <c r="B114" s="57" t="s">
        <v>1088</v>
      </c>
      <c r="C114" s="277">
        <v>1241.25</v>
      </c>
      <c r="D114" s="277" t="s">
        <v>2</v>
      </c>
      <c r="E114" s="284">
        <v>0.5</v>
      </c>
      <c r="F114" s="277" t="s">
        <v>1187</v>
      </c>
    </row>
    <row r="115" spans="1:6" x14ac:dyDescent="0.25">
      <c r="A115" s="302">
        <v>114</v>
      </c>
      <c r="B115" s="303" t="s">
        <v>1089</v>
      </c>
      <c r="C115" s="304"/>
      <c r="D115" s="304" t="s">
        <v>2</v>
      </c>
      <c r="E115" s="305">
        <v>0.5</v>
      </c>
      <c r="F115" s="304" t="s">
        <v>1187</v>
      </c>
    </row>
    <row r="116" spans="1:6" x14ac:dyDescent="0.25">
      <c r="A116" s="301">
        <v>115</v>
      </c>
      <c r="B116" s="57" t="s">
        <v>1090</v>
      </c>
      <c r="C116" s="277"/>
      <c r="D116" s="277" t="s">
        <v>2</v>
      </c>
      <c r="E116" s="284">
        <v>0.5</v>
      </c>
      <c r="F116" s="277" t="s">
        <v>1187</v>
      </c>
    </row>
    <row r="117" spans="1:6" x14ac:dyDescent="0.25">
      <c r="A117" s="302">
        <v>116</v>
      </c>
      <c r="B117" s="303" t="s">
        <v>1091</v>
      </c>
      <c r="C117" s="304">
        <v>1546.49</v>
      </c>
      <c r="D117" s="304" t="s">
        <v>2</v>
      </c>
      <c r="E117" s="305">
        <v>0.5</v>
      </c>
      <c r="F117" s="304" t="s">
        <v>1187</v>
      </c>
    </row>
    <row r="118" spans="1:6" x14ac:dyDescent="0.25">
      <c r="A118" s="301">
        <v>117</v>
      </c>
      <c r="B118" s="57" t="s">
        <v>1092</v>
      </c>
      <c r="C118" s="277"/>
      <c r="D118" s="277" t="s">
        <v>2</v>
      </c>
      <c r="E118" s="284">
        <v>0.5</v>
      </c>
      <c r="F118" s="277" t="s">
        <v>1187</v>
      </c>
    </row>
    <row r="119" spans="1:6" x14ac:dyDescent="0.25">
      <c r="A119" s="302">
        <v>118</v>
      </c>
      <c r="B119" s="303" t="s">
        <v>1093</v>
      </c>
      <c r="C119" s="304"/>
      <c r="D119" s="304" t="s">
        <v>2</v>
      </c>
      <c r="E119" s="305">
        <v>0.5</v>
      </c>
      <c r="F119" s="304" t="s">
        <v>1187</v>
      </c>
    </row>
    <row r="120" spans="1:6" x14ac:dyDescent="0.25">
      <c r="A120" s="301">
        <v>119</v>
      </c>
      <c r="B120" s="57" t="s">
        <v>1094</v>
      </c>
      <c r="C120" s="277">
        <v>2055.84</v>
      </c>
      <c r="D120" s="277" t="s">
        <v>2</v>
      </c>
      <c r="E120" s="284">
        <v>0.5</v>
      </c>
      <c r="F120" s="277" t="s">
        <v>1187</v>
      </c>
    </row>
    <row r="121" spans="1:6" x14ac:dyDescent="0.25">
      <c r="A121" s="302">
        <v>120</v>
      </c>
      <c r="B121" s="303" t="s">
        <v>1095</v>
      </c>
      <c r="C121" s="304"/>
      <c r="D121" s="304" t="s">
        <v>2</v>
      </c>
      <c r="E121" s="305">
        <v>0.5</v>
      </c>
      <c r="F121" s="304" t="s">
        <v>1187</v>
      </c>
    </row>
    <row r="122" spans="1:6" x14ac:dyDescent="0.25">
      <c r="A122" s="301">
        <v>121</v>
      </c>
      <c r="B122" s="57" t="s">
        <v>1096</v>
      </c>
      <c r="C122" s="277"/>
      <c r="D122" s="277" t="s">
        <v>2</v>
      </c>
      <c r="E122" s="284">
        <v>0.5</v>
      </c>
      <c r="F122" s="277" t="s">
        <v>1187</v>
      </c>
    </row>
    <row r="123" spans="1:6" x14ac:dyDescent="0.25">
      <c r="A123" s="302">
        <v>122</v>
      </c>
      <c r="B123" s="303" t="s">
        <v>1097</v>
      </c>
      <c r="C123" s="304">
        <v>3057.42</v>
      </c>
      <c r="D123" s="304" t="s">
        <v>2</v>
      </c>
      <c r="E123" s="305">
        <v>0.5</v>
      </c>
      <c r="F123" s="304" t="s">
        <v>1187</v>
      </c>
    </row>
    <row r="124" spans="1:6" x14ac:dyDescent="0.25">
      <c r="A124" s="301">
        <v>123</v>
      </c>
      <c r="B124" s="57" t="s">
        <v>1098</v>
      </c>
      <c r="C124" s="277"/>
      <c r="D124" s="277" t="s">
        <v>2</v>
      </c>
      <c r="E124" s="284">
        <v>0.5</v>
      </c>
      <c r="F124" s="277" t="s">
        <v>1187</v>
      </c>
    </row>
    <row r="125" spans="1:6" x14ac:dyDescent="0.25">
      <c r="A125" s="302">
        <v>124</v>
      </c>
      <c r="B125" s="303" t="s">
        <v>1099</v>
      </c>
      <c r="C125" s="304"/>
      <c r="D125" s="304" t="s">
        <v>2</v>
      </c>
      <c r="E125" s="305">
        <v>0.5</v>
      </c>
      <c r="F125" s="304" t="s">
        <v>1187</v>
      </c>
    </row>
    <row r="126" spans="1:6" x14ac:dyDescent="0.25">
      <c r="A126" s="301">
        <v>125</v>
      </c>
      <c r="B126" s="57" t="s">
        <v>1100</v>
      </c>
      <c r="C126" s="277">
        <v>3922.36</v>
      </c>
      <c r="D126" s="277" t="s">
        <v>2</v>
      </c>
      <c r="E126" s="284">
        <v>0.5</v>
      </c>
      <c r="F126" s="277" t="s">
        <v>1187</v>
      </c>
    </row>
    <row r="127" spans="1:6" x14ac:dyDescent="0.25">
      <c r="A127" s="302">
        <v>126</v>
      </c>
      <c r="B127" s="303" t="s">
        <v>1101</v>
      </c>
      <c r="C127" s="304"/>
      <c r="D127" s="304" t="s">
        <v>2</v>
      </c>
      <c r="E127" s="305">
        <v>0.5</v>
      </c>
      <c r="F127" s="304" t="s">
        <v>1187</v>
      </c>
    </row>
    <row r="128" spans="1:6" x14ac:dyDescent="0.25">
      <c r="A128" s="301">
        <v>127</v>
      </c>
      <c r="B128" s="57" t="s">
        <v>1102</v>
      </c>
      <c r="C128" s="277"/>
      <c r="D128" s="277" t="s">
        <v>2</v>
      </c>
      <c r="E128" s="284">
        <v>0.5</v>
      </c>
      <c r="F128" s="277" t="s">
        <v>1187</v>
      </c>
    </row>
    <row r="129" spans="1:6" x14ac:dyDescent="0.25">
      <c r="A129" s="302">
        <v>128</v>
      </c>
      <c r="B129" s="303" t="s">
        <v>1103</v>
      </c>
      <c r="C129" s="304">
        <v>4218.25</v>
      </c>
      <c r="D129" s="304" t="s">
        <v>2</v>
      </c>
      <c r="E129" s="305">
        <v>0.5</v>
      </c>
      <c r="F129" s="304" t="s">
        <v>1187</v>
      </c>
    </row>
    <row r="130" spans="1:6" x14ac:dyDescent="0.25">
      <c r="A130" s="301">
        <v>129</v>
      </c>
      <c r="B130" s="57" t="s">
        <v>1104</v>
      </c>
      <c r="C130" s="277"/>
      <c r="D130" s="277" t="s">
        <v>2</v>
      </c>
      <c r="E130" s="284">
        <v>0.5</v>
      </c>
      <c r="F130" s="277" t="s">
        <v>1187</v>
      </c>
    </row>
    <row r="131" spans="1:6" x14ac:dyDescent="0.25">
      <c r="A131" s="302">
        <v>130</v>
      </c>
      <c r="B131" s="303" t="s">
        <v>1105</v>
      </c>
      <c r="C131" s="304"/>
      <c r="D131" s="304" t="s">
        <v>2</v>
      </c>
      <c r="E131" s="305">
        <v>0.5</v>
      </c>
      <c r="F131" s="304" t="s">
        <v>1187</v>
      </c>
    </row>
    <row r="132" spans="1:6" x14ac:dyDescent="0.25">
      <c r="A132" s="301">
        <v>131</v>
      </c>
      <c r="B132" s="57"/>
      <c r="C132" s="277"/>
      <c r="D132" s="277" t="s">
        <v>2</v>
      </c>
      <c r="E132" s="284">
        <v>0.5</v>
      </c>
      <c r="F132" s="277" t="s">
        <v>1187</v>
      </c>
    </row>
    <row r="133" spans="1:6" ht="18.75" x14ac:dyDescent="0.3">
      <c r="A133" s="302">
        <v>132</v>
      </c>
      <c r="B133" s="306" t="s">
        <v>1174</v>
      </c>
      <c r="C133" s="304"/>
      <c r="D133" s="304" t="s">
        <v>2</v>
      </c>
      <c r="E133" s="305">
        <v>0.5</v>
      </c>
      <c r="F133" s="304" t="s">
        <v>1187</v>
      </c>
    </row>
    <row r="134" spans="1:6" x14ac:dyDescent="0.25">
      <c r="A134" s="301">
        <v>133</v>
      </c>
      <c r="B134" s="57" t="s">
        <v>1106</v>
      </c>
      <c r="C134" s="277">
        <v>1301.73</v>
      </c>
      <c r="D134" s="277" t="s">
        <v>2</v>
      </c>
      <c r="E134" s="284">
        <v>0.5</v>
      </c>
      <c r="F134" s="277" t="s">
        <v>1187</v>
      </c>
    </row>
    <row r="135" spans="1:6" x14ac:dyDescent="0.25">
      <c r="A135" s="302">
        <v>134</v>
      </c>
      <c r="B135" s="303" t="s">
        <v>1089</v>
      </c>
      <c r="C135" s="304"/>
      <c r="D135" s="304" t="s">
        <v>2</v>
      </c>
      <c r="E135" s="305">
        <v>0.5</v>
      </c>
      <c r="F135" s="304" t="s">
        <v>1187</v>
      </c>
    </row>
    <row r="136" spans="1:6" x14ac:dyDescent="0.25">
      <c r="A136" s="301">
        <v>135</v>
      </c>
      <c r="B136" s="57" t="s">
        <v>1107</v>
      </c>
      <c r="C136" s="277">
        <v>1720.33</v>
      </c>
      <c r="D136" s="277" t="s">
        <v>2</v>
      </c>
      <c r="E136" s="284">
        <v>0.5</v>
      </c>
      <c r="F136" s="277" t="s">
        <v>1187</v>
      </c>
    </row>
    <row r="137" spans="1:6" x14ac:dyDescent="0.25">
      <c r="A137" s="302">
        <v>136</v>
      </c>
      <c r="B137" s="303" t="s">
        <v>1092</v>
      </c>
      <c r="C137" s="304"/>
      <c r="D137" s="304" t="s">
        <v>2</v>
      </c>
      <c r="E137" s="305">
        <v>0.5</v>
      </c>
      <c r="F137" s="304" t="s">
        <v>1187</v>
      </c>
    </row>
    <row r="138" spans="1:6" x14ac:dyDescent="0.25">
      <c r="A138" s="301">
        <v>137</v>
      </c>
      <c r="B138" s="57" t="s">
        <v>1108</v>
      </c>
      <c r="C138" s="277">
        <v>2210.65</v>
      </c>
      <c r="D138" s="277" t="s">
        <v>2</v>
      </c>
      <c r="E138" s="284">
        <v>0.5</v>
      </c>
      <c r="F138" s="277" t="s">
        <v>1187</v>
      </c>
    </row>
    <row r="139" spans="1:6" x14ac:dyDescent="0.25">
      <c r="A139" s="302">
        <v>138</v>
      </c>
      <c r="B139" s="303" t="s">
        <v>1095</v>
      </c>
      <c r="C139" s="304"/>
      <c r="D139" s="304" t="s">
        <v>2</v>
      </c>
      <c r="E139" s="305">
        <v>0.5</v>
      </c>
      <c r="F139" s="304" t="s">
        <v>1187</v>
      </c>
    </row>
    <row r="140" spans="1:6" x14ac:dyDescent="0.25">
      <c r="A140" s="301">
        <v>139</v>
      </c>
      <c r="B140" s="57" t="s">
        <v>1109</v>
      </c>
      <c r="C140" s="277">
        <v>3072.57</v>
      </c>
      <c r="D140" s="277" t="s">
        <v>2</v>
      </c>
      <c r="E140" s="284">
        <v>0.5</v>
      </c>
      <c r="F140" s="277" t="s">
        <v>1187</v>
      </c>
    </row>
    <row r="141" spans="1:6" x14ac:dyDescent="0.25">
      <c r="A141" s="302">
        <v>140</v>
      </c>
      <c r="B141" s="303" t="s">
        <v>1098</v>
      </c>
      <c r="C141" s="304"/>
      <c r="D141" s="304" t="s">
        <v>2</v>
      </c>
      <c r="E141" s="305">
        <v>0.5</v>
      </c>
      <c r="F141" s="304" t="s">
        <v>1187</v>
      </c>
    </row>
    <row r="142" spans="1:6" x14ac:dyDescent="0.25">
      <c r="A142" s="301">
        <v>141</v>
      </c>
      <c r="B142" s="57" t="s">
        <v>1110</v>
      </c>
      <c r="C142" s="277">
        <v>3936.28</v>
      </c>
      <c r="D142" s="277" t="s">
        <v>2</v>
      </c>
      <c r="E142" s="284">
        <v>0.5</v>
      </c>
      <c r="F142" s="277" t="s">
        <v>1187</v>
      </c>
    </row>
    <row r="143" spans="1:6" x14ac:dyDescent="0.25">
      <c r="A143" s="302">
        <v>142</v>
      </c>
      <c r="B143" s="303" t="s">
        <v>1101</v>
      </c>
      <c r="C143" s="304"/>
      <c r="D143" s="304" t="s">
        <v>2</v>
      </c>
      <c r="E143" s="305">
        <v>0.5</v>
      </c>
      <c r="F143" s="304" t="s">
        <v>1187</v>
      </c>
    </row>
    <row r="144" spans="1:6" x14ac:dyDescent="0.25">
      <c r="A144" s="301">
        <v>143</v>
      </c>
      <c r="B144" s="57" t="s">
        <v>1111</v>
      </c>
      <c r="C144" s="277">
        <v>4272.6499999999996</v>
      </c>
      <c r="D144" s="277" t="s">
        <v>2</v>
      </c>
      <c r="E144" s="284">
        <v>0.5</v>
      </c>
      <c r="F144" s="277" t="s">
        <v>1187</v>
      </c>
    </row>
    <row r="145" spans="1:6" x14ac:dyDescent="0.25">
      <c r="A145" s="302">
        <v>144</v>
      </c>
      <c r="B145" s="303" t="s">
        <v>1104</v>
      </c>
      <c r="C145" s="304"/>
      <c r="D145" s="304" t="s">
        <v>2</v>
      </c>
      <c r="E145" s="305">
        <v>0.5</v>
      </c>
      <c r="F145" s="304" t="s">
        <v>1187</v>
      </c>
    </row>
    <row r="146" spans="1:6" x14ac:dyDescent="0.25">
      <c r="A146" s="301">
        <v>145</v>
      </c>
      <c r="B146" s="57"/>
      <c r="C146" s="277"/>
      <c r="D146" s="277" t="s">
        <v>2</v>
      </c>
      <c r="E146" s="284">
        <v>0.5</v>
      </c>
      <c r="F146" s="277" t="s">
        <v>1187</v>
      </c>
    </row>
    <row r="147" spans="1:6" ht="18.75" x14ac:dyDescent="0.3">
      <c r="A147" s="302">
        <v>146</v>
      </c>
      <c r="B147" s="306" t="s">
        <v>1175</v>
      </c>
      <c r="C147" s="304"/>
      <c r="D147" s="304" t="s">
        <v>2</v>
      </c>
      <c r="E147" s="305">
        <v>0.5</v>
      </c>
      <c r="F147" s="304" t="s">
        <v>1187</v>
      </c>
    </row>
    <row r="148" spans="1:6" x14ac:dyDescent="0.25">
      <c r="A148" s="301">
        <v>147</v>
      </c>
      <c r="B148" s="57" t="s">
        <v>1112</v>
      </c>
      <c r="C148" s="277">
        <v>1627.75</v>
      </c>
      <c r="D148" s="277" t="s">
        <v>2</v>
      </c>
      <c r="E148" s="284">
        <v>0.5</v>
      </c>
      <c r="F148" s="277" t="s">
        <v>1187</v>
      </c>
    </row>
    <row r="149" spans="1:6" x14ac:dyDescent="0.25">
      <c r="A149" s="302">
        <v>148</v>
      </c>
      <c r="B149" s="303" t="s">
        <v>1092</v>
      </c>
      <c r="C149" s="304"/>
      <c r="D149" s="304" t="s">
        <v>2</v>
      </c>
      <c r="E149" s="305">
        <v>0.5</v>
      </c>
      <c r="F149" s="304" t="s">
        <v>1187</v>
      </c>
    </row>
    <row r="150" spans="1:6" x14ac:dyDescent="0.25">
      <c r="A150" s="301">
        <v>149</v>
      </c>
      <c r="B150" s="57" t="s">
        <v>1113</v>
      </c>
      <c r="C150" s="277">
        <v>2125.9899999999998</v>
      </c>
      <c r="D150" s="277" t="s">
        <v>2</v>
      </c>
      <c r="E150" s="284">
        <v>0.5</v>
      </c>
      <c r="F150" s="277" t="s">
        <v>1187</v>
      </c>
    </row>
    <row r="151" spans="1:6" x14ac:dyDescent="0.25">
      <c r="A151" s="302">
        <v>150</v>
      </c>
      <c r="B151" s="303" t="s">
        <v>1095</v>
      </c>
      <c r="C151" s="304"/>
      <c r="D151" s="304" t="s">
        <v>2</v>
      </c>
      <c r="E151" s="305">
        <v>0.5</v>
      </c>
      <c r="F151" s="304" t="s">
        <v>1187</v>
      </c>
    </row>
    <row r="152" spans="1:6" x14ac:dyDescent="0.25">
      <c r="A152" s="301">
        <v>151</v>
      </c>
      <c r="B152" s="57" t="s">
        <v>1114</v>
      </c>
      <c r="C152" s="277">
        <v>3124.64</v>
      </c>
      <c r="D152" s="277" t="s">
        <v>2</v>
      </c>
      <c r="E152" s="284">
        <v>0.5</v>
      </c>
      <c r="F152" s="277" t="s">
        <v>1187</v>
      </c>
    </row>
    <row r="153" spans="1:6" x14ac:dyDescent="0.25">
      <c r="A153" s="302">
        <v>152</v>
      </c>
      <c r="B153" s="303" t="s">
        <v>1098</v>
      </c>
      <c r="C153" s="304"/>
      <c r="D153" s="304" t="s">
        <v>2</v>
      </c>
      <c r="E153" s="305">
        <v>0.5</v>
      </c>
      <c r="F153" s="304" t="s">
        <v>1187</v>
      </c>
    </row>
    <row r="154" spans="1:6" x14ac:dyDescent="0.25">
      <c r="A154" s="301">
        <v>153</v>
      </c>
      <c r="B154" s="57" t="s">
        <v>1115</v>
      </c>
      <c r="C154" s="277">
        <v>3929.33</v>
      </c>
      <c r="D154" s="277" t="s">
        <v>2</v>
      </c>
      <c r="E154" s="284">
        <v>0.5</v>
      </c>
      <c r="F154" s="277" t="s">
        <v>1187</v>
      </c>
    </row>
    <row r="155" spans="1:6" x14ac:dyDescent="0.25">
      <c r="A155" s="302">
        <v>154</v>
      </c>
      <c r="B155" s="303" t="s">
        <v>1101</v>
      </c>
      <c r="C155" s="304"/>
      <c r="D155" s="304" t="s">
        <v>2</v>
      </c>
      <c r="E155" s="305">
        <v>0.5</v>
      </c>
      <c r="F155" s="304" t="s">
        <v>1187</v>
      </c>
    </row>
    <row r="156" spans="1:6" x14ac:dyDescent="0.25">
      <c r="A156" s="301">
        <v>155</v>
      </c>
      <c r="B156" s="57" t="s">
        <v>1116</v>
      </c>
      <c r="C156" s="277">
        <v>4208.87</v>
      </c>
      <c r="D156" s="277" t="s">
        <v>2</v>
      </c>
      <c r="E156" s="284">
        <v>0.5</v>
      </c>
      <c r="F156" s="277" t="s">
        <v>1187</v>
      </c>
    </row>
    <row r="157" spans="1:6" x14ac:dyDescent="0.25">
      <c r="A157" s="302">
        <v>156</v>
      </c>
      <c r="B157" s="303" t="s">
        <v>1104</v>
      </c>
      <c r="C157" s="304"/>
      <c r="D157" s="304" t="s">
        <v>2</v>
      </c>
      <c r="E157" s="305">
        <v>0.5</v>
      </c>
      <c r="F157" s="304" t="s">
        <v>1187</v>
      </c>
    </row>
    <row r="158" spans="1:6" x14ac:dyDescent="0.25">
      <c r="A158" s="301">
        <v>157</v>
      </c>
      <c r="B158" s="57"/>
      <c r="C158" s="277"/>
      <c r="D158" s="277" t="s">
        <v>2</v>
      </c>
      <c r="E158" s="284">
        <v>0.5</v>
      </c>
      <c r="F158" s="277" t="s">
        <v>1187</v>
      </c>
    </row>
    <row r="159" spans="1:6" x14ac:dyDescent="0.25">
      <c r="A159" s="302">
        <v>158</v>
      </c>
      <c r="B159" s="303" t="s">
        <v>1176</v>
      </c>
      <c r="C159" s="304"/>
      <c r="D159" s="304" t="s">
        <v>2</v>
      </c>
      <c r="E159" s="305">
        <v>0.5</v>
      </c>
      <c r="F159" s="304" t="s">
        <v>1187</v>
      </c>
    </row>
    <row r="160" spans="1:6" x14ac:dyDescent="0.25">
      <c r="A160" s="301">
        <v>159</v>
      </c>
      <c r="B160" s="57" t="s">
        <v>1075</v>
      </c>
      <c r="C160" s="277">
        <v>905.52</v>
      </c>
      <c r="D160" s="277" t="s">
        <v>2</v>
      </c>
      <c r="E160" s="284">
        <v>0.5</v>
      </c>
      <c r="F160" s="277" t="s">
        <v>1187</v>
      </c>
    </row>
    <row r="161" spans="1:6" x14ac:dyDescent="0.25">
      <c r="A161" s="302">
        <v>160</v>
      </c>
      <c r="B161" s="303" t="s">
        <v>1117</v>
      </c>
      <c r="C161" s="304"/>
      <c r="D161" s="304" t="s">
        <v>2</v>
      </c>
      <c r="E161" s="305">
        <v>0.5</v>
      </c>
      <c r="F161" s="304" t="s">
        <v>1187</v>
      </c>
    </row>
    <row r="162" spans="1:6" x14ac:dyDescent="0.25">
      <c r="A162" s="301">
        <v>161</v>
      </c>
      <c r="B162" s="57" t="s">
        <v>1118</v>
      </c>
      <c r="C162" s="277">
        <v>1149.47</v>
      </c>
      <c r="D162" s="277" t="s">
        <v>2</v>
      </c>
      <c r="E162" s="284">
        <v>0.5</v>
      </c>
      <c r="F162" s="277" t="s">
        <v>1187</v>
      </c>
    </row>
    <row r="163" spans="1:6" x14ac:dyDescent="0.25">
      <c r="A163" s="302">
        <v>162</v>
      </c>
      <c r="B163" s="303" t="s">
        <v>1089</v>
      </c>
      <c r="C163" s="304"/>
      <c r="D163" s="304" t="s">
        <v>2</v>
      </c>
      <c r="E163" s="305">
        <v>0.5</v>
      </c>
      <c r="F163" s="304" t="s">
        <v>1187</v>
      </c>
    </row>
    <row r="164" spans="1:6" x14ac:dyDescent="0.25">
      <c r="A164" s="301">
        <v>163</v>
      </c>
      <c r="B164" s="57" t="s">
        <v>1119</v>
      </c>
      <c r="C164" s="277">
        <v>1505.98</v>
      </c>
      <c r="D164" s="277" t="s">
        <v>2</v>
      </c>
      <c r="E164" s="284">
        <v>0.5</v>
      </c>
      <c r="F164" s="277" t="s">
        <v>1187</v>
      </c>
    </row>
    <row r="165" spans="1:6" x14ac:dyDescent="0.25">
      <c r="A165" s="302">
        <v>164</v>
      </c>
      <c r="B165" s="303" t="s">
        <v>1092</v>
      </c>
      <c r="C165" s="304"/>
      <c r="D165" s="304" t="s">
        <v>2</v>
      </c>
      <c r="E165" s="305">
        <v>0.5</v>
      </c>
      <c r="F165" s="304" t="s">
        <v>1187</v>
      </c>
    </row>
    <row r="166" spans="1:6" x14ac:dyDescent="0.25">
      <c r="A166" s="301">
        <v>165</v>
      </c>
      <c r="B166" s="281" t="s">
        <v>1159</v>
      </c>
      <c r="C166" s="57"/>
      <c r="D166" s="277" t="s">
        <v>2</v>
      </c>
      <c r="E166" s="284">
        <v>0.5</v>
      </c>
      <c r="F166" s="277" t="s">
        <v>1187</v>
      </c>
    </row>
    <row r="167" spans="1:6" ht="18.75" x14ac:dyDescent="0.3">
      <c r="A167" s="302">
        <v>166</v>
      </c>
      <c r="B167" s="306" t="s">
        <v>1177</v>
      </c>
      <c r="C167" s="304"/>
      <c r="D167" s="304" t="s">
        <v>2</v>
      </c>
      <c r="E167" s="305">
        <v>0.5</v>
      </c>
      <c r="F167" s="304" t="s">
        <v>1187</v>
      </c>
    </row>
    <row r="168" spans="1:6" x14ac:dyDescent="0.25">
      <c r="A168" s="301">
        <v>167</v>
      </c>
      <c r="B168" s="57" t="s">
        <v>1120</v>
      </c>
      <c r="C168" s="277">
        <v>1837.85</v>
      </c>
      <c r="D168" s="277" t="s">
        <v>2</v>
      </c>
      <c r="E168" s="284">
        <v>0.5</v>
      </c>
      <c r="F168" s="277" t="s">
        <v>1187</v>
      </c>
    </row>
    <row r="169" spans="1:6" x14ac:dyDescent="0.25">
      <c r="A169" s="302">
        <v>168</v>
      </c>
      <c r="B169" s="303" t="s">
        <v>1121</v>
      </c>
      <c r="C169" s="304">
        <v>1974.89</v>
      </c>
      <c r="D169" s="304" t="s">
        <v>2</v>
      </c>
      <c r="E169" s="305">
        <v>0.5</v>
      </c>
      <c r="F169" s="304" t="s">
        <v>1187</v>
      </c>
    </row>
    <row r="170" spans="1:6" x14ac:dyDescent="0.25">
      <c r="A170" s="301">
        <v>169</v>
      </c>
      <c r="B170" s="57" t="s">
        <v>1122</v>
      </c>
      <c r="C170" s="277">
        <v>2109.4899999999998</v>
      </c>
      <c r="D170" s="277" t="s">
        <v>2</v>
      </c>
      <c r="E170" s="284">
        <v>0.5</v>
      </c>
      <c r="F170" s="277" t="s">
        <v>1187</v>
      </c>
    </row>
    <row r="171" spans="1:6" x14ac:dyDescent="0.25">
      <c r="A171" s="302">
        <v>170</v>
      </c>
      <c r="B171" s="303" t="s">
        <v>1123</v>
      </c>
      <c r="C171" s="304">
        <v>2315.0500000000002</v>
      </c>
      <c r="D171" s="304" t="s">
        <v>2</v>
      </c>
      <c r="E171" s="305">
        <v>0.5</v>
      </c>
      <c r="F171" s="304" t="s">
        <v>1187</v>
      </c>
    </row>
    <row r="172" spans="1:6" x14ac:dyDescent="0.25">
      <c r="A172" s="301">
        <v>171</v>
      </c>
      <c r="B172" s="57"/>
      <c r="C172" s="277"/>
      <c r="D172" s="277" t="s">
        <v>2</v>
      </c>
      <c r="E172" s="284">
        <v>0.5</v>
      </c>
      <c r="F172" s="277" t="s">
        <v>1187</v>
      </c>
    </row>
    <row r="173" spans="1:6" ht="18.75" x14ac:dyDescent="0.3">
      <c r="A173" s="302">
        <v>172</v>
      </c>
      <c r="B173" s="306" t="s">
        <v>1178</v>
      </c>
      <c r="C173" s="304"/>
      <c r="D173" s="304" t="s">
        <v>2</v>
      </c>
      <c r="E173" s="305">
        <v>0.5</v>
      </c>
      <c r="F173" s="304" t="s">
        <v>1187</v>
      </c>
    </row>
    <row r="174" spans="1:6" x14ac:dyDescent="0.25">
      <c r="A174" s="301">
        <v>173</v>
      </c>
      <c r="B174" s="57" t="s">
        <v>1124</v>
      </c>
      <c r="C174" s="277">
        <v>3541.1</v>
      </c>
      <c r="D174" s="277" t="s">
        <v>2</v>
      </c>
      <c r="E174" s="284">
        <v>0.5</v>
      </c>
      <c r="F174" s="277" t="s">
        <v>1187</v>
      </c>
    </row>
    <row r="175" spans="1:6" x14ac:dyDescent="0.25">
      <c r="A175" s="302">
        <v>174</v>
      </c>
      <c r="B175" s="303" t="s">
        <v>1125</v>
      </c>
      <c r="C175" s="304">
        <v>3675.69</v>
      </c>
      <c r="D175" s="304" t="s">
        <v>2</v>
      </c>
      <c r="E175" s="305">
        <v>0.5</v>
      </c>
      <c r="F175" s="304" t="s">
        <v>1187</v>
      </c>
    </row>
    <row r="176" spans="1:6" x14ac:dyDescent="0.25">
      <c r="A176" s="301">
        <v>175</v>
      </c>
      <c r="B176" s="57" t="s">
        <v>1126</v>
      </c>
      <c r="C176" s="277">
        <v>3812.74</v>
      </c>
      <c r="D176" s="277" t="s">
        <v>2</v>
      </c>
      <c r="E176" s="284">
        <v>0.5</v>
      </c>
      <c r="F176" s="277" t="s">
        <v>1187</v>
      </c>
    </row>
    <row r="177" spans="1:6" x14ac:dyDescent="0.25">
      <c r="A177" s="302">
        <v>176</v>
      </c>
      <c r="B177" s="303"/>
      <c r="C177" s="304"/>
      <c r="D177" s="304" t="s">
        <v>2</v>
      </c>
      <c r="E177" s="305">
        <v>0.5</v>
      </c>
      <c r="F177" s="304" t="s">
        <v>1187</v>
      </c>
    </row>
    <row r="178" spans="1:6" x14ac:dyDescent="0.25">
      <c r="A178" s="301">
        <v>177</v>
      </c>
      <c r="B178" s="57" t="s">
        <v>1127</v>
      </c>
      <c r="C178" s="277">
        <v>2315.0500000000002</v>
      </c>
      <c r="D178" s="277" t="s">
        <v>2</v>
      </c>
      <c r="E178" s="284">
        <v>0.5</v>
      </c>
      <c r="F178" s="277" t="s">
        <v>1187</v>
      </c>
    </row>
    <row r="179" spans="1:6" x14ac:dyDescent="0.25">
      <c r="A179" s="302">
        <v>178</v>
      </c>
      <c r="B179" s="303" t="s">
        <v>1128</v>
      </c>
      <c r="C179" s="304">
        <v>2586.69</v>
      </c>
      <c r="D179" s="304" t="s">
        <v>2</v>
      </c>
      <c r="E179" s="305">
        <v>0.5</v>
      </c>
      <c r="F179" s="304" t="s">
        <v>1187</v>
      </c>
    </row>
    <row r="180" spans="1:6" x14ac:dyDescent="0.25">
      <c r="A180" s="301">
        <v>179</v>
      </c>
      <c r="B180" s="57" t="s">
        <v>1129</v>
      </c>
      <c r="C180" s="277">
        <v>2723.73</v>
      </c>
      <c r="D180" s="277" t="s">
        <v>2</v>
      </c>
      <c r="E180" s="284">
        <v>0.5</v>
      </c>
      <c r="F180" s="277" t="s">
        <v>1187</v>
      </c>
    </row>
    <row r="181" spans="1:6" x14ac:dyDescent="0.25">
      <c r="A181" s="302">
        <v>180</v>
      </c>
      <c r="B181" s="303"/>
      <c r="C181" s="304"/>
      <c r="D181" s="304" t="s">
        <v>2</v>
      </c>
      <c r="E181" s="305">
        <v>0.5</v>
      </c>
      <c r="F181" s="304" t="s">
        <v>1187</v>
      </c>
    </row>
    <row r="182" spans="1:6" x14ac:dyDescent="0.25">
      <c r="A182" s="301">
        <v>181</v>
      </c>
      <c r="B182" s="57" t="s">
        <v>1130</v>
      </c>
      <c r="C182" s="277">
        <v>2586.69</v>
      </c>
      <c r="D182" s="277" t="s">
        <v>2</v>
      </c>
      <c r="E182" s="284">
        <v>0.5</v>
      </c>
      <c r="F182" s="277" t="s">
        <v>1187</v>
      </c>
    </row>
    <row r="183" spans="1:6" x14ac:dyDescent="0.25">
      <c r="A183" s="302">
        <v>182</v>
      </c>
      <c r="B183" s="303" t="s">
        <v>1131</v>
      </c>
      <c r="C183" s="304">
        <v>2723.73</v>
      </c>
      <c r="D183" s="304" t="s">
        <v>2</v>
      </c>
      <c r="E183" s="305">
        <v>0.5</v>
      </c>
      <c r="F183" s="304" t="s">
        <v>1187</v>
      </c>
    </row>
    <row r="184" spans="1:6" x14ac:dyDescent="0.25">
      <c r="A184" s="301">
        <v>183</v>
      </c>
      <c r="B184" s="57"/>
      <c r="C184" s="277"/>
      <c r="D184" s="277" t="s">
        <v>2</v>
      </c>
      <c r="E184" s="284">
        <v>0.5</v>
      </c>
      <c r="F184" s="277" t="s">
        <v>1187</v>
      </c>
    </row>
    <row r="185" spans="1:6" x14ac:dyDescent="0.25">
      <c r="A185" s="302">
        <v>184</v>
      </c>
      <c r="B185" s="303" t="s">
        <v>1132</v>
      </c>
      <c r="C185" s="304">
        <v>2858.33</v>
      </c>
      <c r="D185" s="304" t="s">
        <v>2</v>
      </c>
      <c r="E185" s="305">
        <v>0.5</v>
      </c>
      <c r="F185" s="304" t="s">
        <v>1187</v>
      </c>
    </row>
    <row r="186" spans="1:6" x14ac:dyDescent="0.25">
      <c r="A186" s="301">
        <v>185</v>
      </c>
      <c r="B186" s="57" t="s">
        <v>1133</v>
      </c>
      <c r="C186" s="277">
        <v>2995.37</v>
      </c>
      <c r="D186" s="277" t="s">
        <v>2</v>
      </c>
      <c r="E186" s="284">
        <v>0.5</v>
      </c>
      <c r="F186" s="277" t="s">
        <v>1187</v>
      </c>
    </row>
    <row r="187" spans="1:6" x14ac:dyDescent="0.25">
      <c r="A187" s="302">
        <v>186</v>
      </c>
      <c r="B187" s="303"/>
      <c r="C187" s="304"/>
      <c r="D187" s="304" t="s">
        <v>2</v>
      </c>
      <c r="E187" s="305">
        <v>0.5</v>
      </c>
      <c r="F187" s="304" t="s">
        <v>1187</v>
      </c>
    </row>
    <row r="188" spans="1:6" x14ac:dyDescent="0.25">
      <c r="A188" s="301">
        <v>187</v>
      </c>
      <c r="B188" s="57" t="s">
        <v>1134</v>
      </c>
      <c r="C188" s="277">
        <v>4991</v>
      </c>
      <c r="D188" s="277" t="s">
        <v>2</v>
      </c>
      <c r="E188" s="284">
        <v>0.5</v>
      </c>
      <c r="F188" s="277" t="s">
        <v>1187</v>
      </c>
    </row>
    <row r="189" spans="1:6" x14ac:dyDescent="0.25">
      <c r="A189" s="302">
        <v>188</v>
      </c>
      <c r="B189" s="303" t="s">
        <v>1135</v>
      </c>
      <c r="C189" s="304">
        <v>5246.3</v>
      </c>
      <c r="D189" s="304" t="s">
        <v>2</v>
      </c>
      <c r="E189" s="305">
        <v>0.5</v>
      </c>
      <c r="F189" s="304" t="s">
        <v>1187</v>
      </c>
    </row>
    <row r="190" spans="1:6" x14ac:dyDescent="0.25">
      <c r="A190" s="301">
        <v>189</v>
      </c>
      <c r="B190" s="57" t="s">
        <v>1136</v>
      </c>
      <c r="C190" s="277">
        <v>5759.2</v>
      </c>
      <c r="D190" s="277" t="s">
        <v>2</v>
      </c>
      <c r="E190" s="284">
        <v>0.5</v>
      </c>
      <c r="F190" s="277" t="s">
        <v>1187</v>
      </c>
    </row>
    <row r="191" spans="1:6" x14ac:dyDescent="0.25">
      <c r="A191" s="302">
        <v>190</v>
      </c>
      <c r="B191" s="303"/>
      <c r="C191" s="304"/>
      <c r="D191" s="304" t="s">
        <v>2</v>
      </c>
      <c r="E191" s="305">
        <v>0.5</v>
      </c>
      <c r="F191" s="304" t="s">
        <v>1187</v>
      </c>
    </row>
    <row r="192" spans="1:6" ht="18.75" x14ac:dyDescent="0.3">
      <c r="A192" s="301">
        <v>191</v>
      </c>
      <c r="B192" s="276" t="s">
        <v>1179</v>
      </c>
      <c r="C192" s="277"/>
      <c r="D192" s="277" t="s">
        <v>2</v>
      </c>
      <c r="E192" s="284">
        <v>0.5</v>
      </c>
      <c r="F192" s="277" t="s">
        <v>1187</v>
      </c>
    </row>
    <row r="193" spans="1:6" x14ac:dyDescent="0.25">
      <c r="A193" s="302">
        <v>192</v>
      </c>
      <c r="B193" s="303" t="s">
        <v>1137</v>
      </c>
      <c r="C193" s="304">
        <v>3726.74</v>
      </c>
      <c r="D193" s="304" t="s">
        <v>2</v>
      </c>
      <c r="E193" s="305">
        <v>0.5</v>
      </c>
      <c r="F193" s="304" t="s">
        <v>1187</v>
      </c>
    </row>
    <row r="194" spans="1:6" x14ac:dyDescent="0.25">
      <c r="A194" s="301">
        <v>193</v>
      </c>
      <c r="B194" s="57" t="s">
        <v>1138</v>
      </c>
      <c r="C194" s="277">
        <v>3992.25</v>
      </c>
      <c r="D194" s="277" t="s">
        <v>2</v>
      </c>
      <c r="E194" s="284">
        <v>0.5</v>
      </c>
      <c r="F194" s="277" t="s">
        <v>1187</v>
      </c>
    </row>
    <row r="195" spans="1:6" x14ac:dyDescent="0.25">
      <c r="A195" s="302">
        <v>194</v>
      </c>
      <c r="B195" s="303" t="s">
        <v>1139</v>
      </c>
      <c r="C195" s="304">
        <v>4257.76</v>
      </c>
      <c r="D195" s="304" t="s">
        <v>2</v>
      </c>
      <c r="E195" s="305">
        <v>0.5</v>
      </c>
      <c r="F195" s="304" t="s">
        <v>1187</v>
      </c>
    </row>
    <row r="196" spans="1:6" x14ac:dyDescent="0.25">
      <c r="A196" s="301">
        <v>195</v>
      </c>
      <c r="B196" s="57" t="s">
        <v>1140</v>
      </c>
      <c r="C196" s="277">
        <v>4525.66</v>
      </c>
      <c r="D196" s="277" t="s">
        <v>2</v>
      </c>
      <c r="E196" s="284">
        <v>0.5</v>
      </c>
      <c r="F196" s="277" t="s">
        <v>1187</v>
      </c>
    </row>
    <row r="197" spans="1:6" x14ac:dyDescent="0.25">
      <c r="A197" s="302">
        <v>196</v>
      </c>
      <c r="B197" s="303" t="s">
        <v>1141</v>
      </c>
      <c r="C197" s="304">
        <v>5855.62</v>
      </c>
      <c r="D197" s="304" t="s">
        <v>2</v>
      </c>
      <c r="E197" s="305">
        <v>0.5</v>
      </c>
      <c r="F197" s="304" t="s">
        <v>1187</v>
      </c>
    </row>
    <row r="198" spans="1:6" x14ac:dyDescent="0.25">
      <c r="A198" s="301">
        <v>197</v>
      </c>
      <c r="B198" s="57" t="s">
        <v>1142</v>
      </c>
      <c r="C198" s="277">
        <v>6255.08</v>
      </c>
      <c r="D198" s="277" t="s">
        <v>2</v>
      </c>
      <c r="E198" s="284">
        <v>0.5</v>
      </c>
      <c r="F198" s="277" t="s">
        <v>1187</v>
      </c>
    </row>
    <row r="199" spans="1:6" x14ac:dyDescent="0.25">
      <c r="A199" s="302">
        <v>198</v>
      </c>
      <c r="B199" s="303" t="s">
        <v>1143</v>
      </c>
      <c r="C199" s="304">
        <v>6654.54</v>
      </c>
      <c r="D199" s="304" t="s">
        <v>2</v>
      </c>
      <c r="E199" s="305">
        <v>0.5</v>
      </c>
      <c r="F199" s="304" t="s">
        <v>1187</v>
      </c>
    </row>
    <row r="200" spans="1:6" x14ac:dyDescent="0.25">
      <c r="A200" s="301">
        <v>199</v>
      </c>
      <c r="B200" s="57" t="s">
        <v>1144</v>
      </c>
      <c r="C200" s="277">
        <v>8917.3799999999992</v>
      </c>
      <c r="D200" s="277" t="s">
        <v>2</v>
      </c>
      <c r="E200" s="284">
        <v>0.5</v>
      </c>
      <c r="F200" s="277" t="s">
        <v>1187</v>
      </c>
    </row>
    <row r="201" spans="1:6" x14ac:dyDescent="0.25">
      <c r="A201" s="302">
        <v>200</v>
      </c>
      <c r="B201" s="303" t="s">
        <v>1145</v>
      </c>
      <c r="C201" s="304">
        <v>9316.84</v>
      </c>
      <c r="D201" s="304" t="s">
        <v>2</v>
      </c>
      <c r="E201" s="305">
        <v>0.5</v>
      </c>
      <c r="F201" s="304" t="s">
        <v>1187</v>
      </c>
    </row>
    <row r="202" spans="1:6" x14ac:dyDescent="0.25">
      <c r="A202" s="301">
        <v>201</v>
      </c>
      <c r="B202" s="57" t="s">
        <v>1146</v>
      </c>
      <c r="C202" s="277">
        <v>9448.4</v>
      </c>
      <c r="D202" s="277" t="s">
        <v>2</v>
      </c>
      <c r="E202" s="284">
        <v>0.5</v>
      </c>
      <c r="F202" s="277" t="s">
        <v>1187</v>
      </c>
    </row>
    <row r="203" spans="1:6" x14ac:dyDescent="0.25">
      <c r="A203" s="302">
        <v>202</v>
      </c>
      <c r="B203" s="303" t="s">
        <v>1147</v>
      </c>
      <c r="C203" s="304">
        <v>9847.86</v>
      </c>
      <c r="D203" s="304" t="s">
        <v>2</v>
      </c>
      <c r="E203" s="305">
        <v>0.5</v>
      </c>
      <c r="F203" s="304" t="s">
        <v>1187</v>
      </c>
    </row>
    <row r="204" spans="1:6" x14ac:dyDescent="0.25">
      <c r="A204" s="301">
        <v>203</v>
      </c>
      <c r="B204" s="57" t="s">
        <v>1148</v>
      </c>
      <c r="C204" s="277">
        <v>3992.25</v>
      </c>
      <c r="D204" s="277" t="s">
        <v>2</v>
      </c>
      <c r="E204" s="284">
        <v>0.5</v>
      </c>
      <c r="F204" s="277" t="s">
        <v>1187</v>
      </c>
    </row>
    <row r="205" spans="1:6" x14ac:dyDescent="0.25">
      <c r="A205" s="302">
        <v>204</v>
      </c>
      <c r="B205" s="303" t="s">
        <v>1149</v>
      </c>
      <c r="C205" s="304">
        <v>4391.71</v>
      </c>
      <c r="D205" s="304" t="s">
        <v>2</v>
      </c>
      <c r="E205" s="305">
        <v>0.5</v>
      </c>
      <c r="F205" s="304" t="s">
        <v>1187</v>
      </c>
    </row>
    <row r="206" spans="1:6" x14ac:dyDescent="0.25">
      <c r="A206" s="301">
        <v>205</v>
      </c>
      <c r="B206" s="57" t="s">
        <v>1150</v>
      </c>
      <c r="C206" s="277">
        <v>4791.18</v>
      </c>
      <c r="D206" s="277" t="s">
        <v>2</v>
      </c>
      <c r="E206" s="284">
        <v>0.5</v>
      </c>
      <c r="F206" s="277" t="s">
        <v>1187</v>
      </c>
    </row>
    <row r="207" spans="1:6" x14ac:dyDescent="0.25">
      <c r="A207" s="302">
        <v>206</v>
      </c>
      <c r="B207" s="303" t="s">
        <v>1151</v>
      </c>
      <c r="C207" s="304">
        <v>5056.6899999999996</v>
      </c>
      <c r="D207" s="304" t="s">
        <v>2</v>
      </c>
      <c r="E207" s="305">
        <v>0.5</v>
      </c>
      <c r="F207" s="304" t="s">
        <v>1187</v>
      </c>
    </row>
    <row r="208" spans="1:6" x14ac:dyDescent="0.25">
      <c r="A208" s="301">
        <v>207</v>
      </c>
      <c r="B208" s="57" t="s">
        <v>1152</v>
      </c>
      <c r="C208" s="277">
        <v>6389.03</v>
      </c>
      <c r="D208" s="277" t="s">
        <v>2</v>
      </c>
      <c r="E208" s="284">
        <v>0.5</v>
      </c>
      <c r="F208" s="277" t="s">
        <v>1187</v>
      </c>
    </row>
    <row r="209" spans="1:6" x14ac:dyDescent="0.25">
      <c r="A209" s="302">
        <v>208</v>
      </c>
      <c r="B209" s="303" t="s">
        <v>1153</v>
      </c>
      <c r="C209" s="304">
        <v>6654.54</v>
      </c>
      <c r="D209" s="304" t="s">
        <v>2</v>
      </c>
      <c r="E209" s="305">
        <v>0.5</v>
      </c>
      <c r="F209" s="304" t="s">
        <v>1187</v>
      </c>
    </row>
    <row r="210" spans="1:6" x14ac:dyDescent="0.25">
      <c r="A210" s="301">
        <v>209</v>
      </c>
      <c r="B210" s="57" t="s">
        <v>1154</v>
      </c>
      <c r="C210" s="277">
        <v>7319.52</v>
      </c>
      <c r="D210" s="277" t="s">
        <v>2</v>
      </c>
      <c r="E210" s="284">
        <v>0.5</v>
      </c>
      <c r="F210" s="277" t="s">
        <v>1187</v>
      </c>
    </row>
    <row r="211" spans="1:6" x14ac:dyDescent="0.25">
      <c r="A211" s="302">
        <v>210</v>
      </c>
      <c r="B211" s="303"/>
      <c r="C211" s="304"/>
      <c r="D211" s="304" t="s">
        <v>2</v>
      </c>
      <c r="E211" s="305">
        <v>0.5</v>
      </c>
      <c r="F211" s="304" t="s">
        <v>1187</v>
      </c>
    </row>
    <row r="212" spans="1:6" ht="18.75" x14ac:dyDescent="0.3">
      <c r="A212" s="301">
        <v>211</v>
      </c>
      <c r="B212" s="276" t="s">
        <v>1155</v>
      </c>
      <c r="C212" s="277">
        <v>837.2</v>
      </c>
      <c r="D212" s="277" t="s">
        <v>2</v>
      </c>
      <c r="E212" s="284">
        <v>0.5</v>
      </c>
      <c r="F212" s="277" t="s">
        <v>1187</v>
      </c>
    </row>
    <row r="213" spans="1:6" ht="18.75" x14ac:dyDescent="0.3">
      <c r="A213" s="302">
        <v>212</v>
      </c>
      <c r="B213" s="306" t="s">
        <v>1180</v>
      </c>
      <c r="C213" s="304"/>
      <c r="D213" s="304" t="s">
        <v>2</v>
      </c>
      <c r="E213" s="305">
        <v>0.5</v>
      </c>
      <c r="F213" s="304" t="s">
        <v>1187</v>
      </c>
    </row>
    <row r="214" spans="1:6" x14ac:dyDescent="0.25">
      <c r="A214" s="301">
        <v>213</v>
      </c>
      <c r="B214" s="57" t="s">
        <v>1156</v>
      </c>
      <c r="C214" s="277"/>
      <c r="D214" s="277" t="s">
        <v>2</v>
      </c>
      <c r="E214" s="284">
        <v>0.5</v>
      </c>
      <c r="F214" s="277" t="s">
        <v>1187</v>
      </c>
    </row>
    <row r="215" spans="1:6" x14ac:dyDescent="0.25">
      <c r="A215" s="302">
        <v>214</v>
      </c>
      <c r="B215" s="303" t="s">
        <v>1157</v>
      </c>
      <c r="C215" s="304"/>
      <c r="D215" s="304" t="s">
        <v>2</v>
      </c>
      <c r="E215" s="305">
        <v>0.5</v>
      </c>
      <c r="F215" s="304" t="s">
        <v>1187</v>
      </c>
    </row>
    <row r="216" spans="1:6" x14ac:dyDescent="0.25">
      <c r="A216" s="301">
        <v>215</v>
      </c>
      <c r="B216" s="57" t="s">
        <v>1158</v>
      </c>
      <c r="C216" s="297" cm="1">
        <f t="array" aca="1" ref="C216" ca="1">C168:C216</f>
        <v>0</v>
      </c>
      <c r="D216" s="277" t="s">
        <v>2</v>
      </c>
      <c r="E216" s="284">
        <v>0.5</v>
      </c>
      <c r="F216" s="277" t="s">
        <v>1187</v>
      </c>
    </row>
  </sheetData>
  <mergeCells count="1">
    <mergeCell ref="G3:H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00FE-F431-4F88-A871-190602F91927}">
  <sheetPr codeName="Hárok7"/>
  <dimension ref="A1:XFD292"/>
  <sheetViews>
    <sheetView topLeftCell="A56" workbookViewId="0">
      <selection activeCell="B81" sqref="B81"/>
    </sheetView>
  </sheetViews>
  <sheetFormatPr defaultRowHeight="15" x14ac:dyDescent="0.25"/>
  <cols>
    <col min="1" max="1" width="9.5703125" bestFit="1" customWidth="1"/>
    <col min="2" max="2" width="60.140625" style="323" bestFit="1" customWidth="1"/>
    <col min="3" max="3" width="20.28515625" style="42" customWidth="1"/>
    <col min="4" max="4" width="11.28515625" customWidth="1"/>
    <col min="5" max="5" width="6.7109375" bestFit="1" customWidth="1"/>
    <col min="6" max="6" width="13.5703125" customWidth="1"/>
  </cols>
  <sheetData>
    <row r="1" spans="1:263" s="49" customFormat="1" ht="34.5" customHeight="1" x14ac:dyDescent="0.25">
      <c r="A1" s="307" t="s">
        <v>1002</v>
      </c>
      <c r="B1" s="308"/>
      <c r="C1" s="308" t="s">
        <v>1001</v>
      </c>
      <c r="D1" s="308" t="s">
        <v>745</v>
      </c>
      <c r="E1" s="308" t="s">
        <v>612</v>
      </c>
      <c r="F1" s="308" t="s">
        <v>613</v>
      </c>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row>
    <row r="2" spans="1:263" s="49" customFormat="1" ht="28.5" customHeight="1" x14ac:dyDescent="0.25">
      <c r="A2" s="309"/>
      <c r="B2" s="310" t="s">
        <v>1189</v>
      </c>
      <c r="C2" s="311"/>
      <c r="D2" s="311"/>
      <c r="E2" s="311"/>
      <c r="F2" s="311"/>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row>
    <row r="3" spans="1:263" s="45" customFormat="1" ht="15.75" x14ac:dyDescent="0.25">
      <c r="A3" s="309">
        <v>1</v>
      </c>
      <c r="B3" s="311" t="s">
        <v>1190</v>
      </c>
      <c r="C3" s="311">
        <v>834</v>
      </c>
      <c r="D3" s="311" t="s">
        <v>2</v>
      </c>
      <c r="E3" s="312">
        <v>0.49</v>
      </c>
      <c r="F3" s="311" t="s">
        <v>950</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row>
    <row r="4" spans="1:263" ht="15" customHeight="1" x14ac:dyDescent="0.25">
      <c r="A4" s="274">
        <v>2</v>
      </c>
      <c r="B4" s="311" t="s">
        <v>1191</v>
      </c>
      <c r="C4" s="311">
        <v>885</v>
      </c>
      <c r="D4" s="311" t="s">
        <v>2</v>
      </c>
      <c r="E4" s="312">
        <v>0.49</v>
      </c>
      <c r="F4" s="311" t="s">
        <v>950</v>
      </c>
    </row>
    <row r="5" spans="1:263" ht="15.75" x14ac:dyDescent="0.25">
      <c r="A5" s="274">
        <v>3</v>
      </c>
      <c r="B5" s="311" t="s">
        <v>1192</v>
      </c>
      <c r="C5" s="311" t="s">
        <v>1193</v>
      </c>
      <c r="D5" s="311" t="s">
        <v>2</v>
      </c>
      <c r="E5" s="312">
        <v>0.49</v>
      </c>
      <c r="F5" s="311" t="s">
        <v>950</v>
      </c>
    </row>
    <row r="6" spans="1:263" ht="15.75" x14ac:dyDescent="0.25">
      <c r="A6" s="309">
        <v>4</v>
      </c>
      <c r="B6" s="311" t="s">
        <v>1194</v>
      </c>
      <c r="C6" s="311" t="s">
        <v>1195</v>
      </c>
      <c r="D6" s="311" t="s">
        <v>2</v>
      </c>
      <c r="E6" s="312">
        <v>0.49</v>
      </c>
      <c r="F6" s="311" t="s">
        <v>950</v>
      </c>
    </row>
    <row r="7" spans="1:263" ht="37.5" customHeight="1" x14ac:dyDescent="0.25">
      <c r="A7" s="274">
        <v>5</v>
      </c>
      <c r="B7" s="334" t="s">
        <v>999</v>
      </c>
      <c r="C7" s="335"/>
      <c r="D7" s="311"/>
      <c r="E7" s="312"/>
      <c r="F7" s="311"/>
    </row>
    <row r="8" spans="1:263" ht="15.75" x14ac:dyDescent="0.25">
      <c r="A8" s="274">
        <v>6</v>
      </c>
      <c r="B8" s="311" t="s">
        <v>1196</v>
      </c>
      <c r="C8" s="311">
        <v>161.07</v>
      </c>
      <c r="D8" s="311" t="s">
        <v>2</v>
      </c>
      <c r="E8" s="312">
        <v>0.49</v>
      </c>
      <c r="F8" s="311" t="s">
        <v>950</v>
      </c>
    </row>
    <row r="9" spans="1:263" ht="15.75" x14ac:dyDescent="0.25">
      <c r="A9" s="309">
        <v>7</v>
      </c>
      <c r="B9" s="311" t="s">
        <v>1197</v>
      </c>
      <c r="C9" s="311">
        <v>262.08</v>
      </c>
      <c r="D9" s="311" t="s">
        <v>2</v>
      </c>
      <c r="E9" s="312">
        <v>0.49</v>
      </c>
      <c r="F9" s="311" t="s">
        <v>950</v>
      </c>
    </row>
    <row r="10" spans="1:263" ht="27" customHeight="1" x14ac:dyDescent="0.25">
      <c r="A10" s="274">
        <v>8</v>
      </c>
      <c r="B10" s="308" t="s">
        <v>1198</v>
      </c>
      <c r="C10" s="311">
        <v>423.15000000000003</v>
      </c>
      <c r="D10" s="311" t="s">
        <v>2</v>
      </c>
      <c r="E10" s="312">
        <v>0.49</v>
      </c>
      <c r="F10" s="311" t="s">
        <v>950</v>
      </c>
    </row>
    <row r="11" spans="1:263" ht="15.75" x14ac:dyDescent="0.25">
      <c r="A11" s="274">
        <v>9</v>
      </c>
      <c r="B11" s="311" t="s">
        <v>1199</v>
      </c>
      <c r="C11" s="311">
        <v>171.99</v>
      </c>
      <c r="D11" s="311" t="s">
        <v>2</v>
      </c>
      <c r="E11" s="312">
        <v>0.49</v>
      </c>
      <c r="F11" s="311" t="s">
        <v>950</v>
      </c>
    </row>
    <row r="12" spans="1:263" ht="15.75" x14ac:dyDescent="0.25">
      <c r="A12" s="309">
        <v>10</v>
      </c>
      <c r="B12" s="311" t="s">
        <v>1200</v>
      </c>
      <c r="C12" s="311">
        <v>278.46000000000004</v>
      </c>
      <c r="D12" s="311" t="s">
        <v>2</v>
      </c>
      <c r="E12" s="312">
        <v>0.49</v>
      </c>
      <c r="F12" s="311" t="s">
        <v>950</v>
      </c>
    </row>
    <row r="13" spans="1:263" ht="27" customHeight="1" x14ac:dyDescent="0.25">
      <c r="A13" s="274">
        <v>11</v>
      </c>
      <c r="B13" s="308" t="s">
        <v>1198</v>
      </c>
      <c r="C13" s="311">
        <v>450.45</v>
      </c>
      <c r="D13" s="311" t="s">
        <v>2</v>
      </c>
      <c r="E13" s="312">
        <v>0.49</v>
      </c>
      <c r="F13" s="311" t="s">
        <v>950</v>
      </c>
    </row>
    <row r="14" spans="1:263" ht="15.75" x14ac:dyDescent="0.25">
      <c r="A14" s="274">
        <v>12</v>
      </c>
      <c r="B14" s="311" t="s">
        <v>1201</v>
      </c>
      <c r="C14" s="311">
        <v>227.5</v>
      </c>
      <c r="D14" s="311" t="s">
        <v>2</v>
      </c>
      <c r="E14" s="312">
        <v>0.49</v>
      </c>
      <c r="F14" s="311" t="s">
        <v>950</v>
      </c>
    </row>
    <row r="15" spans="1:263" ht="15.75" x14ac:dyDescent="0.25">
      <c r="A15" s="309">
        <v>13</v>
      </c>
      <c r="B15" s="311" t="s">
        <v>1202</v>
      </c>
      <c r="C15" s="311">
        <v>491.40000000000003</v>
      </c>
      <c r="D15" s="311" t="s">
        <v>2</v>
      </c>
      <c r="E15" s="312">
        <v>0.49</v>
      </c>
      <c r="F15" s="311" t="s">
        <v>950</v>
      </c>
    </row>
    <row r="16" spans="1:263" ht="27" customHeight="1" x14ac:dyDescent="0.25">
      <c r="A16" s="274">
        <v>14</v>
      </c>
      <c r="B16" s="308" t="s">
        <v>1198</v>
      </c>
      <c r="C16" s="311">
        <v>718.9</v>
      </c>
      <c r="D16" s="311" t="s">
        <v>2</v>
      </c>
      <c r="E16" s="312">
        <v>0.49</v>
      </c>
      <c r="F16" s="311" t="s">
        <v>950</v>
      </c>
    </row>
    <row r="17" spans="1:6" ht="15.75" x14ac:dyDescent="0.25">
      <c r="A17" s="274">
        <v>15</v>
      </c>
      <c r="B17" s="311" t="s">
        <v>1203</v>
      </c>
      <c r="C17" s="311">
        <v>268.45</v>
      </c>
      <c r="D17" s="311" t="s">
        <v>2</v>
      </c>
      <c r="E17" s="312">
        <v>0.49</v>
      </c>
      <c r="F17" s="311" t="s">
        <v>950</v>
      </c>
    </row>
    <row r="18" spans="1:6" ht="15.75" x14ac:dyDescent="0.25">
      <c r="A18" s="309">
        <v>16</v>
      </c>
      <c r="B18" s="311" t="s">
        <v>1204</v>
      </c>
      <c r="C18" s="311">
        <v>586.95000000000005</v>
      </c>
      <c r="D18" s="311" t="s">
        <v>2</v>
      </c>
      <c r="E18" s="312">
        <v>0.49</v>
      </c>
      <c r="F18" s="311" t="s">
        <v>950</v>
      </c>
    </row>
    <row r="19" spans="1:6" ht="27" customHeight="1" x14ac:dyDescent="0.25">
      <c r="A19" s="274">
        <v>17</v>
      </c>
      <c r="B19" s="308" t="s">
        <v>1198</v>
      </c>
      <c r="C19" s="311">
        <v>855.4</v>
      </c>
      <c r="D19" s="311" t="s">
        <v>2</v>
      </c>
      <c r="E19" s="312">
        <v>0.49</v>
      </c>
      <c r="F19" s="311" t="s">
        <v>950</v>
      </c>
    </row>
    <row r="20" spans="1:6" ht="27" customHeight="1" x14ac:dyDescent="0.25">
      <c r="A20" s="274">
        <v>18</v>
      </c>
      <c r="B20" s="336" t="s">
        <v>1205</v>
      </c>
      <c r="C20" s="337"/>
      <c r="D20" s="311"/>
      <c r="E20" s="312"/>
      <c r="F20" s="311"/>
    </row>
    <row r="21" spans="1:6" ht="15.75" x14ac:dyDescent="0.25">
      <c r="A21" s="309">
        <v>19</v>
      </c>
      <c r="B21" s="311" t="s">
        <v>1206</v>
      </c>
      <c r="C21" s="311">
        <v>161.07</v>
      </c>
      <c r="D21" s="311" t="s">
        <v>2</v>
      </c>
      <c r="E21" s="312">
        <v>0.49</v>
      </c>
      <c r="F21" s="311" t="s">
        <v>950</v>
      </c>
    </row>
    <row r="22" spans="1:6" ht="15.75" x14ac:dyDescent="0.25">
      <c r="A22" s="274">
        <v>20</v>
      </c>
      <c r="B22" s="311" t="s">
        <v>1197</v>
      </c>
      <c r="C22" s="311">
        <v>262.08</v>
      </c>
      <c r="D22" s="311" t="s">
        <v>2</v>
      </c>
      <c r="E22" s="312">
        <v>0.49</v>
      </c>
      <c r="F22" s="311" t="s">
        <v>950</v>
      </c>
    </row>
    <row r="23" spans="1:6" ht="27" customHeight="1" x14ac:dyDescent="0.25">
      <c r="A23" s="274">
        <v>21</v>
      </c>
      <c r="B23" s="308" t="s">
        <v>1198</v>
      </c>
      <c r="C23" s="311">
        <v>423.15000000000003</v>
      </c>
      <c r="D23" s="311" t="s">
        <v>2</v>
      </c>
      <c r="E23" s="312">
        <v>0.49</v>
      </c>
      <c r="F23" s="311" t="s">
        <v>950</v>
      </c>
    </row>
    <row r="24" spans="1:6" ht="15.75" x14ac:dyDescent="0.25">
      <c r="A24" s="309">
        <v>22</v>
      </c>
      <c r="B24" s="311" t="s">
        <v>1207</v>
      </c>
      <c r="C24" s="311">
        <v>171.99</v>
      </c>
      <c r="D24" s="311" t="s">
        <v>2</v>
      </c>
      <c r="E24" s="312">
        <v>0.49</v>
      </c>
      <c r="F24" s="311" t="s">
        <v>950</v>
      </c>
    </row>
    <row r="25" spans="1:6" ht="15.75" x14ac:dyDescent="0.25">
      <c r="A25" s="274">
        <v>23</v>
      </c>
      <c r="B25" s="311" t="s">
        <v>1200</v>
      </c>
      <c r="C25" s="311">
        <v>278.46000000000004</v>
      </c>
      <c r="D25" s="311" t="s">
        <v>2</v>
      </c>
      <c r="E25" s="312">
        <v>0.49</v>
      </c>
      <c r="F25" s="311" t="s">
        <v>950</v>
      </c>
    </row>
    <row r="26" spans="1:6" ht="27" customHeight="1" x14ac:dyDescent="0.25">
      <c r="A26" s="274">
        <v>24</v>
      </c>
      <c r="B26" s="308" t="s">
        <v>1198</v>
      </c>
      <c r="C26" s="311">
        <v>450.45</v>
      </c>
      <c r="D26" s="311" t="s">
        <v>2</v>
      </c>
      <c r="E26" s="312">
        <v>0.49</v>
      </c>
      <c r="F26" s="311" t="s">
        <v>950</v>
      </c>
    </row>
    <row r="27" spans="1:6" ht="15.75" x14ac:dyDescent="0.25">
      <c r="A27" s="309">
        <v>25</v>
      </c>
      <c r="B27" s="311" t="s">
        <v>1208</v>
      </c>
      <c r="C27" s="311">
        <v>227.5</v>
      </c>
      <c r="D27" s="311" t="s">
        <v>2</v>
      </c>
      <c r="E27" s="312">
        <v>0.49</v>
      </c>
      <c r="F27" s="311" t="s">
        <v>950</v>
      </c>
    </row>
    <row r="28" spans="1:6" ht="15.75" x14ac:dyDescent="0.25">
      <c r="A28" s="274">
        <v>26</v>
      </c>
      <c r="B28" s="311" t="s">
        <v>1202</v>
      </c>
      <c r="C28" s="311">
        <v>491.40000000000003</v>
      </c>
      <c r="D28" s="311" t="s">
        <v>2</v>
      </c>
      <c r="E28" s="312">
        <v>0.49</v>
      </c>
      <c r="F28" s="311" t="s">
        <v>950</v>
      </c>
    </row>
    <row r="29" spans="1:6" ht="27" customHeight="1" x14ac:dyDescent="0.25">
      <c r="A29" s="274">
        <v>27</v>
      </c>
      <c r="B29" s="308" t="s">
        <v>1198</v>
      </c>
      <c r="C29" s="311">
        <v>718.9</v>
      </c>
      <c r="D29" s="311" t="s">
        <v>2</v>
      </c>
      <c r="E29" s="312">
        <v>0.49</v>
      </c>
      <c r="F29" s="311" t="s">
        <v>950</v>
      </c>
    </row>
    <row r="30" spans="1:6" ht="15.75" x14ac:dyDescent="0.25">
      <c r="A30" s="309">
        <v>28</v>
      </c>
      <c r="B30" s="311" t="s">
        <v>1209</v>
      </c>
      <c r="C30" s="311">
        <v>268.45</v>
      </c>
      <c r="D30" s="311" t="s">
        <v>2</v>
      </c>
      <c r="E30" s="312">
        <v>0.49</v>
      </c>
      <c r="F30" s="311" t="s">
        <v>950</v>
      </c>
    </row>
    <row r="31" spans="1:6" ht="15.75" x14ac:dyDescent="0.25">
      <c r="A31" s="274">
        <v>29</v>
      </c>
      <c r="B31" s="311" t="s">
        <v>1210</v>
      </c>
      <c r="C31" s="311">
        <v>586.95000000000005</v>
      </c>
      <c r="D31" s="311" t="s">
        <v>2</v>
      </c>
      <c r="E31" s="312">
        <v>0.49</v>
      </c>
      <c r="F31" s="311" t="s">
        <v>950</v>
      </c>
    </row>
    <row r="32" spans="1:6" ht="27" customHeight="1" x14ac:dyDescent="0.25">
      <c r="A32" s="274">
        <v>30</v>
      </c>
      <c r="B32" s="308" t="s">
        <v>1198</v>
      </c>
      <c r="C32" s="311">
        <v>855.4</v>
      </c>
      <c r="D32" s="311" t="s">
        <v>2</v>
      </c>
      <c r="E32" s="312">
        <v>0.49</v>
      </c>
      <c r="F32" s="311" t="s">
        <v>950</v>
      </c>
    </row>
    <row r="33" spans="1:11" ht="27" customHeight="1" x14ac:dyDescent="0.25">
      <c r="A33" s="309">
        <v>31</v>
      </c>
      <c r="B33" s="329" t="s">
        <v>1000</v>
      </c>
      <c r="C33" s="330"/>
      <c r="D33" s="331"/>
      <c r="E33" s="312"/>
      <c r="F33" s="311"/>
    </row>
    <row r="34" spans="1:11" ht="15" customHeight="1" x14ac:dyDescent="0.25">
      <c r="A34" s="274">
        <v>32</v>
      </c>
      <c r="B34" s="313" t="s">
        <v>1211</v>
      </c>
      <c r="C34" s="311">
        <v>182</v>
      </c>
      <c r="D34" s="311" t="s">
        <v>2</v>
      </c>
      <c r="E34" s="312">
        <v>0.49</v>
      </c>
      <c r="F34" s="311" t="s">
        <v>950</v>
      </c>
      <c r="K34" t="s">
        <v>1212</v>
      </c>
    </row>
    <row r="35" spans="1:11" ht="15.75" x14ac:dyDescent="0.25">
      <c r="A35" s="274">
        <v>33</v>
      </c>
      <c r="B35" s="313" t="s">
        <v>1213</v>
      </c>
      <c r="C35" s="311">
        <v>303.03000000000003</v>
      </c>
      <c r="D35" s="311" t="s">
        <v>2</v>
      </c>
      <c r="E35" s="312">
        <v>0.49</v>
      </c>
      <c r="F35" s="311" t="s">
        <v>950</v>
      </c>
    </row>
    <row r="36" spans="1:11" ht="34.5" customHeight="1" x14ac:dyDescent="0.25">
      <c r="A36" s="309">
        <v>34</v>
      </c>
      <c r="B36" s="314" t="s">
        <v>1214</v>
      </c>
      <c r="C36" s="311">
        <v>485.03000000000003</v>
      </c>
      <c r="D36" s="311" t="s">
        <v>2</v>
      </c>
      <c r="E36" s="312">
        <v>0.49</v>
      </c>
      <c r="F36" s="311" t="s">
        <v>950</v>
      </c>
    </row>
    <row r="37" spans="1:11" ht="27" customHeight="1" x14ac:dyDescent="0.25">
      <c r="A37" s="274">
        <v>35</v>
      </c>
      <c r="B37" s="313" t="s">
        <v>1215</v>
      </c>
      <c r="C37" s="311">
        <v>191.1</v>
      </c>
      <c r="D37" s="311" t="s">
        <v>2</v>
      </c>
      <c r="E37" s="312">
        <v>0.49</v>
      </c>
      <c r="F37" s="311" t="s">
        <v>950</v>
      </c>
    </row>
    <row r="38" spans="1:11" ht="15.75" x14ac:dyDescent="0.25">
      <c r="A38" s="274">
        <v>36</v>
      </c>
      <c r="B38" s="313" t="s">
        <v>1216</v>
      </c>
      <c r="C38" s="311">
        <v>324.87</v>
      </c>
      <c r="D38" s="311" t="s">
        <v>2</v>
      </c>
      <c r="E38" s="312">
        <v>0.49</v>
      </c>
      <c r="F38" s="311" t="s">
        <v>950</v>
      </c>
    </row>
    <row r="39" spans="1:11" ht="15.75" x14ac:dyDescent="0.25">
      <c r="A39" s="309">
        <v>37</v>
      </c>
      <c r="B39" s="314" t="s">
        <v>1214</v>
      </c>
      <c r="C39" s="311">
        <v>515.97</v>
      </c>
      <c r="D39" s="311" t="s">
        <v>2</v>
      </c>
      <c r="E39" s="312">
        <v>0.49</v>
      </c>
      <c r="F39" s="311" t="s">
        <v>950</v>
      </c>
    </row>
    <row r="40" spans="1:11" ht="27" customHeight="1" x14ac:dyDescent="0.25">
      <c r="A40" s="274">
        <v>38</v>
      </c>
      <c r="B40" s="313" t="s">
        <v>1217</v>
      </c>
      <c r="C40" s="311">
        <v>240.24</v>
      </c>
      <c r="D40" s="311" t="s">
        <v>2</v>
      </c>
      <c r="E40" s="312">
        <v>0.49</v>
      </c>
      <c r="F40" s="311" t="s">
        <v>950</v>
      </c>
    </row>
    <row r="41" spans="1:11" ht="15.75" x14ac:dyDescent="0.25">
      <c r="A41" s="274">
        <v>39</v>
      </c>
      <c r="B41" s="313" t="s">
        <v>1218</v>
      </c>
      <c r="C41" s="311">
        <v>550.55000000000007</v>
      </c>
      <c r="D41" s="311" t="s">
        <v>2</v>
      </c>
      <c r="E41" s="312">
        <v>0.49</v>
      </c>
      <c r="F41" s="311" t="s">
        <v>950</v>
      </c>
    </row>
    <row r="42" spans="1:11" ht="31.5" customHeight="1" x14ac:dyDescent="0.25">
      <c r="A42" s="309">
        <v>40</v>
      </c>
      <c r="B42" s="314" t="s">
        <v>1214</v>
      </c>
      <c r="C42" s="311">
        <v>790.79000000000008</v>
      </c>
      <c r="D42" s="311" t="s">
        <v>2</v>
      </c>
      <c r="E42" s="312">
        <v>0.49</v>
      </c>
      <c r="F42" s="311" t="s">
        <v>950</v>
      </c>
    </row>
    <row r="43" spans="1:11" ht="27" customHeight="1" x14ac:dyDescent="0.25">
      <c r="A43" s="274">
        <v>41</v>
      </c>
      <c r="B43" s="313" t="s">
        <v>1219</v>
      </c>
      <c r="C43" s="311">
        <v>291.2</v>
      </c>
      <c r="D43" s="311" t="s">
        <v>2</v>
      </c>
      <c r="E43" s="312">
        <v>0.49</v>
      </c>
      <c r="F43" s="311" t="s">
        <v>950</v>
      </c>
    </row>
    <row r="44" spans="1:11" ht="15.75" x14ac:dyDescent="0.25">
      <c r="A44" s="274">
        <v>42</v>
      </c>
      <c r="B44" s="313" t="s">
        <v>1220</v>
      </c>
      <c r="C44" s="311">
        <v>645.19000000000005</v>
      </c>
      <c r="D44" s="311" t="s">
        <v>2</v>
      </c>
      <c r="E44" s="312">
        <v>0.49</v>
      </c>
      <c r="F44" s="311" t="s">
        <v>950</v>
      </c>
    </row>
    <row r="45" spans="1:11" ht="30" customHeight="1" x14ac:dyDescent="0.25">
      <c r="A45" s="309">
        <v>43</v>
      </c>
      <c r="B45" s="314" t="s">
        <v>1214</v>
      </c>
      <c r="C45" s="311">
        <v>936.39</v>
      </c>
      <c r="D45" s="311" t="s">
        <v>2</v>
      </c>
      <c r="E45" s="312">
        <v>0.49</v>
      </c>
      <c r="F45" s="311" t="s">
        <v>950</v>
      </c>
    </row>
    <row r="46" spans="1:11" ht="27" customHeight="1" x14ac:dyDescent="0.25">
      <c r="A46" s="274">
        <v>44</v>
      </c>
      <c r="B46" s="330" t="s">
        <v>1221</v>
      </c>
      <c r="C46" s="331"/>
      <c r="D46" s="311" t="s">
        <v>2</v>
      </c>
      <c r="E46" s="312">
        <v>0.49</v>
      </c>
      <c r="F46" s="311" t="s">
        <v>950</v>
      </c>
    </row>
    <row r="47" spans="1:11" ht="15" customHeight="1" x14ac:dyDescent="0.25">
      <c r="A47" s="274">
        <v>45</v>
      </c>
      <c r="B47" s="313" t="s">
        <v>1222</v>
      </c>
      <c r="C47" s="311">
        <v>163.80000000000001</v>
      </c>
      <c r="D47" s="311" t="s">
        <v>2</v>
      </c>
      <c r="E47" s="312">
        <v>0.49</v>
      </c>
      <c r="F47" s="311" t="s">
        <v>950</v>
      </c>
    </row>
    <row r="48" spans="1:11" ht="15.75" x14ac:dyDescent="0.25">
      <c r="A48" s="309">
        <v>46</v>
      </c>
      <c r="B48" s="313" t="s">
        <v>1223</v>
      </c>
      <c r="C48" s="311">
        <v>303.03000000000003</v>
      </c>
      <c r="D48" s="311" t="s">
        <v>2</v>
      </c>
      <c r="E48" s="312">
        <v>0.49</v>
      </c>
      <c r="F48" s="311" t="s">
        <v>950</v>
      </c>
    </row>
    <row r="49" spans="1:17" ht="15.75" x14ac:dyDescent="0.25">
      <c r="A49" s="274">
        <v>47</v>
      </c>
      <c r="B49" s="314" t="s">
        <v>1214</v>
      </c>
      <c r="C49" s="311">
        <v>466.83000000000004</v>
      </c>
      <c r="D49" s="311" t="s">
        <v>2</v>
      </c>
      <c r="E49" s="312">
        <v>0.49</v>
      </c>
      <c r="F49" s="311" t="s">
        <v>950</v>
      </c>
    </row>
    <row r="50" spans="1:17" ht="27" customHeight="1" x14ac:dyDescent="0.25">
      <c r="A50" s="274">
        <v>48</v>
      </c>
      <c r="B50" s="313" t="s">
        <v>1224</v>
      </c>
      <c r="C50" s="311">
        <v>171.99</v>
      </c>
      <c r="D50" s="311" t="s">
        <v>2</v>
      </c>
      <c r="E50" s="312">
        <v>0.49</v>
      </c>
      <c r="F50" s="311" t="s">
        <v>950</v>
      </c>
      <c r="Q50" s="515"/>
    </row>
    <row r="51" spans="1:17" ht="15.75" x14ac:dyDescent="0.25">
      <c r="A51" s="309">
        <v>49</v>
      </c>
      <c r="B51" s="313" t="s">
        <v>1225</v>
      </c>
      <c r="C51" s="311">
        <v>324.87</v>
      </c>
      <c r="D51" s="311" t="s">
        <v>2</v>
      </c>
      <c r="E51" s="312">
        <v>0.49</v>
      </c>
      <c r="F51" s="311" t="s">
        <v>950</v>
      </c>
      <c r="Q51" s="516"/>
    </row>
    <row r="52" spans="1:17" ht="15.75" x14ac:dyDescent="0.25">
      <c r="A52" s="274">
        <v>50</v>
      </c>
      <c r="B52" s="314" t="s">
        <v>1214</v>
      </c>
      <c r="C52" s="311">
        <v>496.86</v>
      </c>
      <c r="D52" s="311" t="s">
        <v>2</v>
      </c>
      <c r="E52" s="312">
        <v>0.49</v>
      </c>
      <c r="F52" s="311" t="s">
        <v>950</v>
      </c>
    </row>
    <row r="53" spans="1:17" ht="27" customHeight="1" x14ac:dyDescent="0.25">
      <c r="A53" s="274">
        <v>51</v>
      </c>
      <c r="B53" s="313" t="s">
        <v>1226</v>
      </c>
      <c r="C53" s="311">
        <v>216.58</v>
      </c>
      <c r="D53" s="311" t="s">
        <v>2</v>
      </c>
      <c r="E53" s="312">
        <v>0.49</v>
      </c>
      <c r="F53" s="311" t="s">
        <v>950</v>
      </c>
    </row>
    <row r="54" spans="1:17" ht="15.75" x14ac:dyDescent="0.25">
      <c r="A54" s="309">
        <v>52</v>
      </c>
      <c r="B54" s="313" t="s">
        <v>1227</v>
      </c>
      <c r="C54" s="311">
        <v>550.55000000000007</v>
      </c>
      <c r="D54" s="311" t="s">
        <v>2</v>
      </c>
      <c r="E54" s="312">
        <v>0.49</v>
      </c>
      <c r="F54" s="311" t="s">
        <v>950</v>
      </c>
    </row>
    <row r="55" spans="1:17" ht="15.75" x14ac:dyDescent="0.25">
      <c r="A55" s="274">
        <v>53</v>
      </c>
      <c r="B55" s="314" t="s">
        <v>1214</v>
      </c>
      <c r="C55" s="311">
        <v>767.13</v>
      </c>
      <c r="D55" s="311" t="s">
        <v>2</v>
      </c>
      <c r="E55" s="312">
        <v>0.49</v>
      </c>
      <c r="F55" s="311" t="s">
        <v>950</v>
      </c>
    </row>
    <row r="56" spans="1:17" ht="27" customHeight="1" x14ac:dyDescent="0.25">
      <c r="A56" s="274">
        <v>54</v>
      </c>
      <c r="B56" s="313" t="s">
        <v>1228</v>
      </c>
      <c r="C56" s="311">
        <v>262.08</v>
      </c>
      <c r="D56" s="311" t="s">
        <v>2</v>
      </c>
      <c r="E56" s="312">
        <v>0.49</v>
      </c>
      <c r="F56" s="311" t="s">
        <v>950</v>
      </c>
    </row>
    <row r="57" spans="1:17" ht="15.75" x14ac:dyDescent="0.25">
      <c r="A57" s="309">
        <v>55</v>
      </c>
      <c r="B57" s="313" t="s">
        <v>1229</v>
      </c>
      <c r="C57" s="311">
        <v>645.19000000000005</v>
      </c>
      <c r="D57" s="311" t="s">
        <v>2</v>
      </c>
      <c r="E57" s="312">
        <v>0.49</v>
      </c>
      <c r="F57" s="311" t="s">
        <v>950</v>
      </c>
    </row>
    <row r="58" spans="1:17" ht="15.75" x14ac:dyDescent="0.25">
      <c r="A58" s="274">
        <v>56</v>
      </c>
      <c r="B58" s="314" t="s">
        <v>1230</v>
      </c>
      <c r="C58" s="311">
        <v>907.27</v>
      </c>
      <c r="D58" s="311" t="s">
        <v>2</v>
      </c>
      <c r="E58" s="312">
        <v>0.49</v>
      </c>
      <c r="F58" s="311" t="s">
        <v>950</v>
      </c>
    </row>
    <row r="59" spans="1:17" ht="27" customHeight="1" x14ac:dyDescent="0.25">
      <c r="A59" s="274">
        <v>57</v>
      </c>
      <c r="B59" s="329" t="s">
        <v>1231</v>
      </c>
      <c r="C59" s="331"/>
      <c r="D59" s="311" t="s">
        <v>2</v>
      </c>
      <c r="E59" s="312">
        <v>0.49</v>
      </c>
      <c r="F59" s="311" t="s">
        <v>950</v>
      </c>
    </row>
    <row r="60" spans="1:17" ht="15" customHeight="1" x14ac:dyDescent="0.25">
      <c r="A60" s="309">
        <v>58</v>
      </c>
      <c r="B60" s="311" t="s">
        <v>1232</v>
      </c>
      <c r="C60" s="311">
        <v>140.14000000000001</v>
      </c>
      <c r="D60" s="311" t="s">
        <v>2</v>
      </c>
      <c r="E60" s="312">
        <v>0.49</v>
      </c>
      <c r="F60" s="311" t="s">
        <v>950</v>
      </c>
    </row>
    <row r="61" spans="1:17" ht="15.75" x14ac:dyDescent="0.25">
      <c r="A61" s="274">
        <v>59</v>
      </c>
      <c r="B61" s="311" t="s">
        <v>1233</v>
      </c>
      <c r="C61" s="311">
        <v>210.21</v>
      </c>
      <c r="D61" s="311" t="s">
        <v>2</v>
      </c>
      <c r="E61" s="312">
        <v>0.49</v>
      </c>
      <c r="F61" s="311" t="s">
        <v>950</v>
      </c>
    </row>
    <row r="62" spans="1:17" ht="33" customHeight="1" x14ac:dyDescent="0.25">
      <c r="A62" s="274">
        <v>60</v>
      </c>
      <c r="B62" s="314" t="s">
        <v>1494</v>
      </c>
      <c r="C62" s="311">
        <v>350.35</v>
      </c>
      <c r="D62" s="311" t="s">
        <v>2</v>
      </c>
      <c r="E62" s="312">
        <v>0.49</v>
      </c>
      <c r="F62" s="311" t="s">
        <v>950</v>
      </c>
    </row>
    <row r="63" spans="1:17" ht="15.75" x14ac:dyDescent="0.25">
      <c r="A63" s="309">
        <v>61</v>
      </c>
      <c r="B63" s="313" t="s">
        <v>1235</v>
      </c>
      <c r="C63" s="311">
        <v>149.24</v>
      </c>
      <c r="D63" s="311" t="s">
        <v>2</v>
      </c>
      <c r="E63" s="312">
        <v>0.49</v>
      </c>
      <c r="F63" s="311" t="s">
        <v>950</v>
      </c>
    </row>
    <row r="64" spans="1:17" ht="15.75" x14ac:dyDescent="0.25">
      <c r="A64" s="274">
        <v>62</v>
      </c>
      <c r="B64" s="311" t="s">
        <v>1236</v>
      </c>
      <c r="C64" s="311">
        <v>223.86</v>
      </c>
      <c r="D64" s="311" t="s">
        <v>2</v>
      </c>
      <c r="E64" s="312">
        <v>0.49</v>
      </c>
      <c r="F64" s="311" t="s">
        <v>950</v>
      </c>
    </row>
    <row r="65" spans="1:6" ht="25.5" customHeight="1" x14ac:dyDescent="0.25">
      <c r="A65" s="274">
        <v>63</v>
      </c>
      <c r="B65" s="314" t="s">
        <v>1495</v>
      </c>
      <c r="C65" s="311">
        <v>373.1</v>
      </c>
      <c r="D65" s="311" t="s">
        <v>2</v>
      </c>
      <c r="E65" s="312">
        <v>0.49</v>
      </c>
      <c r="F65" s="311" t="s">
        <v>950</v>
      </c>
    </row>
    <row r="66" spans="1:6" ht="15.75" x14ac:dyDescent="0.25">
      <c r="A66" s="309">
        <v>64</v>
      </c>
      <c r="B66" s="313" t="s">
        <v>1237</v>
      </c>
      <c r="C66" s="311">
        <v>200.20000000000002</v>
      </c>
      <c r="D66" s="311" t="s">
        <v>2</v>
      </c>
      <c r="E66" s="312">
        <v>0.49</v>
      </c>
      <c r="F66" s="311" t="s">
        <v>950</v>
      </c>
    </row>
    <row r="67" spans="1:6" ht="15.75" x14ac:dyDescent="0.25">
      <c r="A67" s="274">
        <v>65</v>
      </c>
      <c r="B67" s="315" t="s">
        <v>1238</v>
      </c>
      <c r="C67" s="311">
        <v>370.37</v>
      </c>
      <c r="D67" s="311" t="s">
        <v>2</v>
      </c>
      <c r="E67" s="312">
        <v>0.49</v>
      </c>
      <c r="F67" s="311" t="s">
        <v>950</v>
      </c>
    </row>
    <row r="68" spans="1:6" ht="27.75" customHeight="1" x14ac:dyDescent="0.25">
      <c r="A68" s="274">
        <v>66</v>
      </c>
      <c r="B68" s="314" t="s">
        <v>1234</v>
      </c>
      <c r="C68" s="311">
        <v>570.57000000000005</v>
      </c>
      <c r="D68" s="311" t="s">
        <v>2</v>
      </c>
      <c r="E68" s="312">
        <v>0.49</v>
      </c>
      <c r="F68" s="311" t="s">
        <v>950</v>
      </c>
    </row>
    <row r="69" spans="1:6" ht="27" customHeight="1" x14ac:dyDescent="0.25">
      <c r="A69" s="309">
        <v>67</v>
      </c>
      <c r="B69" s="313" t="s">
        <v>1239</v>
      </c>
      <c r="C69" s="311">
        <v>233.87</v>
      </c>
      <c r="D69" s="311" t="s">
        <v>2</v>
      </c>
      <c r="E69" s="312">
        <v>0.49</v>
      </c>
      <c r="F69" s="311" t="s">
        <v>950</v>
      </c>
    </row>
    <row r="70" spans="1:6" ht="15.75" x14ac:dyDescent="0.25">
      <c r="A70" s="274">
        <v>68</v>
      </c>
      <c r="B70" s="313" t="s">
        <v>1240</v>
      </c>
      <c r="C70" s="311">
        <v>520.52</v>
      </c>
      <c r="D70" s="311" t="s">
        <v>2</v>
      </c>
      <c r="E70" s="312">
        <v>0.49</v>
      </c>
      <c r="F70" s="311" t="s">
        <v>950</v>
      </c>
    </row>
    <row r="71" spans="1:6" ht="27" customHeight="1" x14ac:dyDescent="0.25">
      <c r="A71" s="274">
        <v>69</v>
      </c>
      <c r="B71" s="314" t="s">
        <v>1234</v>
      </c>
      <c r="C71" s="311">
        <v>754.39</v>
      </c>
      <c r="D71" s="311" t="s">
        <v>2</v>
      </c>
      <c r="E71" s="312">
        <v>0.49</v>
      </c>
      <c r="F71" s="311" t="s">
        <v>950</v>
      </c>
    </row>
    <row r="72" spans="1:6" ht="25.5" customHeight="1" x14ac:dyDescent="0.25">
      <c r="A72" s="309">
        <v>70</v>
      </c>
      <c r="B72" s="330" t="s">
        <v>1241</v>
      </c>
      <c r="C72" s="331"/>
      <c r="D72" s="311" t="s">
        <v>2</v>
      </c>
      <c r="E72" s="312">
        <v>0.49</v>
      </c>
      <c r="F72" s="311" t="s">
        <v>950</v>
      </c>
    </row>
    <row r="73" spans="1:6" ht="15" customHeight="1" x14ac:dyDescent="0.25">
      <c r="A73" s="274">
        <v>71</v>
      </c>
      <c r="B73" s="316" t="s">
        <v>1242</v>
      </c>
      <c r="C73" s="311">
        <v>119.21000000000001</v>
      </c>
      <c r="D73" s="311" t="s">
        <v>2</v>
      </c>
      <c r="E73" s="312">
        <v>0.49</v>
      </c>
      <c r="F73" s="311" t="s">
        <v>950</v>
      </c>
    </row>
    <row r="74" spans="1:6" ht="15.75" x14ac:dyDescent="0.25">
      <c r="A74" s="274">
        <v>72</v>
      </c>
      <c r="B74" s="316" t="s">
        <v>1243</v>
      </c>
      <c r="C74" s="311">
        <v>201.11</v>
      </c>
      <c r="D74" s="311" t="s">
        <v>2</v>
      </c>
      <c r="E74" s="312">
        <v>0.49</v>
      </c>
      <c r="F74" s="311" t="s">
        <v>950</v>
      </c>
    </row>
    <row r="75" spans="1:6" ht="27.75" customHeight="1" x14ac:dyDescent="0.25">
      <c r="A75" s="309">
        <v>73</v>
      </c>
      <c r="B75" s="308" t="s">
        <v>1244</v>
      </c>
      <c r="C75" s="311">
        <v>320.32</v>
      </c>
      <c r="D75" s="311" t="s">
        <v>2</v>
      </c>
      <c r="E75" s="312">
        <v>0.49</v>
      </c>
      <c r="F75" s="311" t="s">
        <v>950</v>
      </c>
    </row>
    <row r="76" spans="1:6" ht="15.75" x14ac:dyDescent="0.25">
      <c r="A76" s="274">
        <v>74</v>
      </c>
      <c r="B76" s="316" t="s">
        <v>1245</v>
      </c>
      <c r="C76" s="311">
        <v>124.67</v>
      </c>
      <c r="D76" s="311" t="s">
        <v>2</v>
      </c>
      <c r="E76" s="312">
        <v>0.49</v>
      </c>
      <c r="F76" s="311" t="s">
        <v>950</v>
      </c>
    </row>
    <row r="77" spans="1:6" ht="15.75" x14ac:dyDescent="0.25">
      <c r="A77" s="274">
        <v>75</v>
      </c>
      <c r="B77" s="316" t="s">
        <v>1246</v>
      </c>
      <c r="C77" s="311">
        <v>219.31</v>
      </c>
      <c r="D77" s="311" t="s">
        <v>2</v>
      </c>
      <c r="E77" s="312">
        <v>0.49</v>
      </c>
      <c r="F77" s="311" t="s">
        <v>950</v>
      </c>
    </row>
    <row r="78" spans="1:6" ht="24.75" customHeight="1" x14ac:dyDescent="0.25">
      <c r="A78" s="309">
        <v>76</v>
      </c>
      <c r="B78" s="308" t="s">
        <v>1244</v>
      </c>
      <c r="C78" s="311">
        <v>343.98</v>
      </c>
      <c r="D78" s="311" t="s">
        <v>2</v>
      </c>
      <c r="E78" s="312">
        <v>0.49</v>
      </c>
      <c r="F78" s="311" t="s">
        <v>950</v>
      </c>
    </row>
    <row r="79" spans="1:6" ht="15.75" x14ac:dyDescent="0.25">
      <c r="A79" s="274">
        <v>77</v>
      </c>
      <c r="B79" s="316" t="s">
        <v>1247</v>
      </c>
      <c r="C79" s="311">
        <v>176.54</v>
      </c>
      <c r="D79" s="311" t="s">
        <v>2</v>
      </c>
      <c r="E79" s="312">
        <v>0.49</v>
      </c>
      <c r="F79" s="311" t="s">
        <v>950</v>
      </c>
    </row>
    <row r="80" spans="1:6" ht="15.75" x14ac:dyDescent="0.25">
      <c r="A80" s="274">
        <v>78</v>
      </c>
      <c r="B80" s="316" t="s">
        <v>1248</v>
      </c>
      <c r="C80" s="311">
        <v>308.49</v>
      </c>
      <c r="D80" s="311" t="s">
        <v>2</v>
      </c>
      <c r="E80" s="312">
        <v>0.49</v>
      </c>
      <c r="F80" s="311" t="s">
        <v>950</v>
      </c>
    </row>
    <row r="81" spans="1:6" ht="25.5" customHeight="1" x14ac:dyDescent="0.25">
      <c r="A81" s="309">
        <v>79</v>
      </c>
      <c r="B81" s="308" t="s">
        <v>1244</v>
      </c>
      <c r="C81" s="311">
        <v>485.03000000000003</v>
      </c>
      <c r="D81" s="311" t="s">
        <v>2</v>
      </c>
      <c r="E81" s="312">
        <v>0.49</v>
      </c>
      <c r="F81" s="311" t="s">
        <v>950</v>
      </c>
    </row>
    <row r="82" spans="1:6" ht="15.75" x14ac:dyDescent="0.25">
      <c r="A82" s="274">
        <v>80</v>
      </c>
      <c r="B82" s="316" t="s">
        <v>1249</v>
      </c>
      <c r="C82" s="311">
        <v>206.57</v>
      </c>
      <c r="D82" s="311" t="s">
        <v>2</v>
      </c>
      <c r="E82" s="312">
        <v>0.49</v>
      </c>
      <c r="F82" s="311" t="s">
        <v>950</v>
      </c>
    </row>
    <row r="83" spans="1:6" ht="15.75" x14ac:dyDescent="0.25">
      <c r="A83" s="274">
        <v>81</v>
      </c>
      <c r="B83" s="316" t="s">
        <v>1249</v>
      </c>
      <c r="C83" s="311">
        <v>420.42</v>
      </c>
      <c r="D83" s="311" t="s">
        <v>2</v>
      </c>
      <c r="E83" s="312">
        <v>0.49</v>
      </c>
      <c r="F83" s="311" t="s">
        <v>950</v>
      </c>
    </row>
    <row r="84" spans="1:6" ht="24" customHeight="1" x14ac:dyDescent="0.25">
      <c r="A84" s="309">
        <v>82</v>
      </c>
      <c r="B84" s="308" t="s">
        <v>1244</v>
      </c>
      <c r="C84" s="311">
        <v>626.99</v>
      </c>
      <c r="D84" s="311" t="s">
        <v>2</v>
      </c>
      <c r="E84" s="312">
        <v>0.49</v>
      </c>
      <c r="F84" s="311" t="s">
        <v>950</v>
      </c>
    </row>
    <row r="85" spans="1:6" ht="26.25" customHeight="1" x14ac:dyDescent="0.25">
      <c r="A85" s="274">
        <v>83</v>
      </c>
      <c r="B85" s="332" t="s">
        <v>1496</v>
      </c>
      <c r="C85" s="333"/>
      <c r="D85" s="311" t="s">
        <v>2</v>
      </c>
      <c r="E85" s="312">
        <v>0.49</v>
      </c>
      <c r="F85" s="311" t="s">
        <v>950</v>
      </c>
    </row>
    <row r="86" spans="1:6" ht="15.75" x14ac:dyDescent="0.25">
      <c r="A86" s="274">
        <v>84</v>
      </c>
      <c r="B86" s="316" t="s">
        <v>1250</v>
      </c>
      <c r="C86" s="311">
        <v>121.03</v>
      </c>
      <c r="D86" s="311" t="s">
        <v>2</v>
      </c>
      <c r="E86" s="312">
        <v>0.49</v>
      </c>
      <c r="F86" s="311" t="s">
        <v>950</v>
      </c>
    </row>
    <row r="87" spans="1:6" ht="15" customHeight="1" x14ac:dyDescent="0.25">
      <c r="A87" s="309">
        <v>85</v>
      </c>
      <c r="B87" s="316" t="s">
        <v>1251</v>
      </c>
      <c r="C87" s="311">
        <v>206.57</v>
      </c>
      <c r="D87" s="311" t="s">
        <v>2</v>
      </c>
      <c r="E87" s="312">
        <v>0.49</v>
      </c>
      <c r="F87" s="311" t="s">
        <v>950</v>
      </c>
    </row>
    <row r="88" spans="1:6" ht="15.75" x14ac:dyDescent="0.25">
      <c r="A88" s="274">
        <v>86</v>
      </c>
      <c r="B88" s="308" t="s">
        <v>1252</v>
      </c>
      <c r="C88" s="311">
        <v>327.60000000000002</v>
      </c>
      <c r="D88" s="311" t="s">
        <v>2</v>
      </c>
      <c r="E88" s="312">
        <v>0.49</v>
      </c>
      <c r="F88" s="311" t="s">
        <v>950</v>
      </c>
    </row>
    <row r="89" spans="1:6" ht="15.75" x14ac:dyDescent="0.25">
      <c r="A89" s="274">
        <v>87</v>
      </c>
      <c r="B89" s="316" t="s">
        <v>1253</v>
      </c>
      <c r="C89" s="311">
        <v>143.78</v>
      </c>
      <c r="D89" s="311" t="s">
        <v>2</v>
      </c>
      <c r="E89" s="312">
        <v>0.49</v>
      </c>
      <c r="F89" s="311" t="s">
        <v>950</v>
      </c>
    </row>
    <row r="90" spans="1:6" ht="15.75" x14ac:dyDescent="0.25">
      <c r="A90" s="309">
        <v>88</v>
      </c>
      <c r="B90" s="316" t="s">
        <v>1254</v>
      </c>
      <c r="C90" s="311">
        <v>214.76000000000002</v>
      </c>
      <c r="D90" s="311" t="s">
        <v>2</v>
      </c>
      <c r="E90" s="312">
        <v>0.49</v>
      </c>
      <c r="F90" s="311" t="s">
        <v>950</v>
      </c>
    </row>
    <row r="91" spans="1:6" ht="15.75" x14ac:dyDescent="0.25">
      <c r="A91" s="274">
        <v>89</v>
      </c>
      <c r="B91" s="308" t="s">
        <v>1252</v>
      </c>
      <c r="C91" s="311">
        <v>358.54</v>
      </c>
      <c r="D91" s="311" t="s">
        <v>2</v>
      </c>
      <c r="E91" s="312">
        <v>0.49</v>
      </c>
      <c r="F91" s="311" t="s">
        <v>950</v>
      </c>
    </row>
    <row r="92" spans="1:6" ht="15.75" x14ac:dyDescent="0.25">
      <c r="A92" s="274">
        <v>90</v>
      </c>
      <c r="B92" s="316" t="s">
        <v>1255</v>
      </c>
      <c r="C92" s="311">
        <v>189.28</v>
      </c>
      <c r="D92" s="311" t="s">
        <v>2</v>
      </c>
      <c r="E92" s="312">
        <v>0.49</v>
      </c>
      <c r="F92" s="311" t="s">
        <v>950</v>
      </c>
    </row>
    <row r="93" spans="1:6" ht="15.75" x14ac:dyDescent="0.25">
      <c r="A93" s="309">
        <v>91</v>
      </c>
      <c r="B93" s="316" t="s">
        <v>1256</v>
      </c>
      <c r="C93" s="311">
        <v>350.35</v>
      </c>
      <c r="D93" s="311" t="s">
        <v>2</v>
      </c>
      <c r="E93" s="312">
        <v>0.49</v>
      </c>
      <c r="F93" s="311" t="s">
        <v>950</v>
      </c>
    </row>
    <row r="94" spans="1:6" ht="15.75" x14ac:dyDescent="0.25">
      <c r="A94" s="274">
        <v>92</v>
      </c>
      <c r="B94" s="308" t="s">
        <v>1252</v>
      </c>
      <c r="C94" s="311">
        <v>539.63</v>
      </c>
      <c r="D94" s="311" t="s">
        <v>2</v>
      </c>
      <c r="E94" s="312">
        <v>0.49</v>
      </c>
      <c r="F94" s="311" t="s">
        <v>950</v>
      </c>
    </row>
    <row r="95" spans="1:6" ht="15.75" x14ac:dyDescent="0.25">
      <c r="A95" s="274">
        <v>93</v>
      </c>
      <c r="B95" s="316" t="s">
        <v>1257</v>
      </c>
      <c r="C95" s="311">
        <v>221.13</v>
      </c>
      <c r="D95" s="311" t="s">
        <v>2</v>
      </c>
      <c r="E95" s="312">
        <v>0.49</v>
      </c>
      <c r="F95" s="311" t="s">
        <v>950</v>
      </c>
    </row>
    <row r="96" spans="1:6" ht="15.75" x14ac:dyDescent="0.25">
      <c r="A96" s="309">
        <v>94</v>
      </c>
      <c r="B96" s="316" t="s">
        <v>1258</v>
      </c>
      <c r="C96" s="311">
        <v>492.31</v>
      </c>
      <c r="D96" s="311" t="s">
        <v>2</v>
      </c>
      <c r="E96" s="312">
        <v>0.49</v>
      </c>
      <c r="F96" s="311" t="s">
        <v>950</v>
      </c>
    </row>
    <row r="97" spans="1:6" ht="15.75" x14ac:dyDescent="0.25">
      <c r="A97" s="274">
        <v>95</v>
      </c>
      <c r="B97" s="308" t="s">
        <v>1252</v>
      </c>
      <c r="C97" s="311">
        <v>713.44</v>
      </c>
      <c r="D97" s="311" t="s">
        <v>2</v>
      </c>
      <c r="E97" s="312">
        <v>0.49</v>
      </c>
      <c r="F97" s="311" t="s">
        <v>950</v>
      </c>
    </row>
    <row r="98" spans="1:6" ht="15.75" customHeight="1" x14ac:dyDescent="0.25">
      <c r="A98" s="274">
        <v>96</v>
      </c>
      <c r="B98" s="332" t="s">
        <v>1259</v>
      </c>
      <c r="C98" s="333"/>
      <c r="D98" s="311" t="s">
        <v>2</v>
      </c>
      <c r="E98" s="312">
        <v>0.49</v>
      </c>
      <c r="F98" s="311" t="s">
        <v>950</v>
      </c>
    </row>
    <row r="99" spans="1:6" ht="15.75" x14ac:dyDescent="0.25">
      <c r="A99" s="309">
        <v>97</v>
      </c>
      <c r="B99" s="317" t="s">
        <v>1260</v>
      </c>
      <c r="C99" s="311">
        <v>119.21000000000001</v>
      </c>
      <c r="D99" s="311" t="s">
        <v>2</v>
      </c>
      <c r="E99" s="312">
        <v>0.49</v>
      </c>
      <c r="F99" s="311" t="s">
        <v>950</v>
      </c>
    </row>
    <row r="100" spans="1:6" ht="15.75" x14ac:dyDescent="0.25">
      <c r="A100" s="274">
        <v>98</v>
      </c>
      <c r="B100" s="317" t="s">
        <v>1261</v>
      </c>
      <c r="C100" s="311">
        <v>201.11</v>
      </c>
      <c r="D100" s="311" t="s">
        <v>2</v>
      </c>
      <c r="E100" s="312">
        <v>0.49</v>
      </c>
      <c r="F100" s="311" t="s">
        <v>950</v>
      </c>
    </row>
    <row r="101" spans="1:6" ht="15.75" x14ac:dyDescent="0.25">
      <c r="A101" s="274">
        <v>99</v>
      </c>
      <c r="B101" s="318" t="s">
        <v>1262</v>
      </c>
      <c r="C101" s="311">
        <v>320.32</v>
      </c>
      <c r="D101" s="311" t="s">
        <v>2</v>
      </c>
      <c r="E101" s="312">
        <v>0.49</v>
      </c>
      <c r="F101" s="311" t="s">
        <v>950</v>
      </c>
    </row>
    <row r="102" spans="1:6" ht="15.75" x14ac:dyDescent="0.25">
      <c r="A102" s="309">
        <v>100</v>
      </c>
      <c r="B102" s="317" t="s">
        <v>1263</v>
      </c>
      <c r="C102" s="311">
        <v>124.67</v>
      </c>
      <c r="D102" s="311" t="s">
        <v>2</v>
      </c>
      <c r="E102" s="312">
        <v>0.49</v>
      </c>
      <c r="F102" s="311" t="s">
        <v>950</v>
      </c>
    </row>
    <row r="103" spans="1:6" ht="15.75" x14ac:dyDescent="0.25">
      <c r="A103" s="274">
        <v>101</v>
      </c>
      <c r="B103" s="317" t="s">
        <v>1264</v>
      </c>
      <c r="C103" s="311">
        <v>219.31</v>
      </c>
      <c r="D103" s="311" t="s">
        <v>2</v>
      </c>
      <c r="E103" s="312">
        <v>0.49</v>
      </c>
      <c r="F103" s="311" t="s">
        <v>950</v>
      </c>
    </row>
    <row r="104" spans="1:6" ht="15.75" x14ac:dyDescent="0.25">
      <c r="A104" s="274">
        <v>102</v>
      </c>
      <c r="B104" s="318" t="s">
        <v>1262</v>
      </c>
      <c r="C104" s="311">
        <v>343.98</v>
      </c>
      <c r="D104" s="311" t="s">
        <v>2</v>
      </c>
      <c r="E104" s="312">
        <v>0.49</v>
      </c>
      <c r="F104" s="311" t="s">
        <v>950</v>
      </c>
    </row>
    <row r="105" spans="1:6" ht="15.75" x14ac:dyDescent="0.25">
      <c r="A105" s="309">
        <v>103</v>
      </c>
      <c r="B105" s="317" t="s">
        <v>1265</v>
      </c>
      <c r="C105" s="311">
        <v>176.54</v>
      </c>
      <c r="D105" s="311" t="s">
        <v>2</v>
      </c>
      <c r="E105" s="312">
        <v>0.49</v>
      </c>
      <c r="F105" s="311" t="s">
        <v>950</v>
      </c>
    </row>
    <row r="106" spans="1:6" ht="15.75" x14ac:dyDescent="0.25">
      <c r="A106" s="274">
        <v>104</v>
      </c>
      <c r="B106" s="317" t="s">
        <v>1266</v>
      </c>
      <c r="C106" s="311">
        <v>308.49</v>
      </c>
      <c r="D106" s="311" t="s">
        <v>2</v>
      </c>
      <c r="E106" s="312">
        <v>0.49</v>
      </c>
      <c r="F106" s="311" t="s">
        <v>950</v>
      </c>
    </row>
    <row r="107" spans="1:6" ht="15.75" x14ac:dyDescent="0.25">
      <c r="A107" s="274">
        <v>105</v>
      </c>
      <c r="B107" s="318" t="s">
        <v>1262</v>
      </c>
      <c r="C107" s="311">
        <v>485.03000000000003</v>
      </c>
      <c r="D107" s="311" t="s">
        <v>2</v>
      </c>
      <c r="E107" s="312">
        <v>0.49</v>
      </c>
      <c r="F107" s="311" t="s">
        <v>950</v>
      </c>
    </row>
    <row r="108" spans="1:6" ht="15.75" x14ac:dyDescent="0.25">
      <c r="A108" s="309">
        <v>106</v>
      </c>
      <c r="B108" s="317" t="s">
        <v>1267</v>
      </c>
      <c r="C108" s="311">
        <v>206.57</v>
      </c>
      <c r="D108" s="311" t="s">
        <v>2</v>
      </c>
      <c r="E108" s="312">
        <v>0.49</v>
      </c>
      <c r="F108" s="311" t="s">
        <v>950</v>
      </c>
    </row>
    <row r="109" spans="1:6" ht="15.75" x14ac:dyDescent="0.25">
      <c r="A109" s="274">
        <v>107</v>
      </c>
      <c r="B109" s="317" t="s">
        <v>1268</v>
      </c>
      <c r="C109" s="311">
        <v>420.42</v>
      </c>
      <c r="D109" s="311" t="s">
        <v>2</v>
      </c>
      <c r="E109" s="312">
        <v>0.49</v>
      </c>
      <c r="F109" s="311" t="s">
        <v>950</v>
      </c>
    </row>
    <row r="110" spans="1:6" ht="15.75" x14ac:dyDescent="0.25">
      <c r="A110" s="274">
        <v>108</v>
      </c>
      <c r="B110" s="318" t="s">
        <v>1262</v>
      </c>
      <c r="C110" s="311">
        <v>626.99</v>
      </c>
      <c r="D110" s="311" t="s">
        <v>2</v>
      </c>
      <c r="E110" s="312">
        <v>0.49</v>
      </c>
      <c r="F110" s="311" t="s">
        <v>950</v>
      </c>
    </row>
    <row r="111" spans="1:6" ht="15.75" customHeight="1" x14ac:dyDescent="0.25">
      <c r="A111" s="509" t="s">
        <v>1269</v>
      </c>
      <c r="B111" s="510"/>
      <c r="C111" s="511"/>
      <c r="D111" s="311" t="s">
        <v>2</v>
      </c>
      <c r="E111" s="312">
        <v>0.49</v>
      </c>
      <c r="F111" s="311" t="s">
        <v>950</v>
      </c>
    </row>
    <row r="112" spans="1:6" ht="15.75" x14ac:dyDescent="0.25">
      <c r="A112" s="309">
        <v>107</v>
      </c>
      <c r="B112" s="317" t="s">
        <v>1270</v>
      </c>
      <c r="C112" s="311">
        <v>556.01</v>
      </c>
      <c r="D112" s="311" t="s">
        <v>2</v>
      </c>
      <c r="E112" s="312">
        <v>0.49</v>
      </c>
      <c r="F112" s="311" t="s">
        <v>950</v>
      </c>
    </row>
    <row r="113" spans="1:6" ht="15.75" x14ac:dyDescent="0.25">
      <c r="A113" s="309">
        <v>108</v>
      </c>
      <c r="B113" s="317" t="s">
        <v>1271</v>
      </c>
      <c r="C113" s="311">
        <v>586.95000000000005</v>
      </c>
      <c r="D113" s="311" t="s">
        <v>2</v>
      </c>
      <c r="E113" s="312">
        <v>0.49</v>
      </c>
      <c r="F113" s="311" t="s">
        <v>950</v>
      </c>
    </row>
    <row r="114" spans="1:6" ht="15.75" x14ac:dyDescent="0.25">
      <c r="A114" s="309">
        <v>109</v>
      </c>
      <c r="B114" s="319" t="s">
        <v>1272</v>
      </c>
      <c r="C114" s="311">
        <v>724.36</v>
      </c>
      <c r="D114" s="311" t="s">
        <v>2</v>
      </c>
      <c r="E114" s="312">
        <v>0.49</v>
      </c>
      <c r="F114" s="311" t="s">
        <v>950</v>
      </c>
    </row>
    <row r="115" spans="1:6" ht="15.75" x14ac:dyDescent="0.25">
      <c r="A115" s="309">
        <v>110</v>
      </c>
      <c r="B115" s="317" t="s">
        <v>1273</v>
      </c>
      <c r="C115" s="311">
        <v>853.58</v>
      </c>
      <c r="D115" s="311" t="s">
        <v>2</v>
      </c>
      <c r="E115" s="312">
        <v>0.49</v>
      </c>
      <c r="F115" s="311" t="s">
        <v>950</v>
      </c>
    </row>
    <row r="116" spans="1:6" ht="15.75" x14ac:dyDescent="0.25">
      <c r="A116" s="309">
        <v>111</v>
      </c>
      <c r="B116" s="317" t="s">
        <v>1274</v>
      </c>
      <c r="C116" s="311" t="s">
        <v>1275</v>
      </c>
      <c r="D116" s="311" t="s">
        <v>2</v>
      </c>
      <c r="E116" s="312">
        <v>0.49</v>
      </c>
      <c r="F116" s="311" t="s">
        <v>950</v>
      </c>
    </row>
    <row r="117" spans="1:6" ht="15.75" x14ac:dyDescent="0.25">
      <c r="A117" s="309">
        <v>112</v>
      </c>
      <c r="B117" s="319" t="s">
        <v>1276</v>
      </c>
      <c r="C117" s="311" t="s">
        <v>1277</v>
      </c>
      <c r="D117" s="311" t="s">
        <v>2</v>
      </c>
      <c r="E117" s="312">
        <v>0.49</v>
      </c>
      <c r="F117" s="311" t="s">
        <v>950</v>
      </c>
    </row>
    <row r="118" spans="1:6" ht="15.75" x14ac:dyDescent="0.25">
      <c r="A118" s="309">
        <v>113</v>
      </c>
      <c r="B118" s="317" t="s">
        <v>1278</v>
      </c>
      <c r="C118" s="311" t="s">
        <v>1279</v>
      </c>
      <c r="D118" s="311" t="s">
        <v>2</v>
      </c>
      <c r="E118" s="312">
        <v>0.49</v>
      </c>
      <c r="F118" s="311" t="s">
        <v>950</v>
      </c>
    </row>
    <row r="119" spans="1:6" ht="15.75" x14ac:dyDescent="0.25">
      <c r="A119" s="509" t="s">
        <v>1280</v>
      </c>
      <c r="B119" s="510"/>
      <c r="C119" s="511"/>
      <c r="D119" s="311" t="s">
        <v>2</v>
      </c>
      <c r="E119" s="312">
        <v>0.49</v>
      </c>
      <c r="F119" s="311" t="s">
        <v>950</v>
      </c>
    </row>
    <row r="120" spans="1:6" ht="15.75" x14ac:dyDescent="0.25">
      <c r="A120" s="274">
        <v>114</v>
      </c>
      <c r="B120" s="317" t="s">
        <v>1281</v>
      </c>
      <c r="C120" s="311">
        <v>254.8</v>
      </c>
      <c r="D120" s="311" t="s">
        <v>2</v>
      </c>
      <c r="E120" s="312">
        <v>0.49</v>
      </c>
      <c r="F120" s="311" t="s">
        <v>950</v>
      </c>
    </row>
    <row r="121" spans="1:6" ht="15.75" x14ac:dyDescent="0.25">
      <c r="A121" s="274">
        <v>115</v>
      </c>
      <c r="B121" s="317" t="s">
        <v>1282</v>
      </c>
      <c r="C121" s="311">
        <v>265.72000000000003</v>
      </c>
      <c r="D121" s="311" t="s">
        <v>2</v>
      </c>
      <c r="E121" s="312">
        <v>0.49</v>
      </c>
      <c r="F121" s="311" t="s">
        <v>950</v>
      </c>
    </row>
    <row r="122" spans="1:6" ht="15.75" x14ac:dyDescent="0.25">
      <c r="A122" s="320">
        <v>116</v>
      </c>
      <c r="B122" s="319" t="s">
        <v>1283</v>
      </c>
      <c r="C122" s="311">
        <v>273</v>
      </c>
      <c r="D122" s="311" t="s">
        <v>2</v>
      </c>
      <c r="E122" s="312">
        <v>0.49</v>
      </c>
      <c r="F122" s="311" t="s">
        <v>950</v>
      </c>
    </row>
    <row r="123" spans="1:6" ht="15.75" customHeight="1" x14ac:dyDescent="0.25">
      <c r="A123" s="509" t="s">
        <v>1284</v>
      </c>
      <c r="B123" s="510"/>
      <c r="C123" s="511"/>
      <c r="D123" s="311" t="s">
        <v>2</v>
      </c>
      <c r="E123" s="312">
        <v>0.49</v>
      </c>
      <c r="F123" s="311" t="s">
        <v>950</v>
      </c>
    </row>
    <row r="124" spans="1:6" ht="15.75" x14ac:dyDescent="0.25">
      <c r="A124" s="309">
        <v>117</v>
      </c>
      <c r="B124" s="311" t="s">
        <v>1285</v>
      </c>
      <c r="C124" s="311">
        <v>334.88</v>
      </c>
      <c r="D124" s="311" t="s">
        <v>2</v>
      </c>
      <c r="E124" s="312">
        <v>0.49</v>
      </c>
      <c r="F124" s="311" t="s">
        <v>950</v>
      </c>
    </row>
    <row r="125" spans="1:6" ht="15.75" x14ac:dyDescent="0.25">
      <c r="A125" s="309">
        <v>118</v>
      </c>
      <c r="B125" s="311" t="s">
        <v>1286</v>
      </c>
      <c r="C125" s="311">
        <v>339.43</v>
      </c>
      <c r="D125" s="311" t="s">
        <v>2</v>
      </c>
      <c r="E125" s="312">
        <v>0.49</v>
      </c>
      <c r="F125" s="311" t="s">
        <v>950</v>
      </c>
    </row>
    <row r="126" spans="1:6" ht="15.75" x14ac:dyDescent="0.25">
      <c r="A126" s="309">
        <v>119</v>
      </c>
      <c r="B126" s="311" t="s">
        <v>1287</v>
      </c>
      <c r="C126" s="311">
        <v>357.63</v>
      </c>
      <c r="D126" s="311" t="s">
        <v>2</v>
      </c>
      <c r="E126" s="312">
        <v>0.49</v>
      </c>
      <c r="F126" s="311" t="s">
        <v>950</v>
      </c>
    </row>
    <row r="127" spans="1:6" ht="15.75" x14ac:dyDescent="0.25">
      <c r="A127" s="309">
        <v>120</v>
      </c>
      <c r="B127" s="311" t="s">
        <v>1288</v>
      </c>
      <c r="C127" s="311">
        <v>447.72</v>
      </c>
      <c r="D127" s="311" t="s">
        <v>2</v>
      </c>
      <c r="E127" s="312">
        <v>0.49</v>
      </c>
      <c r="F127" s="311" t="s">
        <v>950</v>
      </c>
    </row>
    <row r="128" spans="1:6" ht="15.75" customHeight="1" x14ac:dyDescent="0.25">
      <c r="A128" s="509" t="s">
        <v>1289</v>
      </c>
      <c r="B128" s="510"/>
      <c r="C128" s="511"/>
      <c r="D128" s="311" t="s">
        <v>2</v>
      </c>
      <c r="E128" s="312">
        <v>0.49</v>
      </c>
      <c r="F128" s="311" t="s">
        <v>950</v>
      </c>
    </row>
    <row r="129" spans="1:6" ht="15.75" x14ac:dyDescent="0.25">
      <c r="A129" s="309">
        <v>121</v>
      </c>
      <c r="B129" s="311" t="s">
        <v>1290</v>
      </c>
      <c r="C129" s="311">
        <v>352.17</v>
      </c>
      <c r="D129" s="311" t="s">
        <v>2</v>
      </c>
      <c r="E129" s="312">
        <v>0.49</v>
      </c>
      <c r="F129" s="311" t="s">
        <v>950</v>
      </c>
    </row>
    <row r="130" spans="1:6" ht="15.75" x14ac:dyDescent="0.25">
      <c r="A130" s="309">
        <v>122</v>
      </c>
      <c r="B130" s="311" t="s">
        <v>1291</v>
      </c>
      <c r="C130" s="311">
        <v>360.36</v>
      </c>
      <c r="D130" s="311" t="s">
        <v>2</v>
      </c>
      <c r="E130" s="312">
        <v>0.49</v>
      </c>
      <c r="F130" s="311" t="s">
        <v>950</v>
      </c>
    </row>
    <row r="131" spans="1:6" ht="15.75" x14ac:dyDescent="0.25">
      <c r="A131" s="309">
        <v>123</v>
      </c>
      <c r="B131" s="311" t="s">
        <v>1292</v>
      </c>
      <c r="C131" s="311">
        <v>511.42</v>
      </c>
      <c r="D131" s="311" t="s">
        <v>2</v>
      </c>
      <c r="E131" s="312">
        <v>0.49</v>
      </c>
      <c r="F131" s="311" t="s">
        <v>950</v>
      </c>
    </row>
    <row r="132" spans="1:6" ht="52.5" customHeight="1" x14ac:dyDescent="0.25">
      <c r="A132" s="512" t="s">
        <v>1293</v>
      </c>
      <c r="B132" s="513"/>
      <c r="C132" s="514"/>
      <c r="D132" s="321"/>
      <c r="E132" s="321"/>
      <c r="F132" s="321"/>
    </row>
    <row r="133" spans="1:6" ht="15.75" x14ac:dyDescent="0.25">
      <c r="A133" s="309">
        <v>124</v>
      </c>
      <c r="B133" s="311" t="s">
        <v>1294</v>
      </c>
      <c r="C133" s="311">
        <v>936</v>
      </c>
      <c r="D133" s="311" t="s">
        <v>2</v>
      </c>
      <c r="E133" s="312">
        <v>0.4</v>
      </c>
      <c r="F133" s="311" t="s">
        <v>950</v>
      </c>
    </row>
    <row r="134" spans="1:6" ht="15.75" x14ac:dyDescent="0.25">
      <c r="A134" s="309">
        <v>125</v>
      </c>
      <c r="B134" s="311" t="s">
        <v>1295</v>
      </c>
      <c r="C134" s="311">
        <v>778</v>
      </c>
      <c r="D134" s="311" t="s">
        <v>2</v>
      </c>
      <c r="E134" s="312">
        <v>0.49</v>
      </c>
      <c r="F134" s="311" t="s">
        <v>950</v>
      </c>
    </row>
    <row r="135" spans="1:6" ht="15.75" x14ac:dyDescent="0.25">
      <c r="A135" s="309">
        <v>126</v>
      </c>
      <c r="B135" s="311" t="s">
        <v>836</v>
      </c>
      <c r="C135" s="308" t="s">
        <v>1296</v>
      </c>
      <c r="D135" s="311" t="s">
        <v>2</v>
      </c>
      <c r="E135" s="312">
        <v>0.4</v>
      </c>
      <c r="F135" s="311" t="s">
        <v>950</v>
      </c>
    </row>
    <row r="136" spans="1:6" ht="15.75" x14ac:dyDescent="0.25">
      <c r="A136" s="309">
        <v>127</v>
      </c>
      <c r="B136" s="311" t="s">
        <v>1297</v>
      </c>
      <c r="C136" s="311">
        <v>968</v>
      </c>
      <c r="D136" s="311" t="s">
        <v>2</v>
      </c>
      <c r="E136" s="312">
        <v>0.4</v>
      </c>
      <c r="F136" s="311" t="s">
        <v>950</v>
      </c>
    </row>
    <row r="137" spans="1:6" ht="15.75" x14ac:dyDescent="0.25">
      <c r="A137" s="309">
        <v>128</v>
      </c>
      <c r="B137" s="311" t="s">
        <v>1298</v>
      </c>
      <c r="C137" s="311">
        <v>806</v>
      </c>
      <c r="D137" s="311" t="s">
        <v>2</v>
      </c>
      <c r="E137" s="312">
        <v>0.49</v>
      </c>
      <c r="F137" s="311" t="s">
        <v>950</v>
      </c>
    </row>
    <row r="138" spans="1:6" ht="15.75" x14ac:dyDescent="0.25">
      <c r="A138" s="309">
        <v>129</v>
      </c>
      <c r="B138" s="311" t="s">
        <v>836</v>
      </c>
      <c r="C138" s="308" t="s">
        <v>1299</v>
      </c>
      <c r="D138" s="311" t="s">
        <v>2</v>
      </c>
      <c r="E138" s="312">
        <v>0.4</v>
      </c>
      <c r="F138" s="311" t="s">
        <v>950</v>
      </c>
    </row>
    <row r="139" spans="1:6" ht="15.75" x14ac:dyDescent="0.25">
      <c r="A139" s="309">
        <v>130</v>
      </c>
      <c r="B139" s="311" t="s">
        <v>1300</v>
      </c>
      <c r="C139" s="311" t="s">
        <v>1301</v>
      </c>
      <c r="D139" s="311" t="s">
        <v>2</v>
      </c>
      <c r="E139" s="312">
        <v>0.4</v>
      </c>
      <c r="F139" s="311" t="s">
        <v>950</v>
      </c>
    </row>
    <row r="140" spans="1:6" ht="15.75" x14ac:dyDescent="0.25">
      <c r="A140" s="309">
        <v>131</v>
      </c>
      <c r="B140" s="311" t="s">
        <v>1302</v>
      </c>
      <c r="C140" s="311" t="s">
        <v>1303</v>
      </c>
      <c r="D140" s="311" t="s">
        <v>2</v>
      </c>
      <c r="E140" s="312">
        <v>0.4</v>
      </c>
      <c r="F140" s="311" t="s">
        <v>950</v>
      </c>
    </row>
    <row r="141" spans="1:6" ht="15.75" x14ac:dyDescent="0.25">
      <c r="A141" s="309">
        <v>132</v>
      </c>
      <c r="B141" s="311" t="s">
        <v>836</v>
      </c>
      <c r="C141" s="308" t="s">
        <v>1304</v>
      </c>
      <c r="D141" s="311" t="s">
        <v>2</v>
      </c>
      <c r="E141" s="312">
        <v>0.4</v>
      </c>
      <c r="F141" s="311" t="s">
        <v>950</v>
      </c>
    </row>
    <row r="142" spans="1:6" ht="15.75" x14ac:dyDescent="0.25">
      <c r="A142" s="309">
        <v>133</v>
      </c>
      <c r="B142" s="311" t="s">
        <v>1305</v>
      </c>
      <c r="C142" s="308" t="s">
        <v>1301</v>
      </c>
      <c r="D142" s="311" t="s">
        <v>2</v>
      </c>
      <c r="E142" s="312">
        <v>0.4</v>
      </c>
      <c r="F142" s="311" t="s">
        <v>950</v>
      </c>
    </row>
    <row r="143" spans="1:6" ht="15.75" x14ac:dyDescent="0.25">
      <c r="A143" s="309">
        <v>134</v>
      </c>
      <c r="B143" s="311" t="s">
        <v>1306</v>
      </c>
      <c r="C143" s="311" t="s">
        <v>1307</v>
      </c>
      <c r="D143" s="311" t="s">
        <v>2</v>
      </c>
      <c r="E143" s="312">
        <v>0.4</v>
      </c>
      <c r="F143" s="311" t="s">
        <v>950</v>
      </c>
    </row>
    <row r="144" spans="1:6" ht="15.75" x14ac:dyDescent="0.25">
      <c r="A144" s="309">
        <v>135</v>
      </c>
      <c r="B144" s="311" t="s">
        <v>836</v>
      </c>
      <c r="C144" s="308" t="s">
        <v>1308</v>
      </c>
      <c r="D144" s="311" t="s">
        <v>2</v>
      </c>
      <c r="E144" s="312">
        <v>0.4</v>
      </c>
      <c r="F144" s="311" t="s">
        <v>950</v>
      </c>
    </row>
    <row r="145" spans="1:6" ht="15.75" x14ac:dyDescent="0.25">
      <c r="A145" s="309">
        <v>136</v>
      </c>
      <c r="B145" s="311" t="s">
        <v>1309</v>
      </c>
      <c r="C145" s="311">
        <v>936</v>
      </c>
      <c r="D145" s="311" t="s">
        <v>2</v>
      </c>
      <c r="E145" s="312">
        <v>0.49</v>
      </c>
      <c r="F145" s="311" t="s">
        <v>950</v>
      </c>
    </row>
    <row r="146" spans="1:6" ht="15.75" x14ac:dyDescent="0.25">
      <c r="A146" s="309">
        <v>137</v>
      </c>
      <c r="B146" s="311" t="s">
        <v>1310</v>
      </c>
      <c r="C146" s="311">
        <v>864</v>
      </c>
      <c r="D146" s="311" t="s">
        <v>2</v>
      </c>
      <c r="E146" s="312">
        <v>0.49</v>
      </c>
      <c r="F146" s="311" t="s">
        <v>950</v>
      </c>
    </row>
    <row r="147" spans="1:6" ht="15.75" x14ac:dyDescent="0.25">
      <c r="A147" s="309">
        <v>138</v>
      </c>
      <c r="B147" s="311" t="s">
        <v>836</v>
      </c>
      <c r="C147" s="308" t="s">
        <v>1311</v>
      </c>
      <c r="D147" s="311" t="s">
        <v>2</v>
      </c>
      <c r="E147" s="312">
        <v>0.4</v>
      </c>
      <c r="F147" s="311" t="s">
        <v>950</v>
      </c>
    </row>
    <row r="148" spans="1:6" ht="15.75" x14ac:dyDescent="0.25">
      <c r="A148" s="309">
        <v>139</v>
      </c>
      <c r="B148" s="311" t="s">
        <v>1312</v>
      </c>
      <c r="C148" s="311">
        <v>968</v>
      </c>
      <c r="D148" s="311" t="s">
        <v>2</v>
      </c>
      <c r="E148" s="312">
        <v>0.49</v>
      </c>
      <c r="F148" s="311" t="s">
        <v>950</v>
      </c>
    </row>
    <row r="149" spans="1:6" ht="15.75" x14ac:dyDescent="0.25">
      <c r="A149" s="309">
        <v>140</v>
      </c>
      <c r="B149" s="311" t="s">
        <v>1313</v>
      </c>
      <c r="C149" s="311">
        <v>876</v>
      </c>
      <c r="D149" s="311" t="s">
        <v>2</v>
      </c>
      <c r="E149" s="312">
        <v>0.49</v>
      </c>
      <c r="F149" s="311" t="s">
        <v>950</v>
      </c>
    </row>
    <row r="150" spans="1:6" ht="15.75" x14ac:dyDescent="0.25">
      <c r="A150" s="309">
        <v>141</v>
      </c>
      <c r="B150" s="311" t="s">
        <v>836</v>
      </c>
      <c r="C150" s="308" t="s">
        <v>1314</v>
      </c>
      <c r="D150" s="311" t="s">
        <v>2</v>
      </c>
      <c r="E150" s="312">
        <v>0.4</v>
      </c>
      <c r="F150" s="311" t="s">
        <v>950</v>
      </c>
    </row>
    <row r="151" spans="1:6" ht="15.75" x14ac:dyDescent="0.25">
      <c r="A151" s="309">
        <v>142</v>
      </c>
      <c r="B151" s="311" t="s">
        <v>1315</v>
      </c>
      <c r="C151" s="311" t="s">
        <v>1301</v>
      </c>
      <c r="D151" s="311" t="s">
        <v>2</v>
      </c>
      <c r="E151" s="312">
        <v>0.4</v>
      </c>
      <c r="F151" s="311" t="s">
        <v>950</v>
      </c>
    </row>
    <row r="152" spans="1:6" ht="15.75" x14ac:dyDescent="0.25">
      <c r="A152" s="309">
        <v>143</v>
      </c>
      <c r="B152" s="311" t="s">
        <v>1316</v>
      </c>
      <c r="C152" s="311" t="s">
        <v>1317</v>
      </c>
      <c r="D152" s="311" t="s">
        <v>2</v>
      </c>
      <c r="E152" s="312">
        <v>0.4</v>
      </c>
      <c r="F152" s="311" t="s">
        <v>950</v>
      </c>
    </row>
    <row r="153" spans="1:6" ht="15.75" x14ac:dyDescent="0.25">
      <c r="A153" s="322"/>
      <c r="B153" s="322"/>
      <c r="C153" s="308">
        <v>2535</v>
      </c>
      <c r="D153" s="311" t="s">
        <v>2</v>
      </c>
      <c r="E153" s="312">
        <v>0.4</v>
      </c>
      <c r="F153" s="311" t="s">
        <v>950</v>
      </c>
    </row>
    <row r="154" spans="1:6" s="324" customFormat="1" ht="42" customHeight="1" x14ac:dyDescent="0.25">
      <c r="A154" s="512" t="s">
        <v>1293</v>
      </c>
      <c r="B154" s="513"/>
    </row>
    <row r="155" spans="1:6" ht="15.75" x14ac:dyDescent="0.25">
      <c r="A155" s="309"/>
      <c r="B155" s="311" t="s">
        <v>1350</v>
      </c>
      <c r="C155" s="311" t="s">
        <v>1404</v>
      </c>
      <c r="D155" s="311"/>
      <c r="E155" s="312"/>
      <c r="F155" s="311"/>
    </row>
    <row r="156" spans="1:6" ht="15.75" x14ac:dyDescent="0.25">
      <c r="A156" s="309"/>
      <c r="B156" s="311" t="s">
        <v>1351</v>
      </c>
      <c r="C156" s="311" t="s">
        <v>1406</v>
      </c>
      <c r="D156" s="311"/>
      <c r="E156" s="312"/>
      <c r="F156" s="311"/>
    </row>
    <row r="157" spans="1:6" ht="15.75" x14ac:dyDescent="0.25">
      <c r="A157" s="309"/>
      <c r="B157" s="311" t="s">
        <v>1403</v>
      </c>
      <c r="C157" s="311" t="s">
        <v>1407</v>
      </c>
      <c r="D157" s="311"/>
      <c r="E157" s="312"/>
      <c r="F157" s="311"/>
    </row>
    <row r="158" spans="1:6" ht="15.75" x14ac:dyDescent="0.25">
      <c r="A158" s="309"/>
      <c r="B158" s="311" t="s">
        <v>1352</v>
      </c>
      <c r="C158" s="311" t="s">
        <v>1408</v>
      </c>
      <c r="D158" s="311"/>
      <c r="E158" s="312"/>
      <c r="F158" s="311"/>
    </row>
    <row r="159" spans="1:6" ht="15.75" x14ac:dyDescent="0.25">
      <c r="A159" s="309"/>
      <c r="B159" s="311" t="s">
        <v>1353</v>
      </c>
      <c r="C159" s="311" t="s">
        <v>1405</v>
      </c>
      <c r="D159" s="311"/>
      <c r="E159" s="312"/>
      <c r="F159" s="311"/>
    </row>
    <row r="160" spans="1:6" ht="15.75" x14ac:dyDescent="0.25">
      <c r="A160" s="309"/>
      <c r="B160" s="311" t="s">
        <v>1403</v>
      </c>
      <c r="C160" s="311" t="s">
        <v>1409</v>
      </c>
      <c r="D160" s="311"/>
      <c r="E160" s="312"/>
      <c r="F160" s="311"/>
    </row>
    <row r="161" spans="1:6" ht="15.75" x14ac:dyDescent="0.25">
      <c r="A161" s="309"/>
      <c r="B161" s="311" t="s">
        <v>1354</v>
      </c>
      <c r="C161" s="311" t="s">
        <v>1410</v>
      </c>
      <c r="D161" s="311"/>
      <c r="E161" s="312"/>
      <c r="F161" s="311"/>
    </row>
    <row r="162" spans="1:6" ht="15.75" x14ac:dyDescent="0.25">
      <c r="A162" s="309"/>
      <c r="B162" s="311" t="s">
        <v>1355</v>
      </c>
      <c r="C162" s="311" t="s">
        <v>1406</v>
      </c>
      <c r="D162" s="311"/>
      <c r="E162" s="312"/>
      <c r="F162" s="311"/>
    </row>
    <row r="163" spans="1:6" ht="15.75" x14ac:dyDescent="0.25">
      <c r="A163" s="309"/>
      <c r="B163" s="326" t="s">
        <v>1403</v>
      </c>
      <c r="C163" s="311" t="s">
        <v>1411</v>
      </c>
      <c r="D163" s="311"/>
      <c r="E163" s="312"/>
      <c r="F163" s="311"/>
    </row>
    <row r="164" spans="1:6" ht="15.75" x14ac:dyDescent="0.25">
      <c r="A164" s="309"/>
      <c r="B164" s="311" t="s">
        <v>1356</v>
      </c>
      <c r="C164" s="311" t="s">
        <v>1412</v>
      </c>
      <c r="D164" s="311"/>
      <c r="E164" s="312"/>
      <c r="F164" s="311"/>
    </row>
    <row r="165" spans="1:6" ht="15.75" x14ac:dyDescent="0.25">
      <c r="A165" s="309"/>
      <c r="B165" s="311" t="s">
        <v>1357</v>
      </c>
      <c r="C165" s="311" t="s">
        <v>1413</v>
      </c>
      <c r="D165" s="311"/>
      <c r="E165" s="312"/>
      <c r="F165" s="311"/>
    </row>
    <row r="166" spans="1:6" ht="15.75" x14ac:dyDescent="0.25">
      <c r="A166" s="309"/>
      <c r="B166" s="311" t="s">
        <v>1403</v>
      </c>
      <c r="C166" s="311" t="s">
        <v>1414</v>
      </c>
      <c r="D166" s="311"/>
      <c r="E166" s="312"/>
      <c r="F166" s="311"/>
    </row>
    <row r="167" spans="1:6" ht="15.75" x14ac:dyDescent="0.25">
      <c r="A167" s="309"/>
      <c r="B167" s="311" t="s">
        <v>1358</v>
      </c>
      <c r="C167" s="311" t="s">
        <v>1412</v>
      </c>
      <c r="D167" s="311"/>
      <c r="E167" s="312"/>
      <c r="F167" s="311"/>
    </row>
    <row r="168" spans="1:6" ht="15.75" x14ac:dyDescent="0.25">
      <c r="A168" s="309"/>
      <c r="B168" s="311" t="s">
        <v>1359</v>
      </c>
      <c r="C168" s="311" t="s">
        <v>1415</v>
      </c>
      <c r="D168" s="311"/>
      <c r="E168" s="312"/>
      <c r="F168" s="311"/>
    </row>
    <row r="169" spans="1:6" ht="15.75" x14ac:dyDescent="0.25">
      <c r="A169" s="309"/>
      <c r="B169" s="326" t="s">
        <v>1403</v>
      </c>
      <c r="C169" s="311" t="s">
        <v>1416</v>
      </c>
      <c r="D169" s="311"/>
      <c r="E169" s="312"/>
      <c r="F169" s="311"/>
    </row>
    <row r="170" spans="1:6" ht="15.75" x14ac:dyDescent="0.25">
      <c r="A170" s="309"/>
      <c r="B170" s="311" t="s">
        <v>1360</v>
      </c>
      <c r="C170" s="311" t="s">
        <v>1412</v>
      </c>
      <c r="D170" s="311"/>
      <c r="E170" s="312"/>
      <c r="F170" s="311"/>
    </row>
    <row r="171" spans="1:6" ht="15.75" x14ac:dyDescent="0.25">
      <c r="A171" s="309"/>
      <c r="B171" s="311" t="s">
        <v>1361</v>
      </c>
      <c r="C171" s="311" t="s">
        <v>1417</v>
      </c>
      <c r="D171" s="311"/>
      <c r="E171" s="312"/>
      <c r="F171" s="311"/>
    </row>
    <row r="172" spans="1:6" ht="15.75" x14ac:dyDescent="0.25">
      <c r="A172" s="309"/>
      <c r="B172" s="326" t="s">
        <v>1403</v>
      </c>
      <c r="C172" s="311" t="s">
        <v>1418</v>
      </c>
      <c r="D172" s="311"/>
      <c r="E172" s="312"/>
      <c r="F172" s="311"/>
    </row>
    <row r="173" spans="1:6" s="195" customFormat="1" ht="15.75" x14ac:dyDescent="0.25">
      <c r="A173" s="325"/>
      <c r="B173" s="327"/>
      <c r="C173" s="311"/>
      <c r="D173" s="311"/>
      <c r="E173" s="312"/>
      <c r="F173" s="311"/>
    </row>
    <row r="174" spans="1:6" ht="33" customHeight="1" x14ac:dyDescent="0.25">
      <c r="A174" s="512" t="s">
        <v>1362</v>
      </c>
      <c r="B174" s="514"/>
      <c r="C174" s="311"/>
      <c r="D174" s="311"/>
      <c r="E174" s="312"/>
      <c r="F174" s="311"/>
    </row>
    <row r="175" spans="1:6" ht="15.75" x14ac:dyDescent="0.25">
      <c r="A175" s="309"/>
      <c r="B175" s="311" t="s">
        <v>1363</v>
      </c>
      <c r="C175" s="311" t="s">
        <v>1419</v>
      </c>
      <c r="D175" s="311"/>
      <c r="E175" s="312"/>
      <c r="F175" s="311"/>
    </row>
    <row r="176" spans="1:6" ht="15.75" x14ac:dyDescent="0.25">
      <c r="A176" s="309"/>
      <c r="B176" s="311" t="s">
        <v>1310</v>
      </c>
      <c r="C176" s="311">
        <v>864</v>
      </c>
      <c r="D176" s="311"/>
      <c r="E176" s="312"/>
      <c r="F176" s="311"/>
    </row>
    <row r="177" spans="1:6" ht="15.75" x14ac:dyDescent="0.25">
      <c r="A177" s="309"/>
      <c r="B177" s="326" t="s">
        <v>1403</v>
      </c>
      <c r="C177" s="311" t="s">
        <v>1420</v>
      </c>
      <c r="D177" s="311"/>
      <c r="E177" s="312"/>
      <c r="F177" s="311"/>
    </row>
    <row r="178" spans="1:6" ht="15.75" x14ac:dyDescent="0.25">
      <c r="A178" s="309"/>
      <c r="B178" s="311" t="s">
        <v>1364</v>
      </c>
      <c r="C178" s="311" t="s">
        <v>1421</v>
      </c>
      <c r="D178" s="311"/>
      <c r="E178" s="312"/>
      <c r="F178" s="311"/>
    </row>
    <row r="179" spans="1:6" ht="15.75" x14ac:dyDescent="0.25">
      <c r="A179" s="309"/>
      <c r="B179" s="311" t="s">
        <v>1313</v>
      </c>
      <c r="C179" s="311">
        <v>876</v>
      </c>
      <c r="D179" s="311"/>
      <c r="E179" s="312"/>
      <c r="F179" s="311"/>
    </row>
    <row r="180" spans="1:6" ht="15.75" x14ac:dyDescent="0.25">
      <c r="A180" s="309"/>
      <c r="B180" s="326" t="s">
        <v>1403</v>
      </c>
      <c r="C180" s="311" t="s">
        <v>1422</v>
      </c>
      <c r="D180" s="311"/>
      <c r="E180" s="312"/>
      <c r="F180" s="311"/>
    </row>
    <row r="181" spans="1:6" ht="15.75" x14ac:dyDescent="0.25">
      <c r="A181" s="309"/>
      <c r="B181" s="311" t="s">
        <v>1365</v>
      </c>
      <c r="C181" s="311" t="s">
        <v>1423</v>
      </c>
      <c r="D181" s="311"/>
      <c r="E181" s="312"/>
      <c r="F181" s="311"/>
    </row>
    <row r="182" spans="1:6" ht="15.75" x14ac:dyDescent="0.25">
      <c r="A182" s="309"/>
      <c r="B182" s="311" t="s">
        <v>1316</v>
      </c>
      <c r="C182" s="311" t="s">
        <v>1405</v>
      </c>
      <c r="D182" s="311"/>
      <c r="E182" s="312"/>
      <c r="F182" s="311"/>
    </row>
    <row r="183" spans="1:6" ht="15.75" x14ac:dyDescent="0.25">
      <c r="A183" s="309"/>
      <c r="B183" s="326" t="s">
        <v>1403</v>
      </c>
      <c r="C183" s="311" t="s">
        <v>1424</v>
      </c>
      <c r="D183" s="311"/>
      <c r="E183" s="312"/>
      <c r="F183" s="311"/>
    </row>
    <row r="184" spans="1:6" ht="15.75" x14ac:dyDescent="0.25">
      <c r="A184" s="309"/>
      <c r="B184" s="311" t="s">
        <v>1366</v>
      </c>
      <c r="C184" s="311" t="s">
        <v>1425</v>
      </c>
      <c r="D184" s="311"/>
      <c r="E184" s="312"/>
      <c r="F184" s="311"/>
    </row>
    <row r="185" spans="1:6" ht="15.75" x14ac:dyDescent="0.25">
      <c r="A185" s="309"/>
      <c r="B185" s="311" t="s">
        <v>1351</v>
      </c>
      <c r="C185" s="311" t="s">
        <v>1406</v>
      </c>
      <c r="D185" s="311"/>
      <c r="E185" s="312"/>
      <c r="F185" s="311"/>
    </row>
    <row r="186" spans="1:6" ht="15.75" x14ac:dyDescent="0.25">
      <c r="A186" s="309"/>
      <c r="B186" s="326" t="s">
        <v>1403</v>
      </c>
      <c r="C186" s="311" t="s">
        <v>1426</v>
      </c>
      <c r="D186" s="311"/>
      <c r="E186" s="312"/>
      <c r="F186" s="311"/>
    </row>
    <row r="187" spans="1:6" ht="15.75" x14ac:dyDescent="0.25">
      <c r="A187" s="309"/>
      <c r="B187" s="311" t="s">
        <v>1367</v>
      </c>
      <c r="C187" s="311" t="s">
        <v>1427</v>
      </c>
      <c r="D187" s="311"/>
      <c r="E187" s="312"/>
      <c r="F187" s="311"/>
    </row>
    <row r="188" spans="1:6" ht="15.75" x14ac:dyDescent="0.25">
      <c r="A188" s="309"/>
      <c r="B188" s="311" t="s">
        <v>1353</v>
      </c>
      <c r="C188" s="311" t="s">
        <v>1405</v>
      </c>
      <c r="D188" s="311"/>
      <c r="E188" s="312"/>
      <c r="F188" s="311"/>
    </row>
    <row r="189" spans="1:6" ht="15.75" x14ac:dyDescent="0.25">
      <c r="A189" s="309"/>
      <c r="B189" s="326" t="s">
        <v>1403</v>
      </c>
      <c r="C189" s="311" t="s">
        <v>1428</v>
      </c>
      <c r="D189" s="311"/>
      <c r="E189" s="312"/>
      <c r="F189" s="311"/>
    </row>
    <row r="190" spans="1:6" ht="15.75" x14ac:dyDescent="0.25">
      <c r="A190" s="309"/>
      <c r="B190" s="311" t="s">
        <v>1368</v>
      </c>
      <c r="C190" s="311" t="s">
        <v>1429</v>
      </c>
      <c r="D190" s="311"/>
      <c r="E190" s="312"/>
      <c r="F190" s="311"/>
    </row>
    <row r="191" spans="1:6" ht="15.75" x14ac:dyDescent="0.25">
      <c r="A191" s="309"/>
      <c r="B191" s="311" t="s">
        <v>1355</v>
      </c>
      <c r="C191" s="311" t="s">
        <v>1406</v>
      </c>
      <c r="D191" s="311"/>
      <c r="E191" s="312"/>
      <c r="F191" s="311"/>
    </row>
    <row r="192" spans="1:6" ht="15.75" x14ac:dyDescent="0.25">
      <c r="A192" s="309"/>
      <c r="B192" s="326" t="s">
        <v>1403</v>
      </c>
      <c r="C192" s="311" t="s">
        <v>1430</v>
      </c>
      <c r="D192" s="311"/>
      <c r="E192" s="312"/>
      <c r="F192" s="311"/>
    </row>
    <row r="193" spans="1:6" ht="15.75" x14ac:dyDescent="0.25">
      <c r="A193" s="309"/>
      <c r="B193" s="311" t="s">
        <v>1369</v>
      </c>
      <c r="C193" s="311" t="s">
        <v>1431</v>
      </c>
      <c r="D193" s="311"/>
      <c r="E193" s="312"/>
      <c r="F193" s="311"/>
    </row>
    <row r="194" spans="1:6" ht="15.75" x14ac:dyDescent="0.25">
      <c r="A194" s="309"/>
      <c r="B194" s="311" t="s">
        <v>1357</v>
      </c>
      <c r="C194" s="311" t="s">
        <v>1413</v>
      </c>
      <c r="D194" s="311"/>
      <c r="E194" s="312"/>
      <c r="F194" s="311"/>
    </row>
    <row r="195" spans="1:6" ht="15.75" x14ac:dyDescent="0.25">
      <c r="A195" s="309"/>
      <c r="B195" s="326" t="s">
        <v>1403</v>
      </c>
      <c r="C195" s="311" t="s">
        <v>1432</v>
      </c>
      <c r="D195" s="311"/>
      <c r="E195" s="312"/>
      <c r="F195" s="311"/>
    </row>
    <row r="196" spans="1:6" ht="15.75" x14ac:dyDescent="0.25">
      <c r="A196" s="309"/>
      <c r="B196" s="311" t="s">
        <v>1370</v>
      </c>
      <c r="C196" s="311">
        <v>2954</v>
      </c>
      <c r="D196" s="311"/>
      <c r="E196" s="312"/>
      <c r="F196" s="311"/>
    </row>
    <row r="197" spans="1:6" ht="15.75" x14ac:dyDescent="0.25">
      <c r="A197" s="309"/>
      <c r="B197" s="311" t="s">
        <v>1359</v>
      </c>
      <c r="C197" s="311" t="s">
        <v>1415</v>
      </c>
      <c r="D197" s="311"/>
      <c r="E197" s="312"/>
      <c r="F197" s="311"/>
    </row>
    <row r="198" spans="1:6" ht="15.75" x14ac:dyDescent="0.25">
      <c r="A198" s="309"/>
      <c r="B198" s="326" t="s">
        <v>1403</v>
      </c>
      <c r="C198" s="311" t="s">
        <v>1433</v>
      </c>
      <c r="D198" s="311"/>
      <c r="E198" s="312"/>
      <c r="F198" s="311"/>
    </row>
    <row r="199" spans="1:6" ht="15.75" x14ac:dyDescent="0.25">
      <c r="A199" s="309"/>
      <c r="B199" s="311" t="s">
        <v>1371</v>
      </c>
      <c r="C199" s="311" t="s">
        <v>1431</v>
      </c>
      <c r="D199" s="311"/>
      <c r="E199" s="312"/>
      <c r="F199" s="311"/>
    </row>
    <row r="200" spans="1:6" ht="15.75" x14ac:dyDescent="0.25">
      <c r="A200" s="309"/>
      <c r="B200" s="311" t="s">
        <v>1361</v>
      </c>
      <c r="C200" s="311" t="s">
        <v>1417</v>
      </c>
      <c r="D200" s="311"/>
      <c r="E200" s="312"/>
      <c r="F200" s="311"/>
    </row>
    <row r="201" spans="1:6" ht="15.75" x14ac:dyDescent="0.25">
      <c r="A201" s="309"/>
      <c r="B201" s="326" t="s">
        <v>1403</v>
      </c>
      <c r="C201" s="311" t="s">
        <v>1434</v>
      </c>
      <c r="D201" s="311"/>
      <c r="E201" s="312"/>
      <c r="F201" s="311"/>
    </row>
    <row r="202" spans="1:6" ht="15.75" x14ac:dyDescent="0.25">
      <c r="A202" s="512" t="s">
        <v>1372</v>
      </c>
      <c r="B202" s="514"/>
      <c r="C202" s="311"/>
      <c r="D202" s="311"/>
      <c r="E202" s="312"/>
      <c r="F202" s="311"/>
    </row>
    <row r="203" spans="1:6" ht="15.75" x14ac:dyDescent="0.25">
      <c r="A203" s="309"/>
      <c r="B203" s="311" t="s">
        <v>1373</v>
      </c>
      <c r="C203" s="311" t="s">
        <v>1435</v>
      </c>
      <c r="D203" s="311"/>
      <c r="E203" s="312"/>
      <c r="F203" s="311"/>
    </row>
    <row r="204" spans="1:6" ht="15.75" x14ac:dyDescent="0.25">
      <c r="A204" s="309"/>
      <c r="B204" s="311" t="s">
        <v>1374</v>
      </c>
      <c r="C204" s="311" t="s">
        <v>1436</v>
      </c>
      <c r="D204" s="311"/>
      <c r="E204" s="312"/>
      <c r="F204" s="311"/>
    </row>
    <row r="205" spans="1:6" ht="15.75" x14ac:dyDescent="0.25">
      <c r="A205" s="309"/>
      <c r="B205" s="311" t="s">
        <v>1375</v>
      </c>
      <c r="C205" s="311" t="s">
        <v>1437</v>
      </c>
      <c r="D205" s="311"/>
      <c r="E205" s="312"/>
      <c r="F205" s="311"/>
    </row>
    <row r="206" spans="1:6" ht="15.75" x14ac:dyDescent="0.25">
      <c r="A206" s="309"/>
      <c r="B206" s="311" t="s">
        <v>1376</v>
      </c>
      <c r="C206" s="311" t="s">
        <v>1438</v>
      </c>
      <c r="D206" s="311"/>
      <c r="E206" s="312"/>
      <c r="F206" s="311"/>
    </row>
    <row r="207" spans="1:6" ht="15.75" x14ac:dyDescent="0.25">
      <c r="A207" s="309"/>
      <c r="B207" s="311" t="s">
        <v>1377</v>
      </c>
      <c r="C207" s="311" t="s">
        <v>1439</v>
      </c>
      <c r="D207" s="311"/>
      <c r="E207" s="312"/>
      <c r="F207" s="311"/>
    </row>
    <row r="208" spans="1:6" ht="15.75" x14ac:dyDescent="0.25">
      <c r="A208" s="309"/>
      <c r="B208" s="311" t="s">
        <v>1378</v>
      </c>
      <c r="C208" s="311" t="s">
        <v>1440</v>
      </c>
      <c r="D208" s="311"/>
      <c r="E208" s="312"/>
      <c r="F208" s="311"/>
    </row>
    <row r="209" spans="1:6" ht="15.75" x14ac:dyDescent="0.25">
      <c r="A209" s="309"/>
      <c r="B209" s="311" t="s">
        <v>1379</v>
      </c>
      <c r="C209" s="311" t="s">
        <v>1441</v>
      </c>
      <c r="D209" s="311"/>
      <c r="E209" s="312"/>
      <c r="F209" s="311"/>
    </row>
    <row r="210" spans="1:6" ht="15.75" x14ac:dyDescent="0.25">
      <c r="A210" s="309"/>
      <c r="B210" s="311" t="s">
        <v>1380</v>
      </c>
      <c r="C210" s="311" t="s">
        <v>1442</v>
      </c>
      <c r="D210" s="311"/>
      <c r="E210" s="312"/>
      <c r="F210" s="311"/>
    </row>
    <row r="211" spans="1:6" ht="15.75" x14ac:dyDescent="0.25">
      <c r="A211" s="512" t="s">
        <v>1381</v>
      </c>
      <c r="B211" s="514"/>
      <c r="C211" s="311"/>
      <c r="D211" s="311"/>
      <c r="E211" s="312"/>
      <c r="F211" s="311"/>
    </row>
    <row r="212" spans="1:6" ht="15.75" x14ac:dyDescent="0.25">
      <c r="A212" s="309"/>
      <c r="B212" s="311" t="s">
        <v>1382</v>
      </c>
      <c r="C212" s="311" t="s">
        <v>1443</v>
      </c>
      <c r="D212" s="311"/>
      <c r="E212" s="312"/>
      <c r="F212" s="311"/>
    </row>
    <row r="213" spans="1:6" ht="15.75" x14ac:dyDescent="0.25">
      <c r="A213" s="309"/>
      <c r="B213" s="311" t="s">
        <v>1324</v>
      </c>
      <c r="C213" s="311">
        <v>962</v>
      </c>
      <c r="D213" s="311"/>
      <c r="E213" s="312"/>
      <c r="F213" s="311"/>
    </row>
    <row r="214" spans="1:6" ht="15.75" x14ac:dyDescent="0.25">
      <c r="A214" s="309"/>
      <c r="B214" s="326" t="s">
        <v>1403</v>
      </c>
      <c r="C214" s="311" t="s">
        <v>1444</v>
      </c>
      <c r="D214" s="311"/>
      <c r="E214" s="312"/>
      <c r="F214" s="311"/>
    </row>
    <row r="215" spans="1:6" ht="15.75" x14ac:dyDescent="0.25">
      <c r="A215" s="309"/>
      <c r="B215" s="311" t="s">
        <v>1383</v>
      </c>
      <c r="C215" s="311" t="s">
        <v>1445</v>
      </c>
      <c r="D215" s="311"/>
      <c r="E215" s="312"/>
      <c r="F215" s="311"/>
    </row>
    <row r="216" spans="1:6" ht="15.75" x14ac:dyDescent="0.25">
      <c r="A216" s="309"/>
      <c r="B216" s="311" t="s">
        <v>1326</v>
      </c>
      <c r="C216" s="311" t="s">
        <v>1446</v>
      </c>
      <c r="D216" s="311"/>
      <c r="E216" s="312"/>
      <c r="F216" s="311"/>
    </row>
    <row r="217" spans="1:6" ht="15.75" x14ac:dyDescent="0.25">
      <c r="A217" s="309"/>
      <c r="B217" s="326" t="s">
        <v>1403</v>
      </c>
      <c r="C217" s="311" t="s">
        <v>1447</v>
      </c>
      <c r="D217" s="311"/>
      <c r="E217" s="312"/>
      <c r="F217" s="311"/>
    </row>
    <row r="218" spans="1:6" ht="15.75" x14ac:dyDescent="0.25">
      <c r="A218" s="309"/>
      <c r="B218" s="311" t="s">
        <v>1383</v>
      </c>
      <c r="C218" s="311" t="s">
        <v>1445</v>
      </c>
      <c r="D218" s="311"/>
      <c r="E218" s="312"/>
      <c r="F218" s="311"/>
    </row>
    <row r="219" spans="1:6" ht="15.75" x14ac:dyDescent="0.25">
      <c r="A219" s="309"/>
      <c r="B219" s="311" t="s">
        <v>1327</v>
      </c>
      <c r="C219" s="311" t="s">
        <v>1448</v>
      </c>
      <c r="D219" s="311"/>
      <c r="E219" s="312"/>
      <c r="F219" s="311"/>
    </row>
    <row r="220" spans="1:6" ht="15.75" x14ac:dyDescent="0.25">
      <c r="A220" s="309"/>
      <c r="B220" s="326" t="s">
        <v>1403</v>
      </c>
      <c r="C220" s="311" t="s">
        <v>1449</v>
      </c>
      <c r="D220" s="311"/>
      <c r="E220" s="312"/>
      <c r="F220" s="311"/>
    </row>
    <row r="221" spans="1:6" ht="15.75" x14ac:dyDescent="0.25">
      <c r="A221" s="309"/>
      <c r="B221" s="311" t="s">
        <v>1318</v>
      </c>
      <c r="C221" s="311" t="s">
        <v>1450</v>
      </c>
      <c r="D221" s="311"/>
      <c r="E221" s="312"/>
      <c r="F221" s="311"/>
    </row>
    <row r="222" spans="1:6" ht="15.75" x14ac:dyDescent="0.25">
      <c r="A222" s="309"/>
      <c r="B222" s="311" t="s">
        <v>1319</v>
      </c>
      <c r="C222" s="311" t="s">
        <v>1451</v>
      </c>
      <c r="D222" s="311"/>
      <c r="E222" s="312"/>
      <c r="F222" s="311"/>
    </row>
    <row r="223" spans="1:6" ht="15.75" x14ac:dyDescent="0.25">
      <c r="A223" s="309"/>
      <c r="B223" s="326" t="s">
        <v>1403</v>
      </c>
      <c r="C223" s="311" t="s">
        <v>1452</v>
      </c>
      <c r="D223" s="311"/>
      <c r="E223" s="312"/>
      <c r="F223" s="311"/>
    </row>
    <row r="224" spans="1:6" ht="15.75" x14ac:dyDescent="0.25">
      <c r="A224" s="309"/>
      <c r="B224" s="311" t="s">
        <v>1318</v>
      </c>
      <c r="C224" s="311" t="s">
        <v>1450</v>
      </c>
      <c r="D224" s="311"/>
      <c r="E224" s="312"/>
      <c r="F224" s="311"/>
    </row>
    <row r="225" spans="1:16384" ht="15.75" x14ac:dyDescent="0.25">
      <c r="A225" s="309"/>
      <c r="B225" s="311" t="s">
        <v>1320</v>
      </c>
      <c r="C225" s="311" t="s">
        <v>1453</v>
      </c>
      <c r="D225" s="311"/>
      <c r="E225" s="312"/>
      <c r="F225" s="311"/>
    </row>
    <row r="226" spans="1:16384" ht="15.75" x14ac:dyDescent="0.25">
      <c r="A226" s="309"/>
      <c r="B226" s="326" t="s">
        <v>1403</v>
      </c>
      <c r="C226" s="311" t="s">
        <v>1454</v>
      </c>
      <c r="D226" s="311"/>
      <c r="E226" s="312"/>
      <c r="F226" s="311"/>
    </row>
    <row r="227" spans="1:16384" ht="15.75" x14ac:dyDescent="0.25">
      <c r="A227" s="309"/>
      <c r="B227" s="311" t="s">
        <v>1318</v>
      </c>
      <c r="C227" s="311" t="s">
        <v>1450</v>
      </c>
      <c r="D227" s="311"/>
      <c r="E227" s="312"/>
      <c r="F227" s="311"/>
    </row>
    <row r="228" spans="1:16384" ht="15.75" x14ac:dyDescent="0.25">
      <c r="A228" s="309"/>
      <c r="B228" s="311" t="s">
        <v>1321</v>
      </c>
      <c r="C228" s="311" t="s">
        <v>1455</v>
      </c>
      <c r="D228" s="311"/>
      <c r="E228" s="312"/>
      <c r="F228" s="311"/>
    </row>
    <row r="229" spans="1:16384" ht="15.75" x14ac:dyDescent="0.25">
      <c r="A229" s="309"/>
      <c r="B229" s="326" t="s">
        <v>1403</v>
      </c>
      <c r="C229" s="311" t="s">
        <v>1456</v>
      </c>
      <c r="D229" s="311"/>
      <c r="E229" s="312"/>
      <c r="F229" s="311"/>
    </row>
    <row r="230" spans="1:16384" ht="15.75" x14ac:dyDescent="0.25">
      <c r="A230" s="507" t="s">
        <v>1322</v>
      </c>
      <c r="B230" s="508"/>
      <c r="C230" s="507"/>
      <c r="D230" s="508"/>
      <c r="E230" s="507"/>
      <c r="F230" s="508"/>
      <c r="G230" s="507"/>
      <c r="H230" s="508"/>
      <c r="I230" s="507"/>
      <c r="J230" s="508"/>
      <c r="K230" s="507"/>
      <c r="L230" s="508"/>
      <c r="M230" s="507"/>
      <c r="N230" s="508"/>
      <c r="O230" s="507"/>
      <c r="P230" s="508"/>
      <c r="Q230" s="507"/>
      <c r="R230" s="508"/>
      <c r="S230" s="507"/>
      <c r="T230" s="508"/>
      <c r="U230" s="507"/>
      <c r="V230" s="508"/>
      <c r="W230" s="507"/>
      <c r="X230" s="508"/>
      <c r="Y230" s="507"/>
      <c r="Z230" s="508"/>
      <c r="AA230" s="507"/>
      <c r="AB230" s="508"/>
      <c r="AC230" s="507"/>
      <c r="AD230" s="508"/>
      <c r="AE230" s="507"/>
      <c r="AF230" s="508"/>
      <c r="AG230" s="507"/>
      <c r="AH230" s="508"/>
      <c r="AI230" s="507"/>
      <c r="AJ230" s="508"/>
      <c r="AK230" s="507"/>
      <c r="AL230" s="508"/>
      <c r="AM230" s="507"/>
      <c r="AN230" s="508"/>
      <c r="AO230" s="507"/>
      <c r="AP230" s="508"/>
      <c r="AQ230" s="507"/>
      <c r="AR230" s="508"/>
      <c r="AS230" s="507"/>
      <c r="AT230" s="508"/>
      <c r="AU230" s="507"/>
      <c r="AV230" s="508"/>
      <c r="AW230" s="507"/>
      <c r="AX230" s="508"/>
      <c r="AY230" s="507"/>
      <c r="AZ230" s="508"/>
      <c r="BA230" s="507"/>
      <c r="BB230" s="508"/>
      <c r="BC230" s="507"/>
      <c r="BD230" s="508"/>
      <c r="BE230" s="507"/>
      <c r="BF230" s="508"/>
      <c r="BG230" s="507"/>
      <c r="BH230" s="508"/>
      <c r="BI230" s="507"/>
      <c r="BJ230" s="508"/>
      <c r="BK230" s="507"/>
      <c r="BL230" s="508"/>
      <c r="BM230" s="507"/>
      <c r="BN230" s="508"/>
      <c r="BO230" s="507"/>
      <c r="BP230" s="508"/>
      <c r="BQ230" s="507"/>
      <c r="BR230" s="508"/>
      <c r="BS230" s="507"/>
      <c r="BT230" s="508"/>
      <c r="BU230" s="507"/>
      <c r="BV230" s="508"/>
      <c r="BW230" s="507"/>
      <c r="BX230" s="508"/>
      <c r="BY230" s="507"/>
      <c r="BZ230" s="508"/>
      <c r="CA230" s="507"/>
      <c r="CB230" s="508"/>
      <c r="CC230" s="507"/>
      <c r="CD230" s="508"/>
      <c r="CE230" s="507"/>
      <c r="CF230" s="508"/>
      <c r="CG230" s="507"/>
      <c r="CH230" s="508"/>
      <c r="CI230" s="507"/>
      <c r="CJ230" s="508"/>
      <c r="CK230" s="507"/>
      <c r="CL230" s="508"/>
      <c r="CM230" s="507"/>
      <c r="CN230" s="508"/>
      <c r="CO230" s="507"/>
      <c r="CP230" s="508"/>
      <c r="CQ230" s="507"/>
      <c r="CR230" s="508"/>
      <c r="CS230" s="507"/>
      <c r="CT230" s="508"/>
      <c r="CU230" s="507"/>
      <c r="CV230" s="508"/>
      <c r="CW230" s="507"/>
      <c r="CX230" s="508"/>
      <c r="CY230" s="507"/>
      <c r="CZ230" s="508"/>
      <c r="DA230" s="507"/>
      <c r="DB230" s="508"/>
      <c r="DC230" s="507"/>
      <c r="DD230" s="508"/>
      <c r="DE230" s="507"/>
      <c r="DF230" s="508"/>
      <c r="DG230" s="507"/>
      <c r="DH230" s="508"/>
      <c r="DI230" s="507"/>
      <c r="DJ230" s="508"/>
      <c r="DK230" s="507"/>
      <c r="DL230" s="508"/>
      <c r="DM230" s="507"/>
      <c r="DN230" s="508"/>
      <c r="DO230" s="507"/>
      <c r="DP230" s="508"/>
      <c r="DQ230" s="507"/>
      <c r="DR230" s="508"/>
      <c r="DS230" s="507"/>
      <c r="DT230" s="508"/>
      <c r="DU230" s="507"/>
      <c r="DV230" s="508"/>
      <c r="DW230" s="507"/>
      <c r="DX230" s="508"/>
      <c r="DY230" s="507"/>
      <c r="DZ230" s="508"/>
      <c r="EA230" s="507"/>
      <c r="EB230" s="508"/>
      <c r="EC230" s="507"/>
      <c r="ED230" s="508"/>
      <c r="EE230" s="507"/>
      <c r="EF230" s="508"/>
      <c r="EG230" s="507"/>
      <c r="EH230" s="508"/>
      <c r="EI230" s="507"/>
      <c r="EJ230" s="508"/>
      <c r="EK230" s="507"/>
      <c r="EL230" s="508"/>
      <c r="EM230" s="507"/>
      <c r="EN230" s="508"/>
      <c r="EO230" s="507"/>
      <c r="EP230" s="508"/>
      <c r="EQ230" s="507"/>
      <c r="ER230" s="508"/>
      <c r="ES230" s="507"/>
      <c r="ET230" s="508"/>
      <c r="EU230" s="507"/>
      <c r="EV230" s="508"/>
      <c r="EW230" s="507"/>
      <c r="EX230" s="508"/>
      <c r="EY230" s="507"/>
      <c r="EZ230" s="508"/>
      <c r="FA230" s="507"/>
      <c r="FB230" s="508"/>
      <c r="FC230" s="507"/>
      <c r="FD230" s="508"/>
      <c r="FE230" s="507"/>
      <c r="FF230" s="508"/>
      <c r="FG230" s="507"/>
      <c r="FH230" s="508"/>
      <c r="FI230" s="507"/>
      <c r="FJ230" s="508"/>
      <c r="FK230" s="507"/>
      <c r="FL230" s="508"/>
      <c r="FM230" s="507"/>
      <c r="FN230" s="508"/>
      <c r="FO230" s="507"/>
      <c r="FP230" s="508"/>
      <c r="FQ230" s="507"/>
      <c r="FR230" s="508"/>
      <c r="FS230" s="507"/>
      <c r="FT230" s="508"/>
      <c r="FU230" s="507"/>
      <c r="FV230" s="508"/>
      <c r="FW230" s="507"/>
      <c r="FX230" s="508"/>
      <c r="FY230" s="507"/>
      <c r="FZ230" s="508"/>
      <c r="GA230" s="507"/>
      <c r="GB230" s="508"/>
      <c r="GC230" s="507"/>
      <c r="GD230" s="508"/>
      <c r="GE230" s="507"/>
      <c r="GF230" s="508"/>
      <c r="GG230" s="507"/>
      <c r="GH230" s="508"/>
      <c r="GI230" s="507"/>
      <c r="GJ230" s="508"/>
      <c r="GK230" s="507"/>
      <c r="GL230" s="508"/>
      <c r="GM230" s="507"/>
      <c r="GN230" s="508"/>
      <c r="GO230" s="507"/>
      <c r="GP230" s="508"/>
      <c r="GQ230" s="507"/>
      <c r="GR230" s="508"/>
      <c r="GS230" s="507"/>
      <c r="GT230" s="508"/>
      <c r="GU230" s="507"/>
      <c r="GV230" s="508"/>
      <c r="GW230" s="507"/>
      <c r="GX230" s="508"/>
      <c r="GY230" s="507"/>
      <c r="GZ230" s="508"/>
      <c r="HA230" s="507"/>
      <c r="HB230" s="508"/>
      <c r="HC230" s="507"/>
      <c r="HD230" s="508"/>
      <c r="HE230" s="507"/>
      <c r="HF230" s="508"/>
      <c r="HG230" s="507"/>
      <c r="HH230" s="508"/>
      <c r="HI230" s="507"/>
      <c r="HJ230" s="508"/>
      <c r="HK230" s="507"/>
      <c r="HL230" s="508"/>
      <c r="HM230" s="507"/>
      <c r="HN230" s="508"/>
      <c r="HO230" s="507"/>
      <c r="HP230" s="508"/>
      <c r="HQ230" s="507"/>
      <c r="HR230" s="508"/>
      <c r="HS230" s="507"/>
      <c r="HT230" s="508"/>
      <c r="HU230" s="507"/>
      <c r="HV230" s="508"/>
      <c r="HW230" s="507"/>
      <c r="HX230" s="508"/>
      <c r="HY230" s="507"/>
      <c r="HZ230" s="508"/>
      <c r="IA230" s="507"/>
      <c r="IB230" s="508"/>
      <c r="IC230" s="507"/>
      <c r="ID230" s="508"/>
      <c r="IE230" s="507"/>
      <c r="IF230" s="508"/>
      <c r="IG230" s="507"/>
      <c r="IH230" s="508"/>
      <c r="II230" s="507"/>
      <c r="IJ230" s="508"/>
      <c r="IK230" s="507"/>
      <c r="IL230" s="508"/>
      <c r="IM230" s="507"/>
      <c r="IN230" s="508"/>
      <c r="IO230" s="507"/>
      <c r="IP230" s="508"/>
      <c r="IQ230" s="507"/>
      <c r="IR230" s="508"/>
      <c r="IS230" s="507"/>
      <c r="IT230" s="508"/>
      <c r="IU230" s="507"/>
      <c r="IV230" s="508"/>
      <c r="IW230" s="507"/>
      <c r="IX230" s="508"/>
      <c r="IY230" s="507"/>
      <c r="IZ230" s="508"/>
      <c r="JA230" s="507"/>
      <c r="JB230" s="508"/>
      <c r="JC230" s="507"/>
      <c r="JD230" s="508"/>
      <c r="JE230" s="507"/>
      <c r="JF230" s="508"/>
      <c r="JG230" s="507"/>
      <c r="JH230" s="508"/>
      <c r="JI230" s="507"/>
      <c r="JJ230" s="508"/>
      <c r="JK230" s="507"/>
      <c r="JL230" s="508"/>
      <c r="JM230" s="507"/>
      <c r="JN230" s="508"/>
      <c r="JO230" s="507"/>
      <c r="JP230" s="508"/>
      <c r="JQ230" s="507"/>
      <c r="JR230" s="508"/>
      <c r="JS230" s="507"/>
      <c r="JT230" s="508"/>
      <c r="JU230" s="507"/>
      <c r="JV230" s="508"/>
      <c r="JW230" s="507"/>
      <c r="JX230" s="508"/>
      <c r="JY230" s="507"/>
      <c r="JZ230" s="508"/>
      <c r="KA230" s="507"/>
      <c r="KB230" s="508"/>
      <c r="KC230" s="507"/>
      <c r="KD230" s="508"/>
      <c r="KE230" s="507"/>
      <c r="KF230" s="508"/>
      <c r="KG230" s="507"/>
      <c r="KH230" s="508"/>
      <c r="KI230" s="507"/>
      <c r="KJ230" s="508"/>
      <c r="KK230" s="507"/>
      <c r="KL230" s="508"/>
      <c r="KM230" s="507"/>
      <c r="KN230" s="508"/>
      <c r="KO230" s="507"/>
      <c r="KP230" s="508"/>
      <c r="KQ230" s="507"/>
      <c r="KR230" s="508"/>
      <c r="KS230" s="507"/>
      <c r="KT230" s="508"/>
      <c r="KU230" s="507"/>
      <c r="KV230" s="508"/>
      <c r="KW230" s="507"/>
      <c r="KX230" s="508"/>
      <c r="KY230" s="507"/>
      <c r="KZ230" s="508"/>
      <c r="LA230" s="507"/>
      <c r="LB230" s="508"/>
      <c r="LC230" s="507"/>
      <c r="LD230" s="508"/>
      <c r="LE230" s="507"/>
      <c r="LF230" s="508"/>
      <c r="LG230" s="507"/>
      <c r="LH230" s="508"/>
      <c r="LI230" s="507"/>
      <c r="LJ230" s="508"/>
      <c r="LK230" s="507"/>
      <c r="LL230" s="508"/>
      <c r="LM230" s="507"/>
      <c r="LN230" s="508"/>
      <c r="LO230" s="507"/>
      <c r="LP230" s="508"/>
      <c r="LQ230" s="507"/>
      <c r="LR230" s="508"/>
      <c r="LS230" s="507"/>
      <c r="LT230" s="508"/>
      <c r="LU230" s="507"/>
      <c r="LV230" s="508"/>
      <c r="LW230" s="507"/>
      <c r="LX230" s="508"/>
      <c r="LY230" s="507"/>
      <c r="LZ230" s="508"/>
      <c r="MA230" s="507"/>
      <c r="MB230" s="508"/>
      <c r="MC230" s="507"/>
      <c r="MD230" s="508"/>
      <c r="ME230" s="507"/>
      <c r="MF230" s="508"/>
      <c r="MG230" s="507"/>
      <c r="MH230" s="508"/>
      <c r="MI230" s="507"/>
      <c r="MJ230" s="508"/>
      <c r="MK230" s="507"/>
      <c r="ML230" s="508"/>
      <c r="MM230" s="507"/>
      <c r="MN230" s="508"/>
      <c r="MO230" s="507"/>
      <c r="MP230" s="508"/>
      <c r="MQ230" s="507"/>
      <c r="MR230" s="508"/>
      <c r="MS230" s="507"/>
      <c r="MT230" s="508"/>
      <c r="MU230" s="507"/>
      <c r="MV230" s="508"/>
      <c r="MW230" s="507"/>
      <c r="MX230" s="508"/>
      <c r="MY230" s="507"/>
      <c r="MZ230" s="508"/>
      <c r="NA230" s="507"/>
      <c r="NB230" s="508"/>
      <c r="NC230" s="507"/>
      <c r="ND230" s="508"/>
      <c r="NE230" s="507"/>
      <c r="NF230" s="508"/>
      <c r="NG230" s="507"/>
      <c r="NH230" s="508"/>
      <c r="NI230" s="507"/>
      <c r="NJ230" s="508"/>
      <c r="NK230" s="507"/>
      <c r="NL230" s="508"/>
      <c r="NM230" s="507"/>
      <c r="NN230" s="508"/>
      <c r="NO230" s="507"/>
      <c r="NP230" s="508"/>
      <c r="NQ230" s="507"/>
      <c r="NR230" s="508"/>
      <c r="NS230" s="507"/>
      <c r="NT230" s="508"/>
      <c r="NU230" s="507"/>
      <c r="NV230" s="508"/>
      <c r="NW230" s="507"/>
      <c r="NX230" s="508"/>
      <c r="NY230" s="507"/>
      <c r="NZ230" s="508"/>
      <c r="OA230" s="507"/>
      <c r="OB230" s="508"/>
      <c r="OC230" s="507"/>
      <c r="OD230" s="508"/>
      <c r="OE230" s="507"/>
      <c r="OF230" s="508"/>
      <c r="OG230" s="507"/>
      <c r="OH230" s="508"/>
      <c r="OI230" s="507"/>
      <c r="OJ230" s="508"/>
      <c r="OK230" s="507"/>
      <c r="OL230" s="508"/>
      <c r="OM230" s="507"/>
      <c r="ON230" s="508"/>
      <c r="OO230" s="507"/>
      <c r="OP230" s="508"/>
      <c r="OQ230" s="507"/>
      <c r="OR230" s="508"/>
      <c r="OS230" s="507"/>
      <c r="OT230" s="508"/>
      <c r="OU230" s="507"/>
      <c r="OV230" s="508"/>
      <c r="OW230" s="507"/>
      <c r="OX230" s="508"/>
      <c r="OY230" s="507"/>
      <c r="OZ230" s="508"/>
      <c r="PA230" s="507"/>
      <c r="PB230" s="508"/>
      <c r="PC230" s="507"/>
      <c r="PD230" s="508"/>
      <c r="PE230" s="507"/>
      <c r="PF230" s="508"/>
      <c r="PG230" s="507"/>
      <c r="PH230" s="508"/>
      <c r="PI230" s="507"/>
      <c r="PJ230" s="508"/>
      <c r="PK230" s="507"/>
      <c r="PL230" s="508"/>
      <c r="PM230" s="507"/>
      <c r="PN230" s="508"/>
      <c r="PO230" s="507"/>
      <c r="PP230" s="508"/>
      <c r="PQ230" s="507"/>
      <c r="PR230" s="508"/>
      <c r="PS230" s="507"/>
      <c r="PT230" s="508"/>
      <c r="PU230" s="507"/>
      <c r="PV230" s="508"/>
      <c r="PW230" s="507"/>
      <c r="PX230" s="508"/>
      <c r="PY230" s="507"/>
      <c r="PZ230" s="508"/>
      <c r="QA230" s="507"/>
      <c r="QB230" s="508"/>
      <c r="QC230" s="507"/>
      <c r="QD230" s="508"/>
      <c r="QE230" s="507"/>
      <c r="QF230" s="508"/>
      <c r="QG230" s="507"/>
      <c r="QH230" s="508"/>
      <c r="QI230" s="507"/>
      <c r="QJ230" s="508"/>
      <c r="QK230" s="507"/>
      <c r="QL230" s="508"/>
      <c r="QM230" s="507"/>
      <c r="QN230" s="508"/>
      <c r="QO230" s="507"/>
      <c r="QP230" s="508"/>
      <c r="QQ230" s="507"/>
      <c r="QR230" s="508"/>
      <c r="QS230" s="507"/>
      <c r="QT230" s="508"/>
      <c r="QU230" s="507"/>
      <c r="QV230" s="508"/>
      <c r="QW230" s="507"/>
      <c r="QX230" s="508"/>
      <c r="QY230" s="507"/>
      <c r="QZ230" s="508"/>
      <c r="RA230" s="507"/>
      <c r="RB230" s="508"/>
      <c r="RC230" s="507"/>
      <c r="RD230" s="508"/>
      <c r="RE230" s="507"/>
      <c r="RF230" s="508"/>
      <c r="RG230" s="507"/>
      <c r="RH230" s="508"/>
      <c r="RI230" s="507"/>
      <c r="RJ230" s="508"/>
      <c r="RK230" s="507"/>
      <c r="RL230" s="508"/>
      <c r="RM230" s="507"/>
      <c r="RN230" s="508"/>
      <c r="RO230" s="507"/>
      <c r="RP230" s="508"/>
      <c r="RQ230" s="507"/>
      <c r="RR230" s="508"/>
      <c r="RS230" s="507"/>
      <c r="RT230" s="508"/>
      <c r="RU230" s="507"/>
      <c r="RV230" s="508"/>
      <c r="RW230" s="507"/>
      <c r="RX230" s="508"/>
      <c r="RY230" s="507"/>
      <c r="RZ230" s="508"/>
      <c r="SA230" s="507"/>
      <c r="SB230" s="508"/>
      <c r="SC230" s="507"/>
      <c r="SD230" s="508"/>
      <c r="SE230" s="507"/>
      <c r="SF230" s="508"/>
      <c r="SG230" s="507"/>
      <c r="SH230" s="508"/>
      <c r="SI230" s="507"/>
      <c r="SJ230" s="508"/>
      <c r="SK230" s="507"/>
      <c r="SL230" s="508"/>
      <c r="SM230" s="507"/>
      <c r="SN230" s="508"/>
      <c r="SO230" s="507"/>
      <c r="SP230" s="508"/>
      <c r="SQ230" s="507"/>
      <c r="SR230" s="508"/>
      <c r="SS230" s="507"/>
      <c r="ST230" s="508"/>
      <c r="SU230" s="507"/>
      <c r="SV230" s="508"/>
      <c r="SW230" s="507"/>
      <c r="SX230" s="508"/>
      <c r="SY230" s="507"/>
      <c r="SZ230" s="508"/>
      <c r="TA230" s="507"/>
      <c r="TB230" s="508"/>
      <c r="TC230" s="507"/>
      <c r="TD230" s="508"/>
      <c r="TE230" s="507"/>
      <c r="TF230" s="508"/>
      <c r="TG230" s="507"/>
      <c r="TH230" s="508"/>
      <c r="TI230" s="507"/>
      <c r="TJ230" s="508"/>
      <c r="TK230" s="507"/>
      <c r="TL230" s="508"/>
      <c r="TM230" s="507"/>
      <c r="TN230" s="508"/>
      <c r="TO230" s="507"/>
      <c r="TP230" s="508"/>
      <c r="TQ230" s="507"/>
      <c r="TR230" s="508"/>
      <c r="TS230" s="507"/>
      <c r="TT230" s="508"/>
      <c r="TU230" s="507"/>
      <c r="TV230" s="508"/>
      <c r="TW230" s="507"/>
      <c r="TX230" s="508"/>
      <c r="TY230" s="507"/>
      <c r="TZ230" s="508"/>
      <c r="UA230" s="507"/>
      <c r="UB230" s="508"/>
      <c r="UC230" s="507"/>
      <c r="UD230" s="508"/>
      <c r="UE230" s="507"/>
      <c r="UF230" s="508"/>
      <c r="UG230" s="507"/>
      <c r="UH230" s="508"/>
      <c r="UI230" s="507"/>
      <c r="UJ230" s="508"/>
      <c r="UK230" s="507"/>
      <c r="UL230" s="508"/>
      <c r="UM230" s="507"/>
      <c r="UN230" s="508"/>
      <c r="UO230" s="507"/>
      <c r="UP230" s="508"/>
      <c r="UQ230" s="507"/>
      <c r="UR230" s="508"/>
      <c r="US230" s="507"/>
      <c r="UT230" s="508"/>
      <c r="UU230" s="507"/>
      <c r="UV230" s="508"/>
      <c r="UW230" s="507"/>
      <c r="UX230" s="508"/>
      <c r="UY230" s="507"/>
      <c r="UZ230" s="508"/>
      <c r="VA230" s="507"/>
      <c r="VB230" s="508"/>
      <c r="VC230" s="507"/>
      <c r="VD230" s="508"/>
      <c r="VE230" s="507"/>
      <c r="VF230" s="508"/>
      <c r="VG230" s="507"/>
      <c r="VH230" s="508"/>
      <c r="VI230" s="507"/>
      <c r="VJ230" s="508"/>
      <c r="VK230" s="507"/>
      <c r="VL230" s="508"/>
      <c r="VM230" s="507"/>
      <c r="VN230" s="508"/>
      <c r="VO230" s="507"/>
      <c r="VP230" s="508"/>
      <c r="VQ230" s="507"/>
      <c r="VR230" s="508"/>
      <c r="VS230" s="507"/>
      <c r="VT230" s="508"/>
      <c r="VU230" s="507"/>
      <c r="VV230" s="508"/>
      <c r="VW230" s="507"/>
      <c r="VX230" s="508"/>
      <c r="VY230" s="507"/>
      <c r="VZ230" s="508"/>
      <c r="WA230" s="507"/>
      <c r="WB230" s="508"/>
      <c r="WC230" s="507"/>
      <c r="WD230" s="508"/>
      <c r="WE230" s="507"/>
      <c r="WF230" s="508"/>
      <c r="WG230" s="507"/>
      <c r="WH230" s="508"/>
      <c r="WI230" s="507"/>
      <c r="WJ230" s="508"/>
      <c r="WK230" s="507"/>
      <c r="WL230" s="508"/>
      <c r="WM230" s="507"/>
      <c r="WN230" s="508"/>
      <c r="WO230" s="507"/>
      <c r="WP230" s="508"/>
      <c r="WQ230" s="507"/>
      <c r="WR230" s="508"/>
      <c r="WS230" s="507"/>
      <c r="WT230" s="508"/>
      <c r="WU230" s="507"/>
      <c r="WV230" s="508"/>
      <c r="WW230" s="507"/>
      <c r="WX230" s="508"/>
      <c r="WY230" s="507"/>
      <c r="WZ230" s="508"/>
      <c r="XA230" s="507"/>
      <c r="XB230" s="508"/>
      <c r="XC230" s="507"/>
      <c r="XD230" s="508"/>
      <c r="XE230" s="507"/>
      <c r="XF230" s="508"/>
      <c r="XG230" s="507"/>
      <c r="XH230" s="508"/>
      <c r="XI230" s="507"/>
      <c r="XJ230" s="508"/>
      <c r="XK230" s="507"/>
      <c r="XL230" s="508"/>
      <c r="XM230" s="507"/>
      <c r="XN230" s="508"/>
      <c r="XO230" s="507"/>
      <c r="XP230" s="508"/>
      <c r="XQ230" s="507"/>
      <c r="XR230" s="508"/>
      <c r="XS230" s="507"/>
      <c r="XT230" s="508"/>
      <c r="XU230" s="507"/>
      <c r="XV230" s="508"/>
      <c r="XW230" s="507"/>
      <c r="XX230" s="508"/>
      <c r="XY230" s="507"/>
      <c r="XZ230" s="508"/>
      <c r="YA230" s="507"/>
      <c r="YB230" s="508"/>
      <c r="YC230" s="507"/>
      <c r="YD230" s="508"/>
      <c r="YE230" s="507"/>
      <c r="YF230" s="508"/>
      <c r="YG230" s="507"/>
      <c r="YH230" s="508"/>
      <c r="YI230" s="507"/>
      <c r="YJ230" s="508"/>
      <c r="YK230" s="507"/>
      <c r="YL230" s="508"/>
      <c r="YM230" s="507"/>
      <c r="YN230" s="508"/>
      <c r="YO230" s="507"/>
      <c r="YP230" s="508"/>
      <c r="YQ230" s="507"/>
      <c r="YR230" s="508"/>
      <c r="YS230" s="507"/>
      <c r="YT230" s="508"/>
      <c r="YU230" s="507"/>
      <c r="YV230" s="508"/>
      <c r="YW230" s="507"/>
      <c r="YX230" s="508"/>
      <c r="YY230" s="507"/>
      <c r="YZ230" s="508"/>
      <c r="ZA230" s="507"/>
      <c r="ZB230" s="508"/>
      <c r="ZC230" s="507"/>
      <c r="ZD230" s="508"/>
      <c r="ZE230" s="507"/>
      <c r="ZF230" s="508"/>
      <c r="ZG230" s="507"/>
      <c r="ZH230" s="508"/>
      <c r="ZI230" s="507"/>
      <c r="ZJ230" s="508"/>
      <c r="ZK230" s="507"/>
      <c r="ZL230" s="508"/>
      <c r="ZM230" s="507"/>
      <c r="ZN230" s="508"/>
      <c r="ZO230" s="507"/>
      <c r="ZP230" s="508"/>
      <c r="ZQ230" s="507"/>
      <c r="ZR230" s="508"/>
      <c r="ZS230" s="507"/>
      <c r="ZT230" s="508"/>
      <c r="ZU230" s="507"/>
      <c r="ZV230" s="508"/>
      <c r="ZW230" s="507"/>
      <c r="ZX230" s="508"/>
      <c r="ZY230" s="507"/>
      <c r="ZZ230" s="508"/>
      <c r="AAA230" s="507"/>
      <c r="AAB230" s="508"/>
      <c r="AAC230" s="507"/>
      <c r="AAD230" s="508"/>
      <c r="AAE230" s="507"/>
      <c r="AAF230" s="508"/>
      <c r="AAG230" s="507"/>
      <c r="AAH230" s="508"/>
      <c r="AAI230" s="507"/>
      <c r="AAJ230" s="508"/>
      <c r="AAK230" s="507"/>
      <c r="AAL230" s="508"/>
      <c r="AAM230" s="507"/>
      <c r="AAN230" s="508"/>
      <c r="AAO230" s="507"/>
      <c r="AAP230" s="508"/>
      <c r="AAQ230" s="507"/>
      <c r="AAR230" s="508"/>
      <c r="AAS230" s="507"/>
      <c r="AAT230" s="508"/>
      <c r="AAU230" s="507"/>
      <c r="AAV230" s="508"/>
      <c r="AAW230" s="507"/>
      <c r="AAX230" s="508"/>
      <c r="AAY230" s="507"/>
      <c r="AAZ230" s="508"/>
      <c r="ABA230" s="507"/>
      <c r="ABB230" s="508"/>
      <c r="ABC230" s="507"/>
      <c r="ABD230" s="508"/>
      <c r="ABE230" s="507"/>
      <c r="ABF230" s="508"/>
      <c r="ABG230" s="507"/>
      <c r="ABH230" s="508"/>
      <c r="ABI230" s="507"/>
      <c r="ABJ230" s="508"/>
      <c r="ABK230" s="507"/>
      <c r="ABL230" s="508"/>
      <c r="ABM230" s="507"/>
      <c r="ABN230" s="508"/>
      <c r="ABO230" s="507"/>
      <c r="ABP230" s="508"/>
      <c r="ABQ230" s="507"/>
      <c r="ABR230" s="508"/>
      <c r="ABS230" s="507"/>
      <c r="ABT230" s="508"/>
      <c r="ABU230" s="507"/>
      <c r="ABV230" s="508"/>
      <c r="ABW230" s="507"/>
      <c r="ABX230" s="508"/>
      <c r="ABY230" s="507"/>
      <c r="ABZ230" s="508"/>
      <c r="ACA230" s="507"/>
      <c r="ACB230" s="508"/>
      <c r="ACC230" s="507"/>
      <c r="ACD230" s="508"/>
      <c r="ACE230" s="507"/>
      <c r="ACF230" s="508"/>
      <c r="ACG230" s="507"/>
      <c r="ACH230" s="508"/>
      <c r="ACI230" s="507"/>
      <c r="ACJ230" s="508"/>
      <c r="ACK230" s="507"/>
      <c r="ACL230" s="508"/>
      <c r="ACM230" s="507"/>
      <c r="ACN230" s="508"/>
      <c r="ACO230" s="507"/>
      <c r="ACP230" s="508"/>
      <c r="ACQ230" s="507"/>
      <c r="ACR230" s="508"/>
      <c r="ACS230" s="507"/>
      <c r="ACT230" s="508"/>
      <c r="ACU230" s="507"/>
      <c r="ACV230" s="508"/>
      <c r="ACW230" s="507"/>
      <c r="ACX230" s="508"/>
      <c r="ACY230" s="507"/>
      <c r="ACZ230" s="508"/>
      <c r="ADA230" s="507"/>
      <c r="ADB230" s="508"/>
      <c r="ADC230" s="507"/>
      <c r="ADD230" s="508"/>
      <c r="ADE230" s="507"/>
      <c r="ADF230" s="508"/>
      <c r="ADG230" s="507"/>
      <c r="ADH230" s="508"/>
      <c r="ADI230" s="507"/>
      <c r="ADJ230" s="508"/>
      <c r="ADK230" s="507"/>
      <c r="ADL230" s="508"/>
      <c r="ADM230" s="507"/>
      <c r="ADN230" s="508"/>
      <c r="ADO230" s="507"/>
      <c r="ADP230" s="508"/>
      <c r="ADQ230" s="507"/>
      <c r="ADR230" s="508"/>
      <c r="ADS230" s="507"/>
      <c r="ADT230" s="508"/>
      <c r="ADU230" s="507"/>
      <c r="ADV230" s="508"/>
      <c r="ADW230" s="507"/>
      <c r="ADX230" s="508"/>
      <c r="ADY230" s="507"/>
      <c r="ADZ230" s="508"/>
      <c r="AEA230" s="507"/>
      <c r="AEB230" s="508"/>
      <c r="AEC230" s="507"/>
      <c r="AED230" s="508"/>
      <c r="AEE230" s="507"/>
      <c r="AEF230" s="508"/>
      <c r="AEG230" s="507"/>
      <c r="AEH230" s="508"/>
      <c r="AEI230" s="507"/>
      <c r="AEJ230" s="508"/>
      <c r="AEK230" s="507"/>
      <c r="AEL230" s="508"/>
      <c r="AEM230" s="507"/>
      <c r="AEN230" s="508"/>
      <c r="AEO230" s="507"/>
      <c r="AEP230" s="508"/>
      <c r="AEQ230" s="507"/>
      <c r="AER230" s="508"/>
      <c r="AES230" s="507"/>
      <c r="AET230" s="508"/>
      <c r="AEU230" s="507"/>
      <c r="AEV230" s="508"/>
      <c r="AEW230" s="507"/>
      <c r="AEX230" s="508"/>
      <c r="AEY230" s="507"/>
      <c r="AEZ230" s="508"/>
      <c r="AFA230" s="507"/>
      <c r="AFB230" s="508"/>
      <c r="AFC230" s="507"/>
      <c r="AFD230" s="508"/>
      <c r="AFE230" s="507"/>
      <c r="AFF230" s="508"/>
      <c r="AFG230" s="507"/>
      <c r="AFH230" s="508"/>
      <c r="AFI230" s="507"/>
      <c r="AFJ230" s="508"/>
      <c r="AFK230" s="507"/>
      <c r="AFL230" s="508"/>
      <c r="AFM230" s="507"/>
      <c r="AFN230" s="508"/>
      <c r="AFO230" s="507"/>
      <c r="AFP230" s="508"/>
      <c r="AFQ230" s="507"/>
      <c r="AFR230" s="508"/>
      <c r="AFS230" s="507"/>
      <c r="AFT230" s="508"/>
      <c r="AFU230" s="507"/>
      <c r="AFV230" s="508"/>
      <c r="AFW230" s="507"/>
      <c r="AFX230" s="508"/>
      <c r="AFY230" s="507"/>
      <c r="AFZ230" s="508"/>
      <c r="AGA230" s="507"/>
      <c r="AGB230" s="508"/>
      <c r="AGC230" s="507"/>
      <c r="AGD230" s="508"/>
      <c r="AGE230" s="507"/>
      <c r="AGF230" s="508"/>
      <c r="AGG230" s="507"/>
      <c r="AGH230" s="508"/>
      <c r="AGI230" s="507"/>
      <c r="AGJ230" s="508"/>
      <c r="AGK230" s="507"/>
      <c r="AGL230" s="508"/>
      <c r="AGM230" s="507"/>
      <c r="AGN230" s="508"/>
      <c r="AGO230" s="507"/>
      <c r="AGP230" s="508"/>
      <c r="AGQ230" s="507"/>
      <c r="AGR230" s="508"/>
      <c r="AGS230" s="507"/>
      <c r="AGT230" s="508"/>
      <c r="AGU230" s="507"/>
      <c r="AGV230" s="508"/>
      <c r="AGW230" s="507"/>
      <c r="AGX230" s="508"/>
      <c r="AGY230" s="507"/>
      <c r="AGZ230" s="508"/>
      <c r="AHA230" s="507"/>
      <c r="AHB230" s="508"/>
      <c r="AHC230" s="507"/>
      <c r="AHD230" s="508"/>
      <c r="AHE230" s="507"/>
      <c r="AHF230" s="508"/>
      <c r="AHG230" s="507"/>
      <c r="AHH230" s="508"/>
      <c r="AHI230" s="507"/>
      <c r="AHJ230" s="508"/>
      <c r="AHK230" s="507"/>
      <c r="AHL230" s="508"/>
      <c r="AHM230" s="507"/>
      <c r="AHN230" s="508"/>
      <c r="AHO230" s="507"/>
      <c r="AHP230" s="508"/>
      <c r="AHQ230" s="507"/>
      <c r="AHR230" s="508"/>
      <c r="AHS230" s="507"/>
      <c r="AHT230" s="508"/>
      <c r="AHU230" s="507"/>
      <c r="AHV230" s="508"/>
      <c r="AHW230" s="507"/>
      <c r="AHX230" s="508"/>
      <c r="AHY230" s="507"/>
      <c r="AHZ230" s="508"/>
      <c r="AIA230" s="507"/>
      <c r="AIB230" s="508"/>
      <c r="AIC230" s="507"/>
      <c r="AID230" s="508"/>
      <c r="AIE230" s="507"/>
      <c r="AIF230" s="508"/>
      <c r="AIG230" s="507"/>
      <c r="AIH230" s="508"/>
      <c r="AII230" s="507"/>
      <c r="AIJ230" s="508"/>
      <c r="AIK230" s="507"/>
      <c r="AIL230" s="508"/>
      <c r="AIM230" s="507"/>
      <c r="AIN230" s="508"/>
      <c r="AIO230" s="507"/>
      <c r="AIP230" s="508"/>
      <c r="AIQ230" s="507"/>
      <c r="AIR230" s="508"/>
      <c r="AIS230" s="507"/>
      <c r="AIT230" s="508"/>
      <c r="AIU230" s="507"/>
      <c r="AIV230" s="508"/>
      <c r="AIW230" s="507"/>
      <c r="AIX230" s="508"/>
      <c r="AIY230" s="507"/>
      <c r="AIZ230" s="508"/>
      <c r="AJA230" s="507"/>
      <c r="AJB230" s="508"/>
      <c r="AJC230" s="507"/>
      <c r="AJD230" s="508"/>
      <c r="AJE230" s="507"/>
      <c r="AJF230" s="508"/>
      <c r="AJG230" s="507"/>
      <c r="AJH230" s="508"/>
      <c r="AJI230" s="507"/>
      <c r="AJJ230" s="508"/>
      <c r="AJK230" s="507"/>
      <c r="AJL230" s="508"/>
      <c r="AJM230" s="507"/>
      <c r="AJN230" s="508"/>
      <c r="AJO230" s="507"/>
      <c r="AJP230" s="508"/>
      <c r="AJQ230" s="507"/>
      <c r="AJR230" s="508"/>
      <c r="AJS230" s="507"/>
      <c r="AJT230" s="508"/>
      <c r="AJU230" s="507"/>
      <c r="AJV230" s="508"/>
      <c r="AJW230" s="507"/>
      <c r="AJX230" s="508"/>
      <c r="AJY230" s="507"/>
      <c r="AJZ230" s="508"/>
      <c r="AKA230" s="507"/>
      <c r="AKB230" s="508"/>
      <c r="AKC230" s="507"/>
      <c r="AKD230" s="508"/>
      <c r="AKE230" s="507"/>
      <c r="AKF230" s="508"/>
      <c r="AKG230" s="507"/>
      <c r="AKH230" s="508"/>
      <c r="AKI230" s="507"/>
      <c r="AKJ230" s="508"/>
      <c r="AKK230" s="507" t="s">
        <v>1381</v>
      </c>
      <c r="AKL230" s="508"/>
      <c r="AKM230" s="507" t="s">
        <v>1381</v>
      </c>
      <c r="AKN230" s="508"/>
      <c r="AKO230" s="507" t="s">
        <v>1381</v>
      </c>
      <c r="AKP230" s="508"/>
      <c r="AKQ230" s="507" t="s">
        <v>1381</v>
      </c>
      <c r="AKR230" s="508"/>
      <c r="AKS230" s="507" t="s">
        <v>1381</v>
      </c>
      <c r="AKT230" s="508"/>
      <c r="AKU230" s="507" t="s">
        <v>1381</v>
      </c>
      <c r="AKV230" s="508"/>
      <c r="AKW230" s="507" t="s">
        <v>1381</v>
      </c>
      <c r="AKX230" s="508"/>
      <c r="AKY230" s="507" t="s">
        <v>1381</v>
      </c>
      <c r="AKZ230" s="508"/>
      <c r="ALA230" s="507" t="s">
        <v>1381</v>
      </c>
      <c r="ALB230" s="508"/>
      <c r="ALC230" s="507" t="s">
        <v>1381</v>
      </c>
      <c r="ALD230" s="508"/>
      <c r="ALE230" s="507" t="s">
        <v>1381</v>
      </c>
      <c r="ALF230" s="508"/>
      <c r="ALG230" s="507" t="s">
        <v>1381</v>
      </c>
      <c r="ALH230" s="508"/>
      <c r="ALI230" s="507" t="s">
        <v>1381</v>
      </c>
      <c r="ALJ230" s="508"/>
      <c r="ALK230" s="507" t="s">
        <v>1381</v>
      </c>
      <c r="ALL230" s="508"/>
      <c r="ALM230" s="507" t="s">
        <v>1381</v>
      </c>
      <c r="ALN230" s="508"/>
      <c r="ALO230" s="507" t="s">
        <v>1381</v>
      </c>
      <c r="ALP230" s="508"/>
      <c r="ALQ230" s="507" t="s">
        <v>1381</v>
      </c>
      <c r="ALR230" s="508"/>
      <c r="ALS230" s="507" t="s">
        <v>1381</v>
      </c>
      <c r="ALT230" s="508"/>
      <c r="ALU230" s="507" t="s">
        <v>1381</v>
      </c>
      <c r="ALV230" s="508"/>
      <c r="ALW230" s="507" t="s">
        <v>1381</v>
      </c>
      <c r="ALX230" s="508"/>
      <c r="ALY230" s="507" t="s">
        <v>1381</v>
      </c>
      <c r="ALZ230" s="508"/>
      <c r="AMA230" s="507" t="s">
        <v>1381</v>
      </c>
      <c r="AMB230" s="508"/>
      <c r="AMC230" s="507" t="s">
        <v>1381</v>
      </c>
      <c r="AMD230" s="508"/>
      <c r="AME230" s="507" t="s">
        <v>1381</v>
      </c>
      <c r="AMF230" s="508"/>
      <c r="AMG230" s="507" t="s">
        <v>1381</v>
      </c>
      <c r="AMH230" s="508"/>
      <c r="AMI230" s="507" t="s">
        <v>1381</v>
      </c>
      <c r="AMJ230" s="508"/>
      <c r="AMK230" s="507" t="s">
        <v>1381</v>
      </c>
      <c r="AML230" s="508"/>
      <c r="AMM230" s="507" t="s">
        <v>1381</v>
      </c>
      <c r="AMN230" s="508"/>
      <c r="AMO230" s="507" t="s">
        <v>1381</v>
      </c>
      <c r="AMP230" s="508"/>
      <c r="AMQ230" s="507" t="s">
        <v>1381</v>
      </c>
      <c r="AMR230" s="508"/>
      <c r="AMS230" s="507" t="s">
        <v>1381</v>
      </c>
      <c r="AMT230" s="508"/>
      <c r="AMU230" s="507" t="s">
        <v>1381</v>
      </c>
      <c r="AMV230" s="508"/>
      <c r="AMW230" s="507" t="s">
        <v>1381</v>
      </c>
      <c r="AMX230" s="508"/>
      <c r="AMY230" s="507" t="s">
        <v>1381</v>
      </c>
      <c r="AMZ230" s="508"/>
      <c r="ANA230" s="507" t="s">
        <v>1381</v>
      </c>
      <c r="ANB230" s="508"/>
      <c r="ANC230" s="507" t="s">
        <v>1381</v>
      </c>
      <c r="AND230" s="508"/>
      <c r="ANE230" s="507" t="s">
        <v>1381</v>
      </c>
      <c r="ANF230" s="508"/>
      <c r="ANG230" s="507" t="s">
        <v>1381</v>
      </c>
      <c r="ANH230" s="508"/>
      <c r="ANI230" s="507" t="s">
        <v>1381</v>
      </c>
      <c r="ANJ230" s="508"/>
      <c r="ANK230" s="507" t="s">
        <v>1381</v>
      </c>
      <c r="ANL230" s="508"/>
      <c r="ANM230" s="507" t="s">
        <v>1381</v>
      </c>
      <c r="ANN230" s="508"/>
      <c r="ANO230" s="507" t="s">
        <v>1381</v>
      </c>
      <c r="ANP230" s="508"/>
      <c r="ANQ230" s="507" t="s">
        <v>1381</v>
      </c>
      <c r="ANR230" s="508"/>
      <c r="ANS230" s="507" t="s">
        <v>1381</v>
      </c>
      <c r="ANT230" s="508"/>
      <c r="ANU230" s="507" t="s">
        <v>1381</v>
      </c>
      <c r="ANV230" s="508"/>
      <c r="ANW230" s="507" t="s">
        <v>1381</v>
      </c>
      <c r="ANX230" s="508"/>
      <c r="ANY230" s="507" t="s">
        <v>1381</v>
      </c>
      <c r="ANZ230" s="508"/>
      <c r="AOA230" s="507" t="s">
        <v>1381</v>
      </c>
      <c r="AOB230" s="508"/>
      <c r="AOC230" s="507" t="s">
        <v>1381</v>
      </c>
      <c r="AOD230" s="508"/>
      <c r="AOE230" s="507" t="s">
        <v>1381</v>
      </c>
      <c r="AOF230" s="508"/>
      <c r="AOG230" s="507" t="s">
        <v>1381</v>
      </c>
      <c r="AOH230" s="508"/>
      <c r="AOI230" s="507" t="s">
        <v>1381</v>
      </c>
      <c r="AOJ230" s="508"/>
      <c r="AOK230" s="507" t="s">
        <v>1381</v>
      </c>
      <c r="AOL230" s="508"/>
      <c r="AOM230" s="507" t="s">
        <v>1381</v>
      </c>
      <c r="AON230" s="508"/>
      <c r="AOO230" s="507" t="s">
        <v>1381</v>
      </c>
      <c r="AOP230" s="508"/>
      <c r="AOQ230" s="507" t="s">
        <v>1381</v>
      </c>
      <c r="AOR230" s="508"/>
      <c r="AOS230" s="507" t="s">
        <v>1381</v>
      </c>
      <c r="AOT230" s="508"/>
      <c r="AOU230" s="507" t="s">
        <v>1381</v>
      </c>
      <c r="AOV230" s="508"/>
      <c r="AOW230" s="507" t="s">
        <v>1381</v>
      </c>
      <c r="AOX230" s="508"/>
      <c r="AOY230" s="507" t="s">
        <v>1381</v>
      </c>
      <c r="AOZ230" s="508"/>
      <c r="APA230" s="507" t="s">
        <v>1381</v>
      </c>
      <c r="APB230" s="508"/>
      <c r="APC230" s="507" t="s">
        <v>1381</v>
      </c>
      <c r="APD230" s="508"/>
      <c r="APE230" s="507" t="s">
        <v>1381</v>
      </c>
      <c r="APF230" s="508"/>
      <c r="APG230" s="507" t="s">
        <v>1381</v>
      </c>
      <c r="APH230" s="508"/>
      <c r="API230" s="507" t="s">
        <v>1381</v>
      </c>
      <c r="APJ230" s="508"/>
      <c r="APK230" s="507" t="s">
        <v>1381</v>
      </c>
      <c r="APL230" s="508"/>
      <c r="APM230" s="507" t="s">
        <v>1381</v>
      </c>
      <c r="APN230" s="508"/>
      <c r="APO230" s="507" t="s">
        <v>1381</v>
      </c>
      <c r="APP230" s="508"/>
      <c r="APQ230" s="507" t="s">
        <v>1381</v>
      </c>
      <c r="APR230" s="508"/>
      <c r="APS230" s="507" t="s">
        <v>1381</v>
      </c>
      <c r="APT230" s="508"/>
      <c r="APU230" s="507" t="s">
        <v>1381</v>
      </c>
      <c r="APV230" s="508"/>
      <c r="APW230" s="507" t="s">
        <v>1381</v>
      </c>
      <c r="APX230" s="508"/>
      <c r="APY230" s="507" t="s">
        <v>1381</v>
      </c>
      <c r="APZ230" s="508"/>
      <c r="AQA230" s="507" t="s">
        <v>1381</v>
      </c>
      <c r="AQB230" s="508"/>
      <c r="AQC230" s="507" t="s">
        <v>1381</v>
      </c>
      <c r="AQD230" s="508"/>
      <c r="AQE230" s="507" t="s">
        <v>1381</v>
      </c>
      <c r="AQF230" s="508"/>
      <c r="AQG230" s="507" t="s">
        <v>1381</v>
      </c>
      <c r="AQH230" s="508"/>
      <c r="AQI230" s="507" t="s">
        <v>1381</v>
      </c>
      <c r="AQJ230" s="508"/>
      <c r="AQK230" s="507" t="s">
        <v>1381</v>
      </c>
      <c r="AQL230" s="508"/>
      <c r="AQM230" s="507" t="s">
        <v>1381</v>
      </c>
      <c r="AQN230" s="508"/>
      <c r="AQO230" s="507" t="s">
        <v>1381</v>
      </c>
      <c r="AQP230" s="508"/>
      <c r="AQQ230" s="507" t="s">
        <v>1381</v>
      </c>
      <c r="AQR230" s="508"/>
      <c r="AQS230" s="507" t="s">
        <v>1381</v>
      </c>
      <c r="AQT230" s="508"/>
      <c r="AQU230" s="507" t="s">
        <v>1381</v>
      </c>
      <c r="AQV230" s="508"/>
      <c r="AQW230" s="507" t="s">
        <v>1381</v>
      </c>
      <c r="AQX230" s="508"/>
      <c r="AQY230" s="507" t="s">
        <v>1381</v>
      </c>
      <c r="AQZ230" s="508"/>
      <c r="ARA230" s="507" t="s">
        <v>1381</v>
      </c>
      <c r="ARB230" s="508"/>
      <c r="ARC230" s="507" t="s">
        <v>1381</v>
      </c>
      <c r="ARD230" s="508"/>
      <c r="ARE230" s="507" t="s">
        <v>1381</v>
      </c>
      <c r="ARF230" s="508"/>
      <c r="ARG230" s="507" t="s">
        <v>1381</v>
      </c>
      <c r="ARH230" s="508"/>
      <c r="ARI230" s="507" t="s">
        <v>1381</v>
      </c>
      <c r="ARJ230" s="508"/>
      <c r="ARK230" s="507" t="s">
        <v>1381</v>
      </c>
      <c r="ARL230" s="508"/>
      <c r="ARM230" s="507" t="s">
        <v>1381</v>
      </c>
      <c r="ARN230" s="508"/>
      <c r="ARO230" s="507" t="s">
        <v>1381</v>
      </c>
      <c r="ARP230" s="508"/>
      <c r="ARQ230" s="507" t="s">
        <v>1381</v>
      </c>
      <c r="ARR230" s="508"/>
      <c r="ARS230" s="507" t="s">
        <v>1381</v>
      </c>
      <c r="ART230" s="508"/>
      <c r="ARU230" s="507" t="s">
        <v>1381</v>
      </c>
      <c r="ARV230" s="508"/>
      <c r="ARW230" s="507" t="s">
        <v>1381</v>
      </c>
      <c r="ARX230" s="508"/>
      <c r="ARY230" s="507" t="s">
        <v>1381</v>
      </c>
      <c r="ARZ230" s="508"/>
      <c r="ASA230" s="507" t="s">
        <v>1381</v>
      </c>
      <c r="ASB230" s="508"/>
      <c r="ASC230" s="507" t="s">
        <v>1381</v>
      </c>
      <c r="ASD230" s="508"/>
      <c r="ASE230" s="507" t="s">
        <v>1381</v>
      </c>
      <c r="ASF230" s="508"/>
      <c r="ASG230" s="507" t="s">
        <v>1381</v>
      </c>
      <c r="ASH230" s="508"/>
      <c r="ASI230" s="507" t="s">
        <v>1381</v>
      </c>
      <c r="ASJ230" s="508"/>
      <c r="ASK230" s="507" t="s">
        <v>1381</v>
      </c>
      <c r="ASL230" s="508"/>
      <c r="ASM230" s="507" t="s">
        <v>1381</v>
      </c>
      <c r="ASN230" s="508"/>
      <c r="ASO230" s="507" t="s">
        <v>1381</v>
      </c>
      <c r="ASP230" s="508"/>
      <c r="ASQ230" s="507" t="s">
        <v>1381</v>
      </c>
      <c r="ASR230" s="508"/>
      <c r="ASS230" s="507" t="s">
        <v>1381</v>
      </c>
      <c r="AST230" s="508"/>
      <c r="ASU230" s="507" t="s">
        <v>1381</v>
      </c>
      <c r="ASV230" s="508"/>
      <c r="ASW230" s="507" t="s">
        <v>1381</v>
      </c>
      <c r="ASX230" s="508"/>
      <c r="ASY230" s="507" t="s">
        <v>1381</v>
      </c>
      <c r="ASZ230" s="508"/>
      <c r="ATA230" s="507" t="s">
        <v>1381</v>
      </c>
      <c r="ATB230" s="508"/>
      <c r="ATC230" s="507" t="s">
        <v>1381</v>
      </c>
      <c r="ATD230" s="508"/>
      <c r="ATE230" s="507" t="s">
        <v>1381</v>
      </c>
      <c r="ATF230" s="508"/>
      <c r="ATG230" s="507" t="s">
        <v>1381</v>
      </c>
      <c r="ATH230" s="508"/>
      <c r="ATI230" s="507" t="s">
        <v>1381</v>
      </c>
      <c r="ATJ230" s="508"/>
      <c r="ATK230" s="507" t="s">
        <v>1381</v>
      </c>
      <c r="ATL230" s="508"/>
      <c r="ATM230" s="507" t="s">
        <v>1381</v>
      </c>
      <c r="ATN230" s="508"/>
      <c r="ATO230" s="507" t="s">
        <v>1381</v>
      </c>
      <c r="ATP230" s="508"/>
      <c r="ATQ230" s="507" t="s">
        <v>1381</v>
      </c>
      <c r="ATR230" s="508"/>
      <c r="ATS230" s="507" t="s">
        <v>1381</v>
      </c>
      <c r="ATT230" s="508"/>
      <c r="ATU230" s="507" t="s">
        <v>1381</v>
      </c>
      <c r="ATV230" s="508"/>
      <c r="ATW230" s="507" t="s">
        <v>1381</v>
      </c>
      <c r="ATX230" s="508"/>
      <c r="ATY230" s="507" t="s">
        <v>1381</v>
      </c>
      <c r="ATZ230" s="508"/>
      <c r="AUA230" s="507" t="s">
        <v>1381</v>
      </c>
      <c r="AUB230" s="508"/>
      <c r="AUC230" s="507" t="s">
        <v>1381</v>
      </c>
      <c r="AUD230" s="508"/>
      <c r="AUE230" s="507" t="s">
        <v>1381</v>
      </c>
      <c r="AUF230" s="508"/>
      <c r="AUG230" s="507" t="s">
        <v>1381</v>
      </c>
      <c r="AUH230" s="508"/>
      <c r="AUI230" s="507" t="s">
        <v>1381</v>
      </c>
      <c r="AUJ230" s="508"/>
      <c r="AUK230" s="507" t="s">
        <v>1381</v>
      </c>
      <c r="AUL230" s="508"/>
      <c r="AUM230" s="507" t="s">
        <v>1381</v>
      </c>
      <c r="AUN230" s="508"/>
      <c r="AUO230" s="507" t="s">
        <v>1381</v>
      </c>
      <c r="AUP230" s="508"/>
      <c r="AUQ230" s="507" t="s">
        <v>1381</v>
      </c>
      <c r="AUR230" s="508"/>
      <c r="AUS230" s="507" t="s">
        <v>1381</v>
      </c>
      <c r="AUT230" s="508"/>
      <c r="AUU230" s="507" t="s">
        <v>1381</v>
      </c>
      <c r="AUV230" s="508"/>
      <c r="AUW230" s="507" t="s">
        <v>1381</v>
      </c>
      <c r="AUX230" s="508"/>
      <c r="AUY230" s="507" t="s">
        <v>1381</v>
      </c>
      <c r="AUZ230" s="508"/>
      <c r="AVA230" s="507" t="s">
        <v>1381</v>
      </c>
      <c r="AVB230" s="508"/>
      <c r="AVC230" s="507" t="s">
        <v>1381</v>
      </c>
      <c r="AVD230" s="508"/>
      <c r="AVE230" s="507" t="s">
        <v>1381</v>
      </c>
      <c r="AVF230" s="508"/>
      <c r="AVG230" s="507" t="s">
        <v>1381</v>
      </c>
      <c r="AVH230" s="508"/>
      <c r="AVI230" s="507" t="s">
        <v>1381</v>
      </c>
      <c r="AVJ230" s="508"/>
      <c r="AVK230" s="507" t="s">
        <v>1381</v>
      </c>
      <c r="AVL230" s="508"/>
      <c r="AVM230" s="507" t="s">
        <v>1381</v>
      </c>
      <c r="AVN230" s="508"/>
      <c r="AVO230" s="507" t="s">
        <v>1381</v>
      </c>
      <c r="AVP230" s="508"/>
      <c r="AVQ230" s="507" t="s">
        <v>1381</v>
      </c>
      <c r="AVR230" s="508"/>
      <c r="AVS230" s="507" t="s">
        <v>1381</v>
      </c>
      <c r="AVT230" s="508"/>
      <c r="AVU230" s="507" t="s">
        <v>1381</v>
      </c>
      <c r="AVV230" s="508"/>
      <c r="AVW230" s="507" t="s">
        <v>1381</v>
      </c>
      <c r="AVX230" s="508"/>
      <c r="AVY230" s="507" t="s">
        <v>1381</v>
      </c>
      <c r="AVZ230" s="508"/>
      <c r="AWA230" s="507" t="s">
        <v>1381</v>
      </c>
      <c r="AWB230" s="508"/>
      <c r="AWC230" s="507" t="s">
        <v>1381</v>
      </c>
      <c r="AWD230" s="508"/>
      <c r="AWE230" s="507" t="s">
        <v>1381</v>
      </c>
      <c r="AWF230" s="508"/>
      <c r="AWG230" s="507" t="s">
        <v>1381</v>
      </c>
      <c r="AWH230" s="508"/>
      <c r="AWI230" s="507" t="s">
        <v>1381</v>
      </c>
      <c r="AWJ230" s="508"/>
      <c r="AWK230" s="507" t="s">
        <v>1381</v>
      </c>
      <c r="AWL230" s="508"/>
      <c r="AWM230" s="507" t="s">
        <v>1381</v>
      </c>
      <c r="AWN230" s="508"/>
      <c r="AWO230" s="507" t="s">
        <v>1381</v>
      </c>
      <c r="AWP230" s="508"/>
      <c r="AWQ230" s="507" t="s">
        <v>1381</v>
      </c>
      <c r="AWR230" s="508"/>
      <c r="AWS230" s="507" t="s">
        <v>1381</v>
      </c>
      <c r="AWT230" s="508"/>
      <c r="AWU230" s="507" t="s">
        <v>1381</v>
      </c>
      <c r="AWV230" s="508"/>
      <c r="AWW230" s="507" t="s">
        <v>1381</v>
      </c>
      <c r="AWX230" s="508"/>
      <c r="AWY230" s="507" t="s">
        <v>1381</v>
      </c>
      <c r="AWZ230" s="508"/>
      <c r="AXA230" s="507" t="s">
        <v>1381</v>
      </c>
      <c r="AXB230" s="508"/>
      <c r="AXC230" s="507" t="s">
        <v>1381</v>
      </c>
      <c r="AXD230" s="508"/>
      <c r="AXE230" s="507" t="s">
        <v>1381</v>
      </c>
      <c r="AXF230" s="508"/>
      <c r="AXG230" s="507" t="s">
        <v>1381</v>
      </c>
      <c r="AXH230" s="508"/>
      <c r="AXI230" s="507" t="s">
        <v>1381</v>
      </c>
      <c r="AXJ230" s="508"/>
      <c r="AXK230" s="507" t="s">
        <v>1381</v>
      </c>
      <c r="AXL230" s="508"/>
      <c r="AXM230" s="507" t="s">
        <v>1381</v>
      </c>
      <c r="AXN230" s="508"/>
      <c r="AXO230" s="507" t="s">
        <v>1381</v>
      </c>
      <c r="AXP230" s="508"/>
      <c r="AXQ230" s="507" t="s">
        <v>1381</v>
      </c>
      <c r="AXR230" s="508"/>
      <c r="AXS230" s="507" t="s">
        <v>1381</v>
      </c>
      <c r="AXT230" s="508"/>
      <c r="AXU230" s="507" t="s">
        <v>1381</v>
      </c>
      <c r="AXV230" s="508"/>
      <c r="AXW230" s="507" t="s">
        <v>1381</v>
      </c>
      <c r="AXX230" s="508"/>
      <c r="AXY230" s="507" t="s">
        <v>1381</v>
      </c>
      <c r="AXZ230" s="508"/>
      <c r="AYA230" s="507" t="s">
        <v>1381</v>
      </c>
      <c r="AYB230" s="508"/>
      <c r="AYC230" s="507" t="s">
        <v>1381</v>
      </c>
      <c r="AYD230" s="508"/>
      <c r="AYE230" s="507" t="s">
        <v>1381</v>
      </c>
      <c r="AYF230" s="508"/>
      <c r="AYG230" s="507" t="s">
        <v>1381</v>
      </c>
      <c r="AYH230" s="508"/>
      <c r="AYI230" s="507" t="s">
        <v>1381</v>
      </c>
      <c r="AYJ230" s="508"/>
      <c r="AYK230" s="507" t="s">
        <v>1381</v>
      </c>
      <c r="AYL230" s="508"/>
      <c r="AYM230" s="507" t="s">
        <v>1381</v>
      </c>
      <c r="AYN230" s="508"/>
      <c r="AYO230" s="507" t="s">
        <v>1381</v>
      </c>
      <c r="AYP230" s="508"/>
      <c r="AYQ230" s="507" t="s">
        <v>1381</v>
      </c>
      <c r="AYR230" s="508"/>
      <c r="AYS230" s="507" t="s">
        <v>1381</v>
      </c>
      <c r="AYT230" s="508"/>
      <c r="AYU230" s="507" t="s">
        <v>1381</v>
      </c>
      <c r="AYV230" s="508"/>
      <c r="AYW230" s="507" t="s">
        <v>1381</v>
      </c>
      <c r="AYX230" s="508"/>
      <c r="AYY230" s="507" t="s">
        <v>1381</v>
      </c>
      <c r="AYZ230" s="508"/>
      <c r="AZA230" s="507" t="s">
        <v>1381</v>
      </c>
      <c r="AZB230" s="508"/>
      <c r="AZC230" s="507" t="s">
        <v>1381</v>
      </c>
      <c r="AZD230" s="508"/>
      <c r="AZE230" s="507" t="s">
        <v>1381</v>
      </c>
      <c r="AZF230" s="508"/>
      <c r="AZG230" s="507" t="s">
        <v>1381</v>
      </c>
      <c r="AZH230" s="508"/>
      <c r="AZI230" s="507" t="s">
        <v>1381</v>
      </c>
      <c r="AZJ230" s="508"/>
      <c r="AZK230" s="507" t="s">
        <v>1381</v>
      </c>
      <c r="AZL230" s="508"/>
      <c r="AZM230" s="507" t="s">
        <v>1381</v>
      </c>
      <c r="AZN230" s="508"/>
      <c r="AZO230" s="507" t="s">
        <v>1381</v>
      </c>
      <c r="AZP230" s="508"/>
      <c r="AZQ230" s="507" t="s">
        <v>1381</v>
      </c>
      <c r="AZR230" s="508"/>
      <c r="AZS230" s="507" t="s">
        <v>1381</v>
      </c>
      <c r="AZT230" s="508"/>
      <c r="AZU230" s="507" t="s">
        <v>1381</v>
      </c>
      <c r="AZV230" s="508"/>
      <c r="AZW230" s="507" t="s">
        <v>1381</v>
      </c>
      <c r="AZX230" s="508"/>
      <c r="AZY230" s="507" t="s">
        <v>1381</v>
      </c>
      <c r="AZZ230" s="508"/>
      <c r="BAA230" s="507" t="s">
        <v>1381</v>
      </c>
      <c r="BAB230" s="508"/>
      <c r="BAC230" s="507" t="s">
        <v>1381</v>
      </c>
      <c r="BAD230" s="508"/>
      <c r="BAE230" s="507" t="s">
        <v>1381</v>
      </c>
      <c r="BAF230" s="508"/>
      <c r="BAG230" s="507" t="s">
        <v>1381</v>
      </c>
      <c r="BAH230" s="508"/>
      <c r="BAI230" s="507" t="s">
        <v>1381</v>
      </c>
      <c r="BAJ230" s="508"/>
      <c r="BAK230" s="507" t="s">
        <v>1381</v>
      </c>
      <c r="BAL230" s="508"/>
      <c r="BAM230" s="507" t="s">
        <v>1381</v>
      </c>
      <c r="BAN230" s="508"/>
      <c r="BAO230" s="507" t="s">
        <v>1381</v>
      </c>
      <c r="BAP230" s="508"/>
      <c r="BAQ230" s="507" t="s">
        <v>1381</v>
      </c>
      <c r="BAR230" s="508"/>
      <c r="BAS230" s="507" t="s">
        <v>1381</v>
      </c>
      <c r="BAT230" s="508"/>
      <c r="BAU230" s="507" t="s">
        <v>1381</v>
      </c>
      <c r="BAV230" s="508"/>
      <c r="BAW230" s="507" t="s">
        <v>1381</v>
      </c>
      <c r="BAX230" s="508"/>
      <c r="BAY230" s="507" t="s">
        <v>1381</v>
      </c>
      <c r="BAZ230" s="508"/>
      <c r="BBA230" s="507" t="s">
        <v>1381</v>
      </c>
      <c r="BBB230" s="508"/>
      <c r="BBC230" s="507" t="s">
        <v>1381</v>
      </c>
      <c r="BBD230" s="508"/>
      <c r="BBE230" s="507" t="s">
        <v>1381</v>
      </c>
      <c r="BBF230" s="508"/>
      <c r="BBG230" s="507" t="s">
        <v>1381</v>
      </c>
      <c r="BBH230" s="508"/>
      <c r="BBI230" s="507" t="s">
        <v>1381</v>
      </c>
      <c r="BBJ230" s="508"/>
      <c r="BBK230" s="507" t="s">
        <v>1381</v>
      </c>
      <c r="BBL230" s="508"/>
      <c r="BBM230" s="507" t="s">
        <v>1381</v>
      </c>
      <c r="BBN230" s="508"/>
      <c r="BBO230" s="507" t="s">
        <v>1381</v>
      </c>
      <c r="BBP230" s="508"/>
      <c r="BBQ230" s="507" t="s">
        <v>1381</v>
      </c>
      <c r="BBR230" s="508"/>
      <c r="BBS230" s="507" t="s">
        <v>1381</v>
      </c>
      <c r="BBT230" s="508"/>
      <c r="BBU230" s="507" t="s">
        <v>1381</v>
      </c>
      <c r="BBV230" s="508"/>
      <c r="BBW230" s="507" t="s">
        <v>1381</v>
      </c>
      <c r="BBX230" s="508"/>
      <c r="BBY230" s="507" t="s">
        <v>1381</v>
      </c>
      <c r="BBZ230" s="508"/>
      <c r="BCA230" s="507" t="s">
        <v>1381</v>
      </c>
      <c r="BCB230" s="508"/>
      <c r="BCC230" s="507" t="s">
        <v>1381</v>
      </c>
      <c r="BCD230" s="508"/>
      <c r="BCE230" s="507" t="s">
        <v>1381</v>
      </c>
      <c r="BCF230" s="508"/>
      <c r="BCG230" s="507" t="s">
        <v>1381</v>
      </c>
      <c r="BCH230" s="508"/>
      <c r="BCI230" s="507" t="s">
        <v>1381</v>
      </c>
      <c r="BCJ230" s="508"/>
      <c r="BCK230" s="507" t="s">
        <v>1381</v>
      </c>
      <c r="BCL230" s="508"/>
      <c r="BCM230" s="507" t="s">
        <v>1381</v>
      </c>
      <c r="BCN230" s="508"/>
      <c r="BCO230" s="507" t="s">
        <v>1381</v>
      </c>
      <c r="BCP230" s="508"/>
      <c r="BCQ230" s="507" t="s">
        <v>1381</v>
      </c>
      <c r="BCR230" s="508"/>
      <c r="BCS230" s="507" t="s">
        <v>1381</v>
      </c>
      <c r="BCT230" s="508"/>
      <c r="BCU230" s="507" t="s">
        <v>1381</v>
      </c>
      <c r="BCV230" s="508"/>
      <c r="BCW230" s="507" t="s">
        <v>1381</v>
      </c>
      <c r="BCX230" s="508"/>
      <c r="BCY230" s="507" t="s">
        <v>1381</v>
      </c>
      <c r="BCZ230" s="508"/>
      <c r="BDA230" s="507" t="s">
        <v>1381</v>
      </c>
      <c r="BDB230" s="508"/>
      <c r="BDC230" s="507" t="s">
        <v>1381</v>
      </c>
      <c r="BDD230" s="508"/>
      <c r="BDE230" s="507" t="s">
        <v>1381</v>
      </c>
      <c r="BDF230" s="508"/>
      <c r="BDG230" s="507" t="s">
        <v>1381</v>
      </c>
      <c r="BDH230" s="508"/>
      <c r="BDI230" s="507" t="s">
        <v>1381</v>
      </c>
      <c r="BDJ230" s="508"/>
      <c r="BDK230" s="507" t="s">
        <v>1381</v>
      </c>
      <c r="BDL230" s="508"/>
      <c r="BDM230" s="507" t="s">
        <v>1381</v>
      </c>
      <c r="BDN230" s="508"/>
      <c r="BDO230" s="507" t="s">
        <v>1381</v>
      </c>
      <c r="BDP230" s="508"/>
      <c r="BDQ230" s="507" t="s">
        <v>1381</v>
      </c>
      <c r="BDR230" s="508"/>
      <c r="BDS230" s="507" t="s">
        <v>1381</v>
      </c>
      <c r="BDT230" s="508"/>
      <c r="BDU230" s="507" t="s">
        <v>1381</v>
      </c>
      <c r="BDV230" s="508"/>
      <c r="BDW230" s="507" t="s">
        <v>1381</v>
      </c>
      <c r="BDX230" s="508"/>
      <c r="BDY230" s="507" t="s">
        <v>1381</v>
      </c>
      <c r="BDZ230" s="508"/>
      <c r="BEA230" s="507" t="s">
        <v>1381</v>
      </c>
      <c r="BEB230" s="508"/>
      <c r="BEC230" s="507" t="s">
        <v>1381</v>
      </c>
      <c r="BED230" s="508"/>
      <c r="BEE230" s="507" t="s">
        <v>1381</v>
      </c>
      <c r="BEF230" s="508"/>
      <c r="BEG230" s="507" t="s">
        <v>1381</v>
      </c>
      <c r="BEH230" s="508"/>
      <c r="BEI230" s="507" t="s">
        <v>1381</v>
      </c>
      <c r="BEJ230" s="508"/>
      <c r="BEK230" s="507" t="s">
        <v>1381</v>
      </c>
      <c r="BEL230" s="508"/>
      <c r="BEM230" s="507" t="s">
        <v>1381</v>
      </c>
      <c r="BEN230" s="508"/>
      <c r="BEO230" s="507" t="s">
        <v>1381</v>
      </c>
      <c r="BEP230" s="508"/>
      <c r="BEQ230" s="507" t="s">
        <v>1381</v>
      </c>
      <c r="BER230" s="508"/>
      <c r="BES230" s="507" t="s">
        <v>1381</v>
      </c>
      <c r="BET230" s="508"/>
      <c r="BEU230" s="507" t="s">
        <v>1381</v>
      </c>
      <c r="BEV230" s="508"/>
      <c r="BEW230" s="507" t="s">
        <v>1381</v>
      </c>
      <c r="BEX230" s="508"/>
      <c r="BEY230" s="507" t="s">
        <v>1381</v>
      </c>
      <c r="BEZ230" s="508"/>
      <c r="BFA230" s="507" t="s">
        <v>1381</v>
      </c>
      <c r="BFB230" s="508"/>
      <c r="BFC230" s="507" t="s">
        <v>1381</v>
      </c>
      <c r="BFD230" s="508"/>
      <c r="BFE230" s="507" t="s">
        <v>1381</v>
      </c>
      <c r="BFF230" s="508"/>
      <c r="BFG230" s="507" t="s">
        <v>1381</v>
      </c>
      <c r="BFH230" s="508"/>
      <c r="BFI230" s="507" t="s">
        <v>1381</v>
      </c>
      <c r="BFJ230" s="508"/>
      <c r="BFK230" s="507" t="s">
        <v>1381</v>
      </c>
      <c r="BFL230" s="508"/>
      <c r="BFM230" s="507" t="s">
        <v>1381</v>
      </c>
      <c r="BFN230" s="508"/>
      <c r="BFO230" s="507" t="s">
        <v>1381</v>
      </c>
      <c r="BFP230" s="508"/>
      <c r="BFQ230" s="507" t="s">
        <v>1381</v>
      </c>
      <c r="BFR230" s="508"/>
      <c r="BFS230" s="507" t="s">
        <v>1381</v>
      </c>
      <c r="BFT230" s="508"/>
      <c r="BFU230" s="507" t="s">
        <v>1381</v>
      </c>
      <c r="BFV230" s="508"/>
      <c r="BFW230" s="507" t="s">
        <v>1381</v>
      </c>
      <c r="BFX230" s="508"/>
      <c r="BFY230" s="507" t="s">
        <v>1381</v>
      </c>
      <c r="BFZ230" s="508"/>
      <c r="BGA230" s="507" t="s">
        <v>1381</v>
      </c>
      <c r="BGB230" s="508"/>
      <c r="BGC230" s="507" t="s">
        <v>1381</v>
      </c>
      <c r="BGD230" s="508"/>
      <c r="BGE230" s="507" t="s">
        <v>1381</v>
      </c>
      <c r="BGF230" s="508"/>
      <c r="BGG230" s="507" t="s">
        <v>1381</v>
      </c>
      <c r="BGH230" s="508"/>
      <c r="BGI230" s="507" t="s">
        <v>1381</v>
      </c>
      <c r="BGJ230" s="508"/>
      <c r="BGK230" s="507" t="s">
        <v>1381</v>
      </c>
      <c r="BGL230" s="508"/>
      <c r="BGM230" s="507" t="s">
        <v>1381</v>
      </c>
      <c r="BGN230" s="508"/>
      <c r="BGO230" s="507" t="s">
        <v>1381</v>
      </c>
      <c r="BGP230" s="508"/>
      <c r="BGQ230" s="507" t="s">
        <v>1381</v>
      </c>
      <c r="BGR230" s="508"/>
      <c r="BGS230" s="507" t="s">
        <v>1381</v>
      </c>
      <c r="BGT230" s="508"/>
      <c r="BGU230" s="507" t="s">
        <v>1381</v>
      </c>
      <c r="BGV230" s="508"/>
      <c r="BGW230" s="507" t="s">
        <v>1381</v>
      </c>
      <c r="BGX230" s="508"/>
      <c r="BGY230" s="507" t="s">
        <v>1381</v>
      </c>
      <c r="BGZ230" s="508"/>
      <c r="BHA230" s="507" t="s">
        <v>1381</v>
      </c>
      <c r="BHB230" s="508"/>
      <c r="BHC230" s="507" t="s">
        <v>1381</v>
      </c>
      <c r="BHD230" s="508"/>
      <c r="BHE230" s="507" t="s">
        <v>1381</v>
      </c>
      <c r="BHF230" s="508"/>
      <c r="BHG230" s="507" t="s">
        <v>1381</v>
      </c>
      <c r="BHH230" s="508"/>
      <c r="BHI230" s="507" t="s">
        <v>1381</v>
      </c>
      <c r="BHJ230" s="508"/>
      <c r="BHK230" s="507" t="s">
        <v>1381</v>
      </c>
      <c r="BHL230" s="508"/>
      <c r="BHM230" s="507" t="s">
        <v>1381</v>
      </c>
      <c r="BHN230" s="508"/>
      <c r="BHO230" s="507" t="s">
        <v>1381</v>
      </c>
      <c r="BHP230" s="508"/>
      <c r="BHQ230" s="507" t="s">
        <v>1381</v>
      </c>
      <c r="BHR230" s="508"/>
      <c r="BHS230" s="507" t="s">
        <v>1381</v>
      </c>
      <c r="BHT230" s="508"/>
      <c r="BHU230" s="507" t="s">
        <v>1381</v>
      </c>
      <c r="BHV230" s="508"/>
      <c r="BHW230" s="507" t="s">
        <v>1381</v>
      </c>
      <c r="BHX230" s="508"/>
      <c r="BHY230" s="507" t="s">
        <v>1381</v>
      </c>
      <c r="BHZ230" s="508"/>
      <c r="BIA230" s="507" t="s">
        <v>1381</v>
      </c>
      <c r="BIB230" s="508"/>
      <c r="BIC230" s="507" t="s">
        <v>1381</v>
      </c>
      <c r="BID230" s="508"/>
      <c r="BIE230" s="507" t="s">
        <v>1381</v>
      </c>
      <c r="BIF230" s="508"/>
      <c r="BIG230" s="507" t="s">
        <v>1381</v>
      </c>
      <c r="BIH230" s="508"/>
      <c r="BII230" s="507" t="s">
        <v>1381</v>
      </c>
      <c r="BIJ230" s="508"/>
      <c r="BIK230" s="507" t="s">
        <v>1381</v>
      </c>
      <c r="BIL230" s="508"/>
      <c r="BIM230" s="507" t="s">
        <v>1381</v>
      </c>
      <c r="BIN230" s="508"/>
      <c r="BIO230" s="507" t="s">
        <v>1381</v>
      </c>
      <c r="BIP230" s="508"/>
      <c r="BIQ230" s="507" t="s">
        <v>1381</v>
      </c>
      <c r="BIR230" s="508"/>
      <c r="BIS230" s="507" t="s">
        <v>1381</v>
      </c>
      <c r="BIT230" s="508"/>
      <c r="BIU230" s="507" t="s">
        <v>1381</v>
      </c>
      <c r="BIV230" s="508"/>
      <c r="BIW230" s="507" t="s">
        <v>1381</v>
      </c>
      <c r="BIX230" s="508"/>
      <c r="BIY230" s="507" t="s">
        <v>1381</v>
      </c>
      <c r="BIZ230" s="508"/>
      <c r="BJA230" s="507" t="s">
        <v>1381</v>
      </c>
      <c r="BJB230" s="508"/>
      <c r="BJC230" s="507" t="s">
        <v>1381</v>
      </c>
      <c r="BJD230" s="508"/>
      <c r="BJE230" s="507" t="s">
        <v>1381</v>
      </c>
      <c r="BJF230" s="508"/>
      <c r="BJG230" s="507" t="s">
        <v>1381</v>
      </c>
      <c r="BJH230" s="508"/>
      <c r="BJI230" s="507" t="s">
        <v>1381</v>
      </c>
      <c r="BJJ230" s="508"/>
      <c r="BJK230" s="507" t="s">
        <v>1381</v>
      </c>
      <c r="BJL230" s="508"/>
      <c r="BJM230" s="507" t="s">
        <v>1381</v>
      </c>
      <c r="BJN230" s="508"/>
      <c r="BJO230" s="507" t="s">
        <v>1381</v>
      </c>
      <c r="BJP230" s="508"/>
      <c r="BJQ230" s="507" t="s">
        <v>1381</v>
      </c>
      <c r="BJR230" s="508"/>
      <c r="BJS230" s="507" t="s">
        <v>1381</v>
      </c>
      <c r="BJT230" s="508"/>
      <c r="BJU230" s="507" t="s">
        <v>1381</v>
      </c>
      <c r="BJV230" s="508"/>
      <c r="BJW230" s="507" t="s">
        <v>1381</v>
      </c>
      <c r="BJX230" s="508"/>
      <c r="BJY230" s="507" t="s">
        <v>1381</v>
      </c>
      <c r="BJZ230" s="508"/>
      <c r="BKA230" s="507" t="s">
        <v>1381</v>
      </c>
      <c r="BKB230" s="508"/>
      <c r="BKC230" s="507" t="s">
        <v>1381</v>
      </c>
      <c r="BKD230" s="508"/>
      <c r="BKE230" s="507" t="s">
        <v>1381</v>
      </c>
      <c r="BKF230" s="508"/>
      <c r="BKG230" s="507" t="s">
        <v>1381</v>
      </c>
      <c r="BKH230" s="508"/>
      <c r="BKI230" s="507" t="s">
        <v>1381</v>
      </c>
      <c r="BKJ230" s="508"/>
      <c r="BKK230" s="507" t="s">
        <v>1381</v>
      </c>
      <c r="BKL230" s="508"/>
      <c r="BKM230" s="507" t="s">
        <v>1381</v>
      </c>
      <c r="BKN230" s="508"/>
      <c r="BKO230" s="507" t="s">
        <v>1381</v>
      </c>
      <c r="BKP230" s="508"/>
      <c r="BKQ230" s="507" t="s">
        <v>1381</v>
      </c>
      <c r="BKR230" s="508"/>
      <c r="BKS230" s="507" t="s">
        <v>1381</v>
      </c>
      <c r="BKT230" s="508"/>
      <c r="BKU230" s="507" t="s">
        <v>1381</v>
      </c>
      <c r="BKV230" s="508"/>
      <c r="BKW230" s="507" t="s">
        <v>1381</v>
      </c>
      <c r="BKX230" s="508"/>
      <c r="BKY230" s="507" t="s">
        <v>1381</v>
      </c>
      <c r="BKZ230" s="508"/>
      <c r="BLA230" s="507" t="s">
        <v>1381</v>
      </c>
      <c r="BLB230" s="508"/>
      <c r="BLC230" s="507" t="s">
        <v>1381</v>
      </c>
      <c r="BLD230" s="508"/>
      <c r="BLE230" s="507" t="s">
        <v>1381</v>
      </c>
      <c r="BLF230" s="508"/>
      <c r="BLG230" s="507" t="s">
        <v>1381</v>
      </c>
      <c r="BLH230" s="508"/>
      <c r="BLI230" s="507" t="s">
        <v>1381</v>
      </c>
      <c r="BLJ230" s="508"/>
      <c r="BLK230" s="507" t="s">
        <v>1381</v>
      </c>
      <c r="BLL230" s="508"/>
      <c r="BLM230" s="507" t="s">
        <v>1381</v>
      </c>
      <c r="BLN230" s="508"/>
      <c r="BLO230" s="507" t="s">
        <v>1381</v>
      </c>
      <c r="BLP230" s="508"/>
      <c r="BLQ230" s="507" t="s">
        <v>1381</v>
      </c>
      <c r="BLR230" s="508"/>
      <c r="BLS230" s="507" t="s">
        <v>1381</v>
      </c>
      <c r="BLT230" s="508"/>
      <c r="BLU230" s="507" t="s">
        <v>1381</v>
      </c>
      <c r="BLV230" s="508"/>
      <c r="BLW230" s="507" t="s">
        <v>1381</v>
      </c>
      <c r="BLX230" s="508"/>
      <c r="BLY230" s="507" t="s">
        <v>1381</v>
      </c>
      <c r="BLZ230" s="508"/>
      <c r="BMA230" s="507" t="s">
        <v>1381</v>
      </c>
      <c r="BMB230" s="508"/>
      <c r="BMC230" s="507" t="s">
        <v>1381</v>
      </c>
      <c r="BMD230" s="508"/>
      <c r="BME230" s="507" t="s">
        <v>1381</v>
      </c>
      <c r="BMF230" s="508"/>
      <c r="BMG230" s="507" t="s">
        <v>1381</v>
      </c>
      <c r="BMH230" s="508"/>
      <c r="BMI230" s="507" t="s">
        <v>1381</v>
      </c>
      <c r="BMJ230" s="508"/>
      <c r="BMK230" s="507" t="s">
        <v>1381</v>
      </c>
      <c r="BML230" s="508"/>
      <c r="BMM230" s="507" t="s">
        <v>1381</v>
      </c>
      <c r="BMN230" s="508"/>
      <c r="BMO230" s="507" t="s">
        <v>1381</v>
      </c>
      <c r="BMP230" s="508"/>
      <c r="BMQ230" s="507" t="s">
        <v>1381</v>
      </c>
      <c r="BMR230" s="508"/>
      <c r="BMS230" s="507" t="s">
        <v>1381</v>
      </c>
      <c r="BMT230" s="508"/>
      <c r="BMU230" s="507" t="s">
        <v>1381</v>
      </c>
      <c r="BMV230" s="508"/>
      <c r="BMW230" s="507" t="s">
        <v>1381</v>
      </c>
      <c r="BMX230" s="508"/>
      <c r="BMY230" s="507" t="s">
        <v>1381</v>
      </c>
      <c r="BMZ230" s="508"/>
      <c r="BNA230" s="507" t="s">
        <v>1381</v>
      </c>
      <c r="BNB230" s="508"/>
      <c r="BNC230" s="507" t="s">
        <v>1381</v>
      </c>
      <c r="BND230" s="508"/>
      <c r="BNE230" s="507" t="s">
        <v>1381</v>
      </c>
      <c r="BNF230" s="508"/>
      <c r="BNG230" s="507" t="s">
        <v>1381</v>
      </c>
      <c r="BNH230" s="508"/>
      <c r="BNI230" s="507" t="s">
        <v>1381</v>
      </c>
      <c r="BNJ230" s="508"/>
      <c r="BNK230" s="507" t="s">
        <v>1381</v>
      </c>
      <c r="BNL230" s="508"/>
      <c r="BNM230" s="507" t="s">
        <v>1381</v>
      </c>
      <c r="BNN230" s="508"/>
      <c r="BNO230" s="507" t="s">
        <v>1381</v>
      </c>
      <c r="BNP230" s="508"/>
      <c r="BNQ230" s="507" t="s">
        <v>1381</v>
      </c>
      <c r="BNR230" s="508"/>
      <c r="BNS230" s="507" t="s">
        <v>1381</v>
      </c>
      <c r="BNT230" s="508"/>
      <c r="BNU230" s="507" t="s">
        <v>1381</v>
      </c>
      <c r="BNV230" s="508"/>
      <c r="BNW230" s="507" t="s">
        <v>1381</v>
      </c>
      <c r="BNX230" s="508"/>
      <c r="BNY230" s="507" t="s">
        <v>1381</v>
      </c>
      <c r="BNZ230" s="508"/>
      <c r="BOA230" s="507" t="s">
        <v>1381</v>
      </c>
      <c r="BOB230" s="508"/>
      <c r="BOC230" s="507" t="s">
        <v>1381</v>
      </c>
      <c r="BOD230" s="508"/>
      <c r="BOE230" s="507" t="s">
        <v>1381</v>
      </c>
      <c r="BOF230" s="508"/>
      <c r="BOG230" s="507" t="s">
        <v>1381</v>
      </c>
      <c r="BOH230" s="508"/>
      <c r="BOI230" s="507" t="s">
        <v>1381</v>
      </c>
      <c r="BOJ230" s="508"/>
      <c r="BOK230" s="507" t="s">
        <v>1381</v>
      </c>
      <c r="BOL230" s="508"/>
      <c r="BOM230" s="507" t="s">
        <v>1381</v>
      </c>
      <c r="BON230" s="508"/>
      <c r="BOO230" s="507" t="s">
        <v>1381</v>
      </c>
      <c r="BOP230" s="508"/>
      <c r="BOQ230" s="507" t="s">
        <v>1381</v>
      </c>
      <c r="BOR230" s="508"/>
      <c r="BOS230" s="507" t="s">
        <v>1381</v>
      </c>
      <c r="BOT230" s="508"/>
      <c r="BOU230" s="507" t="s">
        <v>1381</v>
      </c>
      <c r="BOV230" s="508"/>
      <c r="BOW230" s="507" t="s">
        <v>1381</v>
      </c>
      <c r="BOX230" s="508"/>
      <c r="BOY230" s="507" t="s">
        <v>1381</v>
      </c>
      <c r="BOZ230" s="508"/>
      <c r="BPA230" s="507" t="s">
        <v>1381</v>
      </c>
      <c r="BPB230" s="508"/>
      <c r="BPC230" s="507" t="s">
        <v>1381</v>
      </c>
      <c r="BPD230" s="508"/>
      <c r="BPE230" s="507" t="s">
        <v>1381</v>
      </c>
      <c r="BPF230" s="508"/>
      <c r="BPG230" s="507" t="s">
        <v>1381</v>
      </c>
      <c r="BPH230" s="508"/>
      <c r="BPI230" s="507" t="s">
        <v>1381</v>
      </c>
      <c r="BPJ230" s="508"/>
      <c r="BPK230" s="507" t="s">
        <v>1381</v>
      </c>
      <c r="BPL230" s="508"/>
      <c r="BPM230" s="507" t="s">
        <v>1381</v>
      </c>
      <c r="BPN230" s="508"/>
      <c r="BPO230" s="507" t="s">
        <v>1381</v>
      </c>
      <c r="BPP230" s="508"/>
      <c r="BPQ230" s="507" t="s">
        <v>1381</v>
      </c>
      <c r="BPR230" s="508"/>
      <c r="BPS230" s="507" t="s">
        <v>1381</v>
      </c>
      <c r="BPT230" s="508"/>
      <c r="BPU230" s="507" t="s">
        <v>1381</v>
      </c>
      <c r="BPV230" s="508"/>
      <c r="BPW230" s="507" t="s">
        <v>1381</v>
      </c>
      <c r="BPX230" s="508"/>
      <c r="BPY230" s="507" t="s">
        <v>1381</v>
      </c>
      <c r="BPZ230" s="508"/>
      <c r="BQA230" s="507" t="s">
        <v>1381</v>
      </c>
      <c r="BQB230" s="508"/>
      <c r="BQC230" s="507" t="s">
        <v>1381</v>
      </c>
      <c r="BQD230" s="508"/>
      <c r="BQE230" s="507" t="s">
        <v>1381</v>
      </c>
      <c r="BQF230" s="508"/>
      <c r="BQG230" s="507" t="s">
        <v>1381</v>
      </c>
      <c r="BQH230" s="508"/>
      <c r="BQI230" s="507" t="s">
        <v>1381</v>
      </c>
      <c r="BQJ230" s="508"/>
      <c r="BQK230" s="507" t="s">
        <v>1381</v>
      </c>
      <c r="BQL230" s="508"/>
      <c r="BQM230" s="507" t="s">
        <v>1381</v>
      </c>
      <c r="BQN230" s="508"/>
      <c r="BQO230" s="507" t="s">
        <v>1381</v>
      </c>
      <c r="BQP230" s="508"/>
      <c r="BQQ230" s="507" t="s">
        <v>1381</v>
      </c>
      <c r="BQR230" s="508"/>
      <c r="BQS230" s="507" t="s">
        <v>1381</v>
      </c>
      <c r="BQT230" s="508"/>
      <c r="BQU230" s="507" t="s">
        <v>1381</v>
      </c>
      <c r="BQV230" s="508"/>
      <c r="BQW230" s="507" t="s">
        <v>1381</v>
      </c>
      <c r="BQX230" s="508"/>
      <c r="BQY230" s="507" t="s">
        <v>1381</v>
      </c>
      <c r="BQZ230" s="508"/>
      <c r="BRA230" s="507" t="s">
        <v>1381</v>
      </c>
      <c r="BRB230" s="508"/>
      <c r="BRC230" s="507" t="s">
        <v>1381</v>
      </c>
      <c r="BRD230" s="508"/>
      <c r="BRE230" s="507" t="s">
        <v>1381</v>
      </c>
      <c r="BRF230" s="508"/>
      <c r="BRG230" s="507" t="s">
        <v>1381</v>
      </c>
      <c r="BRH230" s="508"/>
      <c r="BRI230" s="507" t="s">
        <v>1381</v>
      </c>
      <c r="BRJ230" s="508"/>
      <c r="BRK230" s="507" t="s">
        <v>1381</v>
      </c>
      <c r="BRL230" s="508"/>
      <c r="BRM230" s="507" t="s">
        <v>1381</v>
      </c>
      <c r="BRN230" s="508"/>
      <c r="BRO230" s="507" t="s">
        <v>1381</v>
      </c>
      <c r="BRP230" s="508"/>
      <c r="BRQ230" s="507" t="s">
        <v>1381</v>
      </c>
      <c r="BRR230" s="508"/>
      <c r="BRS230" s="507" t="s">
        <v>1381</v>
      </c>
      <c r="BRT230" s="508"/>
      <c r="BRU230" s="507" t="s">
        <v>1381</v>
      </c>
      <c r="BRV230" s="508"/>
      <c r="BRW230" s="507" t="s">
        <v>1381</v>
      </c>
      <c r="BRX230" s="508"/>
      <c r="BRY230" s="507" t="s">
        <v>1381</v>
      </c>
      <c r="BRZ230" s="508"/>
      <c r="BSA230" s="507" t="s">
        <v>1381</v>
      </c>
      <c r="BSB230" s="508"/>
      <c r="BSC230" s="507" t="s">
        <v>1381</v>
      </c>
      <c r="BSD230" s="508"/>
      <c r="BSE230" s="507" t="s">
        <v>1381</v>
      </c>
      <c r="BSF230" s="508"/>
      <c r="BSG230" s="507" t="s">
        <v>1381</v>
      </c>
      <c r="BSH230" s="508"/>
      <c r="BSI230" s="507" t="s">
        <v>1381</v>
      </c>
      <c r="BSJ230" s="508"/>
      <c r="BSK230" s="507" t="s">
        <v>1381</v>
      </c>
      <c r="BSL230" s="508"/>
      <c r="BSM230" s="507" t="s">
        <v>1381</v>
      </c>
      <c r="BSN230" s="508"/>
      <c r="BSO230" s="507" t="s">
        <v>1381</v>
      </c>
      <c r="BSP230" s="508"/>
      <c r="BSQ230" s="507" t="s">
        <v>1381</v>
      </c>
      <c r="BSR230" s="508"/>
      <c r="BSS230" s="507" t="s">
        <v>1381</v>
      </c>
      <c r="BST230" s="508"/>
      <c r="BSU230" s="507" t="s">
        <v>1381</v>
      </c>
      <c r="BSV230" s="508"/>
      <c r="BSW230" s="507" t="s">
        <v>1381</v>
      </c>
      <c r="BSX230" s="508"/>
      <c r="BSY230" s="507" t="s">
        <v>1381</v>
      </c>
      <c r="BSZ230" s="508"/>
      <c r="BTA230" s="507" t="s">
        <v>1381</v>
      </c>
      <c r="BTB230" s="508"/>
      <c r="BTC230" s="507" t="s">
        <v>1381</v>
      </c>
      <c r="BTD230" s="508"/>
      <c r="BTE230" s="507" t="s">
        <v>1381</v>
      </c>
      <c r="BTF230" s="508"/>
      <c r="BTG230" s="507" t="s">
        <v>1381</v>
      </c>
      <c r="BTH230" s="508"/>
      <c r="BTI230" s="507" t="s">
        <v>1381</v>
      </c>
      <c r="BTJ230" s="508"/>
      <c r="BTK230" s="507" t="s">
        <v>1381</v>
      </c>
      <c r="BTL230" s="508"/>
      <c r="BTM230" s="507" t="s">
        <v>1381</v>
      </c>
      <c r="BTN230" s="508"/>
      <c r="BTO230" s="507" t="s">
        <v>1381</v>
      </c>
      <c r="BTP230" s="508"/>
      <c r="BTQ230" s="507" t="s">
        <v>1381</v>
      </c>
      <c r="BTR230" s="508"/>
      <c r="BTS230" s="507" t="s">
        <v>1381</v>
      </c>
      <c r="BTT230" s="508"/>
      <c r="BTU230" s="507" t="s">
        <v>1381</v>
      </c>
      <c r="BTV230" s="508"/>
      <c r="BTW230" s="507" t="s">
        <v>1381</v>
      </c>
      <c r="BTX230" s="508"/>
      <c r="BTY230" s="507" t="s">
        <v>1381</v>
      </c>
      <c r="BTZ230" s="508"/>
      <c r="BUA230" s="507" t="s">
        <v>1381</v>
      </c>
      <c r="BUB230" s="508"/>
      <c r="BUC230" s="507" t="s">
        <v>1381</v>
      </c>
      <c r="BUD230" s="508"/>
      <c r="BUE230" s="507" t="s">
        <v>1381</v>
      </c>
      <c r="BUF230" s="508"/>
      <c r="BUG230" s="507" t="s">
        <v>1381</v>
      </c>
      <c r="BUH230" s="508"/>
      <c r="BUI230" s="507" t="s">
        <v>1381</v>
      </c>
      <c r="BUJ230" s="508"/>
      <c r="BUK230" s="507" t="s">
        <v>1381</v>
      </c>
      <c r="BUL230" s="508"/>
      <c r="BUM230" s="507" t="s">
        <v>1381</v>
      </c>
      <c r="BUN230" s="508"/>
      <c r="BUO230" s="507" t="s">
        <v>1381</v>
      </c>
      <c r="BUP230" s="508"/>
      <c r="BUQ230" s="507" t="s">
        <v>1381</v>
      </c>
      <c r="BUR230" s="508"/>
      <c r="BUS230" s="507" t="s">
        <v>1381</v>
      </c>
      <c r="BUT230" s="508"/>
      <c r="BUU230" s="507" t="s">
        <v>1381</v>
      </c>
      <c r="BUV230" s="508"/>
      <c r="BUW230" s="507" t="s">
        <v>1381</v>
      </c>
      <c r="BUX230" s="508"/>
      <c r="BUY230" s="507" t="s">
        <v>1381</v>
      </c>
      <c r="BUZ230" s="508"/>
      <c r="BVA230" s="507" t="s">
        <v>1381</v>
      </c>
      <c r="BVB230" s="508"/>
      <c r="BVC230" s="507" t="s">
        <v>1381</v>
      </c>
      <c r="BVD230" s="508"/>
      <c r="BVE230" s="507" t="s">
        <v>1381</v>
      </c>
      <c r="BVF230" s="508"/>
      <c r="BVG230" s="507" t="s">
        <v>1381</v>
      </c>
      <c r="BVH230" s="508"/>
      <c r="BVI230" s="507" t="s">
        <v>1381</v>
      </c>
      <c r="BVJ230" s="508"/>
      <c r="BVK230" s="507" t="s">
        <v>1381</v>
      </c>
      <c r="BVL230" s="508"/>
      <c r="BVM230" s="507" t="s">
        <v>1381</v>
      </c>
      <c r="BVN230" s="508"/>
      <c r="BVO230" s="507" t="s">
        <v>1381</v>
      </c>
      <c r="BVP230" s="508"/>
      <c r="BVQ230" s="507" t="s">
        <v>1381</v>
      </c>
      <c r="BVR230" s="508"/>
      <c r="BVS230" s="507" t="s">
        <v>1381</v>
      </c>
      <c r="BVT230" s="508"/>
      <c r="BVU230" s="507" t="s">
        <v>1381</v>
      </c>
      <c r="BVV230" s="508"/>
      <c r="BVW230" s="507" t="s">
        <v>1381</v>
      </c>
      <c r="BVX230" s="508"/>
      <c r="BVY230" s="507" t="s">
        <v>1381</v>
      </c>
      <c r="BVZ230" s="508"/>
      <c r="BWA230" s="507" t="s">
        <v>1381</v>
      </c>
      <c r="BWB230" s="508"/>
      <c r="BWC230" s="507" t="s">
        <v>1381</v>
      </c>
      <c r="BWD230" s="508"/>
      <c r="BWE230" s="507" t="s">
        <v>1381</v>
      </c>
      <c r="BWF230" s="508"/>
      <c r="BWG230" s="507" t="s">
        <v>1381</v>
      </c>
      <c r="BWH230" s="508"/>
      <c r="BWI230" s="507" t="s">
        <v>1381</v>
      </c>
      <c r="BWJ230" s="508"/>
      <c r="BWK230" s="507" t="s">
        <v>1381</v>
      </c>
      <c r="BWL230" s="508"/>
      <c r="BWM230" s="507" t="s">
        <v>1381</v>
      </c>
      <c r="BWN230" s="508"/>
      <c r="BWO230" s="507" t="s">
        <v>1381</v>
      </c>
      <c r="BWP230" s="508"/>
      <c r="BWQ230" s="507" t="s">
        <v>1381</v>
      </c>
      <c r="BWR230" s="508"/>
      <c r="BWS230" s="507" t="s">
        <v>1381</v>
      </c>
      <c r="BWT230" s="508"/>
      <c r="BWU230" s="507" t="s">
        <v>1381</v>
      </c>
      <c r="BWV230" s="508"/>
      <c r="BWW230" s="507" t="s">
        <v>1381</v>
      </c>
      <c r="BWX230" s="508"/>
      <c r="BWY230" s="507" t="s">
        <v>1381</v>
      </c>
      <c r="BWZ230" s="508"/>
      <c r="BXA230" s="507" t="s">
        <v>1381</v>
      </c>
      <c r="BXB230" s="508"/>
      <c r="BXC230" s="507" t="s">
        <v>1381</v>
      </c>
      <c r="BXD230" s="508"/>
      <c r="BXE230" s="507" t="s">
        <v>1381</v>
      </c>
      <c r="BXF230" s="508"/>
      <c r="BXG230" s="507" t="s">
        <v>1381</v>
      </c>
      <c r="BXH230" s="508"/>
      <c r="BXI230" s="507" t="s">
        <v>1381</v>
      </c>
      <c r="BXJ230" s="508"/>
      <c r="BXK230" s="507" t="s">
        <v>1381</v>
      </c>
      <c r="BXL230" s="508"/>
      <c r="BXM230" s="507" t="s">
        <v>1381</v>
      </c>
      <c r="BXN230" s="508"/>
      <c r="BXO230" s="507" t="s">
        <v>1381</v>
      </c>
      <c r="BXP230" s="508"/>
      <c r="BXQ230" s="507" t="s">
        <v>1381</v>
      </c>
      <c r="BXR230" s="508"/>
      <c r="BXS230" s="507" t="s">
        <v>1381</v>
      </c>
      <c r="BXT230" s="508"/>
      <c r="BXU230" s="507" t="s">
        <v>1381</v>
      </c>
      <c r="BXV230" s="508"/>
      <c r="BXW230" s="507" t="s">
        <v>1381</v>
      </c>
      <c r="BXX230" s="508"/>
      <c r="BXY230" s="507" t="s">
        <v>1381</v>
      </c>
      <c r="BXZ230" s="508"/>
      <c r="BYA230" s="507" t="s">
        <v>1381</v>
      </c>
      <c r="BYB230" s="508"/>
      <c r="BYC230" s="507" t="s">
        <v>1381</v>
      </c>
      <c r="BYD230" s="508"/>
      <c r="BYE230" s="507" t="s">
        <v>1381</v>
      </c>
      <c r="BYF230" s="508"/>
      <c r="BYG230" s="507" t="s">
        <v>1381</v>
      </c>
      <c r="BYH230" s="508"/>
      <c r="BYI230" s="507" t="s">
        <v>1381</v>
      </c>
      <c r="BYJ230" s="508"/>
      <c r="BYK230" s="507" t="s">
        <v>1381</v>
      </c>
      <c r="BYL230" s="508"/>
      <c r="BYM230" s="507" t="s">
        <v>1381</v>
      </c>
      <c r="BYN230" s="508"/>
      <c r="BYO230" s="507" t="s">
        <v>1381</v>
      </c>
      <c r="BYP230" s="508"/>
      <c r="BYQ230" s="507" t="s">
        <v>1381</v>
      </c>
      <c r="BYR230" s="508"/>
      <c r="BYS230" s="507" t="s">
        <v>1381</v>
      </c>
      <c r="BYT230" s="508"/>
      <c r="BYU230" s="507" t="s">
        <v>1381</v>
      </c>
      <c r="BYV230" s="508"/>
      <c r="BYW230" s="507" t="s">
        <v>1381</v>
      </c>
      <c r="BYX230" s="508"/>
      <c r="BYY230" s="507" t="s">
        <v>1381</v>
      </c>
      <c r="BYZ230" s="508"/>
      <c r="BZA230" s="507" t="s">
        <v>1381</v>
      </c>
      <c r="BZB230" s="508"/>
      <c r="BZC230" s="507" t="s">
        <v>1381</v>
      </c>
      <c r="BZD230" s="508"/>
      <c r="BZE230" s="507" t="s">
        <v>1381</v>
      </c>
      <c r="BZF230" s="508"/>
      <c r="BZG230" s="507" t="s">
        <v>1381</v>
      </c>
      <c r="BZH230" s="508"/>
      <c r="BZI230" s="507" t="s">
        <v>1381</v>
      </c>
      <c r="BZJ230" s="508"/>
      <c r="BZK230" s="507" t="s">
        <v>1381</v>
      </c>
      <c r="BZL230" s="508"/>
      <c r="BZM230" s="507" t="s">
        <v>1381</v>
      </c>
      <c r="BZN230" s="508"/>
      <c r="BZO230" s="507" t="s">
        <v>1381</v>
      </c>
      <c r="BZP230" s="508"/>
      <c r="BZQ230" s="507" t="s">
        <v>1381</v>
      </c>
      <c r="BZR230" s="508"/>
      <c r="BZS230" s="507" t="s">
        <v>1381</v>
      </c>
      <c r="BZT230" s="508"/>
      <c r="BZU230" s="507" t="s">
        <v>1381</v>
      </c>
      <c r="BZV230" s="508"/>
      <c r="BZW230" s="507" t="s">
        <v>1381</v>
      </c>
      <c r="BZX230" s="508"/>
      <c r="BZY230" s="507" t="s">
        <v>1381</v>
      </c>
      <c r="BZZ230" s="508"/>
      <c r="CAA230" s="507" t="s">
        <v>1381</v>
      </c>
      <c r="CAB230" s="508"/>
      <c r="CAC230" s="507" t="s">
        <v>1381</v>
      </c>
      <c r="CAD230" s="508"/>
      <c r="CAE230" s="507" t="s">
        <v>1381</v>
      </c>
      <c r="CAF230" s="508"/>
      <c r="CAG230" s="507" t="s">
        <v>1381</v>
      </c>
      <c r="CAH230" s="508"/>
      <c r="CAI230" s="507" t="s">
        <v>1381</v>
      </c>
      <c r="CAJ230" s="508"/>
      <c r="CAK230" s="507" t="s">
        <v>1381</v>
      </c>
      <c r="CAL230" s="508"/>
      <c r="CAM230" s="507" t="s">
        <v>1381</v>
      </c>
      <c r="CAN230" s="508"/>
      <c r="CAO230" s="507" t="s">
        <v>1381</v>
      </c>
      <c r="CAP230" s="508"/>
      <c r="CAQ230" s="507" t="s">
        <v>1381</v>
      </c>
      <c r="CAR230" s="508"/>
      <c r="CAS230" s="507" t="s">
        <v>1381</v>
      </c>
      <c r="CAT230" s="508"/>
      <c r="CAU230" s="507" t="s">
        <v>1381</v>
      </c>
      <c r="CAV230" s="508"/>
      <c r="CAW230" s="507" t="s">
        <v>1381</v>
      </c>
      <c r="CAX230" s="508"/>
      <c r="CAY230" s="507" t="s">
        <v>1381</v>
      </c>
      <c r="CAZ230" s="508"/>
      <c r="CBA230" s="507" t="s">
        <v>1381</v>
      </c>
      <c r="CBB230" s="508"/>
      <c r="CBC230" s="507" t="s">
        <v>1381</v>
      </c>
      <c r="CBD230" s="508"/>
      <c r="CBE230" s="507" t="s">
        <v>1381</v>
      </c>
      <c r="CBF230" s="508"/>
      <c r="CBG230" s="507" t="s">
        <v>1381</v>
      </c>
      <c r="CBH230" s="508"/>
      <c r="CBI230" s="507" t="s">
        <v>1381</v>
      </c>
      <c r="CBJ230" s="508"/>
      <c r="CBK230" s="507" t="s">
        <v>1381</v>
      </c>
      <c r="CBL230" s="508"/>
      <c r="CBM230" s="507" t="s">
        <v>1381</v>
      </c>
      <c r="CBN230" s="508"/>
      <c r="CBO230" s="507" t="s">
        <v>1381</v>
      </c>
      <c r="CBP230" s="508"/>
      <c r="CBQ230" s="507" t="s">
        <v>1381</v>
      </c>
      <c r="CBR230" s="508"/>
      <c r="CBS230" s="507" t="s">
        <v>1381</v>
      </c>
      <c r="CBT230" s="508"/>
      <c r="CBU230" s="507" t="s">
        <v>1381</v>
      </c>
      <c r="CBV230" s="508"/>
      <c r="CBW230" s="507" t="s">
        <v>1381</v>
      </c>
      <c r="CBX230" s="508"/>
      <c r="CBY230" s="507" t="s">
        <v>1381</v>
      </c>
      <c r="CBZ230" s="508"/>
      <c r="CCA230" s="507" t="s">
        <v>1381</v>
      </c>
      <c r="CCB230" s="508"/>
      <c r="CCC230" s="507" t="s">
        <v>1381</v>
      </c>
      <c r="CCD230" s="508"/>
      <c r="CCE230" s="507" t="s">
        <v>1381</v>
      </c>
      <c r="CCF230" s="508"/>
      <c r="CCG230" s="507" t="s">
        <v>1381</v>
      </c>
      <c r="CCH230" s="508"/>
      <c r="CCI230" s="507" t="s">
        <v>1381</v>
      </c>
      <c r="CCJ230" s="508"/>
      <c r="CCK230" s="507" t="s">
        <v>1381</v>
      </c>
      <c r="CCL230" s="508"/>
      <c r="CCM230" s="507" t="s">
        <v>1381</v>
      </c>
      <c r="CCN230" s="508"/>
      <c r="CCO230" s="507" t="s">
        <v>1381</v>
      </c>
      <c r="CCP230" s="508"/>
      <c r="CCQ230" s="507" t="s">
        <v>1381</v>
      </c>
      <c r="CCR230" s="508"/>
      <c r="CCS230" s="507" t="s">
        <v>1381</v>
      </c>
      <c r="CCT230" s="508"/>
      <c r="CCU230" s="507" t="s">
        <v>1381</v>
      </c>
      <c r="CCV230" s="508"/>
      <c r="CCW230" s="507" t="s">
        <v>1381</v>
      </c>
      <c r="CCX230" s="508"/>
      <c r="CCY230" s="507" t="s">
        <v>1381</v>
      </c>
      <c r="CCZ230" s="508"/>
      <c r="CDA230" s="507" t="s">
        <v>1381</v>
      </c>
      <c r="CDB230" s="508"/>
      <c r="CDC230" s="507" t="s">
        <v>1381</v>
      </c>
      <c r="CDD230" s="508"/>
      <c r="CDE230" s="507" t="s">
        <v>1381</v>
      </c>
      <c r="CDF230" s="508"/>
      <c r="CDG230" s="507" t="s">
        <v>1381</v>
      </c>
      <c r="CDH230" s="508"/>
      <c r="CDI230" s="507" t="s">
        <v>1381</v>
      </c>
      <c r="CDJ230" s="508"/>
      <c r="CDK230" s="507" t="s">
        <v>1381</v>
      </c>
      <c r="CDL230" s="508"/>
      <c r="CDM230" s="507" t="s">
        <v>1381</v>
      </c>
      <c r="CDN230" s="508"/>
      <c r="CDO230" s="507" t="s">
        <v>1381</v>
      </c>
      <c r="CDP230" s="508"/>
      <c r="CDQ230" s="507" t="s">
        <v>1381</v>
      </c>
      <c r="CDR230" s="508"/>
      <c r="CDS230" s="507" t="s">
        <v>1381</v>
      </c>
      <c r="CDT230" s="508"/>
      <c r="CDU230" s="507" t="s">
        <v>1381</v>
      </c>
      <c r="CDV230" s="508"/>
      <c r="CDW230" s="507" t="s">
        <v>1381</v>
      </c>
      <c r="CDX230" s="508"/>
      <c r="CDY230" s="507" t="s">
        <v>1381</v>
      </c>
      <c r="CDZ230" s="508"/>
      <c r="CEA230" s="507" t="s">
        <v>1381</v>
      </c>
      <c r="CEB230" s="508"/>
      <c r="CEC230" s="507" t="s">
        <v>1381</v>
      </c>
      <c r="CED230" s="508"/>
      <c r="CEE230" s="507" t="s">
        <v>1381</v>
      </c>
      <c r="CEF230" s="508"/>
      <c r="CEG230" s="507" t="s">
        <v>1381</v>
      </c>
      <c r="CEH230" s="508"/>
      <c r="CEI230" s="507" t="s">
        <v>1381</v>
      </c>
      <c r="CEJ230" s="508"/>
      <c r="CEK230" s="507" t="s">
        <v>1381</v>
      </c>
      <c r="CEL230" s="508"/>
      <c r="CEM230" s="507" t="s">
        <v>1381</v>
      </c>
      <c r="CEN230" s="508"/>
      <c r="CEO230" s="507" t="s">
        <v>1381</v>
      </c>
      <c r="CEP230" s="508"/>
      <c r="CEQ230" s="507" t="s">
        <v>1381</v>
      </c>
      <c r="CER230" s="508"/>
      <c r="CES230" s="507" t="s">
        <v>1381</v>
      </c>
      <c r="CET230" s="508"/>
      <c r="CEU230" s="507" t="s">
        <v>1381</v>
      </c>
      <c r="CEV230" s="508"/>
      <c r="CEW230" s="507" t="s">
        <v>1381</v>
      </c>
      <c r="CEX230" s="508"/>
      <c r="CEY230" s="507" t="s">
        <v>1381</v>
      </c>
      <c r="CEZ230" s="508"/>
      <c r="CFA230" s="507" t="s">
        <v>1381</v>
      </c>
      <c r="CFB230" s="508"/>
      <c r="CFC230" s="507" t="s">
        <v>1381</v>
      </c>
      <c r="CFD230" s="508"/>
      <c r="CFE230" s="507" t="s">
        <v>1381</v>
      </c>
      <c r="CFF230" s="508"/>
      <c r="CFG230" s="507" t="s">
        <v>1381</v>
      </c>
      <c r="CFH230" s="508"/>
      <c r="CFI230" s="507" t="s">
        <v>1381</v>
      </c>
      <c r="CFJ230" s="508"/>
      <c r="CFK230" s="507" t="s">
        <v>1381</v>
      </c>
      <c r="CFL230" s="508"/>
      <c r="CFM230" s="507" t="s">
        <v>1381</v>
      </c>
      <c r="CFN230" s="508"/>
      <c r="CFO230" s="507" t="s">
        <v>1381</v>
      </c>
      <c r="CFP230" s="508"/>
      <c r="CFQ230" s="507" t="s">
        <v>1381</v>
      </c>
      <c r="CFR230" s="508"/>
      <c r="CFS230" s="507" t="s">
        <v>1381</v>
      </c>
      <c r="CFT230" s="508"/>
      <c r="CFU230" s="507" t="s">
        <v>1381</v>
      </c>
      <c r="CFV230" s="508"/>
      <c r="CFW230" s="507" t="s">
        <v>1381</v>
      </c>
      <c r="CFX230" s="508"/>
      <c r="CFY230" s="507" t="s">
        <v>1381</v>
      </c>
      <c r="CFZ230" s="508"/>
      <c r="CGA230" s="507" t="s">
        <v>1381</v>
      </c>
      <c r="CGB230" s="508"/>
      <c r="CGC230" s="507" t="s">
        <v>1381</v>
      </c>
      <c r="CGD230" s="508"/>
      <c r="CGE230" s="507" t="s">
        <v>1381</v>
      </c>
      <c r="CGF230" s="508"/>
      <c r="CGG230" s="507" t="s">
        <v>1381</v>
      </c>
      <c r="CGH230" s="508"/>
      <c r="CGI230" s="507" t="s">
        <v>1381</v>
      </c>
      <c r="CGJ230" s="508"/>
      <c r="CGK230" s="507" t="s">
        <v>1381</v>
      </c>
      <c r="CGL230" s="508"/>
      <c r="CGM230" s="507" t="s">
        <v>1381</v>
      </c>
      <c r="CGN230" s="508"/>
      <c r="CGO230" s="507" t="s">
        <v>1381</v>
      </c>
      <c r="CGP230" s="508"/>
      <c r="CGQ230" s="507" t="s">
        <v>1381</v>
      </c>
      <c r="CGR230" s="508"/>
      <c r="CGS230" s="507" t="s">
        <v>1381</v>
      </c>
      <c r="CGT230" s="508"/>
      <c r="CGU230" s="507" t="s">
        <v>1381</v>
      </c>
      <c r="CGV230" s="508"/>
      <c r="CGW230" s="507" t="s">
        <v>1381</v>
      </c>
      <c r="CGX230" s="508"/>
      <c r="CGY230" s="507" t="s">
        <v>1381</v>
      </c>
      <c r="CGZ230" s="508"/>
      <c r="CHA230" s="507" t="s">
        <v>1381</v>
      </c>
      <c r="CHB230" s="508"/>
      <c r="CHC230" s="507" t="s">
        <v>1381</v>
      </c>
      <c r="CHD230" s="508"/>
      <c r="CHE230" s="507" t="s">
        <v>1381</v>
      </c>
      <c r="CHF230" s="508"/>
      <c r="CHG230" s="507" t="s">
        <v>1381</v>
      </c>
      <c r="CHH230" s="508"/>
      <c r="CHI230" s="507" t="s">
        <v>1381</v>
      </c>
      <c r="CHJ230" s="508"/>
      <c r="CHK230" s="507" t="s">
        <v>1381</v>
      </c>
      <c r="CHL230" s="508"/>
      <c r="CHM230" s="507" t="s">
        <v>1381</v>
      </c>
      <c r="CHN230" s="508"/>
      <c r="CHO230" s="507" t="s">
        <v>1381</v>
      </c>
      <c r="CHP230" s="508"/>
      <c r="CHQ230" s="507" t="s">
        <v>1381</v>
      </c>
      <c r="CHR230" s="508"/>
      <c r="CHS230" s="507" t="s">
        <v>1381</v>
      </c>
      <c r="CHT230" s="508"/>
      <c r="CHU230" s="507" t="s">
        <v>1381</v>
      </c>
      <c r="CHV230" s="508"/>
      <c r="CHW230" s="507" t="s">
        <v>1381</v>
      </c>
      <c r="CHX230" s="508"/>
      <c r="CHY230" s="507" t="s">
        <v>1381</v>
      </c>
      <c r="CHZ230" s="508"/>
      <c r="CIA230" s="507" t="s">
        <v>1381</v>
      </c>
      <c r="CIB230" s="508"/>
      <c r="CIC230" s="507" t="s">
        <v>1381</v>
      </c>
      <c r="CID230" s="508"/>
      <c r="CIE230" s="507" t="s">
        <v>1381</v>
      </c>
      <c r="CIF230" s="508"/>
      <c r="CIG230" s="507" t="s">
        <v>1381</v>
      </c>
      <c r="CIH230" s="508"/>
      <c r="CII230" s="507" t="s">
        <v>1381</v>
      </c>
      <c r="CIJ230" s="508"/>
      <c r="CIK230" s="507" t="s">
        <v>1381</v>
      </c>
      <c r="CIL230" s="508"/>
      <c r="CIM230" s="507" t="s">
        <v>1381</v>
      </c>
      <c r="CIN230" s="508"/>
      <c r="CIO230" s="507" t="s">
        <v>1381</v>
      </c>
      <c r="CIP230" s="508"/>
      <c r="CIQ230" s="507" t="s">
        <v>1381</v>
      </c>
      <c r="CIR230" s="508"/>
      <c r="CIS230" s="507" t="s">
        <v>1381</v>
      </c>
      <c r="CIT230" s="508"/>
      <c r="CIU230" s="507" t="s">
        <v>1381</v>
      </c>
      <c r="CIV230" s="508"/>
      <c r="CIW230" s="507" t="s">
        <v>1381</v>
      </c>
      <c r="CIX230" s="508"/>
      <c r="CIY230" s="507" t="s">
        <v>1381</v>
      </c>
      <c r="CIZ230" s="508"/>
      <c r="CJA230" s="507" t="s">
        <v>1381</v>
      </c>
      <c r="CJB230" s="508"/>
      <c r="CJC230" s="507" t="s">
        <v>1381</v>
      </c>
      <c r="CJD230" s="508"/>
      <c r="CJE230" s="507" t="s">
        <v>1381</v>
      </c>
      <c r="CJF230" s="508"/>
      <c r="CJG230" s="507" t="s">
        <v>1381</v>
      </c>
      <c r="CJH230" s="508"/>
      <c r="CJI230" s="507" t="s">
        <v>1381</v>
      </c>
      <c r="CJJ230" s="508"/>
      <c r="CJK230" s="507" t="s">
        <v>1381</v>
      </c>
      <c r="CJL230" s="508"/>
      <c r="CJM230" s="507" t="s">
        <v>1381</v>
      </c>
      <c r="CJN230" s="508"/>
      <c r="CJO230" s="507" t="s">
        <v>1381</v>
      </c>
      <c r="CJP230" s="508"/>
      <c r="CJQ230" s="507" t="s">
        <v>1381</v>
      </c>
      <c r="CJR230" s="508"/>
      <c r="CJS230" s="507" t="s">
        <v>1381</v>
      </c>
      <c r="CJT230" s="508"/>
      <c r="CJU230" s="507" t="s">
        <v>1381</v>
      </c>
      <c r="CJV230" s="508"/>
      <c r="CJW230" s="507" t="s">
        <v>1381</v>
      </c>
      <c r="CJX230" s="508"/>
      <c r="CJY230" s="507" t="s">
        <v>1381</v>
      </c>
      <c r="CJZ230" s="508"/>
      <c r="CKA230" s="507" t="s">
        <v>1381</v>
      </c>
      <c r="CKB230" s="508"/>
      <c r="CKC230" s="507" t="s">
        <v>1381</v>
      </c>
      <c r="CKD230" s="508"/>
      <c r="CKE230" s="507" t="s">
        <v>1381</v>
      </c>
      <c r="CKF230" s="508"/>
      <c r="CKG230" s="507" t="s">
        <v>1381</v>
      </c>
      <c r="CKH230" s="508"/>
      <c r="CKI230" s="507" t="s">
        <v>1381</v>
      </c>
      <c r="CKJ230" s="508"/>
      <c r="CKK230" s="507" t="s">
        <v>1381</v>
      </c>
      <c r="CKL230" s="508"/>
      <c r="CKM230" s="507" t="s">
        <v>1381</v>
      </c>
      <c r="CKN230" s="508"/>
      <c r="CKO230" s="507" t="s">
        <v>1381</v>
      </c>
      <c r="CKP230" s="508"/>
      <c r="CKQ230" s="507" t="s">
        <v>1381</v>
      </c>
      <c r="CKR230" s="508"/>
      <c r="CKS230" s="507" t="s">
        <v>1381</v>
      </c>
      <c r="CKT230" s="508"/>
      <c r="CKU230" s="507" t="s">
        <v>1381</v>
      </c>
      <c r="CKV230" s="508"/>
      <c r="CKW230" s="507" t="s">
        <v>1381</v>
      </c>
      <c r="CKX230" s="508"/>
      <c r="CKY230" s="507" t="s">
        <v>1381</v>
      </c>
      <c r="CKZ230" s="508"/>
      <c r="CLA230" s="507" t="s">
        <v>1381</v>
      </c>
      <c r="CLB230" s="508"/>
      <c r="CLC230" s="507" t="s">
        <v>1381</v>
      </c>
      <c r="CLD230" s="508"/>
      <c r="CLE230" s="507" t="s">
        <v>1381</v>
      </c>
      <c r="CLF230" s="508"/>
      <c r="CLG230" s="507" t="s">
        <v>1381</v>
      </c>
      <c r="CLH230" s="508"/>
      <c r="CLI230" s="507" t="s">
        <v>1381</v>
      </c>
      <c r="CLJ230" s="508"/>
      <c r="CLK230" s="507" t="s">
        <v>1381</v>
      </c>
      <c r="CLL230" s="508"/>
      <c r="CLM230" s="507" t="s">
        <v>1381</v>
      </c>
      <c r="CLN230" s="508"/>
      <c r="CLO230" s="507" t="s">
        <v>1381</v>
      </c>
      <c r="CLP230" s="508"/>
      <c r="CLQ230" s="507" t="s">
        <v>1381</v>
      </c>
      <c r="CLR230" s="508"/>
      <c r="CLS230" s="507" t="s">
        <v>1381</v>
      </c>
      <c r="CLT230" s="508"/>
      <c r="CLU230" s="507" t="s">
        <v>1381</v>
      </c>
      <c r="CLV230" s="508"/>
      <c r="CLW230" s="507" t="s">
        <v>1381</v>
      </c>
      <c r="CLX230" s="508"/>
      <c r="CLY230" s="507" t="s">
        <v>1381</v>
      </c>
      <c r="CLZ230" s="508"/>
      <c r="CMA230" s="507" t="s">
        <v>1381</v>
      </c>
      <c r="CMB230" s="508"/>
      <c r="CMC230" s="507" t="s">
        <v>1381</v>
      </c>
      <c r="CMD230" s="508"/>
      <c r="CME230" s="507" t="s">
        <v>1381</v>
      </c>
      <c r="CMF230" s="508"/>
      <c r="CMG230" s="507" t="s">
        <v>1381</v>
      </c>
      <c r="CMH230" s="508"/>
      <c r="CMI230" s="507" t="s">
        <v>1381</v>
      </c>
      <c r="CMJ230" s="508"/>
      <c r="CMK230" s="507" t="s">
        <v>1381</v>
      </c>
      <c r="CML230" s="508"/>
      <c r="CMM230" s="507" t="s">
        <v>1381</v>
      </c>
      <c r="CMN230" s="508"/>
      <c r="CMO230" s="507" t="s">
        <v>1381</v>
      </c>
      <c r="CMP230" s="508"/>
      <c r="CMQ230" s="507" t="s">
        <v>1381</v>
      </c>
      <c r="CMR230" s="508"/>
      <c r="CMS230" s="507" t="s">
        <v>1381</v>
      </c>
      <c r="CMT230" s="508"/>
      <c r="CMU230" s="507" t="s">
        <v>1381</v>
      </c>
      <c r="CMV230" s="508"/>
      <c r="CMW230" s="507" t="s">
        <v>1381</v>
      </c>
      <c r="CMX230" s="508"/>
      <c r="CMY230" s="507" t="s">
        <v>1381</v>
      </c>
      <c r="CMZ230" s="508"/>
      <c r="CNA230" s="507" t="s">
        <v>1381</v>
      </c>
      <c r="CNB230" s="508"/>
      <c r="CNC230" s="507" t="s">
        <v>1381</v>
      </c>
      <c r="CND230" s="508"/>
      <c r="CNE230" s="507" t="s">
        <v>1381</v>
      </c>
      <c r="CNF230" s="508"/>
      <c r="CNG230" s="507" t="s">
        <v>1381</v>
      </c>
      <c r="CNH230" s="508"/>
      <c r="CNI230" s="507" t="s">
        <v>1381</v>
      </c>
      <c r="CNJ230" s="508"/>
      <c r="CNK230" s="507" t="s">
        <v>1381</v>
      </c>
      <c r="CNL230" s="508"/>
      <c r="CNM230" s="507" t="s">
        <v>1381</v>
      </c>
      <c r="CNN230" s="508"/>
      <c r="CNO230" s="507" t="s">
        <v>1381</v>
      </c>
      <c r="CNP230" s="508"/>
      <c r="CNQ230" s="507" t="s">
        <v>1381</v>
      </c>
      <c r="CNR230" s="508"/>
      <c r="CNS230" s="507" t="s">
        <v>1381</v>
      </c>
      <c r="CNT230" s="508"/>
      <c r="CNU230" s="507" t="s">
        <v>1381</v>
      </c>
      <c r="CNV230" s="508"/>
      <c r="CNW230" s="507" t="s">
        <v>1381</v>
      </c>
      <c r="CNX230" s="508"/>
      <c r="CNY230" s="507" t="s">
        <v>1381</v>
      </c>
      <c r="CNZ230" s="508"/>
      <c r="COA230" s="507" t="s">
        <v>1381</v>
      </c>
      <c r="COB230" s="508"/>
      <c r="COC230" s="507" t="s">
        <v>1381</v>
      </c>
      <c r="COD230" s="508"/>
      <c r="COE230" s="507" t="s">
        <v>1381</v>
      </c>
      <c r="COF230" s="508"/>
      <c r="COG230" s="507" t="s">
        <v>1381</v>
      </c>
      <c r="COH230" s="508"/>
      <c r="COI230" s="507" t="s">
        <v>1381</v>
      </c>
      <c r="COJ230" s="508"/>
      <c r="COK230" s="507" t="s">
        <v>1381</v>
      </c>
      <c r="COL230" s="508"/>
      <c r="COM230" s="507" t="s">
        <v>1381</v>
      </c>
      <c r="CON230" s="508"/>
      <c r="COO230" s="507" t="s">
        <v>1381</v>
      </c>
      <c r="COP230" s="508"/>
      <c r="COQ230" s="507" t="s">
        <v>1381</v>
      </c>
      <c r="COR230" s="508"/>
      <c r="COS230" s="507" t="s">
        <v>1381</v>
      </c>
      <c r="COT230" s="508"/>
      <c r="COU230" s="507" t="s">
        <v>1381</v>
      </c>
      <c r="COV230" s="508"/>
      <c r="COW230" s="507" t="s">
        <v>1381</v>
      </c>
      <c r="COX230" s="508"/>
      <c r="COY230" s="507" t="s">
        <v>1381</v>
      </c>
      <c r="COZ230" s="508"/>
      <c r="CPA230" s="507" t="s">
        <v>1381</v>
      </c>
      <c r="CPB230" s="508"/>
      <c r="CPC230" s="507" t="s">
        <v>1381</v>
      </c>
      <c r="CPD230" s="508"/>
      <c r="CPE230" s="507" t="s">
        <v>1381</v>
      </c>
      <c r="CPF230" s="508"/>
      <c r="CPG230" s="507" t="s">
        <v>1381</v>
      </c>
      <c r="CPH230" s="508"/>
      <c r="CPI230" s="507" t="s">
        <v>1381</v>
      </c>
      <c r="CPJ230" s="508"/>
      <c r="CPK230" s="507" t="s">
        <v>1381</v>
      </c>
      <c r="CPL230" s="508"/>
      <c r="CPM230" s="507" t="s">
        <v>1381</v>
      </c>
      <c r="CPN230" s="508"/>
      <c r="CPO230" s="507" t="s">
        <v>1381</v>
      </c>
      <c r="CPP230" s="508"/>
      <c r="CPQ230" s="507" t="s">
        <v>1381</v>
      </c>
      <c r="CPR230" s="508"/>
      <c r="CPS230" s="507" t="s">
        <v>1381</v>
      </c>
      <c r="CPT230" s="508"/>
      <c r="CPU230" s="507" t="s">
        <v>1381</v>
      </c>
      <c r="CPV230" s="508"/>
      <c r="CPW230" s="507" t="s">
        <v>1381</v>
      </c>
      <c r="CPX230" s="508"/>
      <c r="CPY230" s="507" t="s">
        <v>1381</v>
      </c>
      <c r="CPZ230" s="508"/>
      <c r="CQA230" s="507" t="s">
        <v>1381</v>
      </c>
      <c r="CQB230" s="508"/>
      <c r="CQC230" s="507" t="s">
        <v>1381</v>
      </c>
      <c r="CQD230" s="508"/>
      <c r="CQE230" s="507" t="s">
        <v>1381</v>
      </c>
      <c r="CQF230" s="508"/>
      <c r="CQG230" s="507" t="s">
        <v>1381</v>
      </c>
      <c r="CQH230" s="508"/>
      <c r="CQI230" s="507" t="s">
        <v>1381</v>
      </c>
      <c r="CQJ230" s="508"/>
      <c r="CQK230" s="507" t="s">
        <v>1381</v>
      </c>
      <c r="CQL230" s="508"/>
      <c r="CQM230" s="507" t="s">
        <v>1381</v>
      </c>
      <c r="CQN230" s="508"/>
      <c r="CQO230" s="507" t="s">
        <v>1381</v>
      </c>
      <c r="CQP230" s="508"/>
      <c r="CQQ230" s="507" t="s">
        <v>1381</v>
      </c>
      <c r="CQR230" s="508"/>
      <c r="CQS230" s="507" t="s">
        <v>1381</v>
      </c>
      <c r="CQT230" s="508"/>
      <c r="CQU230" s="507" t="s">
        <v>1381</v>
      </c>
      <c r="CQV230" s="508"/>
      <c r="CQW230" s="507" t="s">
        <v>1381</v>
      </c>
      <c r="CQX230" s="508"/>
      <c r="CQY230" s="507" t="s">
        <v>1381</v>
      </c>
      <c r="CQZ230" s="508"/>
      <c r="CRA230" s="507" t="s">
        <v>1381</v>
      </c>
      <c r="CRB230" s="508"/>
      <c r="CRC230" s="507" t="s">
        <v>1381</v>
      </c>
      <c r="CRD230" s="508"/>
      <c r="CRE230" s="507" t="s">
        <v>1381</v>
      </c>
      <c r="CRF230" s="508"/>
      <c r="CRG230" s="507" t="s">
        <v>1381</v>
      </c>
      <c r="CRH230" s="508"/>
      <c r="CRI230" s="507" t="s">
        <v>1381</v>
      </c>
      <c r="CRJ230" s="508"/>
      <c r="CRK230" s="507" t="s">
        <v>1381</v>
      </c>
      <c r="CRL230" s="508"/>
      <c r="CRM230" s="507" t="s">
        <v>1381</v>
      </c>
      <c r="CRN230" s="508"/>
      <c r="CRO230" s="507" t="s">
        <v>1381</v>
      </c>
      <c r="CRP230" s="508"/>
      <c r="CRQ230" s="507" t="s">
        <v>1381</v>
      </c>
      <c r="CRR230" s="508"/>
      <c r="CRS230" s="507" t="s">
        <v>1381</v>
      </c>
      <c r="CRT230" s="508"/>
      <c r="CRU230" s="507" t="s">
        <v>1381</v>
      </c>
      <c r="CRV230" s="508"/>
      <c r="CRW230" s="507" t="s">
        <v>1381</v>
      </c>
      <c r="CRX230" s="508"/>
      <c r="CRY230" s="507" t="s">
        <v>1381</v>
      </c>
      <c r="CRZ230" s="508"/>
      <c r="CSA230" s="507" t="s">
        <v>1381</v>
      </c>
      <c r="CSB230" s="508"/>
      <c r="CSC230" s="507" t="s">
        <v>1381</v>
      </c>
      <c r="CSD230" s="508"/>
      <c r="CSE230" s="507" t="s">
        <v>1381</v>
      </c>
      <c r="CSF230" s="508"/>
      <c r="CSG230" s="507" t="s">
        <v>1381</v>
      </c>
      <c r="CSH230" s="508"/>
      <c r="CSI230" s="507" t="s">
        <v>1381</v>
      </c>
      <c r="CSJ230" s="508"/>
      <c r="CSK230" s="507" t="s">
        <v>1381</v>
      </c>
      <c r="CSL230" s="508"/>
      <c r="CSM230" s="507" t="s">
        <v>1381</v>
      </c>
      <c r="CSN230" s="508"/>
      <c r="CSO230" s="507" t="s">
        <v>1381</v>
      </c>
      <c r="CSP230" s="508"/>
      <c r="CSQ230" s="507" t="s">
        <v>1381</v>
      </c>
      <c r="CSR230" s="508"/>
      <c r="CSS230" s="507" t="s">
        <v>1381</v>
      </c>
      <c r="CST230" s="508"/>
      <c r="CSU230" s="507" t="s">
        <v>1381</v>
      </c>
      <c r="CSV230" s="508"/>
      <c r="CSW230" s="507" t="s">
        <v>1381</v>
      </c>
      <c r="CSX230" s="508"/>
      <c r="CSY230" s="507" t="s">
        <v>1381</v>
      </c>
      <c r="CSZ230" s="508"/>
      <c r="CTA230" s="507" t="s">
        <v>1381</v>
      </c>
      <c r="CTB230" s="508"/>
      <c r="CTC230" s="507" t="s">
        <v>1381</v>
      </c>
      <c r="CTD230" s="508"/>
      <c r="CTE230" s="507" t="s">
        <v>1381</v>
      </c>
      <c r="CTF230" s="508"/>
      <c r="CTG230" s="507" t="s">
        <v>1381</v>
      </c>
      <c r="CTH230" s="508"/>
      <c r="CTI230" s="507" t="s">
        <v>1381</v>
      </c>
      <c r="CTJ230" s="508"/>
      <c r="CTK230" s="507" t="s">
        <v>1381</v>
      </c>
      <c r="CTL230" s="508"/>
      <c r="CTM230" s="507" t="s">
        <v>1381</v>
      </c>
      <c r="CTN230" s="508"/>
      <c r="CTO230" s="507" t="s">
        <v>1381</v>
      </c>
      <c r="CTP230" s="508"/>
      <c r="CTQ230" s="507" t="s">
        <v>1381</v>
      </c>
      <c r="CTR230" s="508"/>
      <c r="CTS230" s="507" t="s">
        <v>1381</v>
      </c>
      <c r="CTT230" s="508"/>
      <c r="CTU230" s="507" t="s">
        <v>1381</v>
      </c>
      <c r="CTV230" s="508"/>
      <c r="CTW230" s="507" t="s">
        <v>1381</v>
      </c>
      <c r="CTX230" s="508"/>
      <c r="CTY230" s="507" t="s">
        <v>1381</v>
      </c>
      <c r="CTZ230" s="508"/>
      <c r="CUA230" s="507" t="s">
        <v>1381</v>
      </c>
      <c r="CUB230" s="508"/>
      <c r="CUC230" s="507" t="s">
        <v>1381</v>
      </c>
      <c r="CUD230" s="508"/>
      <c r="CUE230" s="507" t="s">
        <v>1381</v>
      </c>
      <c r="CUF230" s="508"/>
      <c r="CUG230" s="507" t="s">
        <v>1381</v>
      </c>
      <c r="CUH230" s="508"/>
      <c r="CUI230" s="507" t="s">
        <v>1381</v>
      </c>
      <c r="CUJ230" s="508"/>
      <c r="CUK230" s="507" t="s">
        <v>1381</v>
      </c>
      <c r="CUL230" s="508"/>
      <c r="CUM230" s="507" t="s">
        <v>1381</v>
      </c>
      <c r="CUN230" s="508"/>
      <c r="CUO230" s="507" t="s">
        <v>1381</v>
      </c>
      <c r="CUP230" s="508"/>
      <c r="CUQ230" s="507" t="s">
        <v>1381</v>
      </c>
      <c r="CUR230" s="508"/>
      <c r="CUS230" s="507" t="s">
        <v>1381</v>
      </c>
      <c r="CUT230" s="508"/>
      <c r="CUU230" s="507" t="s">
        <v>1381</v>
      </c>
      <c r="CUV230" s="508"/>
      <c r="CUW230" s="507" t="s">
        <v>1381</v>
      </c>
      <c r="CUX230" s="508"/>
      <c r="CUY230" s="507" t="s">
        <v>1381</v>
      </c>
      <c r="CUZ230" s="508"/>
      <c r="CVA230" s="507" t="s">
        <v>1381</v>
      </c>
      <c r="CVB230" s="508"/>
      <c r="CVC230" s="507" t="s">
        <v>1381</v>
      </c>
      <c r="CVD230" s="508"/>
      <c r="CVE230" s="507" t="s">
        <v>1381</v>
      </c>
      <c r="CVF230" s="508"/>
      <c r="CVG230" s="507" t="s">
        <v>1381</v>
      </c>
      <c r="CVH230" s="508"/>
      <c r="CVI230" s="507" t="s">
        <v>1381</v>
      </c>
      <c r="CVJ230" s="508"/>
      <c r="CVK230" s="507" t="s">
        <v>1381</v>
      </c>
      <c r="CVL230" s="508"/>
      <c r="CVM230" s="507" t="s">
        <v>1381</v>
      </c>
      <c r="CVN230" s="508"/>
      <c r="CVO230" s="507" t="s">
        <v>1381</v>
      </c>
      <c r="CVP230" s="508"/>
      <c r="CVQ230" s="507" t="s">
        <v>1381</v>
      </c>
      <c r="CVR230" s="508"/>
      <c r="CVS230" s="507" t="s">
        <v>1381</v>
      </c>
      <c r="CVT230" s="508"/>
      <c r="CVU230" s="507" t="s">
        <v>1381</v>
      </c>
      <c r="CVV230" s="508"/>
      <c r="CVW230" s="507" t="s">
        <v>1381</v>
      </c>
      <c r="CVX230" s="508"/>
      <c r="CVY230" s="507" t="s">
        <v>1381</v>
      </c>
      <c r="CVZ230" s="508"/>
      <c r="CWA230" s="507" t="s">
        <v>1381</v>
      </c>
      <c r="CWB230" s="508"/>
      <c r="CWC230" s="507" t="s">
        <v>1381</v>
      </c>
      <c r="CWD230" s="508"/>
      <c r="CWE230" s="507" t="s">
        <v>1381</v>
      </c>
      <c r="CWF230" s="508"/>
      <c r="CWG230" s="507" t="s">
        <v>1381</v>
      </c>
      <c r="CWH230" s="508"/>
      <c r="CWI230" s="507" t="s">
        <v>1381</v>
      </c>
      <c r="CWJ230" s="508"/>
      <c r="CWK230" s="507" t="s">
        <v>1381</v>
      </c>
      <c r="CWL230" s="508"/>
      <c r="CWM230" s="507" t="s">
        <v>1381</v>
      </c>
      <c r="CWN230" s="508"/>
      <c r="CWO230" s="507" t="s">
        <v>1381</v>
      </c>
      <c r="CWP230" s="508"/>
      <c r="CWQ230" s="507" t="s">
        <v>1381</v>
      </c>
      <c r="CWR230" s="508"/>
      <c r="CWS230" s="507" t="s">
        <v>1381</v>
      </c>
      <c r="CWT230" s="508"/>
      <c r="CWU230" s="507" t="s">
        <v>1381</v>
      </c>
      <c r="CWV230" s="508"/>
      <c r="CWW230" s="507" t="s">
        <v>1381</v>
      </c>
      <c r="CWX230" s="508"/>
      <c r="CWY230" s="507" t="s">
        <v>1381</v>
      </c>
      <c r="CWZ230" s="508"/>
      <c r="CXA230" s="507" t="s">
        <v>1381</v>
      </c>
      <c r="CXB230" s="508"/>
      <c r="CXC230" s="507" t="s">
        <v>1381</v>
      </c>
      <c r="CXD230" s="508"/>
      <c r="CXE230" s="507" t="s">
        <v>1381</v>
      </c>
      <c r="CXF230" s="508"/>
      <c r="CXG230" s="507" t="s">
        <v>1381</v>
      </c>
      <c r="CXH230" s="508"/>
      <c r="CXI230" s="507" t="s">
        <v>1381</v>
      </c>
      <c r="CXJ230" s="508"/>
      <c r="CXK230" s="507" t="s">
        <v>1381</v>
      </c>
      <c r="CXL230" s="508"/>
      <c r="CXM230" s="507" t="s">
        <v>1381</v>
      </c>
      <c r="CXN230" s="508"/>
      <c r="CXO230" s="507" t="s">
        <v>1381</v>
      </c>
      <c r="CXP230" s="508"/>
      <c r="CXQ230" s="507" t="s">
        <v>1381</v>
      </c>
      <c r="CXR230" s="508"/>
      <c r="CXS230" s="507" t="s">
        <v>1381</v>
      </c>
      <c r="CXT230" s="508"/>
      <c r="CXU230" s="507" t="s">
        <v>1381</v>
      </c>
      <c r="CXV230" s="508"/>
      <c r="CXW230" s="507" t="s">
        <v>1381</v>
      </c>
      <c r="CXX230" s="508"/>
      <c r="CXY230" s="507" t="s">
        <v>1381</v>
      </c>
      <c r="CXZ230" s="508"/>
      <c r="CYA230" s="507" t="s">
        <v>1381</v>
      </c>
      <c r="CYB230" s="508"/>
      <c r="CYC230" s="507" t="s">
        <v>1381</v>
      </c>
      <c r="CYD230" s="508"/>
      <c r="CYE230" s="507" t="s">
        <v>1381</v>
      </c>
      <c r="CYF230" s="508"/>
      <c r="CYG230" s="507" t="s">
        <v>1381</v>
      </c>
      <c r="CYH230" s="508"/>
      <c r="CYI230" s="507" t="s">
        <v>1381</v>
      </c>
      <c r="CYJ230" s="508"/>
      <c r="CYK230" s="507" t="s">
        <v>1381</v>
      </c>
      <c r="CYL230" s="508"/>
      <c r="CYM230" s="507" t="s">
        <v>1381</v>
      </c>
      <c r="CYN230" s="508"/>
      <c r="CYO230" s="507" t="s">
        <v>1381</v>
      </c>
      <c r="CYP230" s="508"/>
      <c r="CYQ230" s="507" t="s">
        <v>1381</v>
      </c>
      <c r="CYR230" s="508"/>
      <c r="CYS230" s="507" t="s">
        <v>1381</v>
      </c>
      <c r="CYT230" s="508"/>
      <c r="CYU230" s="507" t="s">
        <v>1381</v>
      </c>
      <c r="CYV230" s="508"/>
      <c r="CYW230" s="507" t="s">
        <v>1381</v>
      </c>
      <c r="CYX230" s="508"/>
      <c r="CYY230" s="507" t="s">
        <v>1381</v>
      </c>
      <c r="CYZ230" s="508"/>
      <c r="CZA230" s="507" t="s">
        <v>1381</v>
      </c>
      <c r="CZB230" s="508"/>
      <c r="CZC230" s="507" t="s">
        <v>1381</v>
      </c>
      <c r="CZD230" s="508"/>
      <c r="CZE230" s="507" t="s">
        <v>1381</v>
      </c>
      <c r="CZF230" s="508"/>
      <c r="CZG230" s="507" t="s">
        <v>1381</v>
      </c>
      <c r="CZH230" s="508"/>
      <c r="CZI230" s="507" t="s">
        <v>1381</v>
      </c>
      <c r="CZJ230" s="508"/>
      <c r="CZK230" s="507" t="s">
        <v>1381</v>
      </c>
      <c r="CZL230" s="508"/>
      <c r="CZM230" s="507" t="s">
        <v>1381</v>
      </c>
      <c r="CZN230" s="508"/>
      <c r="CZO230" s="507" t="s">
        <v>1381</v>
      </c>
      <c r="CZP230" s="508"/>
      <c r="CZQ230" s="507" t="s">
        <v>1381</v>
      </c>
      <c r="CZR230" s="508"/>
      <c r="CZS230" s="507" t="s">
        <v>1381</v>
      </c>
      <c r="CZT230" s="508"/>
      <c r="CZU230" s="507" t="s">
        <v>1381</v>
      </c>
      <c r="CZV230" s="508"/>
      <c r="CZW230" s="507" t="s">
        <v>1381</v>
      </c>
      <c r="CZX230" s="508"/>
      <c r="CZY230" s="507" t="s">
        <v>1381</v>
      </c>
      <c r="CZZ230" s="508"/>
      <c r="DAA230" s="507" t="s">
        <v>1381</v>
      </c>
      <c r="DAB230" s="508"/>
      <c r="DAC230" s="507" t="s">
        <v>1381</v>
      </c>
      <c r="DAD230" s="508"/>
      <c r="DAE230" s="507" t="s">
        <v>1381</v>
      </c>
      <c r="DAF230" s="508"/>
      <c r="DAG230" s="507" t="s">
        <v>1381</v>
      </c>
      <c r="DAH230" s="508"/>
      <c r="DAI230" s="507" t="s">
        <v>1381</v>
      </c>
      <c r="DAJ230" s="508"/>
      <c r="DAK230" s="507" t="s">
        <v>1381</v>
      </c>
      <c r="DAL230" s="508"/>
      <c r="DAM230" s="507" t="s">
        <v>1381</v>
      </c>
      <c r="DAN230" s="508"/>
      <c r="DAO230" s="507" t="s">
        <v>1381</v>
      </c>
      <c r="DAP230" s="508"/>
      <c r="DAQ230" s="507" t="s">
        <v>1381</v>
      </c>
      <c r="DAR230" s="508"/>
      <c r="DAS230" s="507" t="s">
        <v>1381</v>
      </c>
      <c r="DAT230" s="508"/>
      <c r="DAU230" s="507" t="s">
        <v>1381</v>
      </c>
      <c r="DAV230" s="508"/>
      <c r="DAW230" s="507" t="s">
        <v>1381</v>
      </c>
      <c r="DAX230" s="508"/>
      <c r="DAY230" s="507" t="s">
        <v>1381</v>
      </c>
      <c r="DAZ230" s="508"/>
      <c r="DBA230" s="507" t="s">
        <v>1381</v>
      </c>
      <c r="DBB230" s="508"/>
      <c r="DBC230" s="507" t="s">
        <v>1381</v>
      </c>
      <c r="DBD230" s="508"/>
      <c r="DBE230" s="507" t="s">
        <v>1381</v>
      </c>
      <c r="DBF230" s="508"/>
      <c r="DBG230" s="507" t="s">
        <v>1381</v>
      </c>
      <c r="DBH230" s="508"/>
      <c r="DBI230" s="507" t="s">
        <v>1381</v>
      </c>
      <c r="DBJ230" s="508"/>
      <c r="DBK230" s="507" t="s">
        <v>1381</v>
      </c>
      <c r="DBL230" s="508"/>
      <c r="DBM230" s="507" t="s">
        <v>1381</v>
      </c>
      <c r="DBN230" s="508"/>
      <c r="DBO230" s="507" t="s">
        <v>1381</v>
      </c>
      <c r="DBP230" s="508"/>
      <c r="DBQ230" s="507" t="s">
        <v>1381</v>
      </c>
      <c r="DBR230" s="508"/>
      <c r="DBS230" s="507" t="s">
        <v>1381</v>
      </c>
      <c r="DBT230" s="508"/>
      <c r="DBU230" s="507" t="s">
        <v>1381</v>
      </c>
      <c r="DBV230" s="508"/>
      <c r="DBW230" s="507" t="s">
        <v>1381</v>
      </c>
      <c r="DBX230" s="508"/>
      <c r="DBY230" s="507" t="s">
        <v>1381</v>
      </c>
      <c r="DBZ230" s="508"/>
      <c r="DCA230" s="507" t="s">
        <v>1381</v>
      </c>
      <c r="DCB230" s="508"/>
      <c r="DCC230" s="507" t="s">
        <v>1381</v>
      </c>
      <c r="DCD230" s="508"/>
      <c r="DCE230" s="507" t="s">
        <v>1381</v>
      </c>
      <c r="DCF230" s="508"/>
      <c r="DCG230" s="507" t="s">
        <v>1381</v>
      </c>
      <c r="DCH230" s="508"/>
      <c r="DCI230" s="507" t="s">
        <v>1381</v>
      </c>
      <c r="DCJ230" s="508"/>
      <c r="DCK230" s="507" t="s">
        <v>1381</v>
      </c>
      <c r="DCL230" s="508"/>
      <c r="DCM230" s="507" t="s">
        <v>1381</v>
      </c>
      <c r="DCN230" s="508"/>
      <c r="DCO230" s="507" t="s">
        <v>1381</v>
      </c>
      <c r="DCP230" s="508"/>
      <c r="DCQ230" s="507" t="s">
        <v>1381</v>
      </c>
      <c r="DCR230" s="508"/>
      <c r="DCS230" s="507" t="s">
        <v>1381</v>
      </c>
      <c r="DCT230" s="508"/>
      <c r="DCU230" s="507" t="s">
        <v>1381</v>
      </c>
      <c r="DCV230" s="508"/>
      <c r="DCW230" s="507" t="s">
        <v>1381</v>
      </c>
      <c r="DCX230" s="508"/>
      <c r="DCY230" s="507" t="s">
        <v>1381</v>
      </c>
      <c r="DCZ230" s="508"/>
      <c r="DDA230" s="507" t="s">
        <v>1381</v>
      </c>
      <c r="DDB230" s="508"/>
      <c r="DDC230" s="507" t="s">
        <v>1381</v>
      </c>
      <c r="DDD230" s="508"/>
      <c r="DDE230" s="507" t="s">
        <v>1381</v>
      </c>
      <c r="DDF230" s="508"/>
      <c r="DDG230" s="507" t="s">
        <v>1381</v>
      </c>
      <c r="DDH230" s="508"/>
      <c r="DDI230" s="507" t="s">
        <v>1381</v>
      </c>
      <c r="DDJ230" s="508"/>
      <c r="DDK230" s="507" t="s">
        <v>1381</v>
      </c>
      <c r="DDL230" s="508"/>
      <c r="DDM230" s="507" t="s">
        <v>1381</v>
      </c>
      <c r="DDN230" s="508"/>
      <c r="DDO230" s="507" t="s">
        <v>1381</v>
      </c>
      <c r="DDP230" s="508"/>
      <c r="DDQ230" s="507" t="s">
        <v>1381</v>
      </c>
      <c r="DDR230" s="508"/>
      <c r="DDS230" s="507" t="s">
        <v>1381</v>
      </c>
      <c r="DDT230" s="508"/>
      <c r="DDU230" s="507" t="s">
        <v>1381</v>
      </c>
      <c r="DDV230" s="508"/>
      <c r="DDW230" s="507" t="s">
        <v>1381</v>
      </c>
      <c r="DDX230" s="508"/>
      <c r="DDY230" s="507" t="s">
        <v>1381</v>
      </c>
      <c r="DDZ230" s="508"/>
      <c r="DEA230" s="507" t="s">
        <v>1381</v>
      </c>
      <c r="DEB230" s="508"/>
      <c r="DEC230" s="507" t="s">
        <v>1381</v>
      </c>
      <c r="DED230" s="508"/>
      <c r="DEE230" s="507" t="s">
        <v>1381</v>
      </c>
      <c r="DEF230" s="508"/>
      <c r="DEG230" s="507" t="s">
        <v>1381</v>
      </c>
      <c r="DEH230" s="508"/>
      <c r="DEI230" s="507" t="s">
        <v>1381</v>
      </c>
      <c r="DEJ230" s="508"/>
      <c r="DEK230" s="507" t="s">
        <v>1381</v>
      </c>
      <c r="DEL230" s="508"/>
      <c r="DEM230" s="507" t="s">
        <v>1381</v>
      </c>
      <c r="DEN230" s="508"/>
      <c r="DEO230" s="507" t="s">
        <v>1381</v>
      </c>
      <c r="DEP230" s="508"/>
      <c r="DEQ230" s="507" t="s">
        <v>1381</v>
      </c>
      <c r="DER230" s="508"/>
      <c r="DES230" s="507" t="s">
        <v>1381</v>
      </c>
      <c r="DET230" s="508"/>
      <c r="DEU230" s="507" t="s">
        <v>1381</v>
      </c>
      <c r="DEV230" s="508"/>
      <c r="DEW230" s="507" t="s">
        <v>1381</v>
      </c>
      <c r="DEX230" s="508"/>
      <c r="DEY230" s="507" t="s">
        <v>1381</v>
      </c>
      <c r="DEZ230" s="508"/>
      <c r="DFA230" s="507" t="s">
        <v>1381</v>
      </c>
      <c r="DFB230" s="508"/>
      <c r="DFC230" s="507" t="s">
        <v>1381</v>
      </c>
      <c r="DFD230" s="508"/>
      <c r="DFE230" s="507" t="s">
        <v>1381</v>
      </c>
      <c r="DFF230" s="508"/>
      <c r="DFG230" s="507" t="s">
        <v>1381</v>
      </c>
      <c r="DFH230" s="508"/>
      <c r="DFI230" s="507" t="s">
        <v>1381</v>
      </c>
      <c r="DFJ230" s="508"/>
      <c r="DFK230" s="507" t="s">
        <v>1381</v>
      </c>
      <c r="DFL230" s="508"/>
      <c r="DFM230" s="507" t="s">
        <v>1381</v>
      </c>
      <c r="DFN230" s="508"/>
      <c r="DFO230" s="507" t="s">
        <v>1381</v>
      </c>
      <c r="DFP230" s="508"/>
      <c r="DFQ230" s="507" t="s">
        <v>1381</v>
      </c>
      <c r="DFR230" s="508"/>
      <c r="DFS230" s="507" t="s">
        <v>1381</v>
      </c>
      <c r="DFT230" s="508"/>
      <c r="DFU230" s="507" t="s">
        <v>1381</v>
      </c>
      <c r="DFV230" s="508"/>
      <c r="DFW230" s="507" t="s">
        <v>1381</v>
      </c>
      <c r="DFX230" s="508"/>
      <c r="DFY230" s="507" t="s">
        <v>1381</v>
      </c>
      <c r="DFZ230" s="508"/>
      <c r="DGA230" s="507" t="s">
        <v>1381</v>
      </c>
      <c r="DGB230" s="508"/>
      <c r="DGC230" s="507" t="s">
        <v>1381</v>
      </c>
      <c r="DGD230" s="508"/>
      <c r="DGE230" s="507" t="s">
        <v>1381</v>
      </c>
      <c r="DGF230" s="508"/>
      <c r="DGG230" s="507" t="s">
        <v>1381</v>
      </c>
      <c r="DGH230" s="508"/>
      <c r="DGI230" s="507" t="s">
        <v>1381</v>
      </c>
      <c r="DGJ230" s="508"/>
      <c r="DGK230" s="507" t="s">
        <v>1381</v>
      </c>
      <c r="DGL230" s="508"/>
      <c r="DGM230" s="507" t="s">
        <v>1381</v>
      </c>
      <c r="DGN230" s="508"/>
      <c r="DGO230" s="507" t="s">
        <v>1381</v>
      </c>
      <c r="DGP230" s="508"/>
      <c r="DGQ230" s="507" t="s">
        <v>1381</v>
      </c>
      <c r="DGR230" s="508"/>
      <c r="DGS230" s="507" t="s">
        <v>1381</v>
      </c>
      <c r="DGT230" s="508"/>
      <c r="DGU230" s="507" t="s">
        <v>1381</v>
      </c>
      <c r="DGV230" s="508"/>
      <c r="DGW230" s="507" t="s">
        <v>1381</v>
      </c>
      <c r="DGX230" s="508"/>
      <c r="DGY230" s="507" t="s">
        <v>1381</v>
      </c>
      <c r="DGZ230" s="508"/>
      <c r="DHA230" s="507" t="s">
        <v>1381</v>
      </c>
      <c r="DHB230" s="508"/>
      <c r="DHC230" s="507" t="s">
        <v>1381</v>
      </c>
      <c r="DHD230" s="508"/>
      <c r="DHE230" s="507" t="s">
        <v>1381</v>
      </c>
      <c r="DHF230" s="508"/>
      <c r="DHG230" s="507" t="s">
        <v>1381</v>
      </c>
      <c r="DHH230" s="508"/>
      <c r="DHI230" s="507" t="s">
        <v>1381</v>
      </c>
      <c r="DHJ230" s="508"/>
      <c r="DHK230" s="507" t="s">
        <v>1381</v>
      </c>
      <c r="DHL230" s="508"/>
      <c r="DHM230" s="507" t="s">
        <v>1381</v>
      </c>
      <c r="DHN230" s="508"/>
      <c r="DHO230" s="507" t="s">
        <v>1381</v>
      </c>
      <c r="DHP230" s="508"/>
      <c r="DHQ230" s="507" t="s">
        <v>1381</v>
      </c>
      <c r="DHR230" s="508"/>
      <c r="DHS230" s="507" t="s">
        <v>1381</v>
      </c>
      <c r="DHT230" s="508"/>
      <c r="DHU230" s="507" t="s">
        <v>1381</v>
      </c>
      <c r="DHV230" s="508"/>
      <c r="DHW230" s="507" t="s">
        <v>1381</v>
      </c>
      <c r="DHX230" s="508"/>
      <c r="DHY230" s="507" t="s">
        <v>1381</v>
      </c>
      <c r="DHZ230" s="508"/>
      <c r="DIA230" s="507" t="s">
        <v>1381</v>
      </c>
      <c r="DIB230" s="508"/>
      <c r="DIC230" s="507" t="s">
        <v>1381</v>
      </c>
      <c r="DID230" s="508"/>
      <c r="DIE230" s="507" t="s">
        <v>1381</v>
      </c>
      <c r="DIF230" s="508"/>
      <c r="DIG230" s="507" t="s">
        <v>1381</v>
      </c>
      <c r="DIH230" s="508"/>
      <c r="DII230" s="507" t="s">
        <v>1381</v>
      </c>
      <c r="DIJ230" s="508"/>
      <c r="DIK230" s="507" t="s">
        <v>1381</v>
      </c>
      <c r="DIL230" s="508"/>
      <c r="DIM230" s="507" t="s">
        <v>1381</v>
      </c>
      <c r="DIN230" s="508"/>
      <c r="DIO230" s="507" t="s">
        <v>1381</v>
      </c>
      <c r="DIP230" s="508"/>
      <c r="DIQ230" s="507" t="s">
        <v>1381</v>
      </c>
      <c r="DIR230" s="508"/>
      <c r="DIS230" s="507" t="s">
        <v>1381</v>
      </c>
      <c r="DIT230" s="508"/>
      <c r="DIU230" s="507" t="s">
        <v>1381</v>
      </c>
      <c r="DIV230" s="508"/>
      <c r="DIW230" s="507" t="s">
        <v>1381</v>
      </c>
      <c r="DIX230" s="508"/>
      <c r="DIY230" s="507" t="s">
        <v>1381</v>
      </c>
      <c r="DIZ230" s="508"/>
      <c r="DJA230" s="507" t="s">
        <v>1381</v>
      </c>
      <c r="DJB230" s="508"/>
      <c r="DJC230" s="507" t="s">
        <v>1381</v>
      </c>
      <c r="DJD230" s="508"/>
      <c r="DJE230" s="507" t="s">
        <v>1381</v>
      </c>
      <c r="DJF230" s="508"/>
      <c r="DJG230" s="507" t="s">
        <v>1381</v>
      </c>
      <c r="DJH230" s="508"/>
      <c r="DJI230" s="507" t="s">
        <v>1381</v>
      </c>
      <c r="DJJ230" s="508"/>
      <c r="DJK230" s="507" t="s">
        <v>1381</v>
      </c>
      <c r="DJL230" s="508"/>
      <c r="DJM230" s="507" t="s">
        <v>1381</v>
      </c>
      <c r="DJN230" s="508"/>
      <c r="DJO230" s="507" t="s">
        <v>1381</v>
      </c>
      <c r="DJP230" s="508"/>
      <c r="DJQ230" s="507" t="s">
        <v>1381</v>
      </c>
      <c r="DJR230" s="508"/>
      <c r="DJS230" s="507" t="s">
        <v>1381</v>
      </c>
      <c r="DJT230" s="508"/>
      <c r="DJU230" s="507" t="s">
        <v>1381</v>
      </c>
      <c r="DJV230" s="508"/>
      <c r="DJW230" s="507" t="s">
        <v>1381</v>
      </c>
      <c r="DJX230" s="508"/>
      <c r="DJY230" s="507" t="s">
        <v>1381</v>
      </c>
      <c r="DJZ230" s="508"/>
      <c r="DKA230" s="507" t="s">
        <v>1381</v>
      </c>
      <c r="DKB230" s="508"/>
      <c r="DKC230" s="507" t="s">
        <v>1381</v>
      </c>
      <c r="DKD230" s="508"/>
      <c r="DKE230" s="507" t="s">
        <v>1381</v>
      </c>
      <c r="DKF230" s="508"/>
      <c r="DKG230" s="507" t="s">
        <v>1381</v>
      </c>
      <c r="DKH230" s="508"/>
      <c r="DKI230" s="507" t="s">
        <v>1381</v>
      </c>
      <c r="DKJ230" s="508"/>
      <c r="DKK230" s="507" t="s">
        <v>1381</v>
      </c>
      <c r="DKL230" s="508"/>
      <c r="DKM230" s="507" t="s">
        <v>1381</v>
      </c>
      <c r="DKN230" s="508"/>
      <c r="DKO230" s="507" t="s">
        <v>1381</v>
      </c>
      <c r="DKP230" s="508"/>
      <c r="DKQ230" s="507" t="s">
        <v>1381</v>
      </c>
      <c r="DKR230" s="508"/>
      <c r="DKS230" s="507" t="s">
        <v>1381</v>
      </c>
      <c r="DKT230" s="508"/>
      <c r="DKU230" s="507" t="s">
        <v>1381</v>
      </c>
      <c r="DKV230" s="508"/>
      <c r="DKW230" s="507" t="s">
        <v>1381</v>
      </c>
      <c r="DKX230" s="508"/>
      <c r="DKY230" s="507" t="s">
        <v>1381</v>
      </c>
      <c r="DKZ230" s="508"/>
      <c r="DLA230" s="507" t="s">
        <v>1381</v>
      </c>
      <c r="DLB230" s="508"/>
      <c r="DLC230" s="507" t="s">
        <v>1381</v>
      </c>
      <c r="DLD230" s="508"/>
      <c r="DLE230" s="507" t="s">
        <v>1381</v>
      </c>
      <c r="DLF230" s="508"/>
      <c r="DLG230" s="507" t="s">
        <v>1381</v>
      </c>
      <c r="DLH230" s="508"/>
      <c r="DLI230" s="507" t="s">
        <v>1381</v>
      </c>
      <c r="DLJ230" s="508"/>
      <c r="DLK230" s="507" t="s">
        <v>1381</v>
      </c>
      <c r="DLL230" s="508"/>
      <c r="DLM230" s="507" t="s">
        <v>1381</v>
      </c>
      <c r="DLN230" s="508"/>
      <c r="DLO230" s="507" t="s">
        <v>1381</v>
      </c>
      <c r="DLP230" s="508"/>
      <c r="DLQ230" s="507" t="s">
        <v>1381</v>
      </c>
      <c r="DLR230" s="508"/>
      <c r="DLS230" s="507" t="s">
        <v>1381</v>
      </c>
      <c r="DLT230" s="508"/>
      <c r="DLU230" s="507" t="s">
        <v>1381</v>
      </c>
      <c r="DLV230" s="508"/>
      <c r="DLW230" s="507" t="s">
        <v>1381</v>
      </c>
      <c r="DLX230" s="508"/>
      <c r="DLY230" s="507" t="s">
        <v>1381</v>
      </c>
      <c r="DLZ230" s="508"/>
      <c r="DMA230" s="507" t="s">
        <v>1381</v>
      </c>
      <c r="DMB230" s="508"/>
      <c r="DMC230" s="507" t="s">
        <v>1381</v>
      </c>
      <c r="DMD230" s="508"/>
      <c r="DME230" s="507" t="s">
        <v>1381</v>
      </c>
      <c r="DMF230" s="508"/>
      <c r="DMG230" s="507" t="s">
        <v>1381</v>
      </c>
      <c r="DMH230" s="508"/>
      <c r="DMI230" s="507" t="s">
        <v>1381</v>
      </c>
      <c r="DMJ230" s="508"/>
      <c r="DMK230" s="507" t="s">
        <v>1381</v>
      </c>
      <c r="DML230" s="508"/>
      <c r="DMM230" s="507" t="s">
        <v>1381</v>
      </c>
      <c r="DMN230" s="508"/>
      <c r="DMO230" s="507" t="s">
        <v>1381</v>
      </c>
      <c r="DMP230" s="508"/>
      <c r="DMQ230" s="507" t="s">
        <v>1381</v>
      </c>
      <c r="DMR230" s="508"/>
      <c r="DMS230" s="507" t="s">
        <v>1381</v>
      </c>
      <c r="DMT230" s="508"/>
      <c r="DMU230" s="507" t="s">
        <v>1381</v>
      </c>
      <c r="DMV230" s="508"/>
      <c r="DMW230" s="507" t="s">
        <v>1381</v>
      </c>
      <c r="DMX230" s="508"/>
      <c r="DMY230" s="507" t="s">
        <v>1381</v>
      </c>
      <c r="DMZ230" s="508"/>
      <c r="DNA230" s="507" t="s">
        <v>1381</v>
      </c>
      <c r="DNB230" s="508"/>
      <c r="DNC230" s="507" t="s">
        <v>1381</v>
      </c>
      <c r="DND230" s="508"/>
      <c r="DNE230" s="507" t="s">
        <v>1381</v>
      </c>
      <c r="DNF230" s="508"/>
      <c r="DNG230" s="507" t="s">
        <v>1381</v>
      </c>
      <c r="DNH230" s="508"/>
      <c r="DNI230" s="507" t="s">
        <v>1381</v>
      </c>
      <c r="DNJ230" s="508"/>
      <c r="DNK230" s="507" t="s">
        <v>1381</v>
      </c>
      <c r="DNL230" s="508"/>
      <c r="DNM230" s="507" t="s">
        <v>1381</v>
      </c>
      <c r="DNN230" s="508"/>
      <c r="DNO230" s="507" t="s">
        <v>1381</v>
      </c>
      <c r="DNP230" s="508"/>
      <c r="DNQ230" s="507" t="s">
        <v>1381</v>
      </c>
      <c r="DNR230" s="508"/>
      <c r="DNS230" s="507" t="s">
        <v>1381</v>
      </c>
      <c r="DNT230" s="508"/>
      <c r="DNU230" s="507" t="s">
        <v>1381</v>
      </c>
      <c r="DNV230" s="508"/>
      <c r="DNW230" s="507" t="s">
        <v>1381</v>
      </c>
      <c r="DNX230" s="508"/>
      <c r="DNY230" s="507" t="s">
        <v>1381</v>
      </c>
      <c r="DNZ230" s="508"/>
      <c r="DOA230" s="507" t="s">
        <v>1381</v>
      </c>
      <c r="DOB230" s="508"/>
      <c r="DOC230" s="507" t="s">
        <v>1381</v>
      </c>
      <c r="DOD230" s="508"/>
      <c r="DOE230" s="507" t="s">
        <v>1381</v>
      </c>
      <c r="DOF230" s="508"/>
      <c r="DOG230" s="507" t="s">
        <v>1381</v>
      </c>
      <c r="DOH230" s="508"/>
      <c r="DOI230" s="507" t="s">
        <v>1381</v>
      </c>
      <c r="DOJ230" s="508"/>
      <c r="DOK230" s="507" t="s">
        <v>1381</v>
      </c>
      <c r="DOL230" s="508"/>
      <c r="DOM230" s="507" t="s">
        <v>1381</v>
      </c>
      <c r="DON230" s="508"/>
      <c r="DOO230" s="507" t="s">
        <v>1381</v>
      </c>
      <c r="DOP230" s="508"/>
      <c r="DOQ230" s="507" t="s">
        <v>1381</v>
      </c>
      <c r="DOR230" s="508"/>
      <c r="DOS230" s="507" t="s">
        <v>1381</v>
      </c>
      <c r="DOT230" s="508"/>
      <c r="DOU230" s="507" t="s">
        <v>1381</v>
      </c>
      <c r="DOV230" s="508"/>
      <c r="DOW230" s="507" t="s">
        <v>1381</v>
      </c>
      <c r="DOX230" s="508"/>
      <c r="DOY230" s="507" t="s">
        <v>1381</v>
      </c>
      <c r="DOZ230" s="508"/>
      <c r="DPA230" s="507" t="s">
        <v>1381</v>
      </c>
      <c r="DPB230" s="508"/>
      <c r="DPC230" s="507" t="s">
        <v>1381</v>
      </c>
      <c r="DPD230" s="508"/>
      <c r="DPE230" s="507" t="s">
        <v>1381</v>
      </c>
      <c r="DPF230" s="508"/>
      <c r="DPG230" s="507" t="s">
        <v>1381</v>
      </c>
      <c r="DPH230" s="508"/>
      <c r="DPI230" s="507" t="s">
        <v>1381</v>
      </c>
      <c r="DPJ230" s="508"/>
      <c r="DPK230" s="507" t="s">
        <v>1381</v>
      </c>
      <c r="DPL230" s="508"/>
      <c r="DPM230" s="507" t="s">
        <v>1381</v>
      </c>
      <c r="DPN230" s="508"/>
      <c r="DPO230" s="507" t="s">
        <v>1381</v>
      </c>
      <c r="DPP230" s="508"/>
      <c r="DPQ230" s="507" t="s">
        <v>1381</v>
      </c>
      <c r="DPR230" s="508"/>
      <c r="DPS230" s="507" t="s">
        <v>1381</v>
      </c>
      <c r="DPT230" s="508"/>
      <c r="DPU230" s="507" t="s">
        <v>1381</v>
      </c>
      <c r="DPV230" s="508"/>
      <c r="DPW230" s="507" t="s">
        <v>1381</v>
      </c>
      <c r="DPX230" s="508"/>
      <c r="DPY230" s="507" t="s">
        <v>1381</v>
      </c>
      <c r="DPZ230" s="508"/>
      <c r="DQA230" s="507" t="s">
        <v>1381</v>
      </c>
      <c r="DQB230" s="508"/>
      <c r="DQC230" s="507" t="s">
        <v>1381</v>
      </c>
      <c r="DQD230" s="508"/>
      <c r="DQE230" s="507" t="s">
        <v>1381</v>
      </c>
      <c r="DQF230" s="508"/>
      <c r="DQG230" s="507" t="s">
        <v>1381</v>
      </c>
      <c r="DQH230" s="508"/>
      <c r="DQI230" s="507" t="s">
        <v>1381</v>
      </c>
      <c r="DQJ230" s="508"/>
      <c r="DQK230" s="507" t="s">
        <v>1381</v>
      </c>
      <c r="DQL230" s="508"/>
      <c r="DQM230" s="507" t="s">
        <v>1381</v>
      </c>
      <c r="DQN230" s="508"/>
      <c r="DQO230" s="507" t="s">
        <v>1381</v>
      </c>
      <c r="DQP230" s="508"/>
      <c r="DQQ230" s="507" t="s">
        <v>1381</v>
      </c>
      <c r="DQR230" s="508"/>
      <c r="DQS230" s="507" t="s">
        <v>1381</v>
      </c>
      <c r="DQT230" s="508"/>
      <c r="DQU230" s="507" t="s">
        <v>1381</v>
      </c>
      <c r="DQV230" s="508"/>
      <c r="DQW230" s="507" t="s">
        <v>1381</v>
      </c>
      <c r="DQX230" s="508"/>
      <c r="DQY230" s="507" t="s">
        <v>1381</v>
      </c>
      <c r="DQZ230" s="508"/>
      <c r="DRA230" s="507" t="s">
        <v>1381</v>
      </c>
      <c r="DRB230" s="508"/>
      <c r="DRC230" s="507" t="s">
        <v>1381</v>
      </c>
      <c r="DRD230" s="508"/>
      <c r="DRE230" s="507" t="s">
        <v>1381</v>
      </c>
      <c r="DRF230" s="508"/>
      <c r="DRG230" s="507" t="s">
        <v>1381</v>
      </c>
      <c r="DRH230" s="508"/>
      <c r="DRI230" s="507" t="s">
        <v>1381</v>
      </c>
      <c r="DRJ230" s="508"/>
      <c r="DRK230" s="507" t="s">
        <v>1381</v>
      </c>
      <c r="DRL230" s="508"/>
      <c r="DRM230" s="507" t="s">
        <v>1381</v>
      </c>
      <c r="DRN230" s="508"/>
      <c r="DRO230" s="507" t="s">
        <v>1381</v>
      </c>
      <c r="DRP230" s="508"/>
      <c r="DRQ230" s="507" t="s">
        <v>1381</v>
      </c>
      <c r="DRR230" s="508"/>
      <c r="DRS230" s="507" t="s">
        <v>1381</v>
      </c>
      <c r="DRT230" s="508"/>
      <c r="DRU230" s="507" t="s">
        <v>1381</v>
      </c>
      <c r="DRV230" s="508"/>
      <c r="DRW230" s="507" t="s">
        <v>1381</v>
      </c>
      <c r="DRX230" s="508"/>
      <c r="DRY230" s="507" t="s">
        <v>1381</v>
      </c>
      <c r="DRZ230" s="508"/>
      <c r="DSA230" s="507" t="s">
        <v>1381</v>
      </c>
      <c r="DSB230" s="508"/>
      <c r="DSC230" s="507" t="s">
        <v>1381</v>
      </c>
      <c r="DSD230" s="508"/>
      <c r="DSE230" s="507" t="s">
        <v>1381</v>
      </c>
      <c r="DSF230" s="508"/>
      <c r="DSG230" s="507" t="s">
        <v>1381</v>
      </c>
      <c r="DSH230" s="508"/>
      <c r="DSI230" s="507" t="s">
        <v>1381</v>
      </c>
      <c r="DSJ230" s="508"/>
      <c r="DSK230" s="507" t="s">
        <v>1381</v>
      </c>
      <c r="DSL230" s="508"/>
      <c r="DSM230" s="507" t="s">
        <v>1381</v>
      </c>
      <c r="DSN230" s="508"/>
      <c r="DSO230" s="507" t="s">
        <v>1381</v>
      </c>
      <c r="DSP230" s="508"/>
      <c r="DSQ230" s="507" t="s">
        <v>1381</v>
      </c>
      <c r="DSR230" s="508"/>
      <c r="DSS230" s="507" t="s">
        <v>1381</v>
      </c>
      <c r="DST230" s="508"/>
      <c r="DSU230" s="507" t="s">
        <v>1381</v>
      </c>
      <c r="DSV230" s="508"/>
      <c r="DSW230" s="507" t="s">
        <v>1381</v>
      </c>
      <c r="DSX230" s="508"/>
      <c r="DSY230" s="507" t="s">
        <v>1381</v>
      </c>
      <c r="DSZ230" s="508"/>
      <c r="DTA230" s="507" t="s">
        <v>1381</v>
      </c>
      <c r="DTB230" s="508"/>
      <c r="DTC230" s="507" t="s">
        <v>1381</v>
      </c>
      <c r="DTD230" s="508"/>
      <c r="DTE230" s="507" t="s">
        <v>1381</v>
      </c>
      <c r="DTF230" s="508"/>
      <c r="DTG230" s="507" t="s">
        <v>1381</v>
      </c>
      <c r="DTH230" s="508"/>
      <c r="DTI230" s="507" t="s">
        <v>1381</v>
      </c>
      <c r="DTJ230" s="508"/>
      <c r="DTK230" s="507" t="s">
        <v>1381</v>
      </c>
      <c r="DTL230" s="508"/>
      <c r="DTM230" s="507" t="s">
        <v>1381</v>
      </c>
      <c r="DTN230" s="508"/>
      <c r="DTO230" s="507" t="s">
        <v>1381</v>
      </c>
      <c r="DTP230" s="508"/>
      <c r="DTQ230" s="507" t="s">
        <v>1381</v>
      </c>
      <c r="DTR230" s="508"/>
      <c r="DTS230" s="507" t="s">
        <v>1381</v>
      </c>
      <c r="DTT230" s="508"/>
      <c r="DTU230" s="507" t="s">
        <v>1381</v>
      </c>
      <c r="DTV230" s="508"/>
      <c r="DTW230" s="507" t="s">
        <v>1381</v>
      </c>
      <c r="DTX230" s="508"/>
      <c r="DTY230" s="507" t="s">
        <v>1381</v>
      </c>
      <c r="DTZ230" s="508"/>
      <c r="DUA230" s="507" t="s">
        <v>1381</v>
      </c>
      <c r="DUB230" s="508"/>
      <c r="DUC230" s="507" t="s">
        <v>1381</v>
      </c>
      <c r="DUD230" s="508"/>
      <c r="DUE230" s="507" t="s">
        <v>1381</v>
      </c>
      <c r="DUF230" s="508"/>
      <c r="DUG230" s="507" t="s">
        <v>1381</v>
      </c>
      <c r="DUH230" s="508"/>
      <c r="DUI230" s="507" t="s">
        <v>1381</v>
      </c>
      <c r="DUJ230" s="508"/>
      <c r="DUK230" s="507" t="s">
        <v>1381</v>
      </c>
      <c r="DUL230" s="508"/>
      <c r="DUM230" s="507" t="s">
        <v>1381</v>
      </c>
      <c r="DUN230" s="508"/>
      <c r="DUO230" s="507" t="s">
        <v>1381</v>
      </c>
      <c r="DUP230" s="508"/>
      <c r="DUQ230" s="507" t="s">
        <v>1381</v>
      </c>
      <c r="DUR230" s="508"/>
      <c r="DUS230" s="507" t="s">
        <v>1381</v>
      </c>
      <c r="DUT230" s="508"/>
      <c r="DUU230" s="507" t="s">
        <v>1381</v>
      </c>
      <c r="DUV230" s="508"/>
      <c r="DUW230" s="507" t="s">
        <v>1381</v>
      </c>
      <c r="DUX230" s="508"/>
      <c r="DUY230" s="507" t="s">
        <v>1381</v>
      </c>
      <c r="DUZ230" s="508"/>
      <c r="DVA230" s="507" t="s">
        <v>1381</v>
      </c>
      <c r="DVB230" s="508"/>
      <c r="DVC230" s="507" t="s">
        <v>1381</v>
      </c>
      <c r="DVD230" s="508"/>
      <c r="DVE230" s="507" t="s">
        <v>1381</v>
      </c>
      <c r="DVF230" s="508"/>
      <c r="DVG230" s="507" t="s">
        <v>1381</v>
      </c>
      <c r="DVH230" s="508"/>
      <c r="DVI230" s="507" t="s">
        <v>1381</v>
      </c>
      <c r="DVJ230" s="508"/>
      <c r="DVK230" s="507" t="s">
        <v>1381</v>
      </c>
      <c r="DVL230" s="508"/>
      <c r="DVM230" s="507" t="s">
        <v>1381</v>
      </c>
      <c r="DVN230" s="508"/>
      <c r="DVO230" s="507" t="s">
        <v>1381</v>
      </c>
      <c r="DVP230" s="508"/>
      <c r="DVQ230" s="507" t="s">
        <v>1381</v>
      </c>
      <c r="DVR230" s="508"/>
      <c r="DVS230" s="507" t="s">
        <v>1381</v>
      </c>
      <c r="DVT230" s="508"/>
      <c r="DVU230" s="507" t="s">
        <v>1381</v>
      </c>
      <c r="DVV230" s="508"/>
      <c r="DVW230" s="507" t="s">
        <v>1381</v>
      </c>
      <c r="DVX230" s="508"/>
      <c r="DVY230" s="507" t="s">
        <v>1381</v>
      </c>
      <c r="DVZ230" s="508"/>
      <c r="DWA230" s="507" t="s">
        <v>1381</v>
      </c>
      <c r="DWB230" s="508"/>
      <c r="DWC230" s="507" t="s">
        <v>1381</v>
      </c>
      <c r="DWD230" s="508"/>
      <c r="DWE230" s="507" t="s">
        <v>1381</v>
      </c>
      <c r="DWF230" s="508"/>
      <c r="DWG230" s="507" t="s">
        <v>1381</v>
      </c>
      <c r="DWH230" s="508"/>
      <c r="DWI230" s="507" t="s">
        <v>1381</v>
      </c>
      <c r="DWJ230" s="508"/>
      <c r="DWK230" s="507" t="s">
        <v>1381</v>
      </c>
      <c r="DWL230" s="508"/>
      <c r="DWM230" s="507" t="s">
        <v>1381</v>
      </c>
      <c r="DWN230" s="508"/>
      <c r="DWO230" s="507" t="s">
        <v>1381</v>
      </c>
      <c r="DWP230" s="508"/>
      <c r="DWQ230" s="507" t="s">
        <v>1381</v>
      </c>
      <c r="DWR230" s="508"/>
      <c r="DWS230" s="507" t="s">
        <v>1381</v>
      </c>
      <c r="DWT230" s="508"/>
      <c r="DWU230" s="507" t="s">
        <v>1381</v>
      </c>
      <c r="DWV230" s="508"/>
      <c r="DWW230" s="507" t="s">
        <v>1381</v>
      </c>
      <c r="DWX230" s="508"/>
      <c r="DWY230" s="507" t="s">
        <v>1381</v>
      </c>
      <c r="DWZ230" s="508"/>
      <c r="DXA230" s="507" t="s">
        <v>1381</v>
      </c>
      <c r="DXB230" s="508"/>
      <c r="DXC230" s="507" t="s">
        <v>1381</v>
      </c>
      <c r="DXD230" s="508"/>
      <c r="DXE230" s="507" t="s">
        <v>1381</v>
      </c>
      <c r="DXF230" s="508"/>
      <c r="DXG230" s="507" t="s">
        <v>1381</v>
      </c>
      <c r="DXH230" s="508"/>
      <c r="DXI230" s="507" t="s">
        <v>1381</v>
      </c>
      <c r="DXJ230" s="508"/>
      <c r="DXK230" s="507" t="s">
        <v>1381</v>
      </c>
      <c r="DXL230" s="508"/>
      <c r="DXM230" s="507" t="s">
        <v>1381</v>
      </c>
      <c r="DXN230" s="508"/>
      <c r="DXO230" s="507" t="s">
        <v>1381</v>
      </c>
      <c r="DXP230" s="508"/>
      <c r="DXQ230" s="507" t="s">
        <v>1381</v>
      </c>
      <c r="DXR230" s="508"/>
      <c r="DXS230" s="507" t="s">
        <v>1381</v>
      </c>
      <c r="DXT230" s="508"/>
      <c r="DXU230" s="507" t="s">
        <v>1381</v>
      </c>
      <c r="DXV230" s="508"/>
      <c r="DXW230" s="507" t="s">
        <v>1381</v>
      </c>
      <c r="DXX230" s="508"/>
      <c r="DXY230" s="507" t="s">
        <v>1381</v>
      </c>
      <c r="DXZ230" s="508"/>
      <c r="DYA230" s="507" t="s">
        <v>1381</v>
      </c>
      <c r="DYB230" s="508"/>
      <c r="DYC230" s="507" t="s">
        <v>1381</v>
      </c>
      <c r="DYD230" s="508"/>
      <c r="DYE230" s="507" t="s">
        <v>1381</v>
      </c>
      <c r="DYF230" s="508"/>
      <c r="DYG230" s="507" t="s">
        <v>1381</v>
      </c>
      <c r="DYH230" s="508"/>
      <c r="DYI230" s="507" t="s">
        <v>1381</v>
      </c>
      <c r="DYJ230" s="508"/>
      <c r="DYK230" s="507" t="s">
        <v>1381</v>
      </c>
      <c r="DYL230" s="508"/>
      <c r="DYM230" s="507" t="s">
        <v>1381</v>
      </c>
      <c r="DYN230" s="508"/>
      <c r="DYO230" s="507" t="s">
        <v>1381</v>
      </c>
      <c r="DYP230" s="508"/>
      <c r="DYQ230" s="507" t="s">
        <v>1381</v>
      </c>
      <c r="DYR230" s="508"/>
      <c r="DYS230" s="507" t="s">
        <v>1381</v>
      </c>
      <c r="DYT230" s="508"/>
      <c r="DYU230" s="507" t="s">
        <v>1381</v>
      </c>
      <c r="DYV230" s="508"/>
      <c r="DYW230" s="507" t="s">
        <v>1381</v>
      </c>
      <c r="DYX230" s="508"/>
      <c r="DYY230" s="507" t="s">
        <v>1381</v>
      </c>
      <c r="DYZ230" s="508"/>
      <c r="DZA230" s="507" t="s">
        <v>1381</v>
      </c>
      <c r="DZB230" s="508"/>
      <c r="DZC230" s="507" t="s">
        <v>1381</v>
      </c>
      <c r="DZD230" s="508"/>
      <c r="DZE230" s="507" t="s">
        <v>1381</v>
      </c>
      <c r="DZF230" s="508"/>
      <c r="DZG230" s="507" t="s">
        <v>1381</v>
      </c>
      <c r="DZH230" s="508"/>
      <c r="DZI230" s="507" t="s">
        <v>1381</v>
      </c>
      <c r="DZJ230" s="508"/>
      <c r="DZK230" s="507" t="s">
        <v>1381</v>
      </c>
      <c r="DZL230" s="508"/>
      <c r="DZM230" s="507" t="s">
        <v>1381</v>
      </c>
      <c r="DZN230" s="508"/>
      <c r="DZO230" s="507" t="s">
        <v>1381</v>
      </c>
      <c r="DZP230" s="508"/>
      <c r="DZQ230" s="507" t="s">
        <v>1381</v>
      </c>
      <c r="DZR230" s="508"/>
      <c r="DZS230" s="507" t="s">
        <v>1381</v>
      </c>
      <c r="DZT230" s="508"/>
      <c r="DZU230" s="507" t="s">
        <v>1381</v>
      </c>
      <c r="DZV230" s="508"/>
      <c r="DZW230" s="507" t="s">
        <v>1381</v>
      </c>
      <c r="DZX230" s="508"/>
      <c r="DZY230" s="507" t="s">
        <v>1381</v>
      </c>
      <c r="DZZ230" s="508"/>
      <c r="EAA230" s="507" t="s">
        <v>1381</v>
      </c>
      <c r="EAB230" s="508"/>
      <c r="EAC230" s="507" t="s">
        <v>1381</v>
      </c>
      <c r="EAD230" s="508"/>
      <c r="EAE230" s="507" t="s">
        <v>1381</v>
      </c>
      <c r="EAF230" s="508"/>
      <c r="EAG230" s="507" t="s">
        <v>1381</v>
      </c>
      <c r="EAH230" s="508"/>
      <c r="EAI230" s="507" t="s">
        <v>1381</v>
      </c>
      <c r="EAJ230" s="508"/>
      <c r="EAK230" s="507" t="s">
        <v>1381</v>
      </c>
      <c r="EAL230" s="508"/>
      <c r="EAM230" s="507" t="s">
        <v>1381</v>
      </c>
      <c r="EAN230" s="508"/>
      <c r="EAO230" s="507" t="s">
        <v>1381</v>
      </c>
      <c r="EAP230" s="508"/>
      <c r="EAQ230" s="507" t="s">
        <v>1381</v>
      </c>
      <c r="EAR230" s="508"/>
      <c r="EAS230" s="507" t="s">
        <v>1381</v>
      </c>
      <c r="EAT230" s="508"/>
      <c r="EAU230" s="507" t="s">
        <v>1381</v>
      </c>
      <c r="EAV230" s="508"/>
      <c r="EAW230" s="507" t="s">
        <v>1381</v>
      </c>
      <c r="EAX230" s="508"/>
      <c r="EAY230" s="507" t="s">
        <v>1381</v>
      </c>
      <c r="EAZ230" s="508"/>
      <c r="EBA230" s="507" t="s">
        <v>1381</v>
      </c>
      <c r="EBB230" s="508"/>
      <c r="EBC230" s="507" t="s">
        <v>1381</v>
      </c>
      <c r="EBD230" s="508"/>
      <c r="EBE230" s="507" t="s">
        <v>1381</v>
      </c>
      <c r="EBF230" s="508"/>
      <c r="EBG230" s="507" t="s">
        <v>1381</v>
      </c>
      <c r="EBH230" s="508"/>
      <c r="EBI230" s="507" t="s">
        <v>1381</v>
      </c>
      <c r="EBJ230" s="508"/>
      <c r="EBK230" s="507" t="s">
        <v>1381</v>
      </c>
      <c r="EBL230" s="508"/>
      <c r="EBM230" s="507" t="s">
        <v>1381</v>
      </c>
      <c r="EBN230" s="508"/>
      <c r="EBO230" s="507" t="s">
        <v>1381</v>
      </c>
      <c r="EBP230" s="508"/>
      <c r="EBQ230" s="507" t="s">
        <v>1381</v>
      </c>
      <c r="EBR230" s="508"/>
      <c r="EBS230" s="507" t="s">
        <v>1381</v>
      </c>
      <c r="EBT230" s="508"/>
      <c r="EBU230" s="507" t="s">
        <v>1381</v>
      </c>
      <c r="EBV230" s="508"/>
      <c r="EBW230" s="507" t="s">
        <v>1381</v>
      </c>
      <c r="EBX230" s="508"/>
      <c r="EBY230" s="507" t="s">
        <v>1381</v>
      </c>
      <c r="EBZ230" s="508"/>
      <c r="ECA230" s="507" t="s">
        <v>1381</v>
      </c>
      <c r="ECB230" s="508"/>
      <c r="ECC230" s="507" t="s">
        <v>1381</v>
      </c>
      <c r="ECD230" s="508"/>
      <c r="ECE230" s="507" t="s">
        <v>1381</v>
      </c>
      <c r="ECF230" s="508"/>
      <c r="ECG230" s="507" t="s">
        <v>1381</v>
      </c>
      <c r="ECH230" s="508"/>
      <c r="ECI230" s="507" t="s">
        <v>1381</v>
      </c>
      <c r="ECJ230" s="508"/>
      <c r="ECK230" s="507" t="s">
        <v>1381</v>
      </c>
      <c r="ECL230" s="508"/>
      <c r="ECM230" s="507" t="s">
        <v>1381</v>
      </c>
      <c r="ECN230" s="508"/>
      <c r="ECO230" s="507" t="s">
        <v>1381</v>
      </c>
      <c r="ECP230" s="508"/>
      <c r="ECQ230" s="507" t="s">
        <v>1381</v>
      </c>
      <c r="ECR230" s="508"/>
      <c r="ECS230" s="507" t="s">
        <v>1381</v>
      </c>
      <c r="ECT230" s="508"/>
      <c r="ECU230" s="507" t="s">
        <v>1381</v>
      </c>
      <c r="ECV230" s="508"/>
      <c r="ECW230" s="507" t="s">
        <v>1381</v>
      </c>
      <c r="ECX230" s="508"/>
      <c r="ECY230" s="507" t="s">
        <v>1381</v>
      </c>
      <c r="ECZ230" s="508"/>
      <c r="EDA230" s="507" t="s">
        <v>1381</v>
      </c>
      <c r="EDB230" s="508"/>
      <c r="EDC230" s="507" t="s">
        <v>1381</v>
      </c>
      <c r="EDD230" s="508"/>
      <c r="EDE230" s="507" t="s">
        <v>1381</v>
      </c>
      <c r="EDF230" s="508"/>
      <c r="EDG230" s="507" t="s">
        <v>1381</v>
      </c>
      <c r="EDH230" s="508"/>
      <c r="EDI230" s="507" t="s">
        <v>1381</v>
      </c>
      <c r="EDJ230" s="508"/>
      <c r="EDK230" s="507" t="s">
        <v>1381</v>
      </c>
      <c r="EDL230" s="508"/>
      <c r="EDM230" s="507" t="s">
        <v>1381</v>
      </c>
      <c r="EDN230" s="508"/>
      <c r="EDO230" s="507" t="s">
        <v>1381</v>
      </c>
      <c r="EDP230" s="508"/>
      <c r="EDQ230" s="507" t="s">
        <v>1381</v>
      </c>
      <c r="EDR230" s="508"/>
      <c r="EDS230" s="507" t="s">
        <v>1381</v>
      </c>
      <c r="EDT230" s="508"/>
      <c r="EDU230" s="507" t="s">
        <v>1381</v>
      </c>
      <c r="EDV230" s="508"/>
      <c r="EDW230" s="507" t="s">
        <v>1381</v>
      </c>
      <c r="EDX230" s="508"/>
      <c r="EDY230" s="507" t="s">
        <v>1381</v>
      </c>
      <c r="EDZ230" s="508"/>
      <c r="EEA230" s="507" t="s">
        <v>1381</v>
      </c>
      <c r="EEB230" s="508"/>
      <c r="EEC230" s="507" t="s">
        <v>1381</v>
      </c>
      <c r="EED230" s="508"/>
      <c r="EEE230" s="507" t="s">
        <v>1381</v>
      </c>
      <c r="EEF230" s="508"/>
      <c r="EEG230" s="507" t="s">
        <v>1381</v>
      </c>
      <c r="EEH230" s="508"/>
      <c r="EEI230" s="507" t="s">
        <v>1381</v>
      </c>
      <c r="EEJ230" s="508"/>
      <c r="EEK230" s="507" t="s">
        <v>1381</v>
      </c>
      <c r="EEL230" s="508"/>
      <c r="EEM230" s="507" t="s">
        <v>1381</v>
      </c>
      <c r="EEN230" s="508"/>
      <c r="EEO230" s="507" t="s">
        <v>1381</v>
      </c>
      <c r="EEP230" s="508"/>
      <c r="EEQ230" s="507" t="s">
        <v>1381</v>
      </c>
      <c r="EER230" s="508"/>
      <c r="EES230" s="507" t="s">
        <v>1381</v>
      </c>
      <c r="EET230" s="508"/>
      <c r="EEU230" s="507" t="s">
        <v>1381</v>
      </c>
      <c r="EEV230" s="508"/>
      <c r="EEW230" s="507" t="s">
        <v>1381</v>
      </c>
      <c r="EEX230" s="508"/>
      <c r="EEY230" s="507" t="s">
        <v>1381</v>
      </c>
      <c r="EEZ230" s="508"/>
      <c r="EFA230" s="507" t="s">
        <v>1381</v>
      </c>
      <c r="EFB230" s="508"/>
      <c r="EFC230" s="507" t="s">
        <v>1381</v>
      </c>
      <c r="EFD230" s="508"/>
      <c r="EFE230" s="507" t="s">
        <v>1381</v>
      </c>
      <c r="EFF230" s="508"/>
      <c r="EFG230" s="507" t="s">
        <v>1381</v>
      </c>
      <c r="EFH230" s="508"/>
      <c r="EFI230" s="507" t="s">
        <v>1381</v>
      </c>
      <c r="EFJ230" s="508"/>
      <c r="EFK230" s="507" t="s">
        <v>1381</v>
      </c>
      <c r="EFL230" s="508"/>
      <c r="EFM230" s="507" t="s">
        <v>1381</v>
      </c>
      <c r="EFN230" s="508"/>
      <c r="EFO230" s="507" t="s">
        <v>1381</v>
      </c>
      <c r="EFP230" s="508"/>
      <c r="EFQ230" s="507" t="s">
        <v>1381</v>
      </c>
      <c r="EFR230" s="508"/>
      <c r="EFS230" s="507" t="s">
        <v>1381</v>
      </c>
      <c r="EFT230" s="508"/>
      <c r="EFU230" s="507" t="s">
        <v>1381</v>
      </c>
      <c r="EFV230" s="508"/>
      <c r="EFW230" s="507" t="s">
        <v>1381</v>
      </c>
      <c r="EFX230" s="508"/>
      <c r="EFY230" s="507" t="s">
        <v>1381</v>
      </c>
      <c r="EFZ230" s="508"/>
      <c r="EGA230" s="507" t="s">
        <v>1381</v>
      </c>
      <c r="EGB230" s="508"/>
      <c r="EGC230" s="507" t="s">
        <v>1381</v>
      </c>
      <c r="EGD230" s="508"/>
      <c r="EGE230" s="507" t="s">
        <v>1381</v>
      </c>
      <c r="EGF230" s="508"/>
      <c r="EGG230" s="507" t="s">
        <v>1381</v>
      </c>
      <c r="EGH230" s="508"/>
      <c r="EGI230" s="507" t="s">
        <v>1381</v>
      </c>
      <c r="EGJ230" s="508"/>
      <c r="EGK230" s="507" t="s">
        <v>1381</v>
      </c>
      <c r="EGL230" s="508"/>
      <c r="EGM230" s="507" t="s">
        <v>1381</v>
      </c>
      <c r="EGN230" s="508"/>
      <c r="EGO230" s="507" t="s">
        <v>1381</v>
      </c>
      <c r="EGP230" s="508"/>
      <c r="EGQ230" s="507" t="s">
        <v>1381</v>
      </c>
      <c r="EGR230" s="508"/>
      <c r="EGS230" s="507" t="s">
        <v>1381</v>
      </c>
      <c r="EGT230" s="508"/>
      <c r="EGU230" s="507" t="s">
        <v>1381</v>
      </c>
      <c r="EGV230" s="508"/>
      <c r="EGW230" s="507" t="s">
        <v>1381</v>
      </c>
      <c r="EGX230" s="508"/>
      <c r="EGY230" s="507" t="s">
        <v>1381</v>
      </c>
      <c r="EGZ230" s="508"/>
      <c r="EHA230" s="507" t="s">
        <v>1381</v>
      </c>
      <c r="EHB230" s="508"/>
      <c r="EHC230" s="507" t="s">
        <v>1381</v>
      </c>
      <c r="EHD230" s="508"/>
      <c r="EHE230" s="507" t="s">
        <v>1381</v>
      </c>
      <c r="EHF230" s="508"/>
      <c r="EHG230" s="507" t="s">
        <v>1381</v>
      </c>
      <c r="EHH230" s="508"/>
      <c r="EHI230" s="507" t="s">
        <v>1381</v>
      </c>
      <c r="EHJ230" s="508"/>
      <c r="EHK230" s="507" t="s">
        <v>1381</v>
      </c>
      <c r="EHL230" s="508"/>
      <c r="EHM230" s="507" t="s">
        <v>1381</v>
      </c>
      <c r="EHN230" s="508"/>
      <c r="EHO230" s="507" t="s">
        <v>1381</v>
      </c>
      <c r="EHP230" s="508"/>
      <c r="EHQ230" s="507" t="s">
        <v>1381</v>
      </c>
      <c r="EHR230" s="508"/>
      <c r="EHS230" s="507" t="s">
        <v>1381</v>
      </c>
      <c r="EHT230" s="508"/>
      <c r="EHU230" s="507" t="s">
        <v>1381</v>
      </c>
      <c r="EHV230" s="508"/>
      <c r="EHW230" s="507" t="s">
        <v>1381</v>
      </c>
      <c r="EHX230" s="508"/>
      <c r="EHY230" s="507" t="s">
        <v>1381</v>
      </c>
      <c r="EHZ230" s="508"/>
      <c r="EIA230" s="507" t="s">
        <v>1381</v>
      </c>
      <c r="EIB230" s="508"/>
      <c r="EIC230" s="507" t="s">
        <v>1381</v>
      </c>
      <c r="EID230" s="508"/>
      <c r="EIE230" s="507" t="s">
        <v>1381</v>
      </c>
      <c r="EIF230" s="508"/>
      <c r="EIG230" s="507" t="s">
        <v>1381</v>
      </c>
      <c r="EIH230" s="508"/>
      <c r="EII230" s="507" t="s">
        <v>1381</v>
      </c>
      <c r="EIJ230" s="508"/>
      <c r="EIK230" s="507" t="s">
        <v>1381</v>
      </c>
      <c r="EIL230" s="508"/>
      <c r="EIM230" s="507" t="s">
        <v>1381</v>
      </c>
      <c r="EIN230" s="508"/>
      <c r="EIO230" s="507" t="s">
        <v>1381</v>
      </c>
      <c r="EIP230" s="508"/>
      <c r="EIQ230" s="507" t="s">
        <v>1381</v>
      </c>
      <c r="EIR230" s="508"/>
      <c r="EIS230" s="507" t="s">
        <v>1381</v>
      </c>
      <c r="EIT230" s="508"/>
      <c r="EIU230" s="507" t="s">
        <v>1381</v>
      </c>
      <c r="EIV230" s="508"/>
      <c r="EIW230" s="507" t="s">
        <v>1381</v>
      </c>
      <c r="EIX230" s="508"/>
      <c r="EIY230" s="507" t="s">
        <v>1381</v>
      </c>
      <c r="EIZ230" s="508"/>
      <c r="EJA230" s="507" t="s">
        <v>1381</v>
      </c>
      <c r="EJB230" s="508"/>
      <c r="EJC230" s="507" t="s">
        <v>1381</v>
      </c>
      <c r="EJD230" s="508"/>
      <c r="EJE230" s="507" t="s">
        <v>1381</v>
      </c>
      <c r="EJF230" s="508"/>
      <c r="EJG230" s="507" t="s">
        <v>1381</v>
      </c>
      <c r="EJH230" s="508"/>
      <c r="EJI230" s="507" t="s">
        <v>1381</v>
      </c>
      <c r="EJJ230" s="508"/>
      <c r="EJK230" s="507" t="s">
        <v>1381</v>
      </c>
      <c r="EJL230" s="508"/>
      <c r="EJM230" s="507" t="s">
        <v>1381</v>
      </c>
      <c r="EJN230" s="508"/>
      <c r="EJO230" s="507" t="s">
        <v>1381</v>
      </c>
      <c r="EJP230" s="508"/>
      <c r="EJQ230" s="507" t="s">
        <v>1381</v>
      </c>
      <c r="EJR230" s="508"/>
      <c r="EJS230" s="507" t="s">
        <v>1381</v>
      </c>
      <c r="EJT230" s="508"/>
      <c r="EJU230" s="507" t="s">
        <v>1381</v>
      </c>
      <c r="EJV230" s="508"/>
      <c r="EJW230" s="507" t="s">
        <v>1381</v>
      </c>
      <c r="EJX230" s="508"/>
      <c r="EJY230" s="507" t="s">
        <v>1381</v>
      </c>
      <c r="EJZ230" s="508"/>
      <c r="EKA230" s="507" t="s">
        <v>1381</v>
      </c>
      <c r="EKB230" s="508"/>
      <c r="EKC230" s="507" t="s">
        <v>1381</v>
      </c>
      <c r="EKD230" s="508"/>
      <c r="EKE230" s="507" t="s">
        <v>1381</v>
      </c>
      <c r="EKF230" s="508"/>
      <c r="EKG230" s="507" t="s">
        <v>1381</v>
      </c>
      <c r="EKH230" s="508"/>
      <c r="EKI230" s="507" t="s">
        <v>1381</v>
      </c>
      <c r="EKJ230" s="508"/>
      <c r="EKK230" s="507" t="s">
        <v>1381</v>
      </c>
      <c r="EKL230" s="508"/>
      <c r="EKM230" s="507" t="s">
        <v>1381</v>
      </c>
      <c r="EKN230" s="508"/>
      <c r="EKO230" s="507" t="s">
        <v>1381</v>
      </c>
      <c r="EKP230" s="508"/>
      <c r="EKQ230" s="507" t="s">
        <v>1381</v>
      </c>
      <c r="EKR230" s="508"/>
      <c r="EKS230" s="507" t="s">
        <v>1381</v>
      </c>
      <c r="EKT230" s="508"/>
      <c r="EKU230" s="507" t="s">
        <v>1381</v>
      </c>
      <c r="EKV230" s="508"/>
      <c r="EKW230" s="507" t="s">
        <v>1381</v>
      </c>
      <c r="EKX230" s="508"/>
      <c r="EKY230" s="507" t="s">
        <v>1381</v>
      </c>
      <c r="EKZ230" s="508"/>
      <c r="ELA230" s="507" t="s">
        <v>1381</v>
      </c>
      <c r="ELB230" s="508"/>
      <c r="ELC230" s="507" t="s">
        <v>1381</v>
      </c>
      <c r="ELD230" s="508"/>
      <c r="ELE230" s="507" t="s">
        <v>1381</v>
      </c>
      <c r="ELF230" s="508"/>
      <c r="ELG230" s="507" t="s">
        <v>1381</v>
      </c>
      <c r="ELH230" s="508"/>
      <c r="ELI230" s="507" t="s">
        <v>1381</v>
      </c>
      <c r="ELJ230" s="508"/>
      <c r="ELK230" s="507" t="s">
        <v>1381</v>
      </c>
      <c r="ELL230" s="508"/>
      <c r="ELM230" s="507" t="s">
        <v>1381</v>
      </c>
      <c r="ELN230" s="508"/>
      <c r="ELO230" s="507" t="s">
        <v>1381</v>
      </c>
      <c r="ELP230" s="508"/>
      <c r="ELQ230" s="507" t="s">
        <v>1381</v>
      </c>
      <c r="ELR230" s="508"/>
      <c r="ELS230" s="507" t="s">
        <v>1381</v>
      </c>
      <c r="ELT230" s="508"/>
      <c r="ELU230" s="507" t="s">
        <v>1381</v>
      </c>
      <c r="ELV230" s="508"/>
      <c r="ELW230" s="507" t="s">
        <v>1381</v>
      </c>
      <c r="ELX230" s="508"/>
      <c r="ELY230" s="507" t="s">
        <v>1381</v>
      </c>
      <c r="ELZ230" s="508"/>
      <c r="EMA230" s="507" t="s">
        <v>1381</v>
      </c>
      <c r="EMB230" s="508"/>
      <c r="EMC230" s="507" t="s">
        <v>1381</v>
      </c>
      <c r="EMD230" s="508"/>
      <c r="EME230" s="507" t="s">
        <v>1381</v>
      </c>
      <c r="EMF230" s="508"/>
      <c r="EMG230" s="507" t="s">
        <v>1381</v>
      </c>
      <c r="EMH230" s="508"/>
      <c r="EMI230" s="507" t="s">
        <v>1381</v>
      </c>
      <c r="EMJ230" s="508"/>
      <c r="EMK230" s="507" t="s">
        <v>1381</v>
      </c>
      <c r="EML230" s="508"/>
      <c r="EMM230" s="507" t="s">
        <v>1381</v>
      </c>
      <c r="EMN230" s="508"/>
      <c r="EMO230" s="507" t="s">
        <v>1381</v>
      </c>
      <c r="EMP230" s="508"/>
      <c r="EMQ230" s="507" t="s">
        <v>1381</v>
      </c>
      <c r="EMR230" s="508"/>
      <c r="EMS230" s="507" t="s">
        <v>1381</v>
      </c>
      <c r="EMT230" s="508"/>
      <c r="EMU230" s="507" t="s">
        <v>1381</v>
      </c>
      <c r="EMV230" s="508"/>
      <c r="EMW230" s="507" t="s">
        <v>1381</v>
      </c>
      <c r="EMX230" s="508"/>
      <c r="EMY230" s="507" t="s">
        <v>1381</v>
      </c>
      <c r="EMZ230" s="508"/>
      <c r="ENA230" s="507" t="s">
        <v>1381</v>
      </c>
      <c r="ENB230" s="508"/>
      <c r="ENC230" s="507" t="s">
        <v>1381</v>
      </c>
      <c r="END230" s="508"/>
      <c r="ENE230" s="507" t="s">
        <v>1381</v>
      </c>
      <c r="ENF230" s="508"/>
      <c r="ENG230" s="507" t="s">
        <v>1381</v>
      </c>
      <c r="ENH230" s="508"/>
      <c r="ENI230" s="507" t="s">
        <v>1381</v>
      </c>
      <c r="ENJ230" s="508"/>
      <c r="ENK230" s="507" t="s">
        <v>1381</v>
      </c>
      <c r="ENL230" s="508"/>
      <c r="ENM230" s="507" t="s">
        <v>1381</v>
      </c>
      <c r="ENN230" s="508"/>
      <c r="ENO230" s="507" t="s">
        <v>1381</v>
      </c>
      <c r="ENP230" s="508"/>
      <c r="ENQ230" s="507" t="s">
        <v>1381</v>
      </c>
      <c r="ENR230" s="508"/>
      <c r="ENS230" s="507" t="s">
        <v>1381</v>
      </c>
      <c r="ENT230" s="508"/>
      <c r="ENU230" s="507" t="s">
        <v>1381</v>
      </c>
      <c r="ENV230" s="508"/>
      <c r="ENW230" s="507" t="s">
        <v>1381</v>
      </c>
      <c r="ENX230" s="508"/>
      <c r="ENY230" s="507" t="s">
        <v>1381</v>
      </c>
      <c r="ENZ230" s="508"/>
      <c r="EOA230" s="507" t="s">
        <v>1381</v>
      </c>
      <c r="EOB230" s="508"/>
      <c r="EOC230" s="507" t="s">
        <v>1381</v>
      </c>
      <c r="EOD230" s="508"/>
      <c r="EOE230" s="507" t="s">
        <v>1381</v>
      </c>
      <c r="EOF230" s="508"/>
      <c r="EOG230" s="507" t="s">
        <v>1381</v>
      </c>
      <c r="EOH230" s="508"/>
      <c r="EOI230" s="507" t="s">
        <v>1381</v>
      </c>
      <c r="EOJ230" s="508"/>
      <c r="EOK230" s="507" t="s">
        <v>1381</v>
      </c>
      <c r="EOL230" s="508"/>
      <c r="EOM230" s="507" t="s">
        <v>1381</v>
      </c>
      <c r="EON230" s="508"/>
      <c r="EOO230" s="507" t="s">
        <v>1381</v>
      </c>
      <c r="EOP230" s="508"/>
      <c r="EOQ230" s="507" t="s">
        <v>1381</v>
      </c>
      <c r="EOR230" s="508"/>
      <c r="EOS230" s="507" t="s">
        <v>1381</v>
      </c>
      <c r="EOT230" s="508"/>
      <c r="EOU230" s="507" t="s">
        <v>1381</v>
      </c>
      <c r="EOV230" s="508"/>
      <c r="EOW230" s="507" t="s">
        <v>1381</v>
      </c>
      <c r="EOX230" s="508"/>
      <c r="EOY230" s="507" t="s">
        <v>1381</v>
      </c>
      <c r="EOZ230" s="508"/>
      <c r="EPA230" s="507" t="s">
        <v>1381</v>
      </c>
      <c r="EPB230" s="508"/>
      <c r="EPC230" s="507" t="s">
        <v>1381</v>
      </c>
      <c r="EPD230" s="508"/>
      <c r="EPE230" s="507" t="s">
        <v>1381</v>
      </c>
      <c r="EPF230" s="508"/>
      <c r="EPG230" s="507" t="s">
        <v>1381</v>
      </c>
      <c r="EPH230" s="508"/>
      <c r="EPI230" s="507" t="s">
        <v>1381</v>
      </c>
      <c r="EPJ230" s="508"/>
      <c r="EPK230" s="507" t="s">
        <v>1381</v>
      </c>
      <c r="EPL230" s="508"/>
      <c r="EPM230" s="507" t="s">
        <v>1381</v>
      </c>
      <c r="EPN230" s="508"/>
      <c r="EPO230" s="507" t="s">
        <v>1381</v>
      </c>
      <c r="EPP230" s="508"/>
      <c r="EPQ230" s="507" t="s">
        <v>1381</v>
      </c>
      <c r="EPR230" s="508"/>
      <c r="EPS230" s="507" t="s">
        <v>1381</v>
      </c>
      <c r="EPT230" s="508"/>
      <c r="EPU230" s="507" t="s">
        <v>1381</v>
      </c>
      <c r="EPV230" s="508"/>
      <c r="EPW230" s="507" t="s">
        <v>1381</v>
      </c>
      <c r="EPX230" s="508"/>
      <c r="EPY230" s="507" t="s">
        <v>1381</v>
      </c>
      <c r="EPZ230" s="508"/>
      <c r="EQA230" s="507" t="s">
        <v>1381</v>
      </c>
      <c r="EQB230" s="508"/>
      <c r="EQC230" s="507" t="s">
        <v>1381</v>
      </c>
      <c r="EQD230" s="508"/>
      <c r="EQE230" s="507" t="s">
        <v>1381</v>
      </c>
      <c r="EQF230" s="508"/>
      <c r="EQG230" s="507" t="s">
        <v>1381</v>
      </c>
      <c r="EQH230" s="508"/>
      <c r="EQI230" s="507" t="s">
        <v>1381</v>
      </c>
      <c r="EQJ230" s="508"/>
      <c r="EQK230" s="507" t="s">
        <v>1381</v>
      </c>
      <c r="EQL230" s="508"/>
      <c r="EQM230" s="507" t="s">
        <v>1381</v>
      </c>
      <c r="EQN230" s="508"/>
      <c r="EQO230" s="507" t="s">
        <v>1381</v>
      </c>
      <c r="EQP230" s="508"/>
      <c r="EQQ230" s="507" t="s">
        <v>1381</v>
      </c>
      <c r="EQR230" s="508"/>
      <c r="EQS230" s="507" t="s">
        <v>1381</v>
      </c>
      <c r="EQT230" s="508"/>
      <c r="EQU230" s="507" t="s">
        <v>1381</v>
      </c>
      <c r="EQV230" s="508"/>
      <c r="EQW230" s="507" t="s">
        <v>1381</v>
      </c>
      <c r="EQX230" s="508"/>
      <c r="EQY230" s="507" t="s">
        <v>1381</v>
      </c>
      <c r="EQZ230" s="508"/>
      <c r="ERA230" s="507" t="s">
        <v>1381</v>
      </c>
      <c r="ERB230" s="508"/>
      <c r="ERC230" s="507" t="s">
        <v>1381</v>
      </c>
      <c r="ERD230" s="508"/>
      <c r="ERE230" s="507" t="s">
        <v>1381</v>
      </c>
      <c r="ERF230" s="508"/>
      <c r="ERG230" s="507" t="s">
        <v>1381</v>
      </c>
      <c r="ERH230" s="508"/>
      <c r="ERI230" s="507" t="s">
        <v>1381</v>
      </c>
      <c r="ERJ230" s="508"/>
      <c r="ERK230" s="507" t="s">
        <v>1381</v>
      </c>
      <c r="ERL230" s="508"/>
      <c r="ERM230" s="507" t="s">
        <v>1381</v>
      </c>
      <c r="ERN230" s="508"/>
      <c r="ERO230" s="507" t="s">
        <v>1381</v>
      </c>
      <c r="ERP230" s="508"/>
      <c r="ERQ230" s="507" t="s">
        <v>1381</v>
      </c>
      <c r="ERR230" s="508"/>
      <c r="ERS230" s="507" t="s">
        <v>1381</v>
      </c>
      <c r="ERT230" s="508"/>
      <c r="ERU230" s="507" t="s">
        <v>1381</v>
      </c>
      <c r="ERV230" s="508"/>
      <c r="ERW230" s="507" t="s">
        <v>1381</v>
      </c>
      <c r="ERX230" s="508"/>
      <c r="ERY230" s="507" t="s">
        <v>1381</v>
      </c>
      <c r="ERZ230" s="508"/>
      <c r="ESA230" s="507" t="s">
        <v>1381</v>
      </c>
      <c r="ESB230" s="508"/>
      <c r="ESC230" s="507" t="s">
        <v>1381</v>
      </c>
      <c r="ESD230" s="508"/>
      <c r="ESE230" s="507" t="s">
        <v>1381</v>
      </c>
      <c r="ESF230" s="508"/>
      <c r="ESG230" s="507" t="s">
        <v>1381</v>
      </c>
      <c r="ESH230" s="508"/>
      <c r="ESI230" s="507" t="s">
        <v>1381</v>
      </c>
      <c r="ESJ230" s="508"/>
      <c r="ESK230" s="507" t="s">
        <v>1381</v>
      </c>
      <c r="ESL230" s="508"/>
      <c r="ESM230" s="507" t="s">
        <v>1381</v>
      </c>
      <c r="ESN230" s="508"/>
      <c r="ESO230" s="507" t="s">
        <v>1381</v>
      </c>
      <c r="ESP230" s="508"/>
      <c r="ESQ230" s="507" t="s">
        <v>1381</v>
      </c>
      <c r="ESR230" s="508"/>
      <c r="ESS230" s="507" t="s">
        <v>1381</v>
      </c>
      <c r="EST230" s="508"/>
      <c r="ESU230" s="507" t="s">
        <v>1381</v>
      </c>
      <c r="ESV230" s="508"/>
      <c r="ESW230" s="507" t="s">
        <v>1381</v>
      </c>
      <c r="ESX230" s="508"/>
      <c r="ESY230" s="507" t="s">
        <v>1381</v>
      </c>
      <c r="ESZ230" s="508"/>
      <c r="ETA230" s="507" t="s">
        <v>1381</v>
      </c>
      <c r="ETB230" s="508"/>
      <c r="ETC230" s="507" t="s">
        <v>1381</v>
      </c>
      <c r="ETD230" s="508"/>
      <c r="ETE230" s="507" t="s">
        <v>1381</v>
      </c>
      <c r="ETF230" s="508"/>
      <c r="ETG230" s="507" t="s">
        <v>1381</v>
      </c>
      <c r="ETH230" s="508"/>
      <c r="ETI230" s="507" t="s">
        <v>1381</v>
      </c>
      <c r="ETJ230" s="508"/>
      <c r="ETK230" s="507" t="s">
        <v>1381</v>
      </c>
      <c r="ETL230" s="508"/>
      <c r="ETM230" s="507" t="s">
        <v>1381</v>
      </c>
      <c r="ETN230" s="508"/>
      <c r="ETO230" s="507" t="s">
        <v>1381</v>
      </c>
      <c r="ETP230" s="508"/>
      <c r="ETQ230" s="507" t="s">
        <v>1381</v>
      </c>
      <c r="ETR230" s="508"/>
      <c r="ETS230" s="507" t="s">
        <v>1381</v>
      </c>
      <c r="ETT230" s="508"/>
      <c r="ETU230" s="507" t="s">
        <v>1381</v>
      </c>
      <c r="ETV230" s="508"/>
      <c r="ETW230" s="507" t="s">
        <v>1381</v>
      </c>
      <c r="ETX230" s="508"/>
      <c r="ETY230" s="507" t="s">
        <v>1381</v>
      </c>
      <c r="ETZ230" s="508"/>
      <c r="EUA230" s="507" t="s">
        <v>1381</v>
      </c>
      <c r="EUB230" s="508"/>
      <c r="EUC230" s="507" t="s">
        <v>1381</v>
      </c>
      <c r="EUD230" s="508"/>
      <c r="EUE230" s="507" t="s">
        <v>1381</v>
      </c>
      <c r="EUF230" s="508"/>
      <c r="EUG230" s="507" t="s">
        <v>1381</v>
      </c>
      <c r="EUH230" s="508"/>
      <c r="EUI230" s="507" t="s">
        <v>1381</v>
      </c>
      <c r="EUJ230" s="508"/>
      <c r="EUK230" s="507" t="s">
        <v>1381</v>
      </c>
      <c r="EUL230" s="508"/>
      <c r="EUM230" s="507" t="s">
        <v>1381</v>
      </c>
      <c r="EUN230" s="508"/>
      <c r="EUO230" s="507" t="s">
        <v>1381</v>
      </c>
      <c r="EUP230" s="508"/>
      <c r="EUQ230" s="507" t="s">
        <v>1381</v>
      </c>
      <c r="EUR230" s="508"/>
      <c r="EUS230" s="507" t="s">
        <v>1381</v>
      </c>
      <c r="EUT230" s="508"/>
      <c r="EUU230" s="507" t="s">
        <v>1381</v>
      </c>
      <c r="EUV230" s="508"/>
      <c r="EUW230" s="507" t="s">
        <v>1381</v>
      </c>
      <c r="EUX230" s="508"/>
      <c r="EUY230" s="507" t="s">
        <v>1381</v>
      </c>
      <c r="EUZ230" s="508"/>
      <c r="EVA230" s="507" t="s">
        <v>1381</v>
      </c>
      <c r="EVB230" s="508"/>
      <c r="EVC230" s="507" t="s">
        <v>1381</v>
      </c>
      <c r="EVD230" s="508"/>
      <c r="EVE230" s="507" t="s">
        <v>1381</v>
      </c>
      <c r="EVF230" s="508"/>
      <c r="EVG230" s="507" t="s">
        <v>1381</v>
      </c>
      <c r="EVH230" s="508"/>
      <c r="EVI230" s="507" t="s">
        <v>1381</v>
      </c>
      <c r="EVJ230" s="508"/>
      <c r="EVK230" s="507" t="s">
        <v>1381</v>
      </c>
      <c r="EVL230" s="508"/>
      <c r="EVM230" s="507" t="s">
        <v>1381</v>
      </c>
      <c r="EVN230" s="508"/>
      <c r="EVO230" s="507" t="s">
        <v>1381</v>
      </c>
      <c r="EVP230" s="508"/>
      <c r="EVQ230" s="507" t="s">
        <v>1381</v>
      </c>
      <c r="EVR230" s="508"/>
      <c r="EVS230" s="507" t="s">
        <v>1381</v>
      </c>
      <c r="EVT230" s="508"/>
      <c r="EVU230" s="507" t="s">
        <v>1381</v>
      </c>
      <c r="EVV230" s="508"/>
      <c r="EVW230" s="507" t="s">
        <v>1381</v>
      </c>
      <c r="EVX230" s="508"/>
      <c r="EVY230" s="507" t="s">
        <v>1381</v>
      </c>
      <c r="EVZ230" s="508"/>
      <c r="EWA230" s="507" t="s">
        <v>1381</v>
      </c>
      <c r="EWB230" s="508"/>
      <c r="EWC230" s="507" t="s">
        <v>1381</v>
      </c>
      <c r="EWD230" s="508"/>
      <c r="EWE230" s="507" t="s">
        <v>1381</v>
      </c>
      <c r="EWF230" s="508"/>
      <c r="EWG230" s="507" t="s">
        <v>1381</v>
      </c>
      <c r="EWH230" s="508"/>
      <c r="EWI230" s="507" t="s">
        <v>1381</v>
      </c>
      <c r="EWJ230" s="508"/>
      <c r="EWK230" s="507" t="s">
        <v>1381</v>
      </c>
      <c r="EWL230" s="508"/>
      <c r="EWM230" s="507" t="s">
        <v>1381</v>
      </c>
      <c r="EWN230" s="508"/>
      <c r="EWO230" s="507" t="s">
        <v>1381</v>
      </c>
      <c r="EWP230" s="508"/>
      <c r="EWQ230" s="507" t="s">
        <v>1381</v>
      </c>
      <c r="EWR230" s="508"/>
      <c r="EWS230" s="507" t="s">
        <v>1381</v>
      </c>
      <c r="EWT230" s="508"/>
      <c r="EWU230" s="507" t="s">
        <v>1381</v>
      </c>
      <c r="EWV230" s="508"/>
      <c r="EWW230" s="507" t="s">
        <v>1381</v>
      </c>
      <c r="EWX230" s="508"/>
      <c r="EWY230" s="507" t="s">
        <v>1381</v>
      </c>
      <c r="EWZ230" s="508"/>
      <c r="EXA230" s="507" t="s">
        <v>1381</v>
      </c>
      <c r="EXB230" s="508"/>
      <c r="EXC230" s="507" t="s">
        <v>1381</v>
      </c>
      <c r="EXD230" s="508"/>
      <c r="EXE230" s="507" t="s">
        <v>1381</v>
      </c>
      <c r="EXF230" s="508"/>
      <c r="EXG230" s="507" t="s">
        <v>1381</v>
      </c>
      <c r="EXH230" s="508"/>
      <c r="EXI230" s="507" t="s">
        <v>1381</v>
      </c>
      <c r="EXJ230" s="508"/>
      <c r="EXK230" s="507" t="s">
        <v>1381</v>
      </c>
      <c r="EXL230" s="508"/>
      <c r="EXM230" s="507" t="s">
        <v>1381</v>
      </c>
      <c r="EXN230" s="508"/>
      <c r="EXO230" s="507" t="s">
        <v>1381</v>
      </c>
      <c r="EXP230" s="508"/>
      <c r="EXQ230" s="507" t="s">
        <v>1381</v>
      </c>
      <c r="EXR230" s="508"/>
      <c r="EXS230" s="507" t="s">
        <v>1381</v>
      </c>
      <c r="EXT230" s="508"/>
      <c r="EXU230" s="507" t="s">
        <v>1381</v>
      </c>
      <c r="EXV230" s="508"/>
      <c r="EXW230" s="507" t="s">
        <v>1381</v>
      </c>
      <c r="EXX230" s="508"/>
      <c r="EXY230" s="507" t="s">
        <v>1381</v>
      </c>
      <c r="EXZ230" s="508"/>
      <c r="EYA230" s="507" t="s">
        <v>1381</v>
      </c>
      <c r="EYB230" s="508"/>
      <c r="EYC230" s="507" t="s">
        <v>1381</v>
      </c>
      <c r="EYD230" s="508"/>
      <c r="EYE230" s="507" t="s">
        <v>1381</v>
      </c>
      <c r="EYF230" s="508"/>
      <c r="EYG230" s="507" t="s">
        <v>1381</v>
      </c>
      <c r="EYH230" s="508"/>
      <c r="EYI230" s="507" t="s">
        <v>1381</v>
      </c>
      <c r="EYJ230" s="508"/>
      <c r="EYK230" s="507" t="s">
        <v>1381</v>
      </c>
      <c r="EYL230" s="508"/>
      <c r="EYM230" s="507" t="s">
        <v>1381</v>
      </c>
      <c r="EYN230" s="508"/>
      <c r="EYO230" s="507" t="s">
        <v>1381</v>
      </c>
      <c r="EYP230" s="508"/>
      <c r="EYQ230" s="507" t="s">
        <v>1381</v>
      </c>
      <c r="EYR230" s="508"/>
      <c r="EYS230" s="507" t="s">
        <v>1381</v>
      </c>
      <c r="EYT230" s="508"/>
      <c r="EYU230" s="507" t="s">
        <v>1381</v>
      </c>
      <c r="EYV230" s="508"/>
      <c r="EYW230" s="507" t="s">
        <v>1381</v>
      </c>
      <c r="EYX230" s="508"/>
      <c r="EYY230" s="507" t="s">
        <v>1381</v>
      </c>
      <c r="EYZ230" s="508"/>
      <c r="EZA230" s="507" t="s">
        <v>1381</v>
      </c>
      <c r="EZB230" s="508"/>
      <c r="EZC230" s="507" t="s">
        <v>1381</v>
      </c>
      <c r="EZD230" s="508"/>
      <c r="EZE230" s="507" t="s">
        <v>1381</v>
      </c>
      <c r="EZF230" s="508"/>
      <c r="EZG230" s="507" t="s">
        <v>1381</v>
      </c>
      <c r="EZH230" s="508"/>
      <c r="EZI230" s="507" t="s">
        <v>1381</v>
      </c>
      <c r="EZJ230" s="508"/>
      <c r="EZK230" s="507" t="s">
        <v>1381</v>
      </c>
      <c r="EZL230" s="508"/>
      <c r="EZM230" s="507" t="s">
        <v>1381</v>
      </c>
      <c r="EZN230" s="508"/>
      <c r="EZO230" s="507" t="s">
        <v>1381</v>
      </c>
      <c r="EZP230" s="508"/>
      <c r="EZQ230" s="507" t="s">
        <v>1381</v>
      </c>
      <c r="EZR230" s="508"/>
      <c r="EZS230" s="507" t="s">
        <v>1381</v>
      </c>
      <c r="EZT230" s="508"/>
      <c r="EZU230" s="507" t="s">
        <v>1381</v>
      </c>
      <c r="EZV230" s="508"/>
      <c r="EZW230" s="507" t="s">
        <v>1381</v>
      </c>
      <c r="EZX230" s="508"/>
      <c r="EZY230" s="507" t="s">
        <v>1381</v>
      </c>
      <c r="EZZ230" s="508"/>
      <c r="FAA230" s="507" t="s">
        <v>1381</v>
      </c>
      <c r="FAB230" s="508"/>
      <c r="FAC230" s="507" t="s">
        <v>1381</v>
      </c>
      <c r="FAD230" s="508"/>
      <c r="FAE230" s="507" t="s">
        <v>1381</v>
      </c>
      <c r="FAF230" s="508"/>
      <c r="FAG230" s="507" t="s">
        <v>1381</v>
      </c>
      <c r="FAH230" s="508"/>
      <c r="FAI230" s="507" t="s">
        <v>1381</v>
      </c>
      <c r="FAJ230" s="508"/>
      <c r="FAK230" s="507" t="s">
        <v>1381</v>
      </c>
      <c r="FAL230" s="508"/>
      <c r="FAM230" s="507" t="s">
        <v>1381</v>
      </c>
      <c r="FAN230" s="508"/>
      <c r="FAO230" s="507" t="s">
        <v>1381</v>
      </c>
      <c r="FAP230" s="508"/>
      <c r="FAQ230" s="507" t="s">
        <v>1381</v>
      </c>
      <c r="FAR230" s="508"/>
      <c r="FAS230" s="507" t="s">
        <v>1381</v>
      </c>
      <c r="FAT230" s="508"/>
      <c r="FAU230" s="507" t="s">
        <v>1381</v>
      </c>
      <c r="FAV230" s="508"/>
      <c r="FAW230" s="507" t="s">
        <v>1381</v>
      </c>
      <c r="FAX230" s="508"/>
      <c r="FAY230" s="507" t="s">
        <v>1381</v>
      </c>
      <c r="FAZ230" s="508"/>
      <c r="FBA230" s="507" t="s">
        <v>1381</v>
      </c>
      <c r="FBB230" s="508"/>
      <c r="FBC230" s="507" t="s">
        <v>1381</v>
      </c>
      <c r="FBD230" s="508"/>
      <c r="FBE230" s="507" t="s">
        <v>1381</v>
      </c>
      <c r="FBF230" s="508"/>
      <c r="FBG230" s="507" t="s">
        <v>1381</v>
      </c>
      <c r="FBH230" s="508"/>
      <c r="FBI230" s="507" t="s">
        <v>1381</v>
      </c>
      <c r="FBJ230" s="508"/>
      <c r="FBK230" s="507" t="s">
        <v>1381</v>
      </c>
      <c r="FBL230" s="508"/>
      <c r="FBM230" s="507" t="s">
        <v>1381</v>
      </c>
      <c r="FBN230" s="508"/>
      <c r="FBO230" s="507" t="s">
        <v>1381</v>
      </c>
      <c r="FBP230" s="508"/>
      <c r="FBQ230" s="507" t="s">
        <v>1381</v>
      </c>
      <c r="FBR230" s="508"/>
      <c r="FBS230" s="507" t="s">
        <v>1381</v>
      </c>
      <c r="FBT230" s="508"/>
      <c r="FBU230" s="507" t="s">
        <v>1381</v>
      </c>
      <c r="FBV230" s="508"/>
      <c r="FBW230" s="507" t="s">
        <v>1381</v>
      </c>
      <c r="FBX230" s="508"/>
      <c r="FBY230" s="507" t="s">
        <v>1381</v>
      </c>
      <c r="FBZ230" s="508"/>
      <c r="FCA230" s="507" t="s">
        <v>1381</v>
      </c>
      <c r="FCB230" s="508"/>
      <c r="FCC230" s="507" t="s">
        <v>1381</v>
      </c>
      <c r="FCD230" s="508"/>
      <c r="FCE230" s="507" t="s">
        <v>1381</v>
      </c>
      <c r="FCF230" s="508"/>
      <c r="FCG230" s="507" t="s">
        <v>1381</v>
      </c>
      <c r="FCH230" s="508"/>
      <c r="FCI230" s="507" t="s">
        <v>1381</v>
      </c>
      <c r="FCJ230" s="508"/>
      <c r="FCK230" s="507" t="s">
        <v>1381</v>
      </c>
      <c r="FCL230" s="508"/>
      <c r="FCM230" s="507" t="s">
        <v>1381</v>
      </c>
      <c r="FCN230" s="508"/>
      <c r="FCO230" s="507" t="s">
        <v>1381</v>
      </c>
      <c r="FCP230" s="508"/>
      <c r="FCQ230" s="507" t="s">
        <v>1381</v>
      </c>
      <c r="FCR230" s="508"/>
      <c r="FCS230" s="507" t="s">
        <v>1381</v>
      </c>
      <c r="FCT230" s="508"/>
      <c r="FCU230" s="507" t="s">
        <v>1381</v>
      </c>
      <c r="FCV230" s="508"/>
      <c r="FCW230" s="507" t="s">
        <v>1381</v>
      </c>
      <c r="FCX230" s="508"/>
      <c r="FCY230" s="507" t="s">
        <v>1381</v>
      </c>
      <c r="FCZ230" s="508"/>
      <c r="FDA230" s="507" t="s">
        <v>1381</v>
      </c>
      <c r="FDB230" s="508"/>
      <c r="FDC230" s="507" t="s">
        <v>1381</v>
      </c>
      <c r="FDD230" s="508"/>
      <c r="FDE230" s="507" t="s">
        <v>1381</v>
      </c>
      <c r="FDF230" s="508"/>
      <c r="FDG230" s="507" t="s">
        <v>1381</v>
      </c>
      <c r="FDH230" s="508"/>
      <c r="FDI230" s="507" t="s">
        <v>1381</v>
      </c>
      <c r="FDJ230" s="508"/>
      <c r="FDK230" s="507" t="s">
        <v>1381</v>
      </c>
      <c r="FDL230" s="508"/>
      <c r="FDM230" s="507" t="s">
        <v>1381</v>
      </c>
      <c r="FDN230" s="508"/>
      <c r="FDO230" s="507" t="s">
        <v>1381</v>
      </c>
      <c r="FDP230" s="508"/>
      <c r="FDQ230" s="507" t="s">
        <v>1381</v>
      </c>
      <c r="FDR230" s="508"/>
      <c r="FDS230" s="507" t="s">
        <v>1381</v>
      </c>
      <c r="FDT230" s="508"/>
      <c r="FDU230" s="507" t="s">
        <v>1381</v>
      </c>
      <c r="FDV230" s="508"/>
      <c r="FDW230" s="507" t="s">
        <v>1381</v>
      </c>
      <c r="FDX230" s="508"/>
      <c r="FDY230" s="507" t="s">
        <v>1381</v>
      </c>
      <c r="FDZ230" s="508"/>
      <c r="FEA230" s="507" t="s">
        <v>1381</v>
      </c>
      <c r="FEB230" s="508"/>
      <c r="FEC230" s="507" t="s">
        <v>1381</v>
      </c>
      <c r="FED230" s="508"/>
      <c r="FEE230" s="507" t="s">
        <v>1381</v>
      </c>
      <c r="FEF230" s="508"/>
      <c r="FEG230" s="507" t="s">
        <v>1381</v>
      </c>
      <c r="FEH230" s="508"/>
      <c r="FEI230" s="507" t="s">
        <v>1381</v>
      </c>
      <c r="FEJ230" s="508"/>
      <c r="FEK230" s="507" t="s">
        <v>1381</v>
      </c>
      <c r="FEL230" s="508"/>
      <c r="FEM230" s="507" t="s">
        <v>1381</v>
      </c>
      <c r="FEN230" s="508"/>
      <c r="FEO230" s="507" t="s">
        <v>1381</v>
      </c>
      <c r="FEP230" s="508"/>
      <c r="FEQ230" s="507" t="s">
        <v>1381</v>
      </c>
      <c r="FER230" s="508"/>
      <c r="FES230" s="507" t="s">
        <v>1381</v>
      </c>
      <c r="FET230" s="508"/>
      <c r="FEU230" s="507" t="s">
        <v>1381</v>
      </c>
      <c r="FEV230" s="508"/>
      <c r="FEW230" s="507" t="s">
        <v>1381</v>
      </c>
      <c r="FEX230" s="508"/>
      <c r="FEY230" s="507" t="s">
        <v>1381</v>
      </c>
      <c r="FEZ230" s="508"/>
      <c r="FFA230" s="507" t="s">
        <v>1381</v>
      </c>
      <c r="FFB230" s="508"/>
      <c r="FFC230" s="507" t="s">
        <v>1381</v>
      </c>
      <c r="FFD230" s="508"/>
      <c r="FFE230" s="507" t="s">
        <v>1381</v>
      </c>
      <c r="FFF230" s="508"/>
      <c r="FFG230" s="507" t="s">
        <v>1381</v>
      </c>
      <c r="FFH230" s="508"/>
      <c r="FFI230" s="507" t="s">
        <v>1381</v>
      </c>
      <c r="FFJ230" s="508"/>
      <c r="FFK230" s="507" t="s">
        <v>1381</v>
      </c>
      <c r="FFL230" s="508"/>
      <c r="FFM230" s="507" t="s">
        <v>1381</v>
      </c>
      <c r="FFN230" s="508"/>
      <c r="FFO230" s="507" t="s">
        <v>1381</v>
      </c>
      <c r="FFP230" s="508"/>
      <c r="FFQ230" s="507" t="s">
        <v>1381</v>
      </c>
      <c r="FFR230" s="508"/>
      <c r="FFS230" s="507" t="s">
        <v>1381</v>
      </c>
      <c r="FFT230" s="508"/>
      <c r="FFU230" s="507" t="s">
        <v>1381</v>
      </c>
      <c r="FFV230" s="508"/>
      <c r="FFW230" s="507" t="s">
        <v>1381</v>
      </c>
      <c r="FFX230" s="508"/>
      <c r="FFY230" s="507" t="s">
        <v>1381</v>
      </c>
      <c r="FFZ230" s="508"/>
      <c r="FGA230" s="507" t="s">
        <v>1381</v>
      </c>
      <c r="FGB230" s="508"/>
      <c r="FGC230" s="507" t="s">
        <v>1381</v>
      </c>
      <c r="FGD230" s="508"/>
      <c r="FGE230" s="507" t="s">
        <v>1381</v>
      </c>
      <c r="FGF230" s="508"/>
      <c r="FGG230" s="507" t="s">
        <v>1381</v>
      </c>
      <c r="FGH230" s="508"/>
      <c r="FGI230" s="507" t="s">
        <v>1381</v>
      </c>
      <c r="FGJ230" s="508"/>
      <c r="FGK230" s="507" t="s">
        <v>1381</v>
      </c>
      <c r="FGL230" s="508"/>
      <c r="FGM230" s="507" t="s">
        <v>1381</v>
      </c>
      <c r="FGN230" s="508"/>
      <c r="FGO230" s="507" t="s">
        <v>1381</v>
      </c>
      <c r="FGP230" s="508"/>
      <c r="FGQ230" s="507" t="s">
        <v>1381</v>
      </c>
      <c r="FGR230" s="508"/>
      <c r="FGS230" s="507" t="s">
        <v>1381</v>
      </c>
      <c r="FGT230" s="508"/>
      <c r="FGU230" s="507" t="s">
        <v>1381</v>
      </c>
      <c r="FGV230" s="508"/>
      <c r="FGW230" s="507" t="s">
        <v>1381</v>
      </c>
      <c r="FGX230" s="508"/>
      <c r="FGY230" s="507" t="s">
        <v>1381</v>
      </c>
      <c r="FGZ230" s="508"/>
      <c r="FHA230" s="507" t="s">
        <v>1381</v>
      </c>
      <c r="FHB230" s="508"/>
      <c r="FHC230" s="507" t="s">
        <v>1381</v>
      </c>
      <c r="FHD230" s="508"/>
      <c r="FHE230" s="507" t="s">
        <v>1381</v>
      </c>
      <c r="FHF230" s="508"/>
      <c r="FHG230" s="507" t="s">
        <v>1381</v>
      </c>
      <c r="FHH230" s="508"/>
      <c r="FHI230" s="507" t="s">
        <v>1381</v>
      </c>
      <c r="FHJ230" s="508"/>
      <c r="FHK230" s="507" t="s">
        <v>1381</v>
      </c>
      <c r="FHL230" s="508"/>
      <c r="FHM230" s="507" t="s">
        <v>1381</v>
      </c>
      <c r="FHN230" s="508"/>
      <c r="FHO230" s="507" t="s">
        <v>1381</v>
      </c>
      <c r="FHP230" s="508"/>
      <c r="FHQ230" s="507" t="s">
        <v>1381</v>
      </c>
      <c r="FHR230" s="508"/>
      <c r="FHS230" s="507" t="s">
        <v>1381</v>
      </c>
      <c r="FHT230" s="508"/>
      <c r="FHU230" s="507" t="s">
        <v>1381</v>
      </c>
      <c r="FHV230" s="508"/>
      <c r="FHW230" s="507" t="s">
        <v>1381</v>
      </c>
      <c r="FHX230" s="508"/>
      <c r="FHY230" s="507" t="s">
        <v>1381</v>
      </c>
      <c r="FHZ230" s="508"/>
      <c r="FIA230" s="507" t="s">
        <v>1381</v>
      </c>
      <c r="FIB230" s="508"/>
      <c r="FIC230" s="507" t="s">
        <v>1381</v>
      </c>
      <c r="FID230" s="508"/>
      <c r="FIE230" s="507" t="s">
        <v>1381</v>
      </c>
      <c r="FIF230" s="508"/>
      <c r="FIG230" s="507" t="s">
        <v>1381</v>
      </c>
      <c r="FIH230" s="508"/>
      <c r="FII230" s="507" t="s">
        <v>1381</v>
      </c>
      <c r="FIJ230" s="508"/>
      <c r="FIK230" s="507" t="s">
        <v>1381</v>
      </c>
      <c r="FIL230" s="508"/>
      <c r="FIM230" s="507" t="s">
        <v>1381</v>
      </c>
      <c r="FIN230" s="508"/>
      <c r="FIO230" s="507" t="s">
        <v>1381</v>
      </c>
      <c r="FIP230" s="508"/>
      <c r="FIQ230" s="507" t="s">
        <v>1381</v>
      </c>
      <c r="FIR230" s="508"/>
      <c r="FIS230" s="507" t="s">
        <v>1381</v>
      </c>
      <c r="FIT230" s="508"/>
      <c r="FIU230" s="507" t="s">
        <v>1381</v>
      </c>
      <c r="FIV230" s="508"/>
      <c r="FIW230" s="507" t="s">
        <v>1381</v>
      </c>
      <c r="FIX230" s="508"/>
      <c r="FIY230" s="507" t="s">
        <v>1381</v>
      </c>
      <c r="FIZ230" s="508"/>
      <c r="FJA230" s="507" t="s">
        <v>1381</v>
      </c>
      <c r="FJB230" s="508"/>
      <c r="FJC230" s="507" t="s">
        <v>1381</v>
      </c>
      <c r="FJD230" s="508"/>
      <c r="FJE230" s="507" t="s">
        <v>1381</v>
      </c>
      <c r="FJF230" s="508"/>
      <c r="FJG230" s="507" t="s">
        <v>1381</v>
      </c>
      <c r="FJH230" s="508"/>
      <c r="FJI230" s="507" t="s">
        <v>1381</v>
      </c>
      <c r="FJJ230" s="508"/>
      <c r="FJK230" s="507" t="s">
        <v>1381</v>
      </c>
      <c r="FJL230" s="508"/>
      <c r="FJM230" s="507" t="s">
        <v>1381</v>
      </c>
      <c r="FJN230" s="508"/>
      <c r="FJO230" s="507" t="s">
        <v>1381</v>
      </c>
      <c r="FJP230" s="508"/>
      <c r="FJQ230" s="507" t="s">
        <v>1381</v>
      </c>
      <c r="FJR230" s="508"/>
      <c r="FJS230" s="507" t="s">
        <v>1381</v>
      </c>
      <c r="FJT230" s="508"/>
      <c r="FJU230" s="507" t="s">
        <v>1381</v>
      </c>
      <c r="FJV230" s="508"/>
      <c r="FJW230" s="507" t="s">
        <v>1381</v>
      </c>
      <c r="FJX230" s="508"/>
      <c r="FJY230" s="507" t="s">
        <v>1381</v>
      </c>
      <c r="FJZ230" s="508"/>
      <c r="FKA230" s="507" t="s">
        <v>1381</v>
      </c>
      <c r="FKB230" s="508"/>
      <c r="FKC230" s="507" t="s">
        <v>1381</v>
      </c>
      <c r="FKD230" s="508"/>
      <c r="FKE230" s="507" t="s">
        <v>1381</v>
      </c>
      <c r="FKF230" s="508"/>
      <c r="FKG230" s="507" t="s">
        <v>1381</v>
      </c>
      <c r="FKH230" s="508"/>
      <c r="FKI230" s="507" t="s">
        <v>1381</v>
      </c>
      <c r="FKJ230" s="508"/>
      <c r="FKK230" s="507" t="s">
        <v>1381</v>
      </c>
      <c r="FKL230" s="508"/>
      <c r="FKM230" s="507" t="s">
        <v>1381</v>
      </c>
      <c r="FKN230" s="508"/>
      <c r="FKO230" s="507" t="s">
        <v>1381</v>
      </c>
      <c r="FKP230" s="508"/>
      <c r="FKQ230" s="507" t="s">
        <v>1381</v>
      </c>
      <c r="FKR230" s="508"/>
      <c r="FKS230" s="507" t="s">
        <v>1381</v>
      </c>
      <c r="FKT230" s="508"/>
      <c r="FKU230" s="507" t="s">
        <v>1381</v>
      </c>
      <c r="FKV230" s="508"/>
      <c r="FKW230" s="507" t="s">
        <v>1381</v>
      </c>
      <c r="FKX230" s="508"/>
      <c r="FKY230" s="507" t="s">
        <v>1381</v>
      </c>
      <c r="FKZ230" s="508"/>
      <c r="FLA230" s="507" t="s">
        <v>1381</v>
      </c>
      <c r="FLB230" s="508"/>
      <c r="FLC230" s="507" t="s">
        <v>1381</v>
      </c>
      <c r="FLD230" s="508"/>
      <c r="FLE230" s="507" t="s">
        <v>1381</v>
      </c>
      <c r="FLF230" s="508"/>
      <c r="FLG230" s="507" t="s">
        <v>1381</v>
      </c>
      <c r="FLH230" s="508"/>
      <c r="FLI230" s="507" t="s">
        <v>1381</v>
      </c>
      <c r="FLJ230" s="508"/>
      <c r="FLK230" s="507" t="s">
        <v>1381</v>
      </c>
      <c r="FLL230" s="508"/>
      <c r="FLM230" s="507" t="s">
        <v>1381</v>
      </c>
      <c r="FLN230" s="508"/>
      <c r="FLO230" s="507" t="s">
        <v>1381</v>
      </c>
      <c r="FLP230" s="508"/>
      <c r="FLQ230" s="507" t="s">
        <v>1381</v>
      </c>
      <c r="FLR230" s="508"/>
      <c r="FLS230" s="507" t="s">
        <v>1381</v>
      </c>
      <c r="FLT230" s="508"/>
      <c r="FLU230" s="507" t="s">
        <v>1381</v>
      </c>
      <c r="FLV230" s="508"/>
      <c r="FLW230" s="507" t="s">
        <v>1381</v>
      </c>
      <c r="FLX230" s="508"/>
      <c r="FLY230" s="507" t="s">
        <v>1381</v>
      </c>
      <c r="FLZ230" s="508"/>
      <c r="FMA230" s="507" t="s">
        <v>1381</v>
      </c>
      <c r="FMB230" s="508"/>
      <c r="FMC230" s="507" t="s">
        <v>1381</v>
      </c>
      <c r="FMD230" s="508"/>
      <c r="FME230" s="507" t="s">
        <v>1381</v>
      </c>
      <c r="FMF230" s="508"/>
      <c r="FMG230" s="507" t="s">
        <v>1381</v>
      </c>
      <c r="FMH230" s="508"/>
      <c r="FMI230" s="507" t="s">
        <v>1381</v>
      </c>
      <c r="FMJ230" s="508"/>
      <c r="FMK230" s="507" t="s">
        <v>1381</v>
      </c>
      <c r="FML230" s="508"/>
      <c r="FMM230" s="507" t="s">
        <v>1381</v>
      </c>
      <c r="FMN230" s="508"/>
      <c r="FMO230" s="507" t="s">
        <v>1381</v>
      </c>
      <c r="FMP230" s="508"/>
      <c r="FMQ230" s="507" t="s">
        <v>1381</v>
      </c>
      <c r="FMR230" s="508"/>
      <c r="FMS230" s="507" t="s">
        <v>1381</v>
      </c>
      <c r="FMT230" s="508"/>
      <c r="FMU230" s="507" t="s">
        <v>1381</v>
      </c>
      <c r="FMV230" s="508"/>
      <c r="FMW230" s="507" t="s">
        <v>1381</v>
      </c>
      <c r="FMX230" s="508"/>
      <c r="FMY230" s="507" t="s">
        <v>1381</v>
      </c>
      <c r="FMZ230" s="508"/>
      <c r="FNA230" s="507" t="s">
        <v>1381</v>
      </c>
      <c r="FNB230" s="508"/>
      <c r="FNC230" s="507" t="s">
        <v>1381</v>
      </c>
      <c r="FND230" s="508"/>
      <c r="FNE230" s="507" t="s">
        <v>1381</v>
      </c>
      <c r="FNF230" s="508"/>
      <c r="FNG230" s="507" t="s">
        <v>1381</v>
      </c>
      <c r="FNH230" s="508"/>
      <c r="FNI230" s="507" t="s">
        <v>1381</v>
      </c>
      <c r="FNJ230" s="508"/>
      <c r="FNK230" s="507" t="s">
        <v>1381</v>
      </c>
      <c r="FNL230" s="508"/>
      <c r="FNM230" s="507" t="s">
        <v>1381</v>
      </c>
      <c r="FNN230" s="508"/>
      <c r="FNO230" s="507" t="s">
        <v>1381</v>
      </c>
      <c r="FNP230" s="508"/>
      <c r="FNQ230" s="507" t="s">
        <v>1381</v>
      </c>
      <c r="FNR230" s="508"/>
      <c r="FNS230" s="507" t="s">
        <v>1381</v>
      </c>
      <c r="FNT230" s="508"/>
      <c r="FNU230" s="507" t="s">
        <v>1381</v>
      </c>
      <c r="FNV230" s="508"/>
      <c r="FNW230" s="507" t="s">
        <v>1381</v>
      </c>
      <c r="FNX230" s="508"/>
      <c r="FNY230" s="507" t="s">
        <v>1381</v>
      </c>
      <c r="FNZ230" s="508"/>
      <c r="FOA230" s="507" t="s">
        <v>1381</v>
      </c>
      <c r="FOB230" s="508"/>
      <c r="FOC230" s="507" t="s">
        <v>1381</v>
      </c>
      <c r="FOD230" s="508"/>
      <c r="FOE230" s="507" t="s">
        <v>1381</v>
      </c>
      <c r="FOF230" s="508"/>
      <c r="FOG230" s="507" t="s">
        <v>1381</v>
      </c>
      <c r="FOH230" s="508"/>
      <c r="FOI230" s="507" t="s">
        <v>1381</v>
      </c>
      <c r="FOJ230" s="508"/>
      <c r="FOK230" s="507" t="s">
        <v>1381</v>
      </c>
      <c r="FOL230" s="508"/>
      <c r="FOM230" s="507" t="s">
        <v>1381</v>
      </c>
      <c r="FON230" s="508"/>
      <c r="FOO230" s="507" t="s">
        <v>1381</v>
      </c>
      <c r="FOP230" s="508"/>
      <c r="FOQ230" s="507" t="s">
        <v>1381</v>
      </c>
      <c r="FOR230" s="508"/>
      <c r="FOS230" s="507" t="s">
        <v>1381</v>
      </c>
      <c r="FOT230" s="508"/>
      <c r="FOU230" s="507" t="s">
        <v>1381</v>
      </c>
      <c r="FOV230" s="508"/>
      <c r="FOW230" s="507" t="s">
        <v>1381</v>
      </c>
      <c r="FOX230" s="508"/>
      <c r="FOY230" s="507" t="s">
        <v>1381</v>
      </c>
      <c r="FOZ230" s="508"/>
      <c r="FPA230" s="507" t="s">
        <v>1381</v>
      </c>
      <c r="FPB230" s="508"/>
      <c r="FPC230" s="507" t="s">
        <v>1381</v>
      </c>
      <c r="FPD230" s="508"/>
      <c r="FPE230" s="507" t="s">
        <v>1381</v>
      </c>
      <c r="FPF230" s="508"/>
      <c r="FPG230" s="507" t="s">
        <v>1381</v>
      </c>
      <c r="FPH230" s="508"/>
      <c r="FPI230" s="507" t="s">
        <v>1381</v>
      </c>
      <c r="FPJ230" s="508"/>
      <c r="FPK230" s="507" t="s">
        <v>1381</v>
      </c>
      <c r="FPL230" s="508"/>
      <c r="FPM230" s="507" t="s">
        <v>1381</v>
      </c>
      <c r="FPN230" s="508"/>
      <c r="FPO230" s="507" t="s">
        <v>1381</v>
      </c>
      <c r="FPP230" s="508"/>
      <c r="FPQ230" s="507" t="s">
        <v>1381</v>
      </c>
      <c r="FPR230" s="508"/>
      <c r="FPS230" s="507" t="s">
        <v>1381</v>
      </c>
      <c r="FPT230" s="508"/>
      <c r="FPU230" s="507" t="s">
        <v>1381</v>
      </c>
      <c r="FPV230" s="508"/>
      <c r="FPW230" s="507" t="s">
        <v>1381</v>
      </c>
      <c r="FPX230" s="508"/>
      <c r="FPY230" s="507" t="s">
        <v>1381</v>
      </c>
      <c r="FPZ230" s="508"/>
      <c r="FQA230" s="507" t="s">
        <v>1381</v>
      </c>
      <c r="FQB230" s="508"/>
      <c r="FQC230" s="507" t="s">
        <v>1381</v>
      </c>
      <c r="FQD230" s="508"/>
      <c r="FQE230" s="507" t="s">
        <v>1381</v>
      </c>
      <c r="FQF230" s="508"/>
      <c r="FQG230" s="507" t="s">
        <v>1381</v>
      </c>
      <c r="FQH230" s="508"/>
      <c r="FQI230" s="507" t="s">
        <v>1381</v>
      </c>
      <c r="FQJ230" s="508"/>
      <c r="FQK230" s="507" t="s">
        <v>1381</v>
      </c>
      <c r="FQL230" s="508"/>
      <c r="FQM230" s="507" t="s">
        <v>1381</v>
      </c>
      <c r="FQN230" s="508"/>
      <c r="FQO230" s="507" t="s">
        <v>1381</v>
      </c>
      <c r="FQP230" s="508"/>
      <c r="FQQ230" s="507" t="s">
        <v>1381</v>
      </c>
      <c r="FQR230" s="508"/>
      <c r="FQS230" s="507" t="s">
        <v>1381</v>
      </c>
      <c r="FQT230" s="508"/>
      <c r="FQU230" s="507" t="s">
        <v>1381</v>
      </c>
      <c r="FQV230" s="508"/>
      <c r="FQW230" s="507" t="s">
        <v>1381</v>
      </c>
      <c r="FQX230" s="508"/>
      <c r="FQY230" s="507" t="s">
        <v>1381</v>
      </c>
      <c r="FQZ230" s="508"/>
      <c r="FRA230" s="507" t="s">
        <v>1381</v>
      </c>
      <c r="FRB230" s="508"/>
      <c r="FRC230" s="507" t="s">
        <v>1381</v>
      </c>
      <c r="FRD230" s="508"/>
      <c r="FRE230" s="507" t="s">
        <v>1381</v>
      </c>
      <c r="FRF230" s="508"/>
      <c r="FRG230" s="507" t="s">
        <v>1381</v>
      </c>
      <c r="FRH230" s="508"/>
      <c r="FRI230" s="507" t="s">
        <v>1381</v>
      </c>
      <c r="FRJ230" s="508"/>
      <c r="FRK230" s="507" t="s">
        <v>1381</v>
      </c>
      <c r="FRL230" s="508"/>
      <c r="FRM230" s="507" t="s">
        <v>1381</v>
      </c>
      <c r="FRN230" s="508"/>
      <c r="FRO230" s="507" t="s">
        <v>1381</v>
      </c>
      <c r="FRP230" s="508"/>
      <c r="FRQ230" s="507" t="s">
        <v>1381</v>
      </c>
      <c r="FRR230" s="508"/>
      <c r="FRS230" s="507" t="s">
        <v>1381</v>
      </c>
      <c r="FRT230" s="508"/>
      <c r="FRU230" s="507" t="s">
        <v>1381</v>
      </c>
      <c r="FRV230" s="508"/>
      <c r="FRW230" s="507" t="s">
        <v>1381</v>
      </c>
      <c r="FRX230" s="508"/>
      <c r="FRY230" s="507" t="s">
        <v>1381</v>
      </c>
      <c r="FRZ230" s="508"/>
      <c r="FSA230" s="507" t="s">
        <v>1381</v>
      </c>
      <c r="FSB230" s="508"/>
      <c r="FSC230" s="507" t="s">
        <v>1381</v>
      </c>
      <c r="FSD230" s="508"/>
      <c r="FSE230" s="507" t="s">
        <v>1381</v>
      </c>
      <c r="FSF230" s="508"/>
      <c r="FSG230" s="507" t="s">
        <v>1381</v>
      </c>
      <c r="FSH230" s="508"/>
      <c r="FSI230" s="507" t="s">
        <v>1381</v>
      </c>
      <c r="FSJ230" s="508"/>
      <c r="FSK230" s="507" t="s">
        <v>1381</v>
      </c>
      <c r="FSL230" s="508"/>
      <c r="FSM230" s="507" t="s">
        <v>1381</v>
      </c>
      <c r="FSN230" s="508"/>
      <c r="FSO230" s="507" t="s">
        <v>1381</v>
      </c>
      <c r="FSP230" s="508"/>
      <c r="FSQ230" s="507" t="s">
        <v>1381</v>
      </c>
      <c r="FSR230" s="508"/>
      <c r="FSS230" s="507" t="s">
        <v>1381</v>
      </c>
      <c r="FST230" s="508"/>
      <c r="FSU230" s="507" t="s">
        <v>1381</v>
      </c>
      <c r="FSV230" s="508"/>
      <c r="FSW230" s="507" t="s">
        <v>1381</v>
      </c>
      <c r="FSX230" s="508"/>
      <c r="FSY230" s="507" t="s">
        <v>1381</v>
      </c>
      <c r="FSZ230" s="508"/>
      <c r="FTA230" s="507" t="s">
        <v>1381</v>
      </c>
      <c r="FTB230" s="508"/>
      <c r="FTC230" s="507" t="s">
        <v>1381</v>
      </c>
      <c r="FTD230" s="508"/>
      <c r="FTE230" s="507" t="s">
        <v>1381</v>
      </c>
      <c r="FTF230" s="508"/>
      <c r="FTG230" s="507" t="s">
        <v>1381</v>
      </c>
      <c r="FTH230" s="508"/>
      <c r="FTI230" s="507" t="s">
        <v>1381</v>
      </c>
      <c r="FTJ230" s="508"/>
      <c r="FTK230" s="507" t="s">
        <v>1381</v>
      </c>
      <c r="FTL230" s="508"/>
      <c r="FTM230" s="507" t="s">
        <v>1381</v>
      </c>
      <c r="FTN230" s="508"/>
      <c r="FTO230" s="507" t="s">
        <v>1381</v>
      </c>
      <c r="FTP230" s="508"/>
      <c r="FTQ230" s="507" t="s">
        <v>1381</v>
      </c>
      <c r="FTR230" s="508"/>
      <c r="FTS230" s="507" t="s">
        <v>1381</v>
      </c>
      <c r="FTT230" s="508"/>
      <c r="FTU230" s="507" t="s">
        <v>1381</v>
      </c>
      <c r="FTV230" s="508"/>
      <c r="FTW230" s="507" t="s">
        <v>1381</v>
      </c>
      <c r="FTX230" s="508"/>
      <c r="FTY230" s="507" t="s">
        <v>1381</v>
      </c>
      <c r="FTZ230" s="508"/>
      <c r="FUA230" s="507" t="s">
        <v>1381</v>
      </c>
      <c r="FUB230" s="508"/>
      <c r="FUC230" s="507" t="s">
        <v>1381</v>
      </c>
      <c r="FUD230" s="508"/>
      <c r="FUE230" s="507" t="s">
        <v>1381</v>
      </c>
      <c r="FUF230" s="508"/>
      <c r="FUG230" s="507" t="s">
        <v>1381</v>
      </c>
      <c r="FUH230" s="508"/>
      <c r="FUI230" s="507" t="s">
        <v>1381</v>
      </c>
      <c r="FUJ230" s="508"/>
      <c r="FUK230" s="507" t="s">
        <v>1381</v>
      </c>
      <c r="FUL230" s="508"/>
      <c r="FUM230" s="507" t="s">
        <v>1381</v>
      </c>
      <c r="FUN230" s="508"/>
      <c r="FUO230" s="507" t="s">
        <v>1381</v>
      </c>
      <c r="FUP230" s="508"/>
      <c r="FUQ230" s="507" t="s">
        <v>1381</v>
      </c>
      <c r="FUR230" s="508"/>
      <c r="FUS230" s="507" t="s">
        <v>1381</v>
      </c>
      <c r="FUT230" s="508"/>
      <c r="FUU230" s="507" t="s">
        <v>1381</v>
      </c>
      <c r="FUV230" s="508"/>
      <c r="FUW230" s="507" t="s">
        <v>1381</v>
      </c>
      <c r="FUX230" s="508"/>
      <c r="FUY230" s="507" t="s">
        <v>1381</v>
      </c>
      <c r="FUZ230" s="508"/>
      <c r="FVA230" s="507" t="s">
        <v>1381</v>
      </c>
      <c r="FVB230" s="508"/>
      <c r="FVC230" s="507" t="s">
        <v>1381</v>
      </c>
      <c r="FVD230" s="508"/>
      <c r="FVE230" s="507" t="s">
        <v>1381</v>
      </c>
      <c r="FVF230" s="508"/>
      <c r="FVG230" s="507" t="s">
        <v>1381</v>
      </c>
      <c r="FVH230" s="508"/>
      <c r="FVI230" s="507" t="s">
        <v>1381</v>
      </c>
      <c r="FVJ230" s="508"/>
      <c r="FVK230" s="507" t="s">
        <v>1381</v>
      </c>
      <c r="FVL230" s="508"/>
      <c r="FVM230" s="507" t="s">
        <v>1381</v>
      </c>
      <c r="FVN230" s="508"/>
      <c r="FVO230" s="507" t="s">
        <v>1381</v>
      </c>
      <c r="FVP230" s="508"/>
      <c r="FVQ230" s="507" t="s">
        <v>1381</v>
      </c>
      <c r="FVR230" s="508"/>
      <c r="FVS230" s="507" t="s">
        <v>1381</v>
      </c>
      <c r="FVT230" s="508"/>
      <c r="FVU230" s="507" t="s">
        <v>1381</v>
      </c>
      <c r="FVV230" s="508"/>
      <c r="FVW230" s="507" t="s">
        <v>1381</v>
      </c>
      <c r="FVX230" s="508"/>
      <c r="FVY230" s="507" t="s">
        <v>1381</v>
      </c>
      <c r="FVZ230" s="508"/>
      <c r="FWA230" s="507" t="s">
        <v>1381</v>
      </c>
      <c r="FWB230" s="508"/>
      <c r="FWC230" s="507" t="s">
        <v>1381</v>
      </c>
      <c r="FWD230" s="508"/>
      <c r="FWE230" s="507" t="s">
        <v>1381</v>
      </c>
      <c r="FWF230" s="508"/>
      <c r="FWG230" s="507" t="s">
        <v>1381</v>
      </c>
      <c r="FWH230" s="508"/>
      <c r="FWI230" s="507" t="s">
        <v>1381</v>
      </c>
      <c r="FWJ230" s="508"/>
      <c r="FWK230" s="507" t="s">
        <v>1381</v>
      </c>
      <c r="FWL230" s="508"/>
      <c r="FWM230" s="507" t="s">
        <v>1381</v>
      </c>
      <c r="FWN230" s="508"/>
      <c r="FWO230" s="507" t="s">
        <v>1381</v>
      </c>
      <c r="FWP230" s="508"/>
      <c r="FWQ230" s="507" t="s">
        <v>1381</v>
      </c>
      <c r="FWR230" s="508"/>
      <c r="FWS230" s="507" t="s">
        <v>1381</v>
      </c>
      <c r="FWT230" s="508"/>
      <c r="FWU230" s="507" t="s">
        <v>1381</v>
      </c>
      <c r="FWV230" s="508"/>
      <c r="FWW230" s="507" t="s">
        <v>1381</v>
      </c>
      <c r="FWX230" s="508"/>
      <c r="FWY230" s="507" t="s">
        <v>1381</v>
      </c>
      <c r="FWZ230" s="508"/>
      <c r="FXA230" s="507" t="s">
        <v>1381</v>
      </c>
      <c r="FXB230" s="508"/>
      <c r="FXC230" s="507" t="s">
        <v>1381</v>
      </c>
      <c r="FXD230" s="508"/>
      <c r="FXE230" s="507" t="s">
        <v>1381</v>
      </c>
      <c r="FXF230" s="508"/>
      <c r="FXG230" s="507" t="s">
        <v>1381</v>
      </c>
      <c r="FXH230" s="508"/>
      <c r="FXI230" s="507" t="s">
        <v>1381</v>
      </c>
      <c r="FXJ230" s="508"/>
      <c r="FXK230" s="507" t="s">
        <v>1381</v>
      </c>
      <c r="FXL230" s="508"/>
      <c r="FXM230" s="507" t="s">
        <v>1381</v>
      </c>
      <c r="FXN230" s="508"/>
      <c r="FXO230" s="507" t="s">
        <v>1381</v>
      </c>
      <c r="FXP230" s="508"/>
      <c r="FXQ230" s="507" t="s">
        <v>1381</v>
      </c>
      <c r="FXR230" s="508"/>
      <c r="FXS230" s="507" t="s">
        <v>1381</v>
      </c>
      <c r="FXT230" s="508"/>
      <c r="FXU230" s="507" t="s">
        <v>1381</v>
      </c>
      <c r="FXV230" s="508"/>
      <c r="FXW230" s="507" t="s">
        <v>1381</v>
      </c>
      <c r="FXX230" s="508"/>
      <c r="FXY230" s="507" t="s">
        <v>1381</v>
      </c>
      <c r="FXZ230" s="508"/>
      <c r="FYA230" s="507" t="s">
        <v>1381</v>
      </c>
      <c r="FYB230" s="508"/>
      <c r="FYC230" s="507" t="s">
        <v>1381</v>
      </c>
      <c r="FYD230" s="508"/>
      <c r="FYE230" s="507" t="s">
        <v>1381</v>
      </c>
      <c r="FYF230" s="508"/>
      <c r="FYG230" s="507" t="s">
        <v>1381</v>
      </c>
      <c r="FYH230" s="508"/>
      <c r="FYI230" s="507" t="s">
        <v>1381</v>
      </c>
      <c r="FYJ230" s="508"/>
      <c r="FYK230" s="507" t="s">
        <v>1381</v>
      </c>
      <c r="FYL230" s="508"/>
      <c r="FYM230" s="507" t="s">
        <v>1381</v>
      </c>
      <c r="FYN230" s="508"/>
      <c r="FYO230" s="507" t="s">
        <v>1381</v>
      </c>
      <c r="FYP230" s="508"/>
      <c r="FYQ230" s="507" t="s">
        <v>1381</v>
      </c>
      <c r="FYR230" s="508"/>
      <c r="FYS230" s="507" t="s">
        <v>1381</v>
      </c>
      <c r="FYT230" s="508"/>
      <c r="FYU230" s="507" t="s">
        <v>1381</v>
      </c>
      <c r="FYV230" s="508"/>
      <c r="FYW230" s="507" t="s">
        <v>1381</v>
      </c>
      <c r="FYX230" s="508"/>
      <c r="FYY230" s="507" t="s">
        <v>1381</v>
      </c>
      <c r="FYZ230" s="508"/>
      <c r="FZA230" s="507" t="s">
        <v>1381</v>
      </c>
      <c r="FZB230" s="508"/>
      <c r="FZC230" s="507" t="s">
        <v>1381</v>
      </c>
      <c r="FZD230" s="508"/>
      <c r="FZE230" s="507" t="s">
        <v>1381</v>
      </c>
      <c r="FZF230" s="508"/>
      <c r="FZG230" s="507" t="s">
        <v>1381</v>
      </c>
      <c r="FZH230" s="508"/>
      <c r="FZI230" s="507" t="s">
        <v>1381</v>
      </c>
      <c r="FZJ230" s="508"/>
      <c r="FZK230" s="507" t="s">
        <v>1381</v>
      </c>
      <c r="FZL230" s="508"/>
      <c r="FZM230" s="507" t="s">
        <v>1381</v>
      </c>
      <c r="FZN230" s="508"/>
      <c r="FZO230" s="507" t="s">
        <v>1381</v>
      </c>
      <c r="FZP230" s="508"/>
      <c r="FZQ230" s="507" t="s">
        <v>1381</v>
      </c>
      <c r="FZR230" s="508"/>
      <c r="FZS230" s="507" t="s">
        <v>1381</v>
      </c>
      <c r="FZT230" s="508"/>
      <c r="FZU230" s="507" t="s">
        <v>1381</v>
      </c>
      <c r="FZV230" s="508"/>
      <c r="FZW230" s="507" t="s">
        <v>1381</v>
      </c>
      <c r="FZX230" s="508"/>
      <c r="FZY230" s="507" t="s">
        <v>1381</v>
      </c>
      <c r="FZZ230" s="508"/>
      <c r="GAA230" s="507" t="s">
        <v>1381</v>
      </c>
      <c r="GAB230" s="508"/>
      <c r="GAC230" s="507" t="s">
        <v>1381</v>
      </c>
      <c r="GAD230" s="508"/>
      <c r="GAE230" s="507" t="s">
        <v>1381</v>
      </c>
      <c r="GAF230" s="508"/>
      <c r="GAG230" s="507" t="s">
        <v>1381</v>
      </c>
      <c r="GAH230" s="508"/>
      <c r="GAI230" s="507" t="s">
        <v>1381</v>
      </c>
      <c r="GAJ230" s="508"/>
      <c r="GAK230" s="507" t="s">
        <v>1381</v>
      </c>
      <c r="GAL230" s="508"/>
      <c r="GAM230" s="507" t="s">
        <v>1381</v>
      </c>
      <c r="GAN230" s="508"/>
      <c r="GAO230" s="507" t="s">
        <v>1381</v>
      </c>
      <c r="GAP230" s="508"/>
      <c r="GAQ230" s="507" t="s">
        <v>1381</v>
      </c>
      <c r="GAR230" s="508"/>
      <c r="GAS230" s="507" t="s">
        <v>1381</v>
      </c>
      <c r="GAT230" s="508"/>
      <c r="GAU230" s="507" t="s">
        <v>1381</v>
      </c>
      <c r="GAV230" s="508"/>
      <c r="GAW230" s="507" t="s">
        <v>1381</v>
      </c>
      <c r="GAX230" s="508"/>
      <c r="GAY230" s="507" t="s">
        <v>1381</v>
      </c>
      <c r="GAZ230" s="508"/>
      <c r="GBA230" s="507" t="s">
        <v>1381</v>
      </c>
      <c r="GBB230" s="508"/>
      <c r="GBC230" s="507" t="s">
        <v>1381</v>
      </c>
      <c r="GBD230" s="508"/>
      <c r="GBE230" s="507" t="s">
        <v>1381</v>
      </c>
      <c r="GBF230" s="508"/>
      <c r="GBG230" s="507" t="s">
        <v>1381</v>
      </c>
      <c r="GBH230" s="508"/>
      <c r="GBI230" s="507" t="s">
        <v>1381</v>
      </c>
      <c r="GBJ230" s="508"/>
      <c r="GBK230" s="507" t="s">
        <v>1381</v>
      </c>
      <c r="GBL230" s="508"/>
      <c r="GBM230" s="507" t="s">
        <v>1381</v>
      </c>
      <c r="GBN230" s="508"/>
      <c r="GBO230" s="507" t="s">
        <v>1381</v>
      </c>
      <c r="GBP230" s="508"/>
      <c r="GBQ230" s="507" t="s">
        <v>1381</v>
      </c>
      <c r="GBR230" s="508"/>
      <c r="GBS230" s="507" t="s">
        <v>1381</v>
      </c>
      <c r="GBT230" s="508"/>
      <c r="GBU230" s="507" t="s">
        <v>1381</v>
      </c>
      <c r="GBV230" s="508"/>
      <c r="GBW230" s="507" t="s">
        <v>1381</v>
      </c>
      <c r="GBX230" s="508"/>
      <c r="GBY230" s="507" t="s">
        <v>1381</v>
      </c>
      <c r="GBZ230" s="508"/>
      <c r="GCA230" s="507" t="s">
        <v>1381</v>
      </c>
      <c r="GCB230" s="508"/>
      <c r="GCC230" s="507" t="s">
        <v>1381</v>
      </c>
      <c r="GCD230" s="508"/>
      <c r="GCE230" s="507" t="s">
        <v>1381</v>
      </c>
      <c r="GCF230" s="508"/>
      <c r="GCG230" s="507" t="s">
        <v>1381</v>
      </c>
      <c r="GCH230" s="508"/>
      <c r="GCI230" s="507" t="s">
        <v>1381</v>
      </c>
      <c r="GCJ230" s="508"/>
      <c r="GCK230" s="507" t="s">
        <v>1381</v>
      </c>
      <c r="GCL230" s="508"/>
      <c r="GCM230" s="507" t="s">
        <v>1381</v>
      </c>
      <c r="GCN230" s="508"/>
      <c r="GCO230" s="507" t="s">
        <v>1381</v>
      </c>
      <c r="GCP230" s="508"/>
      <c r="GCQ230" s="507" t="s">
        <v>1381</v>
      </c>
      <c r="GCR230" s="508"/>
      <c r="GCS230" s="507" t="s">
        <v>1381</v>
      </c>
      <c r="GCT230" s="508"/>
      <c r="GCU230" s="507" t="s">
        <v>1381</v>
      </c>
      <c r="GCV230" s="508"/>
      <c r="GCW230" s="507" t="s">
        <v>1381</v>
      </c>
      <c r="GCX230" s="508"/>
      <c r="GCY230" s="507" t="s">
        <v>1381</v>
      </c>
      <c r="GCZ230" s="508"/>
      <c r="GDA230" s="507" t="s">
        <v>1381</v>
      </c>
      <c r="GDB230" s="508"/>
      <c r="GDC230" s="507" t="s">
        <v>1381</v>
      </c>
      <c r="GDD230" s="508"/>
      <c r="GDE230" s="507" t="s">
        <v>1381</v>
      </c>
      <c r="GDF230" s="508"/>
      <c r="GDG230" s="507" t="s">
        <v>1381</v>
      </c>
      <c r="GDH230" s="508"/>
      <c r="GDI230" s="507" t="s">
        <v>1381</v>
      </c>
      <c r="GDJ230" s="508"/>
      <c r="GDK230" s="507" t="s">
        <v>1381</v>
      </c>
      <c r="GDL230" s="508"/>
      <c r="GDM230" s="507" t="s">
        <v>1381</v>
      </c>
      <c r="GDN230" s="508"/>
      <c r="GDO230" s="507" t="s">
        <v>1381</v>
      </c>
      <c r="GDP230" s="508"/>
      <c r="GDQ230" s="507" t="s">
        <v>1381</v>
      </c>
      <c r="GDR230" s="508"/>
      <c r="GDS230" s="507" t="s">
        <v>1381</v>
      </c>
      <c r="GDT230" s="508"/>
      <c r="GDU230" s="507" t="s">
        <v>1381</v>
      </c>
      <c r="GDV230" s="508"/>
      <c r="GDW230" s="507" t="s">
        <v>1381</v>
      </c>
      <c r="GDX230" s="508"/>
      <c r="GDY230" s="507" t="s">
        <v>1381</v>
      </c>
      <c r="GDZ230" s="508"/>
      <c r="GEA230" s="507" t="s">
        <v>1381</v>
      </c>
      <c r="GEB230" s="508"/>
      <c r="GEC230" s="507" t="s">
        <v>1381</v>
      </c>
      <c r="GED230" s="508"/>
      <c r="GEE230" s="507" t="s">
        <v>1381</v>
      </c>
      <c r="GEF230" s="508"/>
      <c r="GEG230" s="507" t="s">
        <v>1381</v>
      </c>
      <c r="GEH230" s="508"/>
      <c r="GEI230" s="507" t="s">
        <v>1381</v>
      </c>
      <c r="GEJ230" s="508"/>
      <c r="GEK230" s="507" t="s">
        <v>1381</v>
      </c>
      <c r="GEL230" s="508"/>
      <c r="GEM230" s="507" t="s">
        <v>1381</v>
      </c>
      <c r="GEN230" s="508"/>
      <c r="GEO230" s="507" t="s">
        <v>1381</v>
      </c>
      <c r="GEP230" s="508"/>
      <c r="GEQ230" s="507" t="s">
        <v>1381</v>
      </c>
      <c r="GER230" s="508"/>
      <c r="GES230" s="507" t="s">
        <v>1381</v>
      </c>
      <c r="GET230" s="508"/>
      <c r="GEU230" s="507" t="s">
        <v>1381</v>
      </c>
      <c r="GEV230" s="508"/>
      <c r="GEW230" s="507" t="s">
        <v>1381</v>
      </c>
      <c r="GEX230" s="508"/>
      <c r="GEY230" s="507" t="s">
        <v>1381</v>
      </c>
      <c r="GEZ230" s="508"/>
      <c r="GFA230" s="507" t="s">
        <v>1381</v>
      </c>
      <c r="GFB230" s="508"/>
      <c r="GFC230" s="507" t="s">
        <v>1381</v>
      </c>
      <c r="GFD230" s="508"/>
      <c r="GFE230" s="507" t="s">
        <v>1381</v>
      </c>
      <c r="GFF230" s="508"/>
      <c r="GFG230" s="507" t="s">
        <v>1381</v>
      </c>
      <c r="GFH230" s="508"/>
      <c r="GFI230" s="507" t="s">
        <v>1381</v>
      </c>
      <c r="GFJ230" s="508"/>
      <c r="GFK230" s="507" t="s">
        <v>1381</v>
      </c>
      <c r="GFL230" s="508"/>
      <c r="GFM230" s="507" t="s">
        <v>1381</v>
      </c>
      <c r="GFN230" s="508"/>
      <c r="GFO230" s="507" t="s">
        <v>1381</v>
      </c>
      <c r="GFP230" s="508"/>
      <c r="GFQ230" s="507" t="s">
        <v>1381</v>
      </c>
      <c r="GFR230" s="508"/>
      <c r="GFS230" s="507" t="s">
        <v>1381</v>
      </c>
      <c r="GFT230" s="508"/>
      <c r="GFU230" s="507" t="s">
        <v>1381</v>
      </c>
      <c r="GFV230" s="508"/>
      <c r="GFW230" s="507" t="s">
        <v>1381</v>
      </c>
      <c r="GFX230" s="508"/>
      <c r="GFY230" s="507" t="s">
        <v>1381</v>
      </c>
      <c r="GFZ230" s="508"/>
      <c r="GGA230" s="507" t="s">
        <v>1381</v>
      </c>
      <c r="GGB230" s="508"/>
      <c r="GGC230" s="507" t="s">
        <v>1381</v>
      </c>
      <c r="GGD230" s="508"/>
      <c r="GGE230" s="507" t="s">
        <v>1381</v>
      </c>
      <c r="GGF230" s="508"/>
      <c r="GGG230" s="507" t="s">
        <v>1381</v>
      </c>
      <c r="GGH230" s="508"/>
      <c r="GGI230" s="507" t="s">
        <v>1381</v>
      </c>
      <c r="GGJ230" s="508"/>
      <c r="GGK230" s="507" t="s">
        <v>1381</v>
      </c>
      <c r="GGL230" s="508"/>
      <c r="GGM230" s="507" t="s">
        <v>1381</v>
      </c>
      <c r="GGN230" s="508"/>
      <c r="GGO230" s="507" t="s">
        <v>1381</v>
      </c>
      <c r="GGP230" s="508"/>
      <c r="GGQ230" s="507" t="s">
        <v>1381</v>
      </c>
      <c r="GGR230" s="508"/>
      <c r="GGS230" s="507" t="s">
        <v>1381</v>
      </c>
      <c r="GGT230" s="508"/>
      <c r="GGU230" s="507" t="s">
        <v>1381</v>
      </c>
      <c r="GGV230" s="508"/>
      <c r="GGW230" s="507" t="s">
        <v>1381</v>
      </c>
      <c r="GGX230" s="508"/>
      <c r="GGY230" s="507" t="s">
        <v>1381</v>
      </c>
      <c r="GGZ230" s="508"/>
      <c r="GHA230" s="507" t="s">
        <v>1381</v>
      </c>
      <c r="GHB230" s="508"/>
      <c r="GHC230" s="507" t="s">
        <v>1381</v>
      </c>
      <c r="GHD230" s="508"/>
      <c r="GHE230" s="507" t="s">
        <v>1381</v>
      </c>
      <c r="GHF230" s="508"/>
      <c r="GHG230" s="507" t="s">
        <v>1381</v>
      </c>
      <c r="GHH230" s="508"/>
      <c r="GHI230" s="507" t="s">
        <v>1381</v>
      </c>
      <c r="GHJ230" s="508"/>
      <c r="GHK230" s="507" t="s">
        <v>1381</v>
      </c>
      <c r="GHL230" s="508"/>
      <c r="GHM230" s="507" t="s">
        <v>1381</v>
      </c>
      <c r="GHN230" s="508"/>
      <c r="GHO230" s="507" t="s">
        <v>1381</v>
      </c>
      <c r="GHP230" s="508"/>
      <c r="GHQ230" s="507" t="s">
        <v>1381</v>
      </c>
      <c r="GHR230" s="508"/>
      <c r="GHS230" s="507" t="s">
        <v>1381</v>
      </c>
      <c r="GHT230" s="508"/>
      <c r="GHU230" s="507" t="s">
        <v>1381</v>
      </c>
      <c r="GHV230" s="508"/>
      <c r="GHW230" s="507" t="s">
        <v>1381</v>
      </c>
      <c r="GHX230" s="508"/>
      <c r="GHY230" s="507" t="s">
        <v>1381</v>
      </c>
      <c r="GHZ230" s="508"/>
      <c r="GIA230" s="507" t="s">
        <v>1381</v>
      </c>
      <c r="GIB230" s="508"/>
      <c r="GIC230" s="507" t="s">
        <v>1381</v>
      </c>
      <c r="GID230" s="508"/>
      <c r="GIE230" s="507" t="s">
        <v>1381</v>
      </c>
      <c r="GIF230" s="508"/>
      <c r="GIG230" s="507" t="s">
        <v>1381</v>
      </c>
      <c r="GIH230" s="508"/>
      <c r="GII230" s="507" t="s">
        <v>1381</v>
      </c>
      <c r="GIJ230" s="508"/>
      <c r="GIK230" s="507" t="s">
        <v>1381</v>
      </c>
      <c r="GIL230" s="508"/>
      <c r="GIM230" s="507" t="s">
        <v>1381</v>
      </c>
      <c r="GIN230" s="508"/>
      <c r="GIO230" s="507" t="s">
        <v>1381</v>
      </c>
      <c r="GIP230" s="508"/>
      <c r="GIQ230" s="507" t="s">
        <v>1381</v>
      </c>
      <c r="GIR230" s="508"/>
      <c r="GIS230" s="507" t="s">
        <v>1381</v>
      </c>
      <c r="GIT230" s="508"/>
      <c r="GIU230" s="507" t="s">
        <v>1381</v>
      </c>
      <c r="GIV230" s="508"/>
      <c r="GIW230" s="507" t="s">
        <v>1381</v>
      </c>
      <c r="GIX230" s="508"/>
      <c r="GIY230" s="507" t="s">
        <v>1381</v>
      </c>
      <c r="GIZ230" s="508"/>
      <c r="GJA230" s="507" t="s">
        <v>1381</v>
      </c>
      <c r="GJB230" s="508"/>
      <c r="GJC230" s="507" t="s">
        <v>1381</v>
      </c>
      <c r="GJD230" s="508"/>
      <c r="GJE230" s="507" t="s">
        <v>1381</v>
      </c>
      <c r="GJF230" s="508"/>
      <c r="GJG230" s="507" t="s">
        <v>1381</v>
      </c>
      <c r="GJH230" s="508"/>
      <c r="GJI230" s="507" t="s">
        <v>1381</v>
      </c>
      <c r="GJJ230" s="508"/>
      <c r="GJK230" s="507" t="s">
        <v>1381</v>
      </c>
      <c r="GJL230" s="508"/>
      <c r="GJM230" s="507" t="s">
        <v>1381</v>
      </c>
      <c r="GJN230" s="508"/>
      <c r="GJO230" s="507" t="s">
        <v>1381</v>
      </c>
      <c r="GJP230" s="508"/>
      <c r="GJQ230" s="507" t="s">
        <v>1381</v>
      </c>
      <c r="GJR230" s="508"/>
      <c r="GJS230" s="507" t="s">
        <v>1381</v>
      </c>
      <c r="GJT230" s="508"/>
      <c r="GJU230" s="507" t="s">
        <v>1381</v>
      </c>
      <c r="GJV230" s="508"/>
      <c r="GJW230" s="507" t="s">
        <v>1381</v>
      </c>
      <c r="GJX230" s="508"/>
      <c r="GJY230" s="507" t="s">
        <v>1381</v>
      </c>
      <c r="GJZ230" s="508"/>
      <c r="GKA230" s="507" t="s">
        <v>1381</v>
      </c>
      <c r="GKB230" s="508"/>
      <c r="GKC230" s="507" t="s">
        <v>1381</v>
      </c>
      <c r="GKD230" s="508"/>
      <c r="GKE230" s="507" t="s">
        <v>1381</v>
      </c>
      <c r="GKF230" s="508"/>
      <c r="GKG230" s="507" t="s">
        <v>1381</v>
      </c>
      <c r="GKH230" s="508"/>
      <c r="GKI230" s="507" t="s">
        <v>1381</v>
      </c>
      <c r="GKJ230" s="508"/>
      <c r="GKK230" s="507" t="s">
        <v>1381</v>
      </c>
      <c r="GKL230" s="508"/>
      <c r="GKM230" s="507" t="s">
        <v>1381</v>
      </c>
      <c r="GKN230" s="508"/>
      <c r="GKO230" s="507" t="s">
        <v>1381</v>
      </c>
      <c r="GKP230" s="508"/>
      <c r="GKQ230" s="507" t="s">
        <v>1381</v>
      </c>
      <c r="GKR230" s="508"/>
      <c r="GKS230" s="507" t="s">
        <v>1381</v>
      </c>
      <c r="GKT230" s="508"/>
      <c r="GKU230" s="507" t="s">
        <v>1381</v>
      </c>
      <c r="GKV230" s="508"/>
      <c r="GKW230" s="507" t="s">
        <v>1381</v>
      </c>
      <c r="GKX230" s="508"/>
      <c r="GKY230" s="507" t="s">
        <v>1381</v>
      </c>
      <c r="GKZ230" s="508"/>
      <c r="GLA230" s="507" t="s">
        <v>1381</v>
      </c>
      <c r="GLB230" s="508"/>
      <c r="GLC230" s="507" t="s">
        <v>1381</v>
      </c>
      <c r="GLD230" s="508"/>
      <c r="GLE230" s="507" t="s">
        <v>1381</v>
      </c>
      <c r="GLF230" s="508"/>
      <c r="GLG230" s="507" t="s">
        <v>1381</v>
      </c>
      <c r="GLH230" s="508"/>
      <c r="GLI230" s="507" t="s">
        <v>1381</v>
      </c>
      <c r="GLJ230" s="508"/>
      <c r="GLK230" s="507" t="s">
        <v>1381</v>
      </c>
      <c r="GLL230" s="508"/>
      <c r="GLM230" s="507" t="s">
        <v>1381</v>
      </c>
      <c r="GLN230" s="508"/>
      <c r="GLO230" s="507" t="s">
        <v>1381</v>
      </c>
      <c r="GLP230" s="508"/>
      <c r="GLQ230" s="507" t="s">
        <v>1381</v>
      </c>
      <c r="GLR230" s="508"/>
      <c r="GLS230" s="507" t="s">
        <v>1381</v>
      </c>
      <c r="GLT230" s="508"/>
      <c r="GLU230" s="507" t="s">
        <v>1381</v>
      </c>
      <c r="GLV230" s="508"/>
      <c r="GLW230" s="507" t="s">
        <v>1381</v>
      </c>
      <c r="GLX230" s="508"/>
      <c r="GLY230" s="507" t="s">
        <v>1381</v>
      </c>
      <c r="GLZ230" s="508"/>
      <c r="GMA230" s="507" t="s">
        <v>1381</v>
      </c>
      <c r="GMB230" s="508"/>
      <c r="GMC230" s="507" t="s">
        <v>1381</v>
      </c>
      <c r="GMD230" s="508"/>
      <c r="GME230" s="507" t="s">
        <v>1381</v>
      </c>
      <c r="GMF230" s="508"/>
      <c r="GMG230" s="507" t="s">
        <v>1381</v>
      </c>
      <c r="GMH230" s="508"/>
      <c r="GMI230" s="507" t="s">
        <v>1381</v>
      </c>
      <c r="GMJ230" s="508"/>
      <c r="GMK230" s="507" t="s">
        <v>1381</v>
      </c>
      <c r="GML230" s="508"/>
      <c r="GMM230" s="507" t="s">
        <v>1381</v>
      </c>
      <c r="GMN230" s="508"/>
      <c r="GMO230" s="507" t="s">
        <v>1381</v>
      </c>
      <c r="GMP230" s="508"/>
      <c r="GMQ230" s="507" t="s">
        <v>1381</v>
      </c>
      <c r="GMR230" s="508"/>
      <c r="GMS230" s="507" t="s">
        <v>1381</v>
      </c>
      <c r="GMT230" s="508"/>
      <c r="GMU230" s="507" t="s">
        <v>1381</v>
      </c>
      <c r="GMV230" s="508"/>
      <c r="GMW230" s="507" t="s">
        <v>1381</v>
      </c>
      <c r="GMX230" s="508"/>
      <c r="GMY230" s="507" t="s">
        <v>1381</v>
      </c>
      <c r="GMZ230" s="508"/>
      <c r="GNA230" s="507" t="s">
        <v>1381</v>
      </c>
      <c r="GNB230" s="508"/>
      <c r="GNC230" s="507" t="s">
        <v>1381</v>
      </c>
      <c r="GND230" s="508"/>
      <c r="GNE230" s="507" t="s">
        <v>1381</v>
      </c>
      <c r="GNF230" s="508"/>
      <c r="GNG230" s="507" t="s">
        <v>1381</v>
      </c>
      <c r="GNH230" s="508"/>
      <c r="GNI230" s="507" t="s">
        <v>1381</v>
      </c>
      <c r="GNJ230" s="508"/>
      <c r="GNK230" s="507" t="s">
        <v>1381</v>
      </c>
      <c r="GNL230" s="508"/>
      <c r="GNM230" s="507" t="s">
        <v>1381</v>
      </c>
      <c r="GNN230" s="508"/>
      <c r="GNO230" s="507" t="s">
        <v>1381</v>
      </c>
      <c r="GNP230" s="508"/>
      <c r="GNQ230" s="507" t="s">
        <v>1381</v>
      </c>
      <c r="GNR230" s="508"/>
      <c r="GNS230" s="507" t="s">
        <v>1381</v>
      </c>
      <c r="GNT230" s="508"/>
      <c r="GNU230" s="507" t="s">
        <v>1381</v>
      </c>
      <c r="GNV230" s="508"/>
      <c r="GNW230" s="507" t="s">
        <v>1381</v>
      </c>
      <c r="GNX230" s="508"/>
      <c r="GNY230" s="507" t="s">
        <v>1381</v>
      </c>
      <c r="GNZ230" s="508"/>
      <c r="GOA230" s="507" t="s">
        <v>1381</v>
      </c>
      <c r="GOB230" s="508"/>
      <c r="GOC230" s="507" t="s">
        <v>1381</v>
      </c>
      <c r="GOD230" s="508"/>
      <c r="GOE230" s="507" t="s">
        <v>1381</v>
      </c>
      <c r="GOF230" s="508"/>
      <c r="GOG230" s="507" t="s">
        <v>1381</v>
      </c>
      <c r="GOH230" s="508"/>
      <c r="GOI230" s="507" t="s">
        <v>1381</v>
      </c>
      <c r="GOJ230" s="508"/>
      <c r="GOK230" s="507" t="s">
        <v>1381</v>
      </c>
      <c r="GOL230" s="508"/>
      <c r="GOM230" s="507" t="s">
        <v>1381</v>
      </c>
      <c r="GON230" s="508"/>
      <c r="GOO230" s="507" t="s">
        <v>1381</v>
      </c>
      <c r="GOP230" s="508"/>
      <c r="GOQ230" s="507" t="s">
        <v>1381</v>
      </c>
      <c r="GOR230" s="508"/>
      <c r="GOS230" s="507" t="s">
        <v>1381</v>
      </c>
      <c r="GOT230" s="508"/>
      <c r="GOU230" s="507" t="s">
        <v>1381</v>
      </c>
      <c r="GOV230" s="508"/>
      <c r="GOW230" s="507" t="s">
        <v>1381</v>
      </c>
      <c r="GOX230" s="508"/>
      <c r="GOY230" s="507" t="s">
        <v>1381</v>
      </c>
      <c r="GOZ230" s="508"/>
      <c r="GPA230" s="507" t="s">
        <v>1381</v>
      </c>
      <c r="GPB230" s="508"/>
      <c r="GPC230" s="507" t="s">
        <v>1381</v>
      </c>
      <c r="GPD230" s="508"/>
      <c r="GPE230" s="507" t="s">
        <v>1381</v>
      </c>
      <c r="GPF230" s="508"/>
      <c r="GPG230" s="507" t="s">
        <v>1381</v>
      </c>
      <c r="GPH230" s="508"/>
      <c r="GPI230" s="507" t="s">
        <v>1381</v>
      </c>
      <c r="GPJ230" s="508"/>
      <c r="GPK230" s="507" t="s">
        <v>1381</v>
      </c>
      <c r="GPL230" s="508"/>
      <c r="GPM230" s="507" t="s">
        <v>1381</v>
      </c>
      <c r="GPN230" s="508"/>
      <c r="GPO230" s="507" t="s">
        <v>1381</v>
      </c>
      <c r="GPP230" s="508"/>
      <c r="GPQ230" s="507" t="s">
        <v>1381</v>
      </c>
      <c r="GPR230" s="508"/>
      <c r="GPS230" s="507" t="s">
        <v>1381</v>
      </c>
      <c r="GPT230" s="508"/>
      <c r="GPU230" s="507" t="s">
        <v>1381</v>
      </c>
      <c r="GPV230" s="508"/>
      <c r="GPW230" s="507" t="s">
        <v>1381</v>
      </c>
      <c r="GPX230" s="508"/>
      <c r="GPY230" s="507" t="s">
        <v>1381</v>
      </c>
      <c r="GPZ230" s="508"/>
      <c r="GQA230" s="507" t="s">
        <v>1381</v>
      </c>
      <c r="GQB230" s="508"/>
      <c r="GQC230" s="507" t="s">
        <v>1381</v>
      </c>
      <c r="GQD230" s="508"/>
      <c r="GQE230" s="507" t="s">
        <v>1381</v>
      </c>
      <c r="GQF230" s="508"/>
      <c r="GQG230" s="507" t="s">
        <v>1381</v>
      </c>
      <c r="GQH230" s="508"/>
      <c r="GQI230" s="507" t="s">
        <v>1381</v>
      </c>
      <c r="GQJ230" s="508"/>
      <c r="GQK230" s="507" t="s">
        <v>1381</v>
      </c>
      <c r="GQL230" s="508"/>
      <c r="GQM230" s="507" t="s">
        <v>1381</v>
      </c>
      <c r="GQN230" s="508"/>
      <c r="GQO230" s="507" t="s">
        <v>1381</v>
      </c>
      <c r="GQP230" s="508"/>
      <c r="GQQ230" s="507" t="s">
        <v>1381</v>
      </c>
      <c r="GQR230" s="508"/>
      <c r="GQS230" s="507" t="s">
        <v>1381</v>
      </c>
      <c r="GQT230" s="508"/>
      <c r="GQU230" s="507" t="s">
        <v>1381</v>
      </c>
      <c r="GQV230" s="508"/>
      <c r="GQW230" s="507" t="s">
        <v>1381</v>
      </c>
      <c r="GQX230" s="508"/>
      <c r="GQY230" s="507" t="s">
        <v>1381</v>
      </c>
      <c r="GQZ230" s="508"/>
      <c r="GRA230" s="507" t="s">
        <v>1381</v>
      </c>
      <c r="GRB230" s="508"/>
      <c r="GRC230" s="507" t="s">
        <v>1381</v>
      </c>
      <c r="GRD230" s="508"/>
      <c r="GRE230" s="507" t="s">
        <v>1381</v>
      </c>
      <c r="GRF230" s="508"/>
      <c r="GRG230" s="507" t="s">
        <v>1381</v>
      </c>
      <c r="GRH230" s="508"/>
      <c r="GRI230" s="507" t="s">
        <v>1381</v>
      </c>
      <c r="GRJ230" s="508"/>
      <c r="GRK230" s="507" t="s">
        <v>1381</v>
      </c>
      <c r="GRL230" s="508"/>
      <c r="GRM230" s="507" t="s">
        <v>1381</v>
      </c>
      <c r="GRN230" s="508"/>
      <c r="GRO230" s="507" t="s">
        <v>1381</v>
      </c>
      <c r="GRP230" s="508"/>
      <c r="GRQ230" s="507" t="s">
        <v>1381</v>
      </c>
      <c r="GRR230" s="508"/>
      <c r="GRS230" s="507" t="s">
        <v>1381</v>
      </c>
      <c r="GRT230" s="508"/>
      <c r="GRU230" s="507" t="s">
        <v>1381</v>
      </c>
      <c r="GRV230" s="508"/>
      <c r="GRW230" s="507" t="s">
        <v>1381</v>
      </c>
      <c r="GRX230" s="508"/>
      <c r="GRY230" s="507" t="s">
        <v>1381</v>
      </c>
      <c r="GRZ230" s="508"/>
      <c r="GSA230" s="507" t="s">
        <v>1381</v>
      </c>
      <c r="GSB230" s="508"/>
      <c r="GSC230" s="507" t="s">
        <v>1381</v>
      </c>
      <c r="GSD230" s="508"/>
      <c r="GSE230" s="507" t="s">
        <v>1381</v>
      </c>
      <c r="GSF230" s="508"/>
      <c r="GSG230" s="507" t="s">
        <v>1381</v>
      </c>
      <c r="GSH230" s="508"/>
      <c r="GSI230" s="507" t="s">
        <v>1381</v>
      </c>
      <c r="GSJ230" s="508"/>
      <c r="GSK230" s="507" t="s">
        <v>1381</v>
      </c>
      <c r="GSL230" s="508"/>
      <c r="GSM230" s="507" t="s">
        <v>1381</v>
      </c>
      <c r="GSN230" s="508"/>
      <c r="GSO230" s="507" t="s">
        <v>1381</v>
      </c>
      <c r="GSP230" s="508"/>
      <c r="GSQ230" s="507" t="s">
        <v>1381</v>
      </c>
      <c r="GSR230" s="508"/>
      <c r="GSS230" s="507" t="s">
        <v>1381</v>
      </c>
      <c r="GST230" s="508"/>
      <c r="GSU230" s="507" t="s">
        <v>1381</v>
      </c>
      <c r="GSV230" s="508"/>
      <c r="GSW230" s="507" t="s">
        <v>1381</v>
      </c>
      <c r="GSX230" s="508"/>
      <c r="GSY230" s="507" t="s">
        <v>1381</v>
      </c>
      <c r="GSZ230" s="508"/>
      <c r="GTA230" s="507" t="s">
        <v>1381</v>
      </c>
      <c r="GTB230" s="508"/>
      <c r="GTC230" s="507" t="s">
        <v>1381</v>
      </c>
      <c r="GTD230" s="508"/>
      <c r="GTE230" s="507" t="s">
        <v>1381</v>
      </c>
      <c r="GTF230" s="508"/>
      <c r="GTG230" s="507" t="s">
        <v>1381</v>
      </c>
      <c r="GTH230" s="508"/>
      <c r="GTI230" s="507" t="s">
        <v>1381</v>
      </c>
      <c r="GTJ230" s="508"/>
      <c r="GTK230" s="507" t="s">
        <v>1381</v>
      </c>
      <c r="GTL230" s="508"/>
      <c r="GTM230" s="507" t="s">
        <v>1381</v>
      </c>
      <c r="GTN230" s="508"/>
      <c r="GTO230" s="507" t="s">
        <v>1381</v>
      </c>
      <c r="GTP230" s="508"/>
      <c r="GTQ230" s="507" t="s">
        <v>1381</v>
      </c>
      <c r="GTR230" s="508"/>
      <c r="GTS230" s="507" t="s">
        <v>1381</v>
      </c>
      <c r="GTT230" s="508"/>
      <c r="GTU230" s="507" t="s">
        <v>1381</v>
      </c>
      <c r="GTV230" s="508"/>
      <c r="GTW230" s="507" t="s">
        <v>1381</v>
      </c>
      <c r="GTX230" s="508"/>
      <c r="GTY230" s="507" t="s">
        <v>1381</v>
      </c>
      <c r="GTZ230" s="508"/>
      <c r="GUA230" s="507" t="s">
        <v>1381</v>
      </c>
      <c r="GUB230" s="508"/>
      <c r="GUC230" s="507" t="s">
        <v>1381</v>
      </c>
      <c r="GUD230" s="508"/>
      <c r="GUE230" s="507" t="s">
        <v>1381</v>
      </c>
      <c r="GUF230" s="508"/>
      <c r="GUG230" s="507" t="s">
        <v>1381</v>
      </c>
      <c r="GUH230" s="508"/>
      <c r="GUI230" s="507" t="s">
        <v>1381</v>
      </c>
      <c r="GUJ230" s="508"/>
      <c r="GUK230" s="507" t="s">
        <v>1381</v>
      </c>
      <c r="GUL230" s="508"/>
      <c r="GUM230" s="507" t="s">
        <v>1381</v>
      </c>
      <c r="GUN230" s="508"/>
      <c r="GUO230" s="507" t="s">
        <v>1381</v>
      </c>
      <c r="GUP230" s="508"/>
      <c r="GUQ230" s="507" t="s">
        <v>1381</v>
      </c>
      <c r="GUR230" s="508"/>
      <c r="GUS230" s="507" t="s">
        <v>1381</v>
      </c>
      <c r="GUT230" s="508"/>
      <c r="GUU230" s="507" t="s">
        <v>1381</v>
      </c>
      <c r="GUV230" s="508"/>
      <c r="GUW230" s="507" t="s">
        <v>1381</v>
      </c>
      <c r="GUX230" s="508"/>
      <c r="GUY230" s="507" t="s">
        <v>1381</v>
      </c>
      <c r="GUZ230" s="508"/>
      <c r="GVA230" s="507" t="s">
        <v>1381</v>
      </c>
      <c r="GVB230" s="508"/>
      <c r="GVC230" s="507" t="s">
        <v>1381</v>
      </c>
      <c r="GVD230" s="508"/>
      <c r="GVE230" s="507" t="s">
        <v>1381</v>
      </c>
      <c r="GVF230" s="508"/>
      <c r="GVG230" s="507" t="s">
        <v>1381</v>
      </c>
      <c r="GVH230" s="508"/>
      <c r="GVI230" s="507" t="s">
        <v>1381</v>
      </c>
      <c r="GVJ230" s="508"/>
      <c r="GVK230" s="507" t="s">
        <v>1381</v>
      </c>
      <c r="GVL230" s="508"/>
      <c r="GVM230" s="507" t="s">
        <v>1381</v>
      </c>
      <c r="GVN230" s="508"/>
      <c r="GVO230" s="507" t="s">
        <v>1381</v>
      </c>
      <c r="GVP230" s="508"/>
      <c r="GVQ230" s="507" t="s">
        <v>1381</v>
      </c>
      <c r="GVR230" s="508"/>
      <c r="GVS230" s="507" t="s">
        <v>1381</v>
      </c>
      <c r="GVT230" s="508"/>
      <c r="GVU230" s="507" t="s">
        <v>1381</v>
      </c>
      <c r="GVV230" s="508"/>
      <c r="GVW230" s="507" t="s">
        <v>1381</v>
      </c>
      <c r="GVX230" s="508"/>
      <c r="GVY230" s="507" t="s">
        <v>1381</v>
      </c>
      <c r="GVZ230" s="508"/>
      <c r="GWA230" s="507" t="s">
        <v>1381</v>
      </c>
      <c r="GWB230" s="508"/>
      <c r="GWC230" s="507" t="s">
        <v>1381</v>
      </c>
      <c r="GWD230" s="508"/>
      <c r="GWE230" s="507" t="s">
        <v>1381</v>
      </c>
      <c r="GWF230" s="508"/>
      <c r="GWG230" s="507" t="s">
        <v>1381</v>
      </c>
      <c r="GWH230" s="508"/>
      <c r="GWI230" s="507" t="s">
        <v>1381</v>
      </c>
      <c r="GWJ230" s="508"/>
      <c r="GWK230" s="507" t="s">
        <v>1381</v>
      </c>
      <c r="GWL230" s="508"/>
      <c r="GWM230" s="507" t="s">
        <v>1381</v>
      </c>
      <c r="GWN230" s="508"/>
      <c r="GWO230" s="507" t="s">
        <v>1381</v>
      </c>
      <c r="GWP230" s="508"/>
      <c r="GWQ230" s="507" t="s">
        <v>1381</v>
      </c>
      <c r="GWR230" s="508"/>
      <c r="GWS230" s="507" t="s">
        <v>1381</v>
      </c>
      <c r="GWT230" s="508"/>
      <c r="GWU230" s="507" t="s">
        <v>1381</v>
      </c>
      <c r="GWV230" s="508"/>
      <c r="GWW230" s="507" t="s">
        <v>1381</v>
      </c>
      <c r="GWX230" s="508"/>
      <c r="GWY230" s="507" t="s">
        <v>1381</v>
      </c>
      <c r="GWZ230" s="508"/>
      <c r="GXA230" s="507" t="s">
        <v>1381</v>
      </c>
      <c r="GXB230" s="508"/>
      <c r="GXC230" s="507" t="s">
        <v>1381</v>
      </c>
      <c r="GXD230" s="508"/>
      <c r="GXE230" s="507" t="s">
        <v>1381</v>
      </c>
      <c r="GXF230" s="508"/>
      <c r="GXG230" s="507" t="s">
        <v>1381</v>
      </c>
      <c r="GXH230" s="508"/>
      <c r="GXI230" s="507" t="s">
        <v>1381</v>
      </c>
      <c r="GXJ230" s="508"/>
      <c r="GXK230" s="507" t="s">
        <v>1381</v>
      </c>
      <c r="GXL230" s="508"/>
      <c r="GXM230" s="507" t="s">
        <v>1381</v>
      </c>
      <c r="GXN230" s="508"/>
      <c r="GXO230" s="507" t="s">
        <v>1381</v>
      </c>
      <c r="GXP230" s="508"/>
      <c r="GXQ230" s="507" t="s">
        <v>1381</v>
      </c>
      <c r="GXR230" s="508"/>
      <c r="GXS230" s="507" t="s">
        <v>1381</v>
      </c>
      <c r="GXT230" s="508"/>
      <c r="GXU230" s="507" t="s">
        <v>1381</v>
      </c>
      <c r="GXV230" s="508"/>
      <c r="GXW230" s="507" t="s">
        <v>1381</v>
      </c>
      <c r="GXX230" s="508"/>
      <c r="GXY230" s="507" t="s">
        <v>1381</v>
      </c>
      <c r="GXZ230" s="508"/>
      <c r="GYA230" s="507" t="s">
        <v>1381</v>
      </c>
      <c r="GYB230" s="508"/>
      <c r="GYC230" s="507" t="s">
        <v>1381</v>
      </c>
      <c r="GYD230" s="508"/>
      <c r="GYE230" s="507" t="s">
        <v>1381</v>
      </c>
      <c r="GYF230" s="508"/>
      <c r="GYG230" s="507" t="s">
        <v>1381</v>
      </c>
      <c r="GYH230" s="508"/>
      <c r="GYI230" s="507" t="s">
        <v>1381</v>
      </c>
      <c r="GYJ230" s="508"/>
      <c r="GYK230" s="507" t="s">
        <v>1381</v>
      </c>
      <c r="GYL230" s="508"/>
      <c r="GYM230" s="507" t="s">
        <v>1381</v>
      </c>
      <c r="GYN230" s="508"/>
      <c r="GYO230" s="507" t="s">
        <v>1381</v>
      </c>
      <c r="GYP230" s="508"/>
      <c r="GYQ230" s="507" t="s">
        <v>1381</v>
      </c>
      <c r="GYR230" s="508"/>
      <c r="GYS230" s="507" t="s">
        <v>1381</v>
      </c>
      <c r="GYT230" s="508"/>
      <c r="GYU230" s="507" t="s">
        <v>1381</v>
      </c>
      <c r="GYV230" s="508"/>
      <c r="GYW230" s="507" t="s">
        <v>1381</v>
      </c>
      <c r="GYX230" s="508"/>
      <c r="GYY230" s="507" t="s">
        <v>1381</v>
      </c>
      <c r="GYZ230" s="508"/>
      <c r="GZA230" s="507" t="s">
        <v>1381</v>
      </c>
      <c r="GZB230" s="508"/>
      <c r="GZC230" s="507" t="s">
        <v>1381</v>
      </c>
      <c r="GZD230" s="508"/>
      <c r="GZE230" s="507" t="s">
        <v>1381</v>
      </c>
      <c r="GZF230" s="508"/>
      <c r="GZG230" s="507" t="s">
        <v>1381</v>
      </c>
      <c r="GZH230" s="508"/>
      <c r="GZI230" s="507" t="s">
        <v>1381</v>
      </c>
      <c r="GZJ230" s="508"/>
      <c r="GZK230" s="507" t="s">
        <v>1381</v>
      </c>
      <c r="GZL230" s="508"/>
      <c r="GZM230" s="507" t="s">
        <v>1381</v>
      </c>
      <c r="GZN230" s="508"/>
      <c r="GZO230" s="507" t="s">
        <v>1381</v>
      </c>
      <c r="GZP230" s="508"/>
      <c r="GZQ230" s="507" t="s">
        <v>1381</v>
      </c>
      <c r="GZR230" s="508"/>
      <c r="GZS230" s="507" t="s">
        <v>1381</v>
      </c>
      <c r="GZT230" s="508"/>
      <c r="GZU230" s="507" t="s">
        <v>1381</v>
      </c>
      <c r="GZV230" s="508"/>
      <c r="GZW230" s="507" t="s">
        <v>1381</v>
      </c>
      <c r="GZX230" s="508"/>
      <c r="GZY230" s="507" t="s">
        <v>1381</v>
      </c>
      <c r="GZZ230" s="508"/>
      <c r="HAA230" s="507" t="s">
        <v>1381</v>
      </c>
      <c r="HAB230" s="508"/>
      <c r="HAC230" s="507" t="s">
        <v>1381</v>
      </c>
      <c r="HAD230" s="508"/>
      <c r="HAE230" s="507" t="s">
        <v>1381</v>
      </c>
      <c r="HAF230" s="508"/>
      <c r="HAG230" s="507" t="s">
        <v>1381</v>
      </c>
      <c r="HAH230" s="508"/>
      <c r="HAI230" s="507" t="s">
        <v>1381</v>
      </c>
      <c r="HAJ230" s="508"/>
      <c r="HAK230" s="507" t="s">
        <v>1381</v>
      </c>
      <c r="HAL230" s="508"/>
      <c r="HAM230" s="507" t="s">
        <v>1381</v>
      </c>
      <c r="HAN230" s="508"/>
      <c r="HAO230" s="507" t="s">
        <v>1381</v>
      </c>
      <c r="HAP230" s="508"/>
      <c r="HAQ230" s="507" t="s">
        <v>1381</v>
      </c>
      <c r="HAR230" s="508"/>
      <c r="HAS230" s="507" t="s">
        <v>1381</v>
      </c>
      <c r="HAT230" s="508"/>
      <c r="HAU230" s="507" t="s">
        <v>1381</v>
      </c>
      <c r="HAV230" s="508"/>
      <c r="HAW230" s="507" t="s">
        <v>1381</v>
      </c>
      <c r="HAX230" s="508"/>
      <c r="HAY230" s="507" t="s">
        <v>1381</v>
      </c>
      <c r="HAZ230" s="508"/>
      <c r="HBA230" s="507" t="s">
        <v>1381</v>
      </c>
      <c r="HBB230" s="508"/>
      <c r="HBC230" s="507" t="s">
        <v>1381</v>
      </c>
      <c r="HBD230" s="508"/>
      <c r="HBE230" s="507" t="s">
        <v>1381</v>
      </c>
      <c r="HBF230" s="508"/>
      <c r="HBG230" s="507" t="s">
        <v>1381</v>
      </c>
      <c r="HBH230" s="508"/>
      <c r="HBI230" s="507" t="s">
        <v>1381</v>
      </c>
      <c r="HBJ230" s="508"/>
      <c r="HBK230" s="507" t="s">
        <v>1381</v>
      </c>
      <c r="HBL230" s="508"/>
      <c r="HBM230" s="507" t="s">
        <v>1381</v>
      </c>
      <c r="HBN230" s="508"/>
      <c r="HBO230" s="507" t="s">
        <v>1381</v>
      </c>
      <c r="HBP230" s="508"/>
      <c r="HBQ230" s="507" t="s">
        <v>1381</v>
      </c>
      <c r="HBR230" s="508"/>
      <c r="HBS230" s="507" t="s">
        <v>1381</v>
      </c>
      <c r="HBT230" s="508"/>
      <c r="HBU230" s="507" t="s">
        <v>1381</v>
      </c>
      <c r="HBV230" s="508"/>
      <c r="HBW230" s="507" t="s">
        <v>1381</v>
      </c>
      <c r="HBX230" s="508"/>
      <c r="HBY230" s="507" t="s">
        <v>1381</v>
      </c>
      <c r="HBZ230" s="508"/>
      <c r="HCA230" s="507" t="s">
        <v>1381</v>
      </c>
      <c r="HCB230" s="508"/>
      <c r="HCC230" s="507" t="s">
        <v>1381</v>
      </c>
      <c r="HCD230" s="508"/>
      <c r="HCE230" s="507" t="s">
        <v>1381</v>
      </c>
      <c r="HCF230" s="508"/>
      <c r="HCG230" s="507" t="s">
        <v>1381</v>
      </c>
      <c r="HCH230" s="508"/>
      <c r="HCI230" s="507" t="s">
        <v>1381</v>
      </c>
      <c r="HCJ230" s="508"/>
      <c r="HCK230" s="507" t="s">
        <v>1381</v>
      </c>
      <c r="HCL230" s="508"/>
      <c r="HCM230" s="507" t="s">
        <v>1381</v>
      </c>
      <c r="HCN230" s="508"/>
      <c r="HCO230" s="507" t="s">
        <v>1381</v>
      </c>
      <c r="HCP230" s="508"/>
      <c r="HCQ230" s="507" t="s">
        <v>1381</v>
      </c>
      <c r="HCR230" s="508"/>
      <c r="HCS230" s="507" t="s">
        <v>1381</v>
      </c>
      <c r="HCT230" s="508"/>
      <c r="HCU230" s="507" t="s">
        <v>1381</v>
      </c>
      <c r="HCV230" s="508"/>
      <c r="HCW230" s="507" t="s">
        <v>1381</v>
      </c>
      <c r="HCX230" s="508"/>
      <c r="HCY230" s="507" t="s">
        <v>1381</v>
      </c>
      <c r="HCZ230" s="508"/>
      <c r="HDA230" s="507" t="s">
        <v>1381</v>
      </c>
      <c r="HDB230" s="508"/>
      <c r="HDC230" s="507" t="s">
        <v>1381</v>
      </c>
      <c r="HDD230" s="508"/>
      <c r="HDE230" s="507" t="s">
        <v>1381</v>
      </c>
      <c r="HDF230" s="508"/>
      <c r="HDG230" s="507" t="s">
        <v>1381</v>
      </c>
      <c r="HDH230" s="508"/>
      <c r="HDI230" s="507" t="s">
        <v>1381</v>
      </c>
      <c r="HDJ230" s="508"/>
      <c r="HDK230" s="507" t="s">
        <v>1381</v>
      </c>
      <c r="HDL230" s="508"/>
      <c r="HDM230" s="507" t="s">
        <v>1381</v>
      </c>
      <c r="HDN230" s="508"/>
      <c r="HDO230" s="507" t="s">
        <v>1381</v>
      </c>
      <c r="HDP230" s="508"/>
      <c r="HDQ230" s="507" t="s">
        <v>1381</v>
      </c>
      <c r="HDR230" s="508"/>
      <c r="HDS230" s="507" t="s">
        <v>1381</v>
      </c>
      <c r="HDT230" s="508"/>
      <c r="HDU230" s="507" t="s">
        <v>1381</v>
      </c>
      <c r="HDV230" s="508"/>
      <c r="HDW230" s="507" t="s">
        <v>1381</v>
      </c>
      <c r="HDX230" s="508"/>
      <c r="HDY230" s="507" t="s">
        <v>1381</v>
      </c>
      <c r="HDZ230" s="508"/>
      <c r="HEA230" s="507" t="s">
        <v>1381</v>
      </c>
      <c r="HEB230" s="508"/>
      <c r="HEC230" s="507" t="s">
        <v>1381</v>
      </c>
      <c r="HED230" s="508"/>
      <c r="HEE230" s="507" t="s">
        <v>1381</v>
      </c>
      <c r="HEF230" s="508"/>
      <c r="HEG230" s="507" t="s">
        <v>1381</v>
      </c>
      <c r="HEH230" s="508"/>
      <c r="HEI230" s="507" t="s">
        <v>1381</v>
      </c>
      <c r="HEJ230" s="508"/>
      <c r="HEK230" s="507" t="s">
        <v>1381</v>
      </c>
      <c r="HEL230" s="508"/>
      <c r="HEM230" s="507" t="s">
        <v>1381</v>
      </c>
      <c r="HEN230" s="508"/>
      <c r="HEO230" s="507" t="s">
        <v>1381</v>
      </c>
      <c r="HEP230" s="508"/>
      <c r="HEQ230" s="507" t="s">
        <v>1381</v>
      </c>
      <c r="HER230" s="508"/>
      <c r="HES230" s="507" t="s">
        <v>1381</v>
      </c>
      <c r="HET230" s="508"/>
      <c r="HEU230" s="507" t="s">
        <v>1381</v>
      </c>
      <c r="HEV230" s="508"/>
      <c r="HEW230" s="507" t="s">
        <v>1381</v>
      </c>
      <c r="HEX230" s="508"/>
      <c r="HEY230" s="507" t="s">
        <v>1381</v>
      </c>
      <c r="HEZ230" s="508"/>
      <c r="HFA230" s="507" t="s">
        <v>1381</v>
      </c>
      <c r="HFB230" s="508"/>
      <c r="HFC230" s="507" t="s">
        <v>1381</v>
      </c>
      <c r="HFD230" s="508"/>
      <c r="HFE230" s="507" t="s">
        <v>1381</v>
      </c>
      <c r="HFF230" s="508"/>
      <c r="HFG230" s="507" t="s">
        <v>1381</v>
      </c>
      <c r="HFH230" s="508"/>
      <c r="HFI230" s="507" t="s">
        <v>1381</v>
      </c>
      <c r="HFJ230" s="508"/>
      <c r="HFK230" s="507" t="s">
        <v>1381</v>
      </c>
      <c r="HFL230" s="508"/>
      <c r="HFM230" s="507" t="s">
        <v>1381</v>
      </c>
      <c r="HFN230" s="508"/>
      <c r="HFO230" s="507" t="s">
        <v>1381</v>
      </c>
      <c r="HFP230" s="508"/>
      <c r="HFQ230" s="507" t="s">
        <v>1381</v>
      </c>
      <c r="HFR230" s="508"/>
      <c r="HFS230" s="507" t="s">
        <v>1381</v>
      </c>
      <c r="HFT230" s="508"/>
      <c r="HFU230" s="507" t="s">
        <v>1381</v>
      </c>
      <c r="HFV230" s="508"/>
      <c r="HFW230" s="507" t="s">
        <v>1381</v>
      </c>
      <c r="HFX230" s="508"/>
      <c r="HFY230" s="507" t="s">
        <v>1381</v>
      </c>
      <c r="HFZ230" s="508"/>
      <c r="HGA230" s="507" t="s">
        <v>1381</v>
      </c>
      <c r="HGB230" s="508"/>
      <c r="HGC230" s="507" t="s">
        <v>1381</v>
      </c>
      <c r="HGD230" s="508"/>
      <c r="HGE230" s="507" t="s">
        <v>1381</v>
      </c>
      <c r="HGF230" s="508"/>
      <c r="HGG230" s="507" t="s">
        <v>1381</v>
      </c>
      <c r="HGH230" s="508"/>
      <c r="HGI230" s="507" t="s">
        <v>1381</v>
      </c>
      <c r="HGJ230" s="508"/>
      <c r="HGK230" s="507" t="s">
        <v>1381</v>
      </c>
      <c r="HGL230" s="508"/>
      <c r="HGM230" s="507" t="s">
        <v>1381</v>
      </c>
      <c r="HGN230" s="508"/>
      <c r="HGO230" s="507" t="s">
        <v>1381</v>
      </c>
      <c r="HGP230" s="508"/>
      <c r="HGQ230" s="507" t="s">
        <v>1381</v>
      </c>
      <c r="HGR230" s="508"/>
      <c r="HGS230" s="507" t="s">
        <v>1381</v>
      </c>
      <c r="HGT230" s="508"/>
      <c r="HGU230" s="507" t="s">
        <v>1381</v>
      </c>
      <c r="HGV230" s="508"/>
      <c r="HGW230" s="507" t="s">
        <v>1381</v>
      </c>
      <c r="HGX230" s="508"/>
      <c r="HGY230" s="507" t="s">
        <v>1381</v>
      </c>
      <c r="HGZ230" s="508"/>
      <c r="HHA230" s="507" t="s">
        <v>1381</v>
      </c>
      <c r="HHB230" s="508"/>
      <c r="HHC230" s="507" t="s">
        <v>1381</v>
      </c>
      <c r="HHD230" s="508"/>
      <c r="HHE230" s="507" t="s">
        <v>1381</v>
      </c>
      <c r="HHF230" s="508"/>
      <c r="HHG230" s="507" t="s">
        <v>1381</v>
      </c>
      <c r="HHH230" s="508"/>
      <c r="HHI230" s="507" t="s">
        <v>1381</v>
      </c>
      <c r="HHJ230" s="508"/>
      <c r="HHK230" s="507" t="s">
        <v>1381</v>
      </c>
      <c r="HHL230" s="508"/>
      <c r="HHM230" s="507" t="s">
        <v>1381</v>
      </c>
      <c r="HHN230" s="508"/>
      <c r="HHO230" s="507" t="s">
        <v>1381</v>
      </c>
      <c r="HHP230" s="508"/>
      <c r="HHQ230" s="507" t="s">
        <v>1381</v>
      </c>
      <c r="HHR230" s="508"/>
      <c r="HHS230" s="507" t="s">
        <v>1381</v>
      </c>
      <c r="HHT230" s="508"/>
      <c r="HHU230" s="507" t="s">
        <v>1381</v>
      </c>
      <c r="HHV230" s="508"/>
      <c r="HHW230" s="507" t="s">
        <v>1381</v>
      </c>
      <c r="HHX230" s="508"/>
      <c r="HHY230" s="507" t="s">
        <v>1381</v>
      </c>
      <c r="HHZ230" s="508"/>
      <c r="HIA230" s="507" t="s">
        <v>1381</v>
      </c>
      <c r="HIB230" s="508"/>
      <c r="HIC230" s="507" t="s">
        <v>1381</v>
      </c>
      <c r="HID230" s="508"/>
      <c r="HIE230" s="507" t="s">
        <v>1381</v>
      </c>
      <c r="HIF230" s="508"/>
      <c r="HIG230" s="507" t="s">
        <v>1381</v>
      </c>
      <c r="HIH230" s="508"/>
      <c r="HII230" s="507" t="s">
        <v>1381</v>
      </c>
      <c r="HIJ230" s="508"/>
      <c r="HIK230" s="507" t="s">
        <v>1381</v>
      </c>
      <c r="HIL230" s="508"/>
      <c r="HIM230" s="507" t="s">
        <v>1381</v>
      </c>
      <c r="HIN230" s="508"/>
      <c r="HIO230" s="507" t="s">
        <v>1381</v>
      </c>
      <c r="HIP230" s="508"/>
      <c r="HIQ230" s="507" t="s">
        <v>1381</v>
      </c>
      <c r="HIR230" s="508"/>
      <c r="HIS230" s="507" t="s">
        <v>1381</v>
      </c>
      <c r="HIT230" s="508"/>
      <c r="HIU230" s="507" t="s">
        <v>1381</v>
      </c>
      <c r="HIV230" s="508"/>
      <c r="HIW230" s="507" t="s">
        <v>1381</v>
      </c>
      <c r="HIX230" s="508"/>
      <c r="HIY230" s="507" t="s">
        <v>1381</v>
      </c>
      <c r="HIZ230" s="508"/>
      <c r="HJA230" s="507" t="s">
        <v>1381</v>
      </c>
      <c r="HJB230" s="508"/>
      <c r="HJC230" s="507" t="s">
        <v>1381</v>
      </c>
      <c r="HJD230" s="508"/>
      <c r="HJE230" s="507" t="s">
        <v>1381</v>
      </c>
      <c r="HJF230" s="508"/>
      <c r="HJG230" s="507" t="s">
        <v>1381</v>
      </c>
      <c r="HJH230" s="508"/>
      <c r="HJI230" s="507" t="s">
        <v>1381</v>
      </c>
      <c r="HJJ230" s="508"/>
      <c r="HJK230" s="507" t="s">
        <v>1381</v>
      </c>
      <c r="HJL230" s="508"/>
      <c r="HJM230" s="507" t="s">
        <v>1381</v>
      </c>
      <c r="HJN230" s="508"/>
      <c r="HJO230" s="507" t="s">
        <v>1381</v>
      </c>
      <c r="HJP230" s="508"/>
      <c r="HJQ230" s="507" t="s">
        <v>1381</v>
      </c>
      <c r="HJR230" s="508"/>
      <c r="HJS230" s="507" t="s">
        <v>1381</v>
      </c>
      <c r="HJT230" s="508"/>
      <c r="HJU230" s="507" t="s">
        <v>1381</v>
      </c>
      <c r="HJV230" s="508"/>
      <c r="HJW230" s="507" t="s">
        <v>1381</v>
      </c>
      <c r="HJX230" s="508"/>
      <c r="HJY230" s="507" t="s">
        <v>1381</v>
      </c>
      <c r="HJZ230" s="508"/>
      <c r="HKA230" s="507" t="s">
        <v>1381</v>
      </c>
      <c r="HKB230" s="508"/>
      <c r="HKC230" s="507" t="s">
        <v>1381</v>
      </c>
      <c r="HKD230" s="508"/>
      <c r="HKE230" s="507" t="s">
        <v>1381</v>
      </c>
      <c r="HKF230" s="508"/>
      <c r="HKG230" s="507" t="s">
        <v>1381</v>
      </c>
      <c r="HKH230" s="508"/>
      <c r="HKI230" s="507" t="s">
        <v>1381</v>
      </c>
      <c r="HKJ230" s="508"/>
      <c r="HKK230" s="507" t="s">
        <v>1381</v>
      </c>
      <c r="HKL230" s="508"/>
      <c r="HKM230" s="507" t="s">
        <v>1381</v>
      </c>
      <c r="HKN230" s="508"/>
      <c r="HKO230" s="507" t="s">
        <v>1381</v>
      </c>
      <c r="HKP230" s="508"/>
      <c r="HKQ230" s="507" t="s">
        <v>1381</v>
      </c>
      <c r="HKR230" s="508"/>
      <c r="HKS230" s="507" t="s">
        <v>1381</v>
      </c>
      <c r="HKT230" s="508"/>
      <c r="HKU230" s="507" t="s">
        <v>1381</v>
      </c>
      <c r="HKV230" s="508"/>
      <c r="HKW230" s="507" t="s">
        <v>1381</v>
      </c>
      <c r="HKX230" s="508"/>
      <c r="HKY230" s="507" t="s">
        <v>1381</v>
      </c>
      <c r="HKZ230" s="508"/>
      <c r="HLA230" s="507" t="s">
        <v>1381</v>
      </c>
      <c r="HLB230" s="508"/>
      <c r="HLC230" s="507" t="s">
        <v>1381</v>
      </c>
      <c r="HLD230" s="508"/>
      <c r="HLE230" s="507" t="s">
        <v>1381</v>
      </c>
      <c r="HLF230" s="508"/>
      <c r="HLG230" s="507" t="s">
        <v>1381</v>
      </c>
      <c r="HLH230" s="508"/>
      <c r="HLI230" s="507" t="s">
        <v>1381</v>
      </c>
      <c r="HLJ230" s="508"/>
      <c r="HLK230" s="507" t="s">
        <v>1381</v>
      </c>
      <c r="HLL230" s="508"/>
      <c r="HLM230" s="507" t="s">
        <v>1381</v>
      </c>
      <c r="HLN230" s="508"/>
      <c r="HLO230" s="507" t="s">
        <v>1381</v>
      </c>
      <c r="HLP230" s="508"/>
      <c r="HLQ230" s="507" t="s">
        <v>1381</v>
      </c>
      <c r="HLR230" s="508"/>
      <c r="HLS230" s="507" t="s">
        <v>1381</v>
      </c>
      <c r="HLT230" s="508"/>
      <c r="HLU230" s="507" t="s">
        <v>1381</v>
      </c>
      <c r="HLV230" s="508"/>
      <c r="HLW230" s="507" t="s">
        <v>1381</v>
      </c>
      <c r="HLX230" s="508"/>
      <c r="HLY230" s="507" t="s">
        <v>1381</v>
      </c>
      <c r="HLZ230" s="508"/>
      <c r="HMA230" s="507" t="s">
        <v>1381</v>
      </c>
      <c r="HMB230" s="508"/>
      <c r="HMC230" s="507" t="s">
        <v>1381</v>
      </c>
      <c r="HMD230" s="508"/>
      <c r="HME230" s="507" t="s">
        <v>1381</v>
      </c>
      <c r="HMF230" s="508"/>
      <c r="HMG230" s="507" t="s">
        <v>1381</v>
      </c>
      <c r="HMH230" s="508"/>
      <c r="HMI230" s="507" t="s">
        <v>1381</v>
      </c>
      <c r="HMJ230" s="508"/>
      <c r="HMK230" s="507" t="s">
        <v>1381</v>
      </c>
      <c r="HML230" s="508"/>
      <c r="HMM230" s="507" t="s">
        <v>1381</v>
      </c>
      <c r="HMN230" s="508"/>
      <c r="HMO230" s="507" t="s">
        <v>1381</v>
      </c>
      <c r="HMP230" s="508"/>
      <c r="HMQ230" s="507" t="s">
        <v>1381</v>
      </c>
      <c r="HMR230" s="508"/>
      <c r="HMS230" s="507" t="s">
        <v>1381</v>
      </c>
      <c r="HMT230" s="508"/>
      <c r="HMU230" s="507" t="s">
        <v>1381</v>
      </c>
      <c r="HMV230" s="508"/>
      <c r="HMW230" s="507" t="s">
        <v>1381</v>
      </c>
      <c r="HMX230" s="508"/>
      <c r="HMY230" s="507" t="s">
        <v>1381</v>
      </c>
      <c r="HMZ230" s="508"/>
      <c r="HNA230" s="507" t="s">
        <v>1381</v>
      </c>
      <c r="HNB230" s="508"/>
      <c r="HNC230" s="507" t="s">
        <v>1381</v>
      </c>
      <c r="HND230" s="508"/>
      <c r="HNE230" s="507" t="s">
        <v>1381</v>
      </c>
      <c r="HNF230" s="508"/>
      <c r="HNG230" s="507" t="s">
        <v>1381</v>
      </c>
      <c r="HNH230" s="508"/>
      <c r="HNI230" s="507" t="s">
        <v>1381</v>
      </c>
      <c r="HNJ230" s="508"/>
      <c r="HNK230" s="507" t="s">
        <v>1381</v>
      </c>
      <c r="HNL230" s="508"/>
      <c r="HNM230" s="507" t="s">
        <v>1381</v>
      </c>
      <c r="HNN230" s="508"/>
      <c r="HNO230" s="507" t="s">
        <v>1381</v>
      </c>
      <c r="HNP230" s="508"/>
      <c r="HNQ230" s="507" t="s">
        <v>1381</v>
      </c>
      <c r="HNR230" s="508"/>
      <c r="HNS230" s="507" t="s">
        <v>1381</v>
      </c>
      <c r="HNT230" s="508"/>
      <c r="HNU230" s="507" t="s">
        <v>1381</v>
      </c>
      <c r="HNV230" s="508"/>
      <c r="HNW230" s="507" t="s">
        <v>1381</v>
      </c>
      <c r="HNX230" s="508"/>
      <c r="HNY230" s="507" t="s">
        <v>1381</v>
      </c>
      <c r="HNZ230" s="508"/>
      <c r="HOA230" s="507" t="s">
        <v>1381</v>
      </c>
      <c r="HOB230" s="508"/>
      <c r="HOC230" s="507" t="s">
        <v>1381</v>
      </c>
      <c r="HOD230" s="508"/>
      <c r="HOE230" s="507" t="s">
        <v>1381</v>
      </c>
      <c r="HOF230" s="508"/>
      <c r="HOG230" s="507" t="s">
        <v>1381</v>
      </c>
      <c r="HOH230" s="508"/>
      <c r="HOI230" s="507" t="s">
        <v>1381</v>
      </c>
      <c r="HOJ230" s="508"/>
      <c r="HOK230" s="507" t="s">
        <v>1381</v>
      </c>
      <c r="HOL230" s="508"/>
      <c r="HOM230" s="507" t="s">
        <v>1381</v>
      </c>
      <c r="HON230" s="508"/>
      <c r="HOO230" s="507" t="s">
        <v>1381</v>
      </c>
      <c r="HOP230" s="508"/>
      <c r="HOQ230" s="507" t="s">
        <v>1381</v>
      </c>
      <c r="HOR230" s="508"/>
      <c r="HOS230" s="507" t="s">
        <v>1381</v>
      </c>
      <c r="HOT230" s="508"/>
      <c r="HOU230" s="507" t="s">
        <v>1381</v>
      </c>
      <c r="HOV230" s="508"/>
      <c r="HOW230" s="507" t="s">
        <v>1381</v>
      </c>
      <c r="HOX230" s="508"/>
      <c r="HOY230" s="507" t="s">
        <v>1381</v>
      </c>
      <c r="HOZ230" s="508"/>
      <c r="HPA230" s="507" t="s">
        <v>1381</v>
      </c>
      <c r="HPB230" s="508"/>
      <c r="HPC230" s="507" t="s">
        <v>1381</v>
      </c>
      <c r="HPD230" s="508"/>
      <c r="HPE230" s="507" t="s">
        <v>1381</v>
      </c>
      <c r="HPF230" s="508"/>
      <c r="HPG230" s="507" t="s">
        <v>1381</v>
      </c>
      <c r="HPH230" s="508"/>
      <c r="HPI230" s="507" t="s">
        <v>1381</v>
      </c>
      <c r="HPJ230" s="508"/>
      <c r="HPK230" s="507" t="s">
        <v>1381</v>
      </c>
      <c r="HPL230" s="508"/>
      <c r="HPM230" s="507" t="s">
        <v>1381</v>
      </c>
      <c r="HPN230" s="508"/>
      <c r="HPO230" s="507" t="s">
        <v>1381</v>
      </c>
      <c r="HPP230" s="508"/>
      <c r="HPQ230" s="507" t="s">
        <v>1381</v>
      </c>
      <c r="HPR230" s="508"/>
      <c r="HPS230" s="507" t="s">
        <v>1381</v>
      </c>
      <c r="HPT230" s="508"/>
      <c r="HPU230" s="507" t="s">
        <v>1381</v>
      </c>
      <c r="HPV230" s="508"/>
      <c r="HPW230" s="507" t="s">
        <v>1381</v>
      </c>
      <c r="HPX230" s="508"/>
      <c r="HPY230" s="507" t="s">
        <v>1381</v>
      </c>
      <c r="HPZ230" s="508"/>
      <c r="HQA230" s="507" t="s">
        <v>1381</v>
      </c>
      <c r="HQB230" s="508"/>
      <c r="HQC230" s="507" t="s">
        <v>1381</v>
      </c>
      <c r="HQD230" s="508"/>
      <c r="HQE230" s="507" t="s">
        <v>1381</v>
      </c>
      <c r="HQF230" s="508"/>
      <c r="HQG230" s="507" t="s">
        <v>1381</v>
      </c>
      <c r="HQH230" s="508"/>
      <c r="HQI230" s="507" t="s">
        <v>1381</v>
      </c>
      <c r="HQJ230" s="508"/>
      <c r="HQK230" s="507" t="s">
        <v>1381</v>
      </c>
      <c r="HQL230" s="508"/>
      <c r="HQM230" s="507" t="s">
        <v>1381</v>
      </c>
      <c r="HQN230" s="508"/>
      <c r="HQO230" s="507" t="s">
        <v>1381</v>
      </c>
      <c r="HQP230" s="508"/>
      <c r="HQQ230" s="507" t="s">
        <v>1381</v>
      </c>
      <c r="HQR230" s="508"/>
      <c r="HQS230" s="507" t="s">
        <v>1381</v>
      </c>
      <c r="HQT230" s="508"/>
      <c r="HQU230" s="507" t="s">
        <v>1381</v>
      </c>
      <c r="HQV230" s="508"/>
      <c r="HQW230" s="507" t="s">
        <v>1381</v>
      </c>
      <c r="HQX230" s="508"/>
      <c r="HQY230" s="507" t="s">
        <v>1381</v>
      </c>
      <c r="HQZ230" s="508"/>
      <c r="HRA230" s="507" t="s">
        <v>1381</v>
      </c>
      <c r="HRB230" s="508"/>
      <c r="HRC230" s="507" t="s">
        <v>1381</v>
      </c>
      <c r="HRD230" s="508"/>
      <c r="HRE230" s="507" t="s">
        <v>1381</v>
      </c>
      <c r="HRF230" s="508"/>
      <c r="HRG230" s="507" t="s">
        <v>1381</v>
      </c>
      <c r="HRH230" s="508"/>
      <c r="HRI230" s="507" t="s">
        <v>1381</v>
      </c>
      <c r="HRJ230" s="508"/>
      <c r="HRK230" s="507" t="s">
        <v>1381</v>
      </c>
      <c r="HRL230" s="508"/>
      <c r="HRM230" s="507" t="s">
        <v>1381</v>
      </c>
      <c r="HRN230" s="508"/>
      <c r="HRO230" s="507" t="s">
        <v>1381</v>
      </c>
      <c r="HRP230" s="508"/>
      <c r="HRQ230" s="507" t="s">
        <v>1381</v>
      </c>
      <c r="HRR230" s="508"/>
      <c r="HRS230" s="507" t="s">
        <v>1381</v>
      </c>
      <c r="HRT230" s="508"/>
      <c r="HRU230" s="507" t="s">
        <v>1381</v>
      </c>
      <c r="HRV230" s="508"/>
      <c r="HRW230" s="507" t="s">
        <v>1381</v>
      </c>
      <c r="HRX230" s="508"/>
      <c r="HRY230" s="507" t="s">
        <v>1381</v>
      </c>
      <c r="HRZ230" s="508"/>
      <c r="HSA230" s="507" t="s">
        <v>1381</v>
      </c>
      <c r="HSB230" s="508"/>
      <c r="HSC230" s="507" t="s">
        <v>1381</v>
      </c>
      <c r="HSD230" s="508"/>
      <c r="HSE230" s="507" t="s">
        <v>1381</v>
      </c>
      <c r="HSF230" s="508"/>
      <c r="HSG230" s="507" t="s">
        <v>1381</v>
      </c>
      <c r="HSH230" s="508"/>
      <c r="HSI230" s="507" t="s">
        <v>1381</v>
      </c>
      <c r="HSJ230" s="508"/>
      <c r="HSK230" s="507" t="s">
        <v>1381</v>
      </c>
      <c r="HSL230" s="508"/>
      <c r="HSM230" s="507" t="s">
        <v>1381</v>
      </c>
      <c r="HSN230" s="508"/>
      <c r="HSO230" s="507" t="s">
        <v>1381</v>
      </c>
      <c r="HSP230" s="508"/>
      <c r="HSQ230" s="507" t="s">
        <v>1381</v>
      </c>
      <c r="HSR230" s="508"/>
      <c r="HSS230" s="507" t="s">
        <v>1381</v>
      </c>
      <c r="HST230" s="508"/>
      <c r="HSU230" s="507" t="s">
        <v>1381</v>
      </c>
      <c r="HSV230" s="508"/>
      <c r="HSW230" s="507" t="s">
        <v>1381</v>
      </c>
      <c r="HSX230" s="508"/>
      <c r="HSY230" s="507" t="s">
        <v>1381</v>
      </c>
      <c r="HSZ230" s="508"/>
      <c r="HTA230" s="507" t="s">
        <v>1381</v>
      </c>
      <c r="HTB230" s="508"/>
      <c r="HTC230" s="507" t="s">
        <v>1381</v>
      </c>
      <c r="HTD230" s="508"/>
      <c r="HTE230" s="507" t="s">
        <v>1381</v>
      </c>
      <c r="HTF230" s="508"/>
      <c r="HTG230" s="507" t="s">
        <v>1381</v>
      </c>
      <c r="HTH230" s="508"/>
      <c r="HTI230" s="507" t="s">
        <v>1381</v>
      </c>
      <c r="HTJ230" s="508"/>
      <c r="HTK230" s="507" t="s">
        <v>1381</v>
      </c>
      <c r="HTL230" s="508"/>
      <c r="HTM230" s="507" t="s">
        <v>1381</v>
      </c>
      <c r="HTN230" s="508"/>
      <c r="HTO230" s="507" t="s">
        <v>1381</v>
      </c>
      <c r="HTP230" s="508"/>
      <c r="HTQ230" s="507" t="s">
        <v>1381</v>
      </c>
      <c r="HTR230" s="508"/>
      <c r="HTS230" s="507" t="s">
        <v>1381</v>
      </c>
      <c r="HTT230" s="508"/>
      <c r="HTU230" s="507" t="s">
        <v>1381</v>
      </c>
      <c r="HTV230" s="508"/>
      <c r="HTW230" s="507" t="s">
        <v>1381</v>
      </c>
      <c r="HTX230" s="508"/>
      <c r="HTY230" s="507" t="s">
        <v>1381</v>
      </c>
      <c r="HTZ230" s="508"/>
      <c r="HUA230" s="507" t="s">
        <v>1381</v>
      </c>
      <c r="HUB230" s="508"/>
      <c r="HUC230" s="507" t="s">
        <v>1381</v>
      </c>
      <c r="HUD230" s="508"/>
      <c r="HUE230" s="507" t="s">
        <v>1381</v>
      </c>
      <c r="HUF230" s="508"/>
      <c r="HUG230" s="507" t="s">
        <v>1381</v>
      </c>
      <c r="HUH230" s="508"/>
      <c r="HUI230" s="507" t="s">
        <v>1381</v>
      </c>
      <c r="HUJ230" s="508"/>
      <c r="HUK230" s="507" t="s">
        <v>1381</v>
      </c>
      <c r="HUL230" s="508"/>
      <c r="HUM230" s="507" t="s">
        <v>1381</v>
      </c>
      <c r="HUN230" s="508"/>
      <c r="HUO230" s="507" t="s">
        <v>1381</v>
      </c>
      <c r="HUP230" s="508"/>
      <c r="HUQ230" s="507" t="s">
        <v>1381</v>
      </c>
      <c r="HUR230" s="508"/>
      <c r="HUS230" s="507" t="s">
        <v>1381</v>
      </c>
      <c r="HUT230" s="508"/>
      <c r="HUU230" s="507" t="s">
        <v>1381</v>
      </c>
      <c r="HUV230" s="508"/>
      <c r="HUW230" s="507" t="s">
        <v>1381</v>
      </c>
      <c r="HUX230" s="508"/>
      <c r="HUY230" s="507" t="s">
        <v>1381</v>
      </c>
      <c r="HUZ230" s="508"/>
      <c r="HVA230" s="507" t="s">
        <v>1381</v>
      </c>
      <c r="HVB230" s="508"/>
      <c r="HVC230" s="507" t="s">
        <v>1381</v>
      </c>
      <c r="HVD230" s="508"/>
      <c r="HVE230" s="507" t="s">
        <v>1381</v>
      </c>
      <c r="HVF230" s="508"/>
      <c r="HVG230" s="507" t="s">
        <v>1381</v>
      </c>
      <c r="HVH230" s="508"/>
      <c r="HVI230" s="507" t="s">
        <v>1381</v>
      </c>
      <c r="HVJ230" s="508"/>
      <c r="HVK230" s="507" t="s">
        <v>1381</v>
      </c>
      <c r="HVL230" s="508"/>
      <c r="HVM230" s="507" t="s">
        <v>1381</v>
      </c>
      <c r="HVN230" s="508"/>
      <c r="HVO230" s="507" t="s">
        <v>1381</v>
      </c>
      <c r="HVP230" s="508"/>
      <c r="HVQ230" s="507" t="s">
        <v>1381</v>
      </c>
      <c r="HVR230" s="508"/>
      <c r="HVS230" s="507" t="s">
        <v>1381</v>
      </c>
      <c r="HVT230" s="508"/>
      <c r="HVU230" s="507" t="s">
        <v>1381</v>
      </c>
      <c r="HVV230" s="508"/>
      <c r="HVW230" s="507" t="s">
        <v>1381</v>
      </c>
      <c r="HVX230" s="508"/>
      <c r="HVY230" s="507" t="s">
        <v>1381</v>
      </c>
      <c r="HVZ230" s="508"/>
      <c r="HWA230" s="507" t="s">
        <v>1381</v>
      </c>
      <c r="HWB230" s="508"/>
      <c r="HWC230" s="507" t="s">
        <v>1381</v>
      </c>
      <c r="HWD230" s="508"/>
      <c r="HWE230" s="507" t="s">
        <v>1381</v>
      </c>
      <c r="HWF230" s="508"/>
      <c r="HWG230" s="507" t="s">
        <v>1381</v>
      </c>
      <c r="HWH230" s="508"/>
      <c r="HWI230" s="507" t="s">
        <v>1381</v>
      </c>
      <c r="HWJ230" s="508"/>
      <c r="HWK230" s="507" t="s">
        <v>1381</v>
      </c>
      <c r="HWL230" s="508"/>
      <c r="HWM230" s="507" t="s">
        <v>1381</v>
      </c>
      <c r="HWN230" s="508"/>
      <c r="HWO230" s="507" t="s">
        <v>1381</v>
      </c>
      <c r="HWP230" s="508"/>
      <c r="HWQ230" s="507" t="s">
        <v>1381</v>
      </c>
      <c r="HWR230" s="508"/>
      <c r="HWS230" s="507" t="s">
        <v>1381</v>
      </c>
      <c r="HWT230" s="508"/>
      <c r="HWU230" s="507" t="s">
        <v>1381</v>
      </c>
      <c r="HWV230" s="508"/>
      <c r="HWW230" s="507" t="s">
        <v>1381</v>
      </c>
      <c r="HWX230" s="508"/>
      <c r="HWY230" s="507" t="s">
        <v>1381</v>
      </c>
      <c r="HWZ230" s="508"/>
      <c r="HXA230" s="507" t="s">
        <v>1381</v>
      </c>
      <c r="HXB230" s="508"/>
      <c r="HXC230" s="507" t="s">
        <v>1381</v>
      </c>
      <c r="HXD230" s="508"/>
      <c r="HXE230" s="507" t="s">
        <v>1381</v>
      </c>
      <c r="HXF230" s="508"/>
      <c r="HXG230" s="507" t="s">
        <v>1381</v>
      </c>
      <c r="HXH230" s="508"/>
      <c r="HXI230" s="507" t="s">
        <v>1381</v>
      </c>
      <c r="HXJ230" s="508"/>
      <c r="HXK230" s="507" t="s">
        <v>1381</v>
      </c>
      <c r="HXL230" s="508"/>
      <c r="HXM230" s="507" t="s">
        <v>1381</v>
      </c>
      <c r="HXN230" s="508"/>
      <c r="HXO230" s="507" t="s">
        <v>1381</v>
      </c>
      <c r="HXP230" s="508"/>
      <c r="HXQ230" s="507" t="s">
        <v>1381</v>
      </c>
      <c r="HXR230" s="508"/>
      <c r="HXS230" s="507" t="s">
        <v>1381</v>
      </c>
      <c r="HXT230" s="508"/>
      <c r="HXU230" s="507" t="s">
        <v>1381</v>
      </c>
      <c r="HXV230" s="508"/>
      <c r="HXW230" s="507" t="s">
        <v>1381</v>
      </c>
      <c r="HXX230" s="508"/>
      <c r="HXY230" s="507" t="s">
        <v>1381</v>
      </c>
      <c r="HXZ230" s="508"/>
      <c r="HYA230" s="507" t="s">
        <v>1381</v>
      </c>
      <c r="HYB230" s="508"/>
      <c r="HYC230" s="507" t="s">
        <v>1381</v>
      </c>
      <c r="HYD230" s="508"/>
      <c r="HYE230" s="507" t="s">
        <v>1381</v>
      </c>
      <c r="HYF230" s="508"/>
      <c r="HYG230" s="507" t="s">
        <v>1381</v>
      </c>
      <c r="HYH230" s="508"/>
      <c r="HYI230" s="507" t="s">
        <v>1381</v>
      </c>
      <c r="HYJ230" s="508"/>
      <c r="HYK230" s="507" t="s">
        <v>1381</v>
      </c>
      <c r="HYL230" s="508"/>
      <c r="HYM230" s="507" t="s">
        <v>1381</v>
      </c>
      <c r="HYN230" s="508"/>
      <c r="HYO230" s="507" t="s">
        <v>1381</v>
      </c>
      <c r="HYP230" s="508"/>
      <c r="HYQ230" s="507" t="s">
        <v>1381</v>
      </c>
      <c r="HYR230" s="508"/>
      <c r="HYS230" s="507" t="s">
        <v>1381</v>
      </c>
      <c r="HYT230" s="508"/>
      <c r="HYU230" s="507" t="s">
        <v>1381</v>
      </c>
      <c r="HYV230" s="508"/>
      <c r="HYW230" s="507" t="s">
        <v>1381</v>
      </c>
      <c r="HYX230" s="508"/>
      <c r="HYY230" s="507" t="s">
        <v>1381</v>
      </c>
      <c r="HYZ230" s="508"/>
      <c r="HZA230" s="507" t="s">
        <v>1381</v>
      </c>
      <c r="HZB230" s="508"/>
      <c r="HZC230" s="507" t="s">
        <v>1381</v>
      </c>
      <c r="HZD230" s="508"/>
      <c r="HZE230" s="507" t="s">
        <v>1381</v>
      </c>
      <c r="HZF230" s="508"/>
      <c r="HZG230" s="507" t="s">
        <v>1381</v>
      </c>
      <c r="HZH230" s="508"/>
      <c r="HZI230" s="507" t="s">
        <v>1381</v>
      </c>
      <c r="HZJ230" s="508"/>
      <c r="HZK230" s="507" t="s">
        <v>1381</v>
      </c>
      <c r="HZL230" s="508"/>
      <c r="HZM230" s="507" t="s">
        <v>1381</v>
      </c>
      <c r="HZN230" s="508"/>
      <c r="HZO230" s="507" t="s">
        <v>1381</v>
      </c>
      <c r="HZP230" s="508"/>
      <c r="HZQ230" s="507" t="s">
        <v>1381</v>
      </c>
      <c r="HZR230" s="508"/>
      <c r="HZS230" s="507" t="s">
        <v>1381</v>
      </c>
      <c r="HZT230" s="508"/>
      <c r="HZU230" s="507" t="s">
        <v>1381</v>
      </c>
      <c r="HZV230" s="508"/>
      <c r="HZW230" s="507" t="s">
        <v>1381</v>
      </c>
      <c r="HZX230" s="508"/>
      <c r="HZY230" s="507" t="s">
        <v>1381</v>
      </c>
      <c r="HZZ230" s="508"/>
      <c r="IAA230" s="507" t="s">
        <v>1381</v>
      </c>
      <c r="IAB230" s="508"/>
      <c r="IAC230" s="507" t="s">
        <v>1381</v>
      </c>
      <c r="IAD230" s="508"/>
      <c r="IAE230" s="507" t="s">
        <v>1381</v>
      </c>
      <c r="IAF230" s="508"/>
      <c r="IAG230" s="507" t="s">
        <v>1381</v>
      </c>
      <c r="IAH230" s="508"/>
      <c r="IAI230" s="507" t="s">
        <v>1381</v>
      </c>
      <c r="IAJ230" s="508"/>
      <c r="IAK230" s="507" t="s">
        <v>1381</v>
      </c>
      <c r="IAL230" s="508"/>
      <c r="IAM230" s="507" t="s">
        <v>1381</v>
      </c>
      <c r="IAN230" s="508"/>
      <c r="IAO230" s="507" t="s">
        <v>1381</v>
      </c>
      <c r="IAP230" s="508"/>
      <c r="IAQ230" s="507" t="s">
        <v>1381</v>
      </c>
      <c r="IAR230" s="508"/>
      <c r="IAS230" s="507" t="s">
        <v>1381</v>
      </c>
      <c r="IAT230" s="508"/>
      <c r="IAU230" s="507" t="s">
        <v>1381</v>
      </c>
      <c r="IAV230" s="508"/>
      <c r="IAW230" s="507" t="s">
        <v>1381</v>
      </c>
      <c r="IAX230" s="508"/>
      <c r="IAY230" s="507" t="s">
        <v>1381</v>
      </c>
      <c r="IAZ230" s="508"/>
      <c r="IBA230" s="507" t="s">
        <v>1381</v>
      </c>
      <c r="IBB230" s="508"/>
      <c r="IBC230" s="507" t="s">
        <v>1381</v>
      </c>
      <c r="IBD230" s="508"/>
      <c r="IBE230" s="507" t="s">
        <v>1381</v>
      </c>
      <c r="IBF230" s="508"/>
      <c r="IBG230" s="507" t="s">
        <v>1381</v>
      </c>
      <c r="IBH230" s="508"/>
      <c r="IBI230" s="507" t="s">
        <v>1381</v>
      </c>
      <c r="IBJ230" s="508"/>
      <c r="IBK230" s="507" t="s">
        <v>1381</v>
      </c>
      <c r="IBL230" s="508"/>
      <c r="IBM230" s="507" t="s">
        <v>1381</v>
      </c>
      <c r="IBN230" s="508"/>
      <c r="IBO230" s="507" t="s">
        <v>1381</v>
      </c>
      <c r="IBP230" s="508"/>
      <c r="IBQ230" s="507" t="s">
        <v>1381</v>
      </c>
      <c r="IBR230" s="508"/>
      <c r="IBS230" s="507" t="s">
        <v>1381</v>
      </c>
      <c r="IBT230" s="508"/>
      <c r="IBU230" s="507" t="s">
        <v>1381</v>
      </c>
      <c r="IBV230" s="508"/>
      <c r="IBW230" s="507" t="s">
        <v>1381</v>
      </c>
      <c r="IBX230" s="508"/>
      <c r="IBY230" s="507" t="s">
        <v>1381</v>
      </c>
      <c r="IBZ230" s="508"/>
      <c r="ICA230" s="507" t="s">
        <v>1381</v>
      </c>
      <c r="ICB230" s="508"/>
      <c r="ICC230" s="507" t="s">
        <v>1381</v>
      </c>
      <c r="ICD230" s="508"/>
      <c r="ICE230" s="507" t="s">
        <v>1381</v>
      </c>
      <c r="ICF230" s="508"/>
      <c r="ICG230" s="507" t="s">
        <v>1381</v>
      </c>
      <c r="ICH230" s="508"/>
      <c r="ICI230" s="507" t="s">
        <v>1381</v>
      </c>
      <c r="ICJ230" s="508"/>
      <c r="ICK230" s="507" t="s">
        <v>1381</v>
      </c>
      <c r="ICL230" s="508"/>
      <c r="ICM230" s="507" t="s">
        <v>1381</v>
      </c>
      <c r="ICN230" s="508"/>
      <c r="ICO230" s="507" t="s">
        <v>1381</v>
      </c>
      <c r="ICP230" s="508"/>
      <c r="ICQ230" s="507" t="s">
        <v>1381</v>
      </c>
      <c r="ICR230" s="508"/>
      <c r="ICS230" s="507" t="s">
        <v>1381</v>
      </c>
      <c r="ICT230" s="508"/>
      <c r="ICU230" s="507" t="s">
        <v>1381</v>
      </c>
      <c r="ICV230" s="508"/>
      <c r="ICW230" s="507" t="s">
        <v>1381</v>
      </c>
      <c r="ICX230" s="508"/>
      <c r="ICY230" s="507" t="s">
        <v>1381</v>
      </c>
      <c r="ICZ230" s="508"/>
      <c r="IDA230" s="507" t="s">
        <v>1381</v>
      </c>
      <c r="IDB230" s="508"/>
      <c r="IDC230" s="507" t="s">
        <v>1381</v>
      </c>
      <c r="IDD230" s="508"/>
      <c r="IDE230" s="507" t="s">
        <v>1381</v>
      </c>
      <c r="IDF230" s="508"/>
      <c r="IDG230" s="507" t="s">
        <v>1381</v>
      </c>
      <c r="IDH230" s="508"/>
      <c r="IDI230" s="507" t="s">
        <v>1381</v>
      </c>
      <c r="IDJ230" s="508"/>
      <c r="IDK230" s="507" t="s">
        <v>1381</v>
      </c>
      <c r="IDL230" s="508"/>
      <c r="IDM230" s="507" t="s">
        <v>1381</v>
      </c>
      <c r="IDN230" s="508"/>
      <c r="IDO230" s="507" t="s">
        <v>1381</v>
      </c>
      <c r="IDP230" s="508"/>
      <c r="IDQ230" s="507" t="s">
        <v>1381</v>
      </c>
      <c r="IDR230" s="508"/>
      <c r="IDS230" s="507" t="s">
        <v>1381</v>
      </c>
      <c r="IDT230" s="508"/>
      <c r="IDU230" s="507" t="s">
        <v>1381</v>
      </c>
      <c r="IDV230" s="508"/>
      <c r="IDW230" s="507" t="s">
        <v>1381</v>
      </c>
      <c r="IDX230" s="508"/>
      <c r="IDY230" s="507" t="s">
        <v>1381</v>
      </c>
      <c r="IDZ230" s="508"/>
      <c r="IEA230" s="507" t="s">
        <v>1381</v>
      </c>
      <c r="IEB230" s="508"/>
      <c r="IEC230" s="507" t="s">
        <v>1381</v>
      </c>
      <c r="IED230" s="508"/>
      <c r="IEE230" s="507" t="s">
        <v>1381</v>
      </c>
      <c r="IEF230" s="508"/>
      <c r="IEG230" s="507" t="s">
        <v>1381</v>
      </c>
      <c r="IEH230" s="508"/>
      <c r="IEI230" s="507" t="s">
        <v>1381</v>
      </c>
      <c r="IEJ230" s="508"/>
      <c r="IEK230" s="507" t="s">
        <v>1381</v>
      </c>
      <c r="IEL230" s="508"/>
      <c r="IEM230" s="507" t="s">
        <v>1381</v>
      </c>
      <c r="IEN230" s="508"/>
      <c r="IEO230" s="507" t="s">
        <v>1381</v>
      </c>
      <c r="IEP230" s="508"/>
      <c r="IEQ230" s="507" t="s">
        <v>1381</v>
      </c>
      <c r="IER230" s="508"/>
      <c r="IES230" s="507" t="s">
        <v>1381</v>
      </c>
      <c r="IET230" s="508"/>
      <c r="IEU230" s="507" t="s">
        <v>1381</v>
      </c>
      <c r="IEV230" s="508"/>
      <c r="IEW230" s="507" t="s">
        <v>1381</v>
      </c>
      <c r="IEX230" s="508"/>
      <c r="IEY230" s="507" t="s">
        <v>1381</v>
      </c>
      <c r="IEZ230" s="508"/>
      <c r="IFA230" s="507" t="s">
        <v>1381</v>
      </c>
      <c r="IFB230" s="508"/>
      <c r="IFC230" s="507" t="s">
        <v>1381</v>
      </c>
      <c r="IFD230" s="508"/>
      <c r="IFE230" s="507" t="s">
        <v>1381</v>
      </c>
      <c r="IFF230" s="508"/>
      <c r="IFG230" s="507" t="s">
        <v>1381</v>
      </c>
      <c r="IFH230" s="508"/>
      <c r="IFI230" s="507" t="s">
        <v>1381</v>
      </c>
      <c r="IFJ230" s="508"/>
      <c r="IFK230" s="507" t="s">
        <v>1381</v>
      </c>
      <c r="IFL230" s="508"/>
      <c r="IFM230" s="507" t="s">
        <v>1381</v>
      </c>
      <c r="IFN230" s="508"/>
      <c r="IFO230" s="507" t="s">
        <v>1381</v>
      </c>
      <c r="IFP230" s="508"/>
      <c r="IFQ230" s="507" t="s">
        <v>1381</v>
      </c>
      <c r="IFR230" s="508"/>
      <c r="IFS230" s="507" t="s">
        <v>1381</v>
      </c>
      <c r="IFT230" s="508"/>
      <c r="IFU230" s="507" t="s">
        <v>1381</v>
      </c>
      <c r="IFV230" s="508"/>
      <c r="IFW230" s="507" t="s">
        <v>1381</v>
      </c>
      <c r="IFX230" s="508"/>
      <c r="IFY230" s="507" t="s">
        <v>1381</v>
      </c>
      <c r="IFZ230" s="508"/>
      <c r="IGA230" s="507" t="s">
        <v>1381</v>
      </c>
      <c r="IGB230" s="508"/>
      <c r="IGC230" s="507" t="s">
        <v>1381</v>
      </c>
      <c r="IGD230" s="508"/>
      <c r="IGE230" s="507" t="s">
        <v>1381</v>
      </c>
      <c r="IGF230" s="508"/>
      <c r="IGG230" s="507" t="s">
        <v>1381</v>
      </c>
      <c r="IGH230" s="508"/>
      <c r="IGI230" s="507" t="s">
        <v>1381</v>
      </c>
      <c r="IGJ230" s="508"/>
      <c r="IGK230" s="507" t="s">
        <v>1381</v>
      </c>
      <c r="IGL230" s="508"/>
      <c r="IGM230" s="507" t="s">
        <v>1381</v>
      </c>
      <c r="IGN230" s="508"/>
      <c r="IGO230" s="507" t="s">
        <v>1381</v>
      </c>
      <c r="IGP230" s="508"/>
      <c r="IGQ230" s="507" t="s">
        <v>1381</v>
      </c>
      <c r="IGR230" s="508"/>
      <c r="IGS230" s="507" t="s">
        <v>1381</v>
      </c>
      <c r="IGT230" s="508"/>
      <c r="IGU230" s="507" t="s">
        <v>1381</v>
      </c>
      <c r="IGV230" s="508"/>
      <c r="IGW230" s="507" t="s">
        <v>1381</v>
      </c>
      <c r="IGX230" s="508"/>
      <c r="IGY230" s="507" t="s">
        <v>1381</v>
      </c>
      <c r="IGZ230" s="508"/>
      <c r="IHA230" s="507" t="s">
        <v>1381</v>
      </c>
      <c r="IHB230" s="508"/>
      <c r="IHC230" s="507" t="s">
        <v>1381</v>
      </c>
      <c r="IHD230" s="508"/>
      <c r="IHE230" s="507" t="s">
        <v>1381</v>
      </c>
      <c r="IHF230" s="508"/>
      <c r="IHG230" s="507" t="s">
        <v>1381</v>
      </c>
      <c r="IHH230" s="508"/>
      <c r="IHI230" s="507" t="s">
        <v>1381</v>
      </c>
      <c r="IHJ230" s="508"/>
      <c r="IHK230" s="507" t="s">
        <v>1381</v>
      </c>
      <c r="IHL230" s="508"/>
      <c r="IHM230" s="507" t="s">
        <v>1381</v>
      </c>
      <c r="IHN230" s="508"/>
      <c r="IHO230" s="507" t="s">
        <v>1381</v>
      </c>
      <c r="IHP230" s="508"/>
      <c r="IHQ230" s="507" t="s">
        <v>1381</v>
      </c>
      <c r="IHR230" s="508"/>
      <c r="IHS230" s="507" t="s">
        <v>1381</v>
      </c>
      <c r="IHT230" s="508"/>
      <c r="IHU230" s="507" t="s">
        <v>1381</v>
      </c>
      <c r="IHV230" s="508"/>
      <c r="IHW230" s="507" t="s">
        <v>1381</v>
      </c>
      <c r="IHX230" s="508"/>
      <c r="IHY230" s="507" t="s">
        <v>1381</v>
      </c>
      <c r="IHZ230" s="508"/>
      <c r="IIA230" s="507" t="s">
        <v>1381</v>
      </c>
      <c r="IIB230" s="508"/>
      <c r="IIC230" s="507" t="s">
        <v>1381</v>
      </c>
      <c r="IID230" s="508"/>
      <c r="IIE230" s="507" t="s">
        <v>1381</v>
      </c>
      <c r="IIF230" s="508"/>
      <c r="IIG230" s="507" t="s">
        <v>1381</v>
      </c>
      <c r="IIH230" s="508"/>
      <c r="III230" s="507" t="s">
        <v>1381</v>
      </c>
      <c r="IIJ230" s="508"/>
      <c r="IIK230" s="507" t="s">
        <v>1381</v>
      </c>
      <c r="IIL230" s="508"/>
      <c r="IIM230" s="507" t="s">
        <v>1381</v>
      </c>
      <c r="IIN230" s="508"/>
      <c r="IIO230" s="507" t="s">
        <v>1381</v>
      </c>
      <c r="IIP230" s="508"/>
      <c r="IIQ230" s="507" t="s">
        <v>1381</v>
      </c>
      <c r="IIR230" s="508"/>
      <c r="IIS230" s="507" t="s">
        <v>1381</v>
      </c>
      <c r="IIT230" s="508"/>
      <c r="IIU230" s="507" t="s">
        <v>1381</v>
      </c>
      <c r="IIV230" s="508"/>
      <c r="IIW230" s="507" t="s">
        <v>1381</v>
      </c>
      <c r="IIX230" s="508"/>
      <c r="IIY230" s="507" t="s">
        <v>1381</v>
      </c>
      <c r="IIZ230" s="508"/>
      <c r="IJA230" s="507" t="s">
        <v>1381</v>
      </c>
      <c r="IJB230" s="508"/>
      <c r="IJC230" s="507" t="s">
        <v>1381</v>
      </c>
      <c r="IJD230" s="508"/>
      <c r="IJE230" s="507" t="s">
        <v>1381</v>
      </c>
      <c r="IJF230" s="508"/>
      <c r="IJG230" s="507" t="s">
        <v>1381</v>
      </c>
      <c r="IJH230" s="508"/>
      <c r="IJI230" s="507" t="s">
        <v>1381</v>
      </c>
      <c r="IJJ230" s="508"/>
      <c r="IJK230" s="507" t="s">
        <v>1381</v>
      </c>
      <c r="IJL230" s="508"/>
      <c r="IJM230" s="507" t="s">
        <v>1381</v>
      </c>
      <c r="IJN230" s="508"/>
      <c r="IJO230" s="507" t="s">
        <v>1381</v>
      </c>
      <c r="IJP230" s="508"/>
      <c r="IJQ230" s="507" t="s">
        <v>1381</v>
      </c>
      <c r="IJR230" s="508"/>
      <c r="IJS230" s="507" t="s">
        <v>1381</v>
      </c>
      <c r="IJT230" s="508"/>
      <c r="IJU230" s="507" t="s">
        <v>1381</v>
      </c>
      <c r="IJV230" s="508"/>
      <c r="IJW230" s="507" t="s">
        <v>1381</v>
      </c>
      <c r="IJX230" s="508"/>
      <c r="IJY230" s="507" t="s">
        <v>1381</v>
      </c>
      <c r="IJZ230" s="508"/>
      <c r="IKA230" s="507" t="s">
        <v>1381</v>
      </c>
      <c r="IKB230" s="508"/>
      <c r="IKC230" s="507" t="s">
        <v>1381</v>
      </c>
      <c r="IKD230" s="508"/>
      <c r="IKE230" s="507" t="s">
        <v>1381</v>
      </c>
      <c r="IKF230" s="508"/>
      <c r="IKG230" s="507" t="s">
        <v>1381</v>
      </c>
      <c r="IKH230" s="508"/>
      <c r="IKI230" s="507" t="s">
        <v>1381</v>
      </c>
      <c r="IKJ230" s="508"/>
      <c r="IKK230" s="507" t="s">
        <v>1381</v>
      </c>
      <c r="IKL230" s="508"/>
      <c r="IKM230" s="507" t="s">
        <v>1381</v>
      </c>
      <c r="IKN230" s="508"/>
      <c r="IKO230" s="507" t="s">
        <v>1381</v>
      </c>
      <c r="IKP230" s="508"/>
      <c r="IKQ230" s="507" t="s">
        <v>1381</v>
      </c>
      <c r="IKR230" s="508"/>
      <c r="IKS230" s="507" t="s">
        <v>1381</v>
      </c>
      <c r="IKT230" s="508"/>
      <c r="IKU230" s="507" t="s">
        <v>1381</v>
      </c>
      <c r="IKV230" s="508"/>
      <c r="IKW230" s="507" t="s">
        <v>1381</v>
      </c>
      <c r="IKX230" s="508"/>
      <c r="IKY230" s="507" t="s">
        <v>1381</v>
      </c>
      <c r="IKZ230" s="508"/>
      <c r="ILA230" s="507" t="s">
        <v>1381</v>
      </c>
      <c r="ILB230" s="508"/>
      <c r="ILC230" s="507" t="s">
        <v>1381</v>
      </c>
      <c r="ILD230" s="508"/>
      <c r="ILE230" s="507" t="s">
        <v>1381</v>
      </c>
      <c r="ILF230" s="508"/>
      <c r="ILG230" s="507" t="s">
        <v>1381</v>
      </c>
      <c r="ILH230" s="508"/>
      <c r="ILI230" s="507" t="s">
        <v>1381</v>
      </c>
      <c r="ILJ230" s="508"/>
      <c r="ILK230" s="507" t="s">
        <v>1381</v>
      </c>
      <c r="ILL230" s="508"/>
      <c r="ILM230" s="507" t="s">
        <v>1381</v>
      </c>
      <c r="ILN230" s="508"/>
      <c r="ILO230" s="507" t="s">
        <v>1381</v>
      </c>
      <c r="ILP230" s="508"/>
      <c r="ILQ230" s="507" t="s">
        <v>1381</v>
      </c>
      <c r="ILR230" s="508"/>
      <c r="ILS230" s="507" t="s">
        <v>1381</v>
      </c>
      <c r="ILT230" s="508"/>
      <c r="ILU230" s="507" t="s">
        <v>1381</v>
      </c>
      <c r="ILV230" s="508"/>
      <c r="ILW230" s="507" t="s">
        <v>1381</v>
      </c>
      <c r="ILX230" s="508"/>
      <c r="ILY230" s="507" t="s">
        <v>1381</v>
      </c>
      <c r="ILZ230" s="508"/>
      <c r="IMA230" s="507" t="s">
        <v>1381</v>
      </c>
      <c r="IMB230" s="508"/>
      <c r="IMC230" s="507" t="s">
        <v>1381</v>
      </c>
      <c r="IMD230" s="508"/>
      <c r="IME230" s="507" t="s">
        <v>1381</v>
      </c>
      <c r="IMF230" s="508"/>
      <c r="IMG230" s="507" t="s">
        <v>1381</v>
      </c>
      <c r="IMH230" s="508"/>
      <c r="IMI230" s="507" t="s">
        <v>1381</v>
      </c>
      <c r="IMJ230" s="508"/>
      <c r="IMK230" s="507" t="s">
        <v>1381</v>
      </c>
      <c r="IML230" s="508"/>
      <c r="IMM230" s="507" t="s">
        <v>1381</v>
      </c>
      <c r="IMN230" s="508"/>
      <c r="IMO230" s="507" t="s">
        <v>1381</v>
      </c>
      <c r="IMP230" s="508"/>
      <c r="IMQ230" s="507" t="s">
        <v>1381</v>
      </c>
      <c r="IMR230" s="508"/>
      <c r="IMS230" s="507" t="s">
        <v>1381</v>
      </c>
      <c r="IMT230" s="508"/>
      <c r="IMU230" s="507" t="s">
        <v>1381</v>
      </c>
      <c r="IMV230" s="508"/>
      <c r="IMW230" s="507" t="s">
        <v>1381</v>
      </c>
      <c r="IMX230" s="508"/>
      <c r="IMY230" s="507" t="s">
        <v>1381</v>
      </c>
      <c r="IMZ230" s="508"/>
      <c r="INA230" s="507" t="s">
        <v>1381</v>
      </c>
      <c r="INB230" s="508"/>
      <c r="INC230" s="507" t="s">
        <v>1381</v>
      </c>
      <c r="IND230" s="508"/>
      <c r="INE230" s="507" t="s">
        <v>1381</v>
      </c>
      <c r="INF230" s="508"/>
      <c r="ING230" s="507" t="s">
        <v>1381</v>
      </c>
      <c r="INH230" s="508"/>
      <c r="INI230" s="507" t="s">
        <v>1381</v>
      </c>
      <c r="INJ230" s="508"/>
      <c r="INK230" s="507" t="s">
        <v>1381</v>
      </c>
      <c r="INL230" s="508"/>
      <c r="INM230" s="507" t="s">
        <v>1381</v>
      </c>
      <c r="INN230" s="508"/>
      <c r="INO230" s="507" t="s">
        <v>1381</v>
      </c>
      <c r="INP230" s="508"/>
      <c r="INQ230" s="507" t="s">
        <v>1381</v>
      </c>
      <c r="INR230" s="508"/>
      <c r="INS230" s="507" t="s">
        <v>1381</v>
      </c>
      <c r="INT230" s="508"/>
      <c r="INU230" s="507" t="s">
        <v>1381</v>
      </c>
      <c r="INV230" s="508"/>
      <c r="INW230" s="507" t="s">
        <v>1381</v>
      </c>
      <c r="INX230" s="508"/>
      <c r="INY230" s="507" t="s">
        <v>1381</v>
      </c>
      <c r="INZ230" s="508"/>
      <c r="IOA230" s="507" t="s">
        <v>1381</v>
      </c>
      <c r="IOB230" s="508"/>
      <c r="IOC230" s="507" t="s">
        <v>1381</v>
      </c>
      <c r="IOD230" s="508"/>
      <c r="IOE230" s="507" t="s">
        <v>1381</v>
      </c>
      <c r="IOF230" s="508"/>
      <c r="IOG230" s="507" t="s">
        <v>1381</v>
      </c>
      <c r="IOH230" s="508"/>
      <c r="IOI230" s="507" t="s">
        <v>1381</v>
      </c>
      <c r="IOJ230" s="508"/>
      <c r="IOK230" s="507" t="s">
        <v>1381</v>
      </c>
      <c r="IOL230" s="508"/>
      <c r="IOM230" s="507" t="s">
        <v>1381</v>
      </c>
      <c r="ION230" s="508"/>
      <c r="IOO230" s="507" t="s">
        <v>1381</v>
      </c>
      <c r="IOP230" s="508"/>
      <c r="IOQ230" s="507" t="s">
        <v>1381</v>
      </c>
      <c r="IOR230" s="508"/>
      <c r="IOS230" s="507" t="s">
        <v>1381</v>
      </c>
      <c r="IOT230" s="508"/>
      <c r="IOU230" s="507" t="s">
        <v>1381</v>
      </c>
      <c r="IOV230" s="508"/>
      <c r="IOW230" s="507" t="s">
        <v>1381</v>
      </c>
      <c r="IOX230" s="508"/>
      <c r="IOY230" s="507" t="s">
        <v>1381</v>
      </c>
      <c r="IOZ230" s="508"/>
      <c r="IPA230" s="507" t="s">
        <v>1381</v>
      </c>
      <c r="IPB230" s="508"/>
      <c r="IPC230" s="507" t="s">
        <v>1381</v>
      </c>
      <c r="IPD230" s="508"/>
      <c r="IPE230" s="507" t="s">
        <v>1381</v>
      </c>
      <c r="IPF230" s="508"/>
      <c r="IPG230" s="507" t="s">
        <v>1381</v>
      </c>
      <c r="IPH230" s="508"/>
      <c r="IPI230" s="507" t="s">
        <v>1381</v>
      </c>
      <c r="IPJ230" s="508"/>
      <c r="IPK230" s="507" t="s">
        <v>1381</v>
      </c>
      <c r="IPL230" s="508"/>
      <c r="IPM230" s="507" t="s">
        <v>1381</v>
      </c>
      <c r="IPN230" s="508"/>
      <c r="IPO230" s="507" t="s">
        <v>1381</v>
      </c>
      <c r="IPP230" s="508"/>
      <c r="IPQ230" s="507" t="s">
        <v>1381</v>
      </c>
      <c r="IPR230" s="508"/>
      <c r="IPS230" s="507" t="s">
        <v>1381</v>
      </c>
      <c r="IPT230" s="508"/>
      <c r="IPU230" s="507" t="s">
        <v>1381</v>
      </c>
      <c r="IPV230" s="508"/>
      <c r="IPW230" s="507" t="s">
        <v>1381</v>
      </c>
      <c r="IPX230" s="508"/>
      <c r="IPY230" s="507" t="s">
        <v>1381</v>
      </c>
      <c r="IPZ230" s="508"/>
      <c r="IQA230" s="507" t="s">
        <v>1381</v>
      </c>
      <c r="IQB230" s="508"/>
      <c r="IQC230" s="507" t="s">
        <v>1381</v>
      </c>
      <c r="IQD230" s="508"/>
      <c r="IQE230" s="507" t="s">
        <v>1381</v>
      </c>
      <c r="IQF230" s="508"/>
      <c r="IQG230" s="507" t="s">
        <v>1381</v>
      </c>
      <c r="IQH230" s="508"/>
      <c r="IQI230" s="507" t="s">
        <v>1381</v>
      </c>
      <c r="IQJ230" s="508"/>
      <c r="IQK230" s="507" t="s">
        <v>1381</v>
      </c>
      <c r="IQL230" s="508"/>
      <c r="IQM230" s="507" t="s">
        <v>1381</v>
      </c>
      <c r="IQN230" s="508"/>
      <c r="IQO230" s="507" t="s">
        <v>1381</v>
      </c>
      <c r="IQP230" s="508"/>
      <c r="IQQ230" s="507" t="s">
        <v>1381</v>
      </c>
      <c r="IQR230" s="508"/>
      <c r="IQS230" s="507" t="s">
        <v>1381</v>
      </c>
      <c r="IQT230" s="508"/>
      <c r="IQU230" s="507" t="s">
        <v>1381</v>
      </c>
      <c r="IQV230" s="508"/>
      <c r="IQW230" s="507" t="s">
        <v>1381</v>
      </c>
      <c r="IQX230" s="508"/>
      <c r="IQY230" s="507" t="s">
        <v>1381</v>
      </c>
      <c r="IQZ230" s="508"/>
      <c r="IRA230" s="507" t="s">
        <v>1381</v>
      </c>
      <c r="IRB230" s="508"/>
      <c r="IRC230" s="507" t="s">
        <v>1381</v>
      </c>
      <c r="IRD230" s="508"/>
      <c r="IRE230" s="507" t="s">
        <v>1381</v>
      </c>
      <c r="IRF230" s="508"/>
      <c r="IRG230" s="507" t="s">
        <v>1381</v>
      </c>
      <c r="IRH230" s="508"/>
      <c r="IRI230" s="507" t="s">
        <v>1381</v>
      </c>
      <c r="IRJ230" s="508"/>
      <c r="IRK230" s="507" t="s">
        <v>1381</v>
      </c>
      <c r="IRL230" s="508"/>
      <c r="IRM230" s="507" t="s">
        <v>1381</v>
      </c>
      <c r="IRN230" s="508"/>
      <c r="IRO230" s="507" t="s">
        <v>1381</v>
      </c>
      <c r="IRP230" s="508"/>
      <c r="IRQ230" s="507" t="s">
        <v>1381</v>
      </c>
      <c r="IRR230" s="508"/>
      <c r="IRS230" s="507" t="s">
        <v>1381</v>
      </c>
      <c r="IRT230" s="508"/>
      <c r="IRU230" s="507" t="s">
        <v>1381</v>
      </c>
      <c r="IRV230" s="508"/>
      <c r="IRW230" s="507" t="s">
        <v>1381</v>
      </c>
      <c r="IRX230" s="508"/>
      <c r="IRY230" s="507" t="s">
        <v>1381</v>
      </c>
      <c r="IRZ230" s="508"/>
      <c r="ISA230" s="507" t="s">
        <v>1381</v>
      </c>
      <c r="ISB230" s="508"/>
      <c r="ISC230" s="507" t="s">
        <v>1381</v>
      </c>
      <c r="ISD230" s="508"/>
      <c r="ISE230" s="507" t="s">
        <v>1381</v>
      </c>
      <c r="ISF230" s="508"/>
      <c r="ISG230" s="507" t="s">
        <v>1381</v>
      </c>
      <c r="ISH230" s="508"/>
      <c r="ISI230" s="507" t="s">
        <v>1381</v>
      </c>
      <c r="ISJ230" s="508"/>
      <c r="ISK230" s="507" t="s">
        <v>1381</v>
      </c>
      <c r="ISL230" s="508"/>
      <c r="ISM230" s="507" t="s">
        <v>1381</v>
      </c>
      <c r="ISN230" s="508"/>
      <c r="ISO230" s="507" t="s">
        <v>1381</v>
      </c>
      <c r="ISP230" s="508"/>
      <c r="ISQ230" s="507" t="s">
        <v>1381</v>
      </c>
      <c r="ISR230" s="508"/>
      <c r="ISS230" s="507" t="s">
        <v>1381</v>
      </c>
      <c r="IST230" s="508"/>
      <c r="ISU230" s="507" t="s">
        <v>1381</v>
      </c>
      <c r="ISV230" s="508"/>
      <c r="ISW230" s="507" t="s">
        <v>1381</v>
      </c>
      <c r="ISX230" s="508"/>
      <c r="ISY230" s="507" t="s">
        <v>1381</v>
      </c>
      <c r="ISZ230" s="508"/>
      <c r="ITA230" s="507" t="s">
        <v>1381</v>
      </c>
      <c r="ITB230" s="508"/>
      <c r="ITC230" s="507" t="s">
        <v>1381</v>
      </c>
      <c r="ITD230" s="508"/>
      <c r="ITE230" s="507" t="s">
        <v>1381</v>
      </c>
      <c r="ITF230" s="508"/>
      <c r="ITG230" s="507" t="s">
        <v>1381</v>
      </c>
      <c r="ITH230" s="508"/>
      <c r="ITI230" s="507" t="s">
        <v>1381</v>
      </c>
      <c r="ITJ230" s="508"/>
      <c r="ITK230" s="507" t="s">
        <v>1381</v>
      </c>
      <c r="ITL230" s="508"/>
      <c r="ITM230" s="507" t="s">
        <v>1381</v>
      </c>
      <c r="ITN230" s="508"/>
      <c r="ITO230" s="507" t="s">
        <v>1381</v>
      </c>
      <c r="ITP230" s="508"/>
      <c r="ITQ230" s="507" t="s">
        <v>1381</v>
      </c>
      <c r="ITR230" s="508"/>
      <c r="ITS230" s="507" t="s">
        <v>1381</v>
      </c>
      <c r="ITT230" s="508"/>
      <c r="ITU230" s="507" t="s">
        <v>1381</v>
      </c>
      <c r="ITV230" s="508"/>
      <c r="ITW230" s="507" t="s">
        <v>1381</v>
      </c>
      <c r="ITX230" s="508"/>
      <c r="ITY230" s="507" t="s">
        <v>1381</v>
      </c>
      <c r="ITZ230" s="508"/>
      <c r="IUA230" s="507" t="s">
        <v>1381</v>
      </c>
      <c r="IUB230" s="508"/>
      <c r="IUC230" s="507" t="s">
        <v>1381</v>
      </c>
      <c r="IUD230" s="508"/>
      <c r="IUE230" s="507" t="s">
        <v>1381</v>
      </c>
      <c r="IUF230" s="508"/>
      <c r="IUG230" s="507" t="s">
        <v>1381</v>
      </c>
      <c r="IUH230" s="508"/>
      <c r="IUI230" s="507" t="s">
        <v>1381</v>
      </c>
      <c r="IUJ230" s="508"/>
      <c r="IUK230" s="507" t="s">
        <v>1381</v>
      </c>
      <c r="IUL230" s="508"/>
      <c r="IUM230" s="507" t="s">
        <v>1381</v>
      </c>
      <c r="IUN230" s="508"/>
      <c r="IUO230" s="507" t="s">
        <v>1381</v>
      </c>
      <c r="IUP230" s="508"/>
      <c r="IUQ230" s="507" t="s">
        <v>1381</v>
      </c>
      <c r="IUR230" s="508"/>
      <c r="IUS230" s="507" t="s">
        <v>1381</v>
      </c>
      <c r="IUT230" s="508"/>
      <c r="IUU230" s="507" t="s">
        <v>1381</v>
      </c>
      <c r="IUV230" s="508"/>
      <c r="IUW230" s="507" t="s">
        <v>1381</v>
      </c>
      <c r="IUX230" s="508"/>
      <c r="IUY230" s="507" t="s">
        <v>1381</v>
      </c>
      <c r="IUZ230" s="508"/>
      <c r="IVA230" s="507" t="s">
        <v>1381</v>
      </c>
      <c r="IVB230" s="508"/>
      <c r="IVC230" s="507" t="s">
        <v>1381</v>
      </c>
      <c r="IVD230" s="508"/>
      <c r="IVE230" s="507" t="s">
        <v>1381</v>
      </c>
      <c r="IVF230" s="508"/>
      <c r="IVG230" s="507" t="s">
        <v>1381</v>
      </c>
      <c r="IVH230" s="508"/>
      <c r="IVI230" s="507" t="s">
        <v>1381</v>
      </c>
      <c r="IVJ230" s="508"/>
      <c r="IVK230" s="507" t="s">
        <v>1381</v>
      </c>
      <c r="IVL230" s="508"/>
      <c r="IVM230" s="507" t="s">
        <v>1381</v>
      </c>
      <c r="IVN230" s="508"/>
      <c r="IVO230" s="507" t="s">
        <v>1381</v>
      </c>
      <c r="IVP230" s="508"/>
      <c r="IVQ230" s="507" t="s">
        <v>1381</v>
      </c>
      <c r="IVR230" s="508"/>
      <c r="IVS230" s="507" t="s">
        <v>1381</v>
      </c>
      <c r="IVT230" s="508"/>
      <c r="IVU230" s="507" t="s">
        <v>1381</v>
      </c>
      <c r="IVV230" s="508"/>
      <c r="IVW230" s="507" t="s">
        <v>1381</v>
      </c>
      <c r="IVX230" s="508"/>
      <c r="IVY230" s="507" t="s">
        <v>1381</v>
      </c>
      <c r="IVZ230" s="508"/>
      <c r="IWA230" s="507" t="s">
        <v>1381</v>
      </c>
      <c r="IWB230" s="508"/>
      <c r="IWC230" s="507" t="s">
        <v>1381</v>
      </c>
      <c r="IWD230" s="508"/>
      <c r="IWE230" s="507" t="s">
        <v>1381</v>
      </c>
      <c r="IWF230" s="508"/>
      <c r="IWG230" s="507" t="s">
        <v>1381</v>
      </c>
      <c r="IWH230" s="508"/>
      <c r="IWI230" s="507" t="s">
        <v>1381</v>
      </c>
      <c r="IWJ230" s="508"/>
      <c r="IWK230" s="507" t="s">
        <v>1381</v>
      </c>
      <c r="IWL230" s="508"/>
      <c r="IWM230" s="507" t="s">
        <v>1381</v>
      </c>
      <c r="IWN230" s="508"/>
      <c r="IWO230" s="507" t="s">
        <v>1381</v>
      </c>
      <c r="IWP230" s="508"/>
      <c r="IWQ230" s="507" t="s">
        <v>1381</v>
      </c>
      <c r="IWR230" s="508"/>
      <c r="IWS230" s="507" t="s">
        <v>1381</v>
      </c>
      <c r="IWT230" s="508"/>
      <c r="IWU230" s="507" t="s">
        <v>1381</v>
      </c>
      <c r="IWV230" s="508"/>
      <c r="IWW230" s="507" t="s">
        <v>1381</v>
      </c>
      <c r="IWX230" s="508"/>
      <c r="IWY230" s="507" t="s">
        <v>1381</v>
      </c>
      <c r="IWZ230" s="508"/>
      <c r="IXA230" s="507" t="s">
        <v>1381</v>
      </c>
      <c r="IXB230" s="508"/>
      <c r="IXC230" s="507" t="s">
        <v>1381</v>
      </c>
      <c r="IXD230" s="508"/>
      <c r="IXE230" s="507" t="s">
        <v>1381</v>
      </c>
      <c r="IXF230" s="508"/>
      <c r="IXG230" s="507" t="s">
        <v>1381</v>
      </c>
      <c r="IXH230" s="508"/>
      <c r="IXI230" s="507" t="s">
        <v>1381</v>
      </c>
      <c r="IXJ230" s="508"/>
      <c r="IXK230" s="507" t="s">
        <v>1381</v>
      </c>
      <c r="IXL230" s="508"/>
      <c r="IXM230" s="507" t="s">
        <v>1381</v>
      </c>
      <c r="IXN230" s="508"/>
      <c r="IXO230" s="507" t="s">
        <v>1381</v>
      </c>
      <c r="IXP230" s="508"/>
      <c r="IXQ230" s="507" t="s">
        <v>1381</v>
      </c>
      <c r="IXR230" s="508"/>
      <c r="IXS230" s="507" t="s">
        <v>1381</v>
      </c>
      <c r="IXT230" s="508"/>
      <c r="IXU230" s="507" t="s">
        <v>1381</v>
      </c>
      <c r="IXV230" s="508"/>
      <c r="IXW230" s="507" t="s">
        <v>1381</v>
      </c>
      <c r="IXX230" s="508"/>
      <c r="IXY230" s="507" t="s">
        <v>1381</v>
      </c>
      <c r="IXZ230" s="508"/>
      <c r="IYA230" s="507" t="s">
        <v>1381</v>
      </c>
      <c r="IYB230" s="508"/>
      <c r="IYC230" s="507" t="s">
        <v>1381</v>
      </c>
      <c r="IYD230" s="508"/>
      <c r="IYE230" s="507" t="s">
        <v>1381</v>
      </c>
      <c r="IYF230" s="508"/>
      <c r="IYG230" s="507" t="s">
        <v>1381</v>
      </c>
      <c r="IYH230" s="508"/>
      <c r="IYI230" s="507" t="s">
        <v>1381</v>
      </c>
      <c r="IYJ230" s="508"/>
      <c r="IYK230" s="507" t="s">
        <v>1381</v>
      </c>
      <c r="IYL230" s="508"/>
      <c r="IYM230" s="507" t="s">
        <v>1381</v>
      </c>
      <c r="IYN230" s="508"/>
      <c r="IYO230" s="507" t="s">
        <v>1381</v>
      </c>
      <c r="IYP230" s="508"/>
      <c r="IYQ230" s="507" t="s">
        <v>1381</v>
      </c>
      <c r="IYR230" s="508"/>
      <c r="IYS230" s="507" t="s">
        <v>1381</v>
      </c>
      <c r="IYT230" s="508"/>
      <c r="IYU230" s="507" t="s">
        <v>1381</v>
      </c>
      <c r="IYV230" s="508"/>
      <c r="IYW230" s="507" t="s">
        <v>1381</v>
      </c>
      <c r="IYX230" s="508"/>
      <c r="IYY230" s="507" t="s">
        <v>1381</v>
      </c>
      <c r="IYZ230" s="508"/>
      <c r="IZA230" s="507" t="s">
        <v>1381</v>
      </c>
      <c r="IZB230" s="508"/>
      <c r="IZC230" s="507" t="s">
        <v>1381</v>
      </c>
      <c r="IZD230" s="508"/>
      <c r="IZE230" s="507" t="s">
        <v>1381</v>
      </c>
      <c r="IZF230" s="508"/>
      <c r="IZG230" s="507" t="s">
        <v>1381</v>
      </c>
      <c r="IZH230" s="508"/>
      <c r="IZI230" s="507" t="s">
        <v>1381</v>
      </c>
      <c r="IZJ230" s="508"/>
      <c r="IZK230" s="507" t="s">
        <v>1381</v>
      </c>
      <c r="IZL230" s="508"/>
      <c r="IZM230" s="507" t="s">
        <v>1381</v>
      </c>
      <c r="IZN230" s="508"/>
      <c r="IZO230" s="507" t="s">
        <v>1381</v>
      </c>
      <c r="IZP230" s="508"/>
      <c r="IZQ230" s="507" t="s">
        <v>1381</v>
      </c>
      <c r="IZR230" s="508"/>
      <c r="IZS230" s="507" t="s">
        <v>1381</v>
      </c>
      <c r="IZT230" s="508"/>
      <c r="IZU230" s="507" t="s">
        <v>1381</v>
      </c>
      <c r="IZV230" s="508"/>
      <c r="IZW230" s="507" t="s">
        <v>1381</v>
      </c>
      <c r="IZX230" s="508"/>
      <c r="IZY230" s="507" t="s">
        <v>1381</v>
      </c>
      <c r="IZZ230" s="508"/>
      <c r="JAA230" s="507" t="s">
        <v>1381</v>
      </c>
      <c r="JAB230" s="508"/>
      <c r="JAC230" s="507" t="s">
        <v>1381</v>
      </c>
      <c r="JAD230" s="508"/>
      <c r="JAE230" s="507" t="s">
        <v>1381</v>
      </c>
      <c r="JAF230" s="508"/>
      <c r="JAG230" s="507" t="s">
        <v>1381</v>
      </c>
      <c r="JAH230" s="508"/>
      <c r="JAI230" s="507" t="s">
        <v>1381</v>
      </c>
      <c r="JAJ230" s="508"/>
      <c r="JAK230" s="507" t="s">
        <v>1381</v>
      </c>
      <c r="JAL230" s="508"/>
      <c r="JAM230" s="507" t="s">
        <v>1381</v>
      </c>
      <c r="JAN230" s="508"/>
      <c r="JAO230" s="507" t="s">
        <v>1381</v>
      </c>
      <c r="JAP230" s="508"/>
      <c r="JAQ230" s="507" t="s">
        <v>1381</v>
      </c>
      <c r="JAR230" s="508"/>
      <c r="JAS230" s="507" t="s">
        <v>1381</v>
      </c>
      <c r="JAT230" s="508"/>
      <c r="JAU230" s="507" t="s">
        <v>1381</v>
      </c>
      <c r="JAV230" s="508"/>
      <c r="JAW230" s="507" t="s">
        <v>1381</v>
      </c>
      <c r="JAX230" s="508"/>
      <c r="JAY230" s="507" t="s">
        <v>1381</v>
      </c>
      <c r="JAZ230" s="508"/>
      <c r="JBA230" s="507" t="s">
        <v>1381</v>
      </c>
      <c r="JBB230" s="508"/>
      <c r="JBC230" s="507" t="s">
        <v>1381</v>
      </c>
      <c r="JBD230" s="508"/>
      <c r="JBE230" s="507" t="s">
        <v>1381</v>
      </c>
      <c r="JBF230" s="508"/>
      <c r="JBG230" s="507" t="s">
        <v>1381</v>
      </c>
      <c r="JBH230" s="508"/>
      <c r="JBI230" s="507" t="s">
        <v>1381</v>
      </c>
      <c r="JBJ230" s="508"/>
      <c r="JBK230" s="507" t="s">
        <v>1381</v>
      </c>
      <c r="JBL230" s="508"/>
      <c r="JBM230" s="507" t="s">
        <v>1381</v>
      </c>
      <c r="JBN230" s="508"/>
      <c r="JBO230" s="507" t="s">
        <v>1381</v>
      </c>
      <c r="JBP230" s="508"/>
      <c r="JBQ230" s="507" t="s">
        <v>1381</v>
      </c>
      <c r="JBR230" s="508"/>
      <c r="JBS230" s="507" t="s">
        <v>1381</v>
      </c>
      <c r="JBT230" s="508"/>
      <c r="JBU230" s="507" t="s">
        <v>1381</v>
      </c>
      <c r="JBV230" s="508"/>
      <c r="JBW230" s="507" t="s">
        <v>1381</v>
      </c>
      <c r="JBX230" s="508"/>
      <c r="JBY230" s="507" t="s">
        <v>1381</v>
      </c>
      <c r="JBZ230" s="508"/>
      <c r="JCA230" s="507" t="s">
        <v>1381</v>
      </c>
      <c r="JCB230" s="508"/>
      <c r="JCC230" s="507" t="s">
        <v>1381</v>
      </c>
      <c r="JCD230" s="508"/>
      <c r="JCE230" s="507" t="s">
        <v>1381</v>
      </c>
      <c r="JCF230" s="508"/>
      <c r="JCG230" s="507" t="s">
        <v>1381</v>
      </c>
      <c r="JCH230" s="508"/>
      <c r="JCI230" s="507" t="s">
        <v>1381</v>
      </c>
      <c r="JCJ230" s="508"/>
      <c r="JCK230" s="507" t="s">
        <v>1381</v>
      </c>
      <c r="JCL230" s="508"/>
      <c r="JCM230" s="507" t="s">
        <v>1381</v>
      </c>
      <c r="JCN230" s="508"/>
      <c r="JCO230" s="507" t="s">
        <v>1381</v>
      </c>
      <c r="JCP230" s="508"/>
      <c r="JCQ230" s="507" t="s">
        <v>1381</v>
      </c>
      <c r="JCR230" s="508"/>
      <c r="JCS230" s="507" t="s">
        <v>1381</v>
      </c>
      <c r="JCT230" s="508"/>
      <c r="JCU230" s="507" t="s">
        <v>1381</v>
      </c>
      <c r="JCV230" s="508"/>
      <c r="JCW230" s="507" t="s">
        <v>1381</v>
      </c>
      <c r="JCX230" s="508"/>
      <c r="JCY230" s="507" t="s">
        <v>1381</v>
      </c>
      <c r="JCZ230" s="508"/>
      <c r="JDA230" s="507" t="s">
        <v>1381</v>
      </c>
      <c r="JDB230" s="508"/>
      <c r="JDC230" s="507" t="s">
        <v>1381</v>
      </c>
      <c r="JDD230" s="508"/>
      <c r="JDE230" s="507" t="s">
        <v>1381</v>
      </c>
      <c r="JDF230" s="508"/>
      <c r="JDG230" s="507" t="s">
        <v>1381</v>
      </c>
      <c r="JDH230" s="508"/>
      <c r="JDI230" s="507" t="s">
        <v>1381</v>
      </c>
      <c r="JDJ230" s="508"/>
      <c r="JDK230" s="507" t="s">
        <v>1381</v>
      </c>
      <c r="JDL230" s="508"/>
      <c r="JDM230" s="507" t="s">
        <v>1381</v>
      </c>
      <c r="JDN230" s="508"/>
      <c r="JDO230" s="507" t="s">
        <v>1381</v>
      </c>
      <c r="JDP230" s="508"/>
      <c r="JDQ230" s="507" t="s">
        <v>1381</v>
      </c>
      <c r="JDR230" s="508"/>
      <c r="JDS230" s="507" t="s">
        <v>1381</v>
      </c>
      <c r="JDT230" s="508"/>
      <c r="JDU230" s="507" t="s">
        <v>1381</v>
      </c>
      <c r="JDV230" s="508"/>
      <c r="JDW230" s="507" t="s">
        <v>1381</v>
      </c>
      <c r="JDX230" s="508"/>
      <c r="JDY230" s="507" t="s">
        <v>1381</v>
      </c>
      <c r="JDZ230" s="508"/>
      <c r="JEA230" s="507" t="s">
        <v>1381</v>
      </c>
      <c r="JEB230" s="508"/>
      <c r="JEC230" s="507" t="s">
        <v>1381</v>
      </c>
      <c r="JED230" s="508"/>
      <c r="JEE230" s="507" t="s">
        <v>1381</v>
      </c>
      <c r="JEF230" s="508"/>
      <c r="JEG230" s="507" t="s">
        <v>1381</v>
      </c>
      <c r="JEH230" s="508"/>
      <c r="JEI230" s="507" t="s">
        <v>1381</v>
      </c>
      <c r="JEJ230" s="508"/>
      <c r="JEK230" s="507" t="s">
        <v>1381</v>
      </c>
      <c r="JEL230" s="508"/>
      <c r="JEM230" s="507" t="s">
        <v>1381</v>
      </c>
      <c r="JEN230" s="508"/>
      <c r="JEO230" s="507" t="s">
        <v>1381</v>
      </c>
      <c r="JEP230" s="508"/>
      <c r="JEQ230" s="507" t="s">
        <v>1381</v>
      </c>
      <c r="JER230" s="508"/>
      <c r="JES230" s="507" t="s">
        <v>1381</v>
      </c>
      <c r="JET230" s="508"/>
      <c r="JEU230" s="507" t="s">
        <v>1381</v>
      </c>
      <c r="JEV230" s="508"/>
      <c r="JEW230" s="507" t="s">
        <v>1381</v>
      </c>
      <c r="JEX230" s="508"/>
      <c r="JEY230" s="507" t="s">
        <v>1381</v>
      </c>
      <c r="JEZ230" s="508"/>
      <c r="JFA230" s="507" t="s">
        <v>1381</v>
      </c>
      <c r="JFB230" s="508"/>
      <c r="JFC230" s="507" t="s">
        <v>1381</v>
      </c>
      <c r="JFD230" s="508"/>
      <c r="JFE230" s="507" t="s">
        <v>1381</v>
      </c>
      <c r="JFF230" s="508"/>
      <c r="JFG230" s="507" t="s">
        <v>1381</v>
      </c>
      <c r="JFH230" s="508"/>
      <c r="JFI230" s="507" t="s">
        <v>1381</v>
      </c>
      <c r="JFJ230" s="508"/>
      <c r="JFK230" s="507" t="s">
        <v>1381</v>
      </c>
      <c r="JFL230" s="508"/>
      <c r="JFM230" s="507" t="s">
        <v>1381</v>
      </c>
      <c r="JFN230" s="508"/>
      <c r="JFO230" s="507" t="s">
        <v>1381</v>
      </c>
      <c r="JFP230" s="508"/>
      <c r="JFQ230" s="507" t="s">
        <v>1381</v>
      </c>
      <c r="JFR230" s="508"/>
      <c r="JFS230" s="507" t="s">
        <v>1381</v>
      </c>
      <c r="JFT230" s="508"/>
      <c r="JFU230" s="507" t="s">
        <v>1381</v>
      </c>
      <c r="JFV230" s="508"/>
      <c r="JFW230" s="507" t="s">
        <v>1381</v>
      </c>
      <c r="JFX230" s="508"/>
      <c r="JFY230" s="507" t="s">
        <v>1381</v>
      </c>
      <c r="JFZ230" s="508"/>
      <c r="JGA230" s="507" t="s">
        <v>1381</v>
      </c>
      <c r="JGB230" s="508"/>
      <c r="JGC230" s="507" t="s">
        <v>1381</v>
      </c>
      <c r="JGD230" s="508"/>
      <c r="JGE230" s="507" t="s">
        <v>1381</v>
      </c>
      <c r="JGF230" s="508"/>
      <c r="JGG230" s="507" t="s">
        <v>1381</v>
      </c>
      <c r="JGH230" s="508"/>
      <c r="JGI230" s="507" t="s">
        <v>1381</v>
      </c>
      <c r="JGJ230" s="508"/>
      <c r="JGK230" s="507" t="s">
        <v>1381</v>
      </c>
      <c r="JGL230" s="508"/>
      <c r="JGM230" s="507" t="s">
        <v>1381</v>
      </c>
      <c r="JGN230" s="508"/>
      <c r="JGO230" s="507" t="s">
        <v>1381</v>
      </c>
      <c r="JGP230" s="508"/>
      <c r="JGQ230" s="507" t="s">
        <v>1381</v>
      </c>
      <c r="JGR230" s="508"/>
      <c r="JGS230" s="507" t="s">
        <v>1381</v>
      </c>
      <c r="JGT230" s="508"/>
      <c r="JGU230" s="507" t="s">
        <v>1381</v>
      </c>
      <c r="JGV230" s="508"/>
      <c r="JGW230" s="507" t="s">
        <v>1381</v>
      </c>
      <c r="JGX230" s="508"/>
      <c r="JGY230" s="507" t="s">
        <v>1381</v>
      </c>
      <c r="JGZ230" s="508"/>
      <c r="JHA230" s="507" t="s">
        <v>1381</v>
      </c>
      <c r="JHB230" s="508"/>
      <c r="JHC230" s="507" t="s">
        <v>1381</v>
      </c>
      <c r="JHD230" s="508"/>
      <c r="JHE230" s="507" t="s">
        <v>1381</v>
      </c>
      <c r="JHF230" s="508"/>
      <c r="JHG230" s="507" t="s">
        <v>1381</v>
      </c>
      <c r="JHH230" s="508"/>
      <c r="JHI230" s="507" t="s">
        <v>1381</v>
      </c>
      <c r="JHJ230" s="508"/>
      <c r="JHK230" s="507" t="s">
        <v>1381</v>
      </c>
      <c r="JHL230" s="508"/>
      <c r="JHM230" s="507" t="s">
        <v>1381</v>
      </c>
      <c r="JHN230" s="508"/>
      <c r="JHO230" s="507" t="s">
        <v>1381</v>
      </c>
      <c r="JHP230" s="508"/>
      <c r="JHQ230" s="507" t="s">
        <v>1381</v>
      </c>
      <c r="JHR230" s="508"/>
      <c r="JHS230" s="507" t="s">
        <v>1381</v>
      </c>
      <c r="JHT230" s="508"/>
      <c r="JHU230" s="507" t="s">
        <v>1381</v>
      </c>
      <c r="JHV230" s="508"/>
      <c r="JHW230" s="507" t="s">
        <v>1381</v>
      </c>
      <c r="JHX230" s="508"/>
      <c r="JHY230" s="507" t="s">
        <v>1381</v>
      </c>
      <c r="JHZ230" s="508"/>
      <c r="JIA230" s="507" t="s">
        <v>1381</v>
      </c>
      <c r="JIB230" s="508"/>
      <c r="JIC230" s="507" t="s">
        <v>1381</v>
      </c>
      <c r="JID230" s="508"/>
      <c r="JIE230" s="507" t="s">
        <v>1381</v>
      </c>
      <c r="JIF230" s="508"/>
      <c r="JIG230" s="507" t="s">
        <v>1381</v>
      </c>
      <c r="JIH230" s="508"/>
      <c r="JII230" s="507" t="s">
        <v>1381</v>
      </c>
      <c r="JIJ230" s="508"/>
      <c r="JIK230" s="507" t="s">
        <v>1381</v>
      </c>
      <c r="JIL230" s="508"/>
      <c r="JIM230" s="507" t="s">
        <v>1381</v>
      </c>
      <c r="JIN230" s="508"/>
      <c r="JIO230" s="507" t="s">
        <v>1381</v>
      </c>
      <c r="JIP230" s="508"/>
      <c r="JIQ230" s="507" t="s">
        <v>1381</v>
      </c>
      <c r="JIR230" s="508"/>
      <c r="JIS230" s="507" t="s">
        <v>1381</v>
      </c>
      <c r="JIT230" s="508"/>
      <c r="JIU230" s="507" t="s">
        <v>1381</v>
      </c>
      <c r="JIV230" s="508"/>
      <c r="JIW230" s="507" t="s">
        <v>1381</v>
      </c>
      <c r="JIX230" s="508"/>
      <c r="JIY230" s="507" t="s">
        <v>1381</v>
      </c>
      <c r="JIZ230" s="508"/>
      <c r="JJA230" s="507" t="s">
        <v>1381</v>
      </c>
      <c r="JJB230" s="508"/>
      <c r="JJC230" s="507" t="s">
        <v>1381</v>
      </c>
      <c r="JJD230" s="508"/>
      <c r="JJE230" s="507" t="s">
        <v>1381</v>
      </c>
      <c r="JJF230" s="508"/>
      <c r="JJG230" s="507" t="s">
        <v>1381</v>
      </c>
      <c r="JJH230" s="508"/>
      <c r="JJI230" s="507" t="s">
        <v>1381</v>
      </c>
      <c r="JJJ230" s="508"/>
      <c r="JJK230" s="507" t="s">
        <v>1381</v>
      </c>
      <c r="JJL230" s="508"/>
      <c r="JJM230" s="507" t="s">
        <v>1381</v>
      </c>
      <c r="JJN230" s="508"/>
      <c r="JJO230" s="507" t="s">
        <v>1381</v>
      </c>
      <c r="JJP230" s="508"/>
      <c r="JJQ230" s="507" t="s">
        <v>1381</v>
      </c>
      <c r="JJR230" s="508"/>
      <c r="JJS230" s="507" t="s">
        <v>1381</v>
      </c>
      <c r="JJT230" s="508"/>
      <c r="JJU230" s="507" t="s">
        <v>1381</v>
      </c>
      <c r="JJV230" s="508"/>
      <c r="JJW230" s="507" t="s">
        <v>1381</v>
      </c>
      <c r="JJX230" s="508"/>
      <c r="JJY230" s="507" t="s">
        <v>1381</v>
      </c>
      <c r="JJZ230" s="508"/>
      <c r="JKA230" s="507" t="s">
        <v>1381</v>
      </c>
      <c r="JKB230" s="508"/>
      <c r="JKC230" s="507" t="s">
        <v>1381</v>
      </c>
      <c r="JKD230" s="508"/>
      <c r="JKE230" s="507" t="s">
        <v>1381</v>
      </c>
      <c r="JKF230" s="508"/>
      <c r="JKG230" s="507" t="s">
        <v>1381</v>
      </c>
      <c r="JKH230" s="508"/>
      <c r="JKI230" s="507" t="s">
        <v>1381</v>
      </c>
      <c r="JKJ230" s="508"/>
      <c r="JKK230" s="507" t="s">
        <v>1381</v>
      </c>
      <c r="JKL230" s="508"/>
      <c r="JKM230" s="507" t="s">
        <v>1381</v>
      </c>
      <c r="JKN230" s="508"/>
      <c r="JKO230" s="507" t="s">
        <v>1381</v>
      </c>
      <c r="JKP230" s="508"/>
      <c r="JKQ230" s="507" t="s">
        <v>1381</v>
      </c>
      <c r="JKR230" s="508"/>
      <c r="JKS230" s="507" t="s">
        <v>1381</v>
      </c>
      <c r="JKT230" s="508"/>
      <c r="JKU230" s="507" t="s">
        <v>1381</v>
      </c>
      <c r="JKV230" s="508"/>
      <c r="JKW230" s="507" t="s">
        <v>1381</v>
      </c>
      <c r="JKX230" s="508"/>
      <c r="JKY230" s="507" t="s">
        <v>1381</v>
      </c>
      <c r="JKZ230" s="508"/>
      <c r="JLA230" s="507" t="s">
        <v>1381</v>
      </c>
      <c r="JLB230" s="508"/>
      <c r="JLC230" s="507" t="s">
        <v>1381</v>
      </c>
      <c r="JLD230" s="508"/>
      <c r="JLE230" s="507" t="s">
        <v>1381</v>
      </c>
      <c r="JLF230" s="508"/>
      <c r="JLG230" s="507" t="s">
        <v>1381</v>
      </c>
      <c r="JLH230" s="508"/>
      <c r="JLI230" s="507" t="s">
        <v>1381</v>
      </c>
      <c r="JLJ230" s="508"/>
      <c r="JLK230" s="507" t="s">
        <v>1381</v>
      </c>
      <c r="JLL230" s="508"/>
      <c r="JLM230" s="507" t="s">
        <v>1381</v>
      </c>
      <c r="JLN230" s="508"/>
      <c r="JLO230" s="507" t="s">
        <v>1381</v>
      </c>
      <c r="JLP230" s="508"/>
      <c r="JLQ230" s="507" t="s">
        <v>1381</v>
      </c>
      <c r="JLR230" s="508"/>
      <c r="JLS230" s="507" t="s">
        <v>1381</v>
      </c>
      <c r="JLT230" s="508"/>
      <c r="JLU230" s="507" t="s">
        <v>1381</v>
      </c>
      <c r="JLV230" s="508"/>
      <c r="JLW230" s="507" t="s">
        <v>1381</v>
      </c>
      <c r="JLX230" s="508"/>
      <c r="JLY230" s="507" t="s">
        <v>1381</v>
      </c>
      <c r="JLZ230" s="508"/>
      <c r="JMA230" s="507" t="s">
        <v>1381</v>
      </c>
      <c r="JMB230" s="508"/>
      <c r="JMC230" s="507" t="s">
        <v>1381</v>
      </c>
      <c r="JMD230" s="508"/>
      <c r="JME230" s="507" t="s">
        <v>1381</v>
      </c>
      <c r="JMF230" s="508"/>
      <c r="JMG230" s="507" t="s">
        <v>1381</v>
      </c>
      <c r="JMH230" s="508"/>
      <c r="JMI230" s="507" t="s">
        <v>1381</v>
      </c>
      <c r="JMJ230" s="508"/>
      <c r="JMK230" s="507" t="s">
        <v>1381</v>
      </c>
      <c r="JML230" s="508"/>
      <c r="JMM230" s="507" t="s">
        <v>1381</v>
      </c>
      <c r="JMN230" s="508"/>
      <c r="JMO230" s="507" t="s">
        <v>1381</v>
      </c>
      <c r="JMP230" s="508"/>
      <c r="JMQ230" s="507" t="s">
        <v>1381</v>
      </c>
      <c r="JMR230" s="508"/>
      <c r="JMS230" s="507" t="s">
        <v>1381</v>
      </c>
      <c r="JMT230" s="508"/>
      <c r="JMU230" s="507" t="s">
        <v>1381</v>
      </c>
      <c r="JMV230" s="508"/>
      <c r="JMW230" s="507" t="s">
        <v>1381</v>
      </c>
      <c r="JMX230" s="508"/>
      <c r="JMY230" s="507" t="s">
        <v>1381</v>
      </c>
      <c r="JMZ230" s="508"/>
      <c r="JNA230" s="507" t="s">
        <v>1381</v>
      </c>
      <c r="JNB230" s="508"/>
      <c r="JNC230" s="507" t="s">
        <v>1381</v>
      </c>
      <c r="JND230" s="508"/>
      <c r="JNE230" s="507" t="s">
        <v>1381</v>
      </c>
      <c r="JNF230" s="508"/>
      <c r="JNG230" s="507" t="s">
        <v>1381</v>
      </c>
      <c r="JNH230" s="508"/>
      <c r="JNI230" s="507" t="s">
        <v>1381</v>
      </c>
      <c r="JNJ230" s="508"/>
      <c r="JNK230" s="507" t="s">
        <v>1381</v>
      </c>
      <c r="JNL230" s="508"/>
      <c r="JNM230" s="507" t="s">
        <v>1381</v>
      </c>
      <c r="JNN230" s="508"/>
      <c r="JNO230" s="507" t="s">
        <v>1381</v>
      </c>
      <c r="JNP230" s="508"/>
      <c r="JNQ230" s="507" t="s">
        <v>1381</v>
      </c>
      <c r="JNR230" s="508"/>
      <c r="JNS230" s="507" t="s">
        <v>1381</v>
      </c>
      <c r="JNT230" s="508"/>
      <c r="JNU230" s="507" t="s">
        <v>1381</v>
      </c>
      <c r="JNV230" s="508"/>
      <c r="JNW230" s="507" t="s">
        <v>1381</v>
      </c>
      <c r="JNX230" s="508"/>
      <c r="JNY230" s="507" t="s">
        <v>1381</v>
      </c>
      <c r="JNZ230" s="508"/>
      <c r="JOA230" s="507" t="s">
        <v>1381</v>
      </c>
      <c r="JOB230" s="508"/>
      <c r="JOC230" s="507" t="s">
        <v>1381</v>
      </c>
      <c r="JOD230" s="508"/>
      <c r="JOE230" s="507" t="s">
        <v>1381</v>
      </c>
      <c r="JOF230" s="508"/>
      <c r="JOG230" s="507" t="s">
        <v>1381</v>
      </c>
      <c r="JOH230" s="508"/>
      <c r="JOI230" s="507" t="s">
        <v>1381</v>
      </c>
      <c r="JOJ230" s="508"/>
      <c r="JOK230" s="507" t="s">
        <v>1381</v>
      </c>
      <c r="JOL230" s="508"/>
      <c r="JOM230" s="507" t="s">
        <v>1381</v>
      </c>
      <c r="JON230" s="508"/>
      <c r="JOO230" s="507" t="s">
        <v>1381</v>
      </c>
      <c r="JOP230" s="508"/>
      <c r="JOQ230" s="507" t="s">
        <v>1381</v>
      </c>
      <c r="JOR230" s="508"/>
      <c r="JOS230" s="507" t="s">
        <v>1381</v>
      </c>
      <c r="JOT230" s="508"/>
      <c r="JOU230" s="507" t="s">
        <v>1381</v>
      </c>
      <c r="JOV230" s="508"/>
      <c r="JOW230" s="507" t="s">
        <v>1381</v>
      </c>
      <c r="JOX230" s="508"/>
      <c r="JOY230" s="507" t="s">
        <v>1381</v>
      </c>
      <c r="JOZ230" s="508"/>
      <c r="JPA230" s="507" t="s">
        <v>1381</v>
      </c>
      <c r="JPB230" s="508"/>
      <c r="JPC230" s="507" t="s">
        <v>1381</v>
      </c>
      <c r="JPD230" s="508"/>
      <c r="JPE230" s="507" t="s">
        <v>1381</v>
      </c>
      <c r="JPF230" s="508"/>
      <c r="JPG230" s="507" t="s">
        <v>1381</v>
      </c>
      <c r="JPH230" s="508"/>
      <c r="JPI230" s="507" t="s">
        <v>1381</v>
      </c>
      <c r="JPJ230" s="508"/>
      <c r="JPK230" s="507" t="s">
        <v>1381</v>
      </c>
      <c r="JPL230" s="508"/>
      <c r="JPM230" s="507" t="s">
        <v>1381</v>
      </c>
      <c r="JPN230" s="508"/>
      <c r="JPO230" s="507" t="s">
        <v>1381</v>
      </c>
      <c r="JPP230" s="508"/>
      <c r="JPQ230" s="507" t="s">
        <v>1381</v>
      </c>
      <c r="JPR230" s="508"/>
      <c r="JPS230" s="507" t="s">
        <v>1381</v>
      </c>
      <c r="JPT230" s="508"/>
      <c r="JPU230" s="507" t="s">
        <v>1381</v>
      </c>
      <c r="JPV230" s="508"/>
      <c r="JPW230" s="507" t="s">
        <v>1381</v>
      </c>
      <c r="JPX230" s="508"/>
      <c r="JPY230" s="507" t="s">
        <v>1381</v>
      </c>
      <c r="JPZ230" s="508"/>
      <c r="JQA230" s="507" t="s">
        <v>1381</v>
      </c>
      <c r="JQB230" s="508"/>
      <c r="JQC230" s="507" t="s">
        <v>1381</v>
      </c>
      <c r="JQD230" s="508"/>
      <c r="JQE230" s="507" t="s">
        <v>1381</v>
      </c>
      <c r="JQF230" s="508"/>
      <c r="JQG230" s="507" t="s">
        <v>1381</v>
      </c>
      <c r="JQH230" s="508"/>
      <c r="JQI230" s="507" t="s">
        <v>1381</v>
      </c>
      <c r="JQJ230" s="508"/>
      <c r="JQK230" s="507" t="s">
        <v>1381</v>
      </c>
      <c r="JQL230" s="508"/>
      <c r="JQM230" s="507" t="s">
        <v>1381</v>
      </c>
      <c r="JQN230" s="508"/>
      <c r="JQO230" s="507" t="s">
        <v>1381</v>
      </c>
      <c r="JQP230" s="508"/>
      <c r="JQQ230" s="507" t="s">
        <v>1381</v>
      </c>
      <c r="JQR230" s="508"/>
      <c r="JQS230" s="507" t="s">
        <v>1381</v>
      </c>
      <c r="JQT230" s="508"/>
      <c r="JQU230" s="507" t="s">
        <v>1381</v>
      </c>
      <c r="JQV230" s="508"/>
      <c r="JQW230" s="507" t="s">
        <v>1381</v>
      </c>
      <c r="JQX230" s="508"/>
      <c r="JQY230" s="507" t="s">
        <v>1381</v>
      </c>
      <c r="JQZ230" s="508"/>
      <c r="JRA230" s="507" t="s">
        <v>1381</v>
      </c>
      <c r="JRB230" s="508"/>
      <c r="JRC230" s="507" t="s">
        <v>1381</v>
      </c>
      <c r="JRD230" s="508"/>
      <c r="JRE230" s="507" t="s">
        <v>1381</v>
      </c>
      <c r="JRF230" s="508"/>
      <c r="JRG230" s="507" t="s">
        <v>1381</v>
      </c>
      <c r="JRH230" s="508"/>
      <c r="JRI230" s="507" t="s">
        <v>1381</v>
      </c>
      <c r="JRJ230" s="508"/>
      <c r="JRK230" s="507" t="s">
        <v>1381</v>
      </c>
      <c r="JRL230" s="508"/>
      <c r="JRM230" s="507" t="s">
        <v>1381</v>
      </c>
      <c r="JRN230" s="508"/>
      <c r="JRO230" s="507" t="s">
        <v>1381</v>
      </c>
      <c r="JRP230" s="508"/>
      <c r="JRQ230" s="507" t="s">
        <v>1381</v>
      </c>
      <c r="JRR230" s="508"/>
      <c r="JRS230" s="507" t="s">
        <v>1381</v>
      </c>
      <c r="JRT230" s="508"/>
      <c r="JRU230" s="507" t="s">
        <v>1381</v>
      </c>
      <c r="JRV230" s="508"/>
      <c r="JRW230" s="507" t="s">
        <v>1381</v>
      </c>
      <c r="JRX230" s="508"/>
      <c r="JRY230" s="507" t="s">
        <v>1381</v>
      </c>
      <c r="JRZ230" s="508"/>
      <c r="JSA230" s="507" t="s">
        <v>1381</v>
      </c>
      <c r="JSB230" s="508"/>
      <c r="JSC230" s="507" t="s">
        <v>1381</v>
      </c>
      <c r="JSD230" s="508"/>
      <c r="JSE230" s="507" t="s">
        <v>1381</v>
      </c>
      <c r="JSF230" s="508"/>
      <c r="JSG230" s="507" t="s">
        <v>1381</v>
      </c>
      <c r="JSH230" s="508"/>
      <c r="JSI230" s="507" t="s">
        <v>1381</v>
      </c>
      <c r="JSJ230" s="508"/>
      <c r="JSK230" s="507" t="s">
        <v>1381</v>
      </c>
      <c r="JSL230" s="508"/>
      <c r="JSM230" s="507" t="s">
        <v>1381</v>
      </c>
      <c r="JSN230" s="508"/>
      <c r="JSO230" s="507" t="s">
        <v>1381</v>
      </c>
      <c r="JSP230" s="508"/>
      <c r="JSQ230" s="507" t="s">
        <v>1381</v>
      </c>
      <c r="JSR230" s="508"/>
      <c r="JSS230" s="507" t="s">
        <v>1381</v>
      </c>
      <c r="JST230" s="508"/>
      <c r="JSU230" s="507" t="s">
        <v>1381</v>
      </c>
      <c r="JSV230" s="508"/>
      <c r="JSW230" s="507" t="s">
        <v>1381</v>
      </c>
      <c r="JSX230" s="508"/>
      <c r="JSY230" s="507" t="s">
        <v>1381</v>
      </c>
      <c r="JSZ230" s="508"/>
      <c r="JTA230" s="507" t="s">
        <v>1381</v>
      </c>
      <c r="JTB230" s="508"/>
      <c r="JTC230" s="507" t="s">
        <v>1381</v>
      </c>
      <c r="JTD230" s="508"/>
      <c r="JTE230" s="507" t="s">
        <v>1381</v>
      </c>
      <c r="JTF230" s="508"/>
      <c r="JTG230" s="507" t="s">
        <v>1381</v>
      </c>
      <c r="JTH230" s="508"/>
      <c r="JTI230" s="507" t="s">
        <v>1381</v>
      </c>
      <c r="JTJ230" s="508"/>
      <c r="JTK230" s="507" t="s">
        <v>1381</v>
      </c>
      <c r="JTL230" s="508"/>
      <c r="JTM230" s="507" t="s">
        <v>1381</v>
      </c>
      <c r="JTN230" s="508"/>
      <c r="JTO230" s="507" t="s">
        <v>1381</v>
      </c>
      <c r="JTP230" s="508"/>
      <c r="JTQ230" s="507" t="s">
        <v>1381</v>
      </c>
      <c r="JTR230" s="508"/>
      <c r="JTS230" s="507" t="s">
        <v>1381</v>
      </c>
      <c r="JTT230" s="508"/>
      <c r="JTU230" s="507" t="s">
        <v>1381</v>
      </c>
      <c r="JTV230" s="508"/>
      <c r="JTW230" s="507" t="s">
        <v>1381</v>
      </c>
      <c r="JTX230" s="508"/>
      <c r="JTY230" s="507" t="s">
        <v>1381</v>
      </c>
      <c r="JTZ230" s="508"/>
      <c r="JUA230" s="507" t="s">
        <v>1381</v>
      </c>
      <c r="JUB230" s="508"/>
      <c r="JUC230" s="507" t="s">
        <v>1381</v>
      </c>
      <c r="JUD230" s="508"/>
      <c r="JUE230" s="507" t="s">
        <v>1381</v>
      </c>
      <c r="JUF230" s="508"/>
      <c r="JUG230" s="507" t="s">
        <v>1381</v>
      </c>
      <c r="JUH230" s="508"/>
      <c r="JUI230" s="507" t="s">
        <v>1381</v>
      </c>
      <c r="JUJ230" s="508"/>
      <c r="JUK230" s="507" t="s">
        <v>1381</v>
      </c>
      <c r="JUL230" s="508"/>
      <c r="JUM230" s="507" t="s">
        <v>1381</v>
      </c>
      <c r="JUN230" s="508"/>
      <c r="JUO230" s="507" t="s">
        <v>1381</v>
      </c>
      <c r="JUP230" s="508"/>
      <c r="JUQ230" s="507" t="s">
        <v>1381</v>
      </c>
      <c r="JUR230" s="508"/>
      <c r="JUS230" s="507" t="s">
        <v>1381</v>
      </c>
      <c r="JUT230" s="508"/>
      <c r="JUU230" s="507" t="s">
        <v>1381</v>
      </c>
      <c r="JUV230" s="508"/>
      <c r="JUW230" s="507" t="s">
        <v>1381</v>
      </c>
      <c r="JUX230" s="508"/>
      <c r="JUY230" s="507" t="s">
        <v>1381</v>
      </c>
      <c r="JUZ230" s="508"/>
      <c r="JVA230" s="507" t="s">
        <v>1381</v>
      </c>
      <c r="JVB230" s="508"/>
      <c r="JVC230" s="507" t="s">
        <v>1381</v>
      </c>
      <c r="JVD230" s="508"/>
      <c r="JVE230" s="507" t="s">
        <v>1381</v>
      </c>
      <c r="JVF230" s="508"/>
      <c r="JVG230" s="507" t="s">
        <v>1381</v>
      </c>
      <c r="JVH230" s="508"/>
      <c r="JVI230" s="507" t="s">
        <v>1381</v>
      </c>
      <c r="JVJ230" s="508"/>
      <c r="JVK230" s="507" t="s">
        <v>1381</v>
      </c>
      <c r="JVL230" s="508"/>
      <c r="JVM230" s="507" t="s">
        <v>1381</v>
      </c>
      <c r="JVN230" s="508"/>
      <c r="JVO230" s="507" t="s">
        <v>1381</v>
      </c>
      <c r="JVP230" s="508"/>
      <c r="JVQ230" s="507" t="s">
        <v>1381</v>
      </c>
      <c r="JVR230" s="508"/>
      <c r="JVS230" s="507" t="s">
        <v>1381</v>
      </c>
      <c r="JVT230" s="508"/>
      <c r="JVU230" s="507" t="s">
        <v>1381</v>
      </c>
      <c r="JVV230" s="508"/>
      <c r="JVW230" s="507" t="s">
        <v>1381</v>
      </c>
      <c r="JVX230" s="508"/>
      <c r="JVY230" s="507" t="s">
        <v>1381</v>
      </c>
      <c r="JVZ230" s="508"/>
      <c r="JWA230" s="507" t="s">
        <v>1381</v>
      </c>
      <c r="JWB230" s="508"/>
      <c r="JWC230" s="507" t="s">
        <v>1381</v>
      </c>
      <c r="JWD230" s="508"/>
      <c r="JWE230" s="507" t="s">
        <v>1381</v>
      </c>
      <c r="JWF230" s="508"/>
      <c r="JWG230" s="507" t="s">
        <v>1381</v>
      </c>
      <c r="JWH230" s="508"/>
      <c r="JWI230" s="507" t="s">
        <v>1381</v>
      </c>
      <c r="JWJ230" s="508"/>
      <c r="JWK230" s="507" t="s">
        <v>1381</v>
      </c>
      <c r="JWL230" s="508"/>
      <c r="JWM230" s="507" t="s">
        <v>1381</v>
      </c>
      <c r="JWN230" s="508"/>
      <c r="JWO230" s="507" t="s">
        <v>1381</v>
      </c>
      <c r="JWP230" s="508"/>
      <c r="JWQ230" s="507" t="s">
        <v>1381</v>
      </c>
      <c r="JWR230" s="508"/>
      <c r="JWS230" s="507" t="s">
        <v>1381</v>
      </c>
      <c r="JWT230" s="508"/>
      <c r="JWU230" s="507" t="s">
        <v>1381</v>
      </c>
      <c r="JWV230" s="508"/>
      <c r="JWW230" s="507" t="s">
        <v>1381</v>
      </c>
      <c r="JWX230" s="508"/>
      <c r="JWY230" s="507" t="s">
        <v>1381</v>
      </c>
      <c r="JWZ230" s="508"/>
      <c r="JXA230" s="507" t="s">
        <v>1381</v>
      </c>
      <c r="JXB230" s="508"/>
      <c r="JXC230" s="507" t="s">
        <v>1381</v>
      </c>
      <c r="JXD230" s="508"/>
      <c r="JXE230" s="507" t="s">
        <v>1381</v>
      </c>
      <c r="JXF230" s="508"/>
      <c r="JXG230" s="507" t="s">
        <v>1381</v>
      </c>
      <c r="JXH230" s="508"/>
      <c r="JXI230" s="507" t="s">
        <v>1381</v>
      </c>
      <c r="JXJ230" s="508"/>
      <c r="JXK230" s="507" t="s">
        <v>1381</v>
      </c>
      <c r="JXL230" s="508"/>
      <c r="JXM230" s="507" t="s">
        <v>1381</v>
      </c>
      <c r="JXN230" s="508"/>
      <c r="JXO230" s="507" t="s">
        <v>1381</v>
      </c>
      <c r="JXP230" s="508"/>
      <c r="JXQ230" s="507" t="s">
        <v>1381</v>
      </c>
      <c r="JXR230" s="508"/>
      <c r="JXS230" s="507" t="s">
        <v>1381</v>
      </c>
      <c r="JXT230" s="508"/>
      <c r="JXU230" s="507" t="s">
        <v>1381</v>
      </c>
      <c r="JXV230" s="508"/>
      <c r="JXW230" s="507" t="s">
        <v>1381</v>
      </c>
      <c r="JXX230" s="508"/>
      <c r="JXY230" s="507" t="s">
        <v>1381</v>
      </c>
      <c r="JXZ230" s="508"/>
      <c r="JYA230" s="507" t="s">
        <v>1381</v>
      </c>
      <c r="JYB230" s="508"/>
      <c r="JYC230" s="507" t="s">
        <v>1381</v>
      </c>
      <c r="JYD230" s="508"/>
      <c r="JYE230" s="507" t="s">
        <v>1381</v>
      </c>
      <c r="JYF230" s="508"/>
      <c r="JYG230" s="507" t="s">
        <v>1381</v>
      </c>
      <c r="JYH230" s="508"/>
      <c r="JYI230" s="507" t="s">
        <v>1381</v>
      </c>
      <c r="JYJ230" s="508"/>
      <c r="JYK230" s="507" t="s">
        <v>1381</v>
      </c>
      <c r="JYL230" s="508"/>
      <c r="JYM230" s="507" t="s">
        <v>1381</v>
      </c>
      <c r="JYN230" s="508"/>
      <c r="JYO230" s="507" t="s">
        <v>1381</v>
      </c>
      <c r="JYP230" s="508"/>
      <c r="JYQ230" s="507" t="s">
        <v>1381</v>
      </c>
      <c r="JYR230" s="508"/>
      <c r="JYS230" s="507" t="s">
        <v>1381</v>
      </c>
      <c r="JYT230" s="508"/>
      <c r="JYU230" s="507" t="s">
        <v>1381</v>
      </c>
      <c r="JYV230" s="508"/>
      <c r="JYW230" s="507" t="s">
        <v>1381</v>
      </c>
      <c r="JYX230" s="508"/>
      <c r="JYY230" s="507" t="s">
        <v>1381</v>
      </c>
      <c r="JYZ230" s="508"/>
      <c r="JZA230" s="507" t="s">
        <v>1381</v>
      </c>
      <c r="JZB230" s="508"/>
      <c r="JZC230" s="507" t="s">
        <v>1381</v>
      </c>
      <c r="JZD230" s="508"/>
      <c r="JZE230" s="507" t="s">
        <v>1381</v>
      </c>
      <c r="JZF230" s="508"/>
      <c r="JZG230" s="507" t="s">
        <v>1381</v>
      </c>
      <c r="JZH230" s="508"/>
      <c r="JZI230" s="507" t="s">
        <v>1381</v>
      </c>
      <c r="JZJ230" s="508"/>
      <c r="JZK230" s="507" t="s">
        <v>1381</v>
      </c>
      <c r="JZL230" s="508"/>
      <c r="JZM230" s="507" t="s">
        <v>1381</v>
      </c>
      <c r="JZN230" s="508"/>
      <c r="JZO230" s="507" t="s">
        <v>1381</v>
      </c>
      <c r="JZP230" s="508"/>
      <c r="JZQ230" s="507" t="s">
        <v>1381</v>
      </c>
      <c r="JZR230" s="508"/>
      <c r="JZS230" s="507" t="s">
        <v>1381</v>
      </c>
      <c r="JZT230" s="508"/>
      <c r="JZU230" s="507" t="s">
        <v>1381</v>
      </c>
      <c r="JZV230" s="508"/>
      <c r="JZW230" s="507" t="s">
        <v>1381</v>
      </c>
      <c r="JZX230" s="508"/>
      <c r="JZY230" s="507" t="s">
        <v>1381</v>
      </c>
      <c r="JZZ230" s="508"/>
      <c r="KAA230" s="507" t="s">
        <v>1381</v>
      </c>
      <c r="KAB230" s="508"/>
      <c r="KAC230" s="507" t="s">
        <v>1381</v>
      </c>
      <c r="KAD230" s="508"/>
      <c r="KAE230" s="507" t="s">
        <v>1381</v>
      </c>
      <c r="KAF230" s="508"/>
      <c r="KAG230" s="507" t="s">
        <v>1381</v>
      </c>
      <c r="KAH230" s="508"/>
      <c r="KAI230" s="507" t="s">
        <v>1381</v>
      </c>
      <c r="KAJ230" s="508"/>
      <c r="KAK230" s="507" t="s">
        <v>1381</v>
      </c>
      <c r="KAL230" s="508"/>
      <c r="KAM230" s="507" t="s">
        <v>1381</v>
      </c>
      <c r="KAN230" s="508"/>
      <c r="KAO230" s="507" t="s">
        <v>1381</v>
      </c>
      <c r="KAP230" s="508"/>
      <c r="KAQ230" s="507" t="s">
        <v>1381</v>
      </c>
      <c r="KAR230" s="508"/>
      <c r="KAS230" s="507" t="s">
        <v>1381</v>
      </c>
      <c r="KAT230" s="508"/>
      <c r="KAU230" s="507" t="s">
        <v>1381</v>
      </c>
      <c r="KAV230" s="508"/>
      <c r="KAW230" s="507" t="s">
        <v>1381</v>
      </c>
      <c r="KAX230" s="508"/>
      <c r="KAY230" s="507" t="s">
        <v>1381</v>
      </c>
      <c r="KAZ230" s="508"/>
      <c r="KBA230" s="507" t="s">
        <v>1381</v>
      </c>
      <c r="KBB230" s="508"/>
      <c r="KBC230" s="507" t="s">
        <v>1381</v>
      </c>
      <c r="KBD230" s="508"/>
      <c r="KBE230" s="507" t="s">
        <v>1381</v>
      </c>
      <c r="KBF230" s="508"/>
      <c r="KBG230" s="507" t="s">
        <v>1381</v>
      </c>
      <c r="KBH230" s="508"/>
      <c r="KBI230" s="507" t="s">
        <v>1381</v>
      </c>
      <c r="KBJ230" s="508"/>
      <c r="KBK230" s="507" t="s">
        <v>1381</v>
      </c>
      <c r="KBL230" s="508"/>
      <c r="KBM230" s="507" t="s">
        <v>1381</v>
      </c>
      <c r="KBN230" s="508"/>
      <c r="KBO230" s="507" t="s">
        <v>1381</v>
      </c>
      <c r="KBP230" s="508"/>
      <c r="KBQ230" s="507" t="s">
        <v>1381</v>
      </c>
      <c r="KBR230" s="508"/>
      <c r="KBS230" s="507" t="s">
        <v>1381</v>
      </c>
      <c r="KBT230" s="508"/>
      <c r="KBU230" s="507" t="s">
        <v>1381</v>
      </c>
      <c r="KBV230" s="508"/>
      <c r="KBW230" s="507" t="s">
        <v>1381</v>
      </c>
      <c r="KBX230" s="508"/>
      <c r="KBY230" s="507" t="s">
        <v>1381</v>
      </c>
      <c r="KBZ230" s="508"/>
      <c r="KCA230" s="507" t="s">
        <v>1381</v>
      </c>
      <c r="KCB230" s="508"/>
      <c r="KCC230" s="507" t="s">
        <v>1381</v>
      </c>
      <c r="KCD230" s="508"/>
      <c r="KCE230" s="507" t="s">
        <v>1381</v>
      </c>
      <c r="KCF230" s="508"/>
      <c r="KCG230" s="507" t="s">
        <v>1381</v>
      </c>
      <c r="KCH230" s="508"/>
      <c r="KCI230" s="507" t="s">
        <v>1381</v>
      </c>
      <c r="KCJ230" s="508"/>
      <c r="KCK230" s="507" t="s">
        <v>1381</v>
      </c>
      <c r="KCL230" s="508"/>
      <c r="KCM230" s="507" t="s">
        <v>1381</v>
      </c>
      <c r="KCN230" s="508"/>
      <c r="KCO230" s="507" t="s">
        <v>1381</v>
      </c>
      <c r="KCP230" s="508"/>
      <c r="KCQ230" s="507" t="s">
        <v>1381</v>
      </c>
      <c r="KCR230" s="508"/>
      <c r="KCS230" s="507" t="s">
        <v>1381</v>
      </c>
      <c r="KCT230" s="508"/>
      <c r="KCU230" s="507" t="s">
        <v>1381</v>
      </c>
      <c r="KCV230" s="508"/>
      <c r="KCW230" s="507" t="s">
        <v>1381</v>
      </c>
      <c r="KCX230" s="508"/>
      <c r="KCY230" s="507" t="s">
        <v>1381</v>
      </c>
      <c r="KCZ230" s="508"/>
      <c r="KDA230" s="507" t="s">
        <v>1381</v>
      </c>
      <c r="KDB230" s="508"/>
      <c r="KDC230" s="507" t="s">
        <v>1381</v>
      </c>
      <c r="KDD230" s="508"/>
      <c r="KDE230" s="507" t="s">
        <v>1381</v>
      </c>
      <c r="KDF230" s="508"/>
      <c r="KDG230" s="507" t="s">
        <v>1381</v>
      </c>
      <c r="KDH230" s="508"/>
      <c r="KDI230" s="507" t="s">
        <v>1381</v>
      </c>
      <c r="KDJ230" s="508"/>
      <c r="KDK230" s="507" t="s">
        <v>1381</v>
      </c>
      <c r="KDL230" s="508"/>
      <c r="KDM230" s="507" t="s">
        <v>1381</v>
      </c>
      <c r="KDN230" s="508"/>
      <c r="KDO230" s="507" t="s">
        <v>1381</v>
      </c>
      <c r="KDP230" s="508"/>
      <c r="KDQ230" s="507" t="s">
        <v>1381</v>
      </c>
      <c r="KDR230" s="508"/>
      <c r="KDS230" s="507" t="s">
        <v>1381</v>
      </c>
      <c r="KDT230" s="508"/>
      <c r="KDU230" s="507" t="s">
        <v>1381</v>
      </c>
      <c r="KDV230" s="508"/>
      <c r="KDW230" s="507" t="s">
        <v>1381</v>
      </c>
      <c r="KDX230" s="508"/>
      <c r="KDY230" s="507" t="s">
        <v>1381</v>
      </c>
      <c r="KDZ230" s="508"/>
      <c r="KEA230" s="507" t="s">
        <v>1381</v>
      </c>
      <c r="KEB230" s="508"/>
      <c r="KEC230" s="507" t="s">
        <v>1381</v>
      </c>
      <c r="KED230" s="508"/>
      <c r="KEE230" s="507" t="s">
        <v>1381</v>
      </c>
      <c r="KEF230" s="508"/>
      <c r="KEG230" s="507" t="s">
        <v>1381</v>
      </c>
      <c r="KEH230" s="508"/>
      <c r="KEI230" s="507" t="s">
        <v>1381</v>
      </c>
      <c r="KEJ230" s="508"/>
      <c r="KEK230" s="507" t="s">
        <v>1381</v>
      </c>
      <c r="KEL230" s="508"/>
      <c r="KEM230" s="507" t="s">
        <v>1381</v>
      </c>
      <c r="KEN230" s="508"/>
      <c r="KEO230" s="507" t="s">
        <v>1381</v>
      </c>
      <c r="KEP230" s="508"/>
      <c r="KEQ230" s="507" t="s">
        <v>1381</v>
      </c>
      <c r="KER230" s="508"/>
      <c r="KES230" s="507" t="s">
        <v>1381</v>
      </c>
      <c r="KET230" s="508"/>
      <c r="KEU230" s="507" t="s">
        <v>1381</v>
      </c>
      <c r="KEV230" s="508"/>
      <c r="KEW230" s="507" t="s">
        <v>1381</v>
      </c>
      <c r="KEX230" s="508"/>
      <c r="KEY230" s="507" t="s">
        <v>1381</v>
      </c>
      <c r="KEZ230" s="508"/>
      <c r="KFA230" s="507" t="s">
        <v>1381</v>
      </c>
      <c r="KFB230" s="508"/>
      <c r="KFC230" s="507" t="s">
        <v>1381</v>
      </c>
      <c r="KFD230" s="508"/>
      <c r="KFE230" s="507" t="s">
        <v>1381</v>
      </c>
      <c r="KFF230" s="508"/>
      <c r="KFG230" s="507" t="s">
        <v>1381</v>
      </c>
      <c r="KFH230" s="508"/>
      <c r="KFI230" s="507" t="s">
        <v>1381</v>
      </c>
      <c r="KFJ230" s="508"/>
      <c r="KFK230" s="507" t="s">
        <v>1381</v>
      </c>
      <c r="KFL230" s="508"/>
      <c r="KFM230" s="507" t="s">
        <v>1381</v>
      </c>
      <c r="KFN230" s="508"/>
      <c r="KFO230" s="507" t="s">
        <v>1381</v>
      </c>
      <c r="KFP230" s="508"/>
      <c r="KFQ230" s="507" t="s">
        <v>1381</v>
      </c>
      <c r="KFR230" s="508"/>
      <c r="KFS230" s="507" t="s">
        <v>1381</v>
      </c>
      <c r="KFT230" s="508"/>
      <c r="KFU230" s="507" t="s">
        <v>1381</v>
      </c>
      <c r="KFV230" s="508"/>
      <c r="KFW230" s="507" t="s">
        <v>1381</v>
      </c>
      <c r="KFX230" s="508"/>
      <c r="KFY230" s="507" t="s">
        <v>1381</v>
      </c>
      <c r="KFZ230" s="508"/>
      <c r="KGA230" s="507" t="s">
        <v>1381</v>
      </c>
      <c r="KGB230" s="508"/>
      <c r="KGC230" s="507" t="s">
        <v>1381</v>
      </c>
      <c r="KGD230" s="508"/>
      <c r="KGE230" s="507" t="s">
        <v>1381</v>
      </c>
      <c r="KGF230" s="508"/>
      <c r="KGG230" s="507" t="s">
        <v>1381</v>
      </c>
      <c r="KGH230" s="508"/>
      <c r="KGI230" s="507" t="s">
        <v>1381</v>
      </c>
      <c r="KGJ230" s="508"/>
      <c r="KGK230" s="507" t="s">
        <v>1381</v>
      </c>
      <c r="KGL230" s="508"/>
      <c r="KGM230" s="507" t="s">
        <v>1381</v>
      </c>
      <c r="KGN230" s="508"/>
      <c r="KGO230" s="507" t="s">
        <v>1381</v>
      </c>
      <c r="KGP230" s="508"/>
      <c r="KGQ230" s="507" t="s">
        <v>1381</v>
      </c>
      <c r="KGR230" s="508"/>
      <c r="KGS230" s="507" t="s">
        <v>1381</v>
      </c>
      <c r="KGT230" s="508"/>
      <c r="KGU230" s="507" t="s">
        <v>1381</v>
      </c>
      <c r="KGV230" s="508"/>
      <c r="KGW230" s="507" t="s">
        <v>1381</v>
      </c>
      <c r="KGX230" s="508"/>
      <c r="KGY230" s="507" t="s">
        <v>1381</v>
      </c>
      <c r="KGZ230" s="508"/>
      <c r="KHA230" s="507" t="s">
        <v>1381</v>
      </c>
      <c r="KHB230" s="508"/>
      <c r="KHC230" s="507" t="s">
        <v>1381</v>
      </c>
      <c r="KHD230" s="508"/>
      <c r="KHE230" s="507" t="s">
        <v>1381</v>
      </c>
      <c r="KHF230" s="508"/>
      <c r="KHG230" s="507" t="s">
        <v>1381</v>
      </c>
      <c r="KHH230" s="508"/>
      <c r="KHI230" s="507" t="s">
        <v>1381</v>
      </c>
      <c r="KHJ230" s="508"/>
      <c r="KHK230" s="507" t="s">
        <v>1381</v>
      </c>
      <c r="KHL230" s="508"/>
      <c r="KHM230" s="507" t="s">
        <v>1381</v>
      </c>
      <c r="KHN230" s="508"/>
      <c r="KHO230" s="507" t="s">
        <v>1381</v>
      </c>
      <c r="KHP230" s="508"/>
      <c r="KHQ230" s="507" t="s">
        <v>1381</v>
      </c>
      <c r="KHR230" s="508"/>
      <c r="KHS230" s="507" t="s">
        <v>1381</v>
      </c>
      <c r="KHT230" s="508"/>
      <c r="KHU230" s="507" t="s">
        <v>1381</v>
      </c>
      <c r="KHV230" s="508"/>
      <c r="KHW230" s="507" t="s">
        <v>1381</v>
      </c>
      <c r="KHX230" s="508"/>
      <c r="KHY230" s="507" t="s">
        <v>1381</v>
      </c>
      <c r="KHZ230" s="508"/>
      <c r="KIA230" s="507" t="s">
        <v>1381</v>
      </c>
      <c r="KIB230" s="508"/>
      <c r="KIC230" s="507" t="s">
        <v>1381</v>
      </c>
      <c r="KID230" s="508"/>
      <c r="KIE230" s="507" t="s">
        <v>1381</v>
      </c>
      <c r="KIF230" s="508"/>
      <c r="KIG230" s="507" t="s">
        <v>1381</v>
      </c>
      <c r="KIH230" s="508"/>
      <c r="KII230" s="507" t="s">
        <v>1381</v>
      </c>
      <c r="KIJ230" s="508"/>
      <c r="KIK230" s="507" t="s">
        <v>1381</v>
      </c>
      <c r="KIL230" s="508"/>
      <c r="KIM230" s="507" t="s">
        <v>1381</v>
      </c>
      <c r="KIN230" s="508"/>
      <c r="KIO230" s="507" t="s">
        <v>1381</v>
      </c>
      <c r="KIP230" s="508"/>
      <c r="KIQ230" s="507" t="s">
        <v>1381</v>
      </c>
      <c r="KIR230" s="508"/>
      <c r="KIS230" s="507" t="s">
        <v>1381</v>
      </c>
      <c r="KIT230" s="508"/>
      <c r="KIU230" s="507" t="s">
        <v>1381</v>
      </c>
      <c r="KIV230" s="508"/>
      <c r="KIW230" s="507" t="s">
        <v>1381</v>
      </c>
      <c r="KIX230" s="508"/>
      <c r="KIY230" s="507" t="s">
        <v>1381</v>
      </c>
      <c r="KIZ230" s="508"/>
      <c r="KJA230" s="507" t="s">
        <v>1381</v>
      </c>
      <c r="KJB230" s="508"/>
      <c r="KJC230" s="507" t="s">
        <v>1381</v>
      </c>
      <c r="KJD230" s="508"/>
      <c r="KJE230" s="507" t="s">
        <v>1381</v>
      </c>
      <c r="KJF230" s="508"/>
      <c r="KJG230" s="507" t="s">
        <v>1381</v>
      </c>
      <c r="KJH230" s="508"/>
      <c r="KJI230" s="507" t="s">
        <v>1381</v>
      </c>
      <c r="KJJ230" s="508"/>
      <c r="KJK230" s="507" t="s">
        <v>1381</v>
      </c>
      <c r="KJL230" s="508"/>
      <c r="KJM230" s="507" t="s">
        <v>1381</v>
      </c>
      <c r="KJN230" s="508"/>
      <c r="KJO230" s="507" t="s">
        <v>1381</v>
      </c>
      <c r="KJP230" s="508"/>
      <c r="KJQ230" s="507" t="s">
        <v>1381</v>
      </c>
      <c r="KJR230" s="508"/>
      <c r="KJS230" s="507" t="s">
        <v>1381</v>
      </c>
      <c r="KJT230" s="508"/>
      <c r="KJU230" s="507" t="s">
        <v>1381</v>
      </c>
      <c r="KJV230" s="508"/>
      <c r="KJW230" s="507" t="s">
        <v>1381</v>
      </c>
      <c r="KJX230" s="508"/>
      <c r="KJY230" s="507" t="s">
        <v>1381</v>
      </c>
      <c r="KJZ230" s="508"/>
      <c r="KKA230" s="507" t="s">
        <v>1381</v>
      </c>
      <c r="KKB230" s="508"/>
      <c r="KKC230" s="507" t="s">
        <v>1381</v>
      </c>
      <c r="KKD230" s="508"/>
      <c r="KKE230" s="507" t="s">
        <v>1381</v>
      </c>
      <c r="KKF230" s="508"/>
      <c r="KKG230" s="507" t="s">
        <v>1381</v>
      </c>
      <c r="KKH230" s="508"/>
      <c r="KKI230" s="507" t="s">
        <v>1381</v>
      </c>
      <c r="KKJ230" s="508"/>
      <c r="KKK230" s="507" t="s">
        <v>1381</v>
      </c>
      <c r="KKL230" s="508"/>
      <c r="KKM230" s="507" t="s">
        <v>1381</v>
      </c>
      <c r="KKN230" s="508"/>
      <c r="KKO230" s="507" t="s">
        <v>1381</v>
      </c>
      <c r="KKP230" s="508"/>
      <c r="KKQ230" s="507" t="s">
        <v>1381</v>
      </c>
      <c r="KKR230" s="508"/>
      <c r="KKS230" s="507" t="s">
        <v>1381</v>
      </c>
      <c r="KKT230" s="508"/>
      <c r="KKU230" s="507" t="s">
        <v>1381</v>
      </c>
      <c r="KKV230" s="508"/>
      <c r="KKW230" s="507" t="s">
        <v>1381</v>
      </c>
      <c r="KKX230" s="508"/>
      <c r="KKY230" s="507" t="s">
        <v>1381</v>
      </c>
      <c r="KKZ230" s="508"/>
      <c r="KLA230" s="507" t="s">
        <v>1381</v>
      </c>
      <c r="KLB230" s="508"/>
      <c r="KLC230" s="507" t="s">
        <v>1381</v>
      </c>
      <c r="KLD230" s="508"/>
      <c r="KLE230" s="507" t="s">
        <v>1381</v>
      </c>
      <c r="KLF230" s="508"/>
      <c r="KLG230" s="507" t="s">
        <v>1381</v>
      </c>
      <c r="KLH230" s="508"/>
      <c r="KLI230" s="507" t="s">
        <v>1381</v>
      </c>
      <c r="KLJ230" s="508"/>
      <c r="KLK230" s="507" t="s">
        <v>1381</v>
      </c>
      <c r="KLL230" s="508"/>
      <c r="KLM230" s="507" t="s">
        <v>1381</v>
      </c>
      <c r="KLN230" s="508"/>
      <c r="KLO230" s="507" t="s">
        <v>1381</v>
      </c>
      <c r="KLP230" s="508"/>
      <c r="KLQ230" s="507" t="s">
        <v>1381</v>
      </c>
      <c r="KLR230" s="508"/>
      <c r="KLS230" s="507" t="s">
        <v>1381</v>
      </c>
      <c r="KLT230" s="508"/>
      <c r="KLU230" s="507" t="s">
        <v>1381</v>
      </c>
      <c r="KLV230" s="508"/>
      <c r="KLW230" s="507" t="s">
        <v>1381</v>
      </c>
      <c r="KLX230" s="508"/>
      <c r="KLY230" s="507" t="s">
        <v>1381</v>
      </c>
      <c r="KLZ230" s="508"/>
      <c r="KMA230" s="507" t="s">
        <v>1381</v>
      </c>
      <c r="KMB230" s="508"/>
      <c r="KMC230" s="507" t="s">
        <v>1381</v>
      </c>
      <c r="KMD230" s="508"/>
      <c r="KME230" s="507" t="s">
        <v>1381</v>
      </c>
      <c r="KMF230" s="508"/>
      <c r="KMG230" s="507" t="s">
        <v>1381</v>
      </c>
      <c r="KMH230" s="508"/>
      <c r="KMI230" s="507" t="s">
        <v>1381</v>
      </c>
      <c r="KMJ230" s="508"/>
      <c r="KMK230" s="507" t="s">
        <v>1381</v>
      </c>
      <c r="KML230" s="508"/>
      <c r="KMM230" s="507" t="s">
        <v>1381</v>
      </c>
      <c r="KMN230" s="508"/>
      <c r="KMO230" s="507" t="s">
        <v>1381</v>
      </c>
      <c r="KMP230" s="508"/>
      <c r="KMQ230" s="507" t="s">
        <v>1381</v>
      </c>
      <c r="KMR230" s="508"/>
      <c r="KMS230" s="507" t="s">
        <v>1381</v>
      </c>
      <c r="KMT230" s="508"/>
      <c r="KMU230" s="507" t="s">
        <v>1381</v>
      </c>
      <c r="KMV230" s="508"/>
      <c r="KMW230" s="507" t="s">
        <v>1381</v>
      </c>
      <c r="KMX230" s="508"/>
      <c r="KMY230" s="507" t="s">
        <v>1381</v>
      </c>
      <c r="KMZ230" s="508"/>
      <c r="KNA230" s="507" t="s">
        <v>1381</v>
      </c>
      <c r="KNB230" s="508"/>
      <c r="KNC230" s="507" t="s">
        <v>1381</v>
      </c>
      <c r="KND230" s="508"/>
      <c r="KNE230" s="507" t="s">
        <v>1381</v>
      </c>
      <c r="KNF230" s="508"/>
      <c r="KNG230" s="507" t="s">
        <v>1381</v>
      </c>
      <c r="KNH230" s="508"/>
      <c r="KNI230" s="507" t="s">
        <v>1381</v>
      </c>
      <c r="KNJ230" s="508"/>
      <c r="KNK230" s="507" t="s">
        <v>1381</v>
      </c>
      <c r="KNL230" s="508"/>
      <c r="KNM230" s="507" t="s">
        <v>1381</v>
      </c>
      <c r="KNN230" s="508"/>
      <c r="KNO230" s="507" t="s">
        <v>1381</v>
      </c>
      <c r="KNP230" s="508"/>
      <c r="KNQ230" s="507" t="s">
        <v>1381</v>
      </c>
      <c r="KNR230" s="508"/>
      <c r="KNS230" s="507" t="s">
        <v>1381</v>
      </c>
      <c r="KNT230" s="508"/>
      <c r="KNU230" s="507" t="s">
        <v>1381</v>
      </c>
      <c r="KNV230" s="508"/>
      <c r="KNW230" s="507" t="s">
        <v>1381</v>
      </c>
      <c r="KNX230" s="508"/>
      <c r="KNY230" s="507" t="s">
        <v>1381</v>
      </c>
      <c r="KNZ230" s="508"/>
      <c r="KOA230" s="507" t="s">
        <v>1381</v>
      </c>
      <c r="KOB230" s="508"/>
      <c r="KOC230" s="507" t="s">
        <v>1381</v>
      </c>
      <c r="KOD230" s="508"/>
      <c r="KOE230" s="507" t="s">
        <v>1381</v>
      </c>
      <c r="KOF230" s="508"/>
      <c r="KOG230" s="507" t="s">
        <v>1381</v>
      </c>
      <c r="KOH230" s="508"/>
      <c r="KOI230" s="507" t="s">
        <v>1381</v>
      </c>
      <c r="KOJ230" s="508"/>
      <c r="KOK230" s="507" t="s">
        <v>1381</v>
      </c>
      <c r="KOL230" s="508"/>
      <c r="KOM230" s="507" t="s">
        <v>1381</v>
      </c>
      <c r="KON230" s="508"/>
      <c r="KOO230" s="507" t="s">
        <v>1381</v>
      </c>
      <c r="KOP230" s="508"/>
      <c r="KOQ230" s="507" t="s">
        <v>1381</v>
      </c>
      <c r="KOR230" s="508"/>
      <c r="KOS230" s="507" t="s">
        <v>1381</v>
      </c>
      <c r="KOT230" s="508"/>
      <c r="KOU230" s="507" t="s">
        <v>1381</v>
      </c>
      <c r="KOV230" s="508"/>
      <c r="KOW230" s="507" t="s">
        <v>1381</v>
      </c>
      <c r="KOX230" s="508"/>
      <c r="KOY230" s="507" t="s">
        <v>1381</v>
      </c>
      <c r="KOZ230" s="508"/>
      <c r="KPA230" s="507" t="s">
        <v>1381</v>
      </c>
      <c r="KPB230" s="508"/>
      <c r="KPC230" s="507" t="s">
        <v>1381</v>
      </c>
      <c r="KPD230" s="508"/>
      <c r="KPE230" s="507" t="s">
        <v>1381</v>
      </c>
      <c r="KPF230" s="508"/>
      <c r="KPG230" s="507" t="s">
        <v>1381</v>
      </c>
      <c r="KPH230" s="508"/>
      <c r="KPI230" s="507" t="s">
        <v>1381</v>
      </c>
      <c r="KPJ230" s="508"/>
      <c r="KPK230" s="507" t="s">
        <v>1381</v>
      </c>
      <c r="KPL230" s="508"/>
      <c r="KPM230" s="507" t="s">
        <v>1381</v>
      </c>
      <c r="KPN230" s="508"/>
      <c r="KPO230" s="507" t="s">
        <v>1381</v>
      </c>
      <c r="KPP230" s="508"/>
      <c r="KPQ230" s="507" t="s">
        <v>1381</v>
      </c>
      <c r="KPR230" s="508"/>
      <c r="KPS230" s="507" t="s">
        <v>1381</v>
      </c>
      <c r="KPT230" s="508"/>
      <c r="KPU230" s="507" t="s">
        <v>1381</v>
      </c>
      <c r="KPV230" s="508"/>
      <c r="KPW230" s="507" t="s">
        <v>1381</v>
      </c>
      <c r="KPX230" s="508"/>
      <c r="KPY230" s="507" t="s">
        <v>1381</v>
      </c>
      <c r="KPZ230" s="508"/>
      <c r="KQA230" s="507" t="s">
        <v>1381</v>
      </c>
      <c r="KQB230" s="508"/>
      <c r="KQC230" s="507" t="s">
        <v>1381</v>
      </c>
      <c r="KQD230" s="508"/>
      <c r="KQE230" s="507" t="s">
        <v>1381</v>
      </c>
      <c r="KQF230" s="508"/>
      <c r="KQG230" s="507" t="s">
        <v>1381</v>
      </c>
      <c r="KQH230" s="508"/>
      <c r="KQI230" s="507" t="s">
        <v>1381</v>
      </c>
      <c r="KQJ230" s="508"/>
      <c r="KQK230" s="507" t="s">
        <v>1381</v>
      </c>
      <c r="KQL230" s="508"/>
      <c r="KQM230" s="507" t="s">
        <v>1381</v>
      </c>
      <c r="KQN230" s="508"/>
      <c r="KQO230" s="507" t="s">
        <v>1381</v>
      </c>
      <c r="KQP230" s="508"/>
      <c r="KQQ230" s="507" t="s">
        <v>1381</v>
      </c>
      <c r="KQR230" s="508"/>
      <c r="KQS230" s="507" t="s">
        <v>1381</v>
      </c>
      <c r="KQT230" s="508"/>
      <c r="KQU230" s="507" t="s">
        <v>1381</v>
      </c>
      <c r="KQV230" s="508"/>
      <c r="KQW230" s="507" t="s">
        <v>1381</v>
      </c>
      <c r="KQX230" s="508"/>
      <c r="KQY230" s="507" t="s">
        <v>1381</v>
      </c>
      <c r="KQZ230" s="508"/>
      <c r="KRA230" s="507" t="s">
        <v>1381</v>
      </c>
      <c r="KRB230" s="508"/>
      <c r="KRC230" s="507" t="s">
        <v>1381</v>
      </c>
      <c r="KRD230" s="508"/>
      <c r="KRE230" s="507" t="s">
        <v>1381</v>
      </c>
      <c r="KRF230" s="508"/>
      <c r="KRG230" s="507" t="s">
        <v>1381</v>
      </c>
      <c r="KRH230" s="508"/>
      <c r="KRI230" s="507" t="s">
        <v>1381</v>
      </c>
      <c r="KRJ230" s="508"/>
      <c r="KRK230" s="507" t="s">
        <v>1381</v>
      </c>
      <c r="KRL230" s="508"/>
      <c r="KRM230" s="507" t="s">
        <v>1381</v>
      </c>
      <c r="KRN230" s="508"/>
      <c r="KRO230" s="507" t="s">
        <v>1381</v>
      </c>
      <c r="KRP230" s="508"/>
      <c r="KRQ230" s="507" t="s">
        <v>1381</v>
      </c>
      <c r="KRR230" s="508"/>
      <c r="KRS230" s="507" t="s">
        <v>1381</v>
      </c>
      <c r="KRT230" s="508"/>
      <c r="KRU230" s="507" t="s">
        <v>1381</v>
      </c>
      <c r="KRV230" s="508"/>
      <c r="KRW230" s="507" t="s">
        <v>1381</v>
      </c>
      <c r="KRX230" s="508"/>
      <c r="KRY230" s="507" t="s">
        <v>1381</v>
      </c>
      <c r="KRZ230" s="508"/>
      <c r="KSA230" s="507" t="s">
        <v>1381</v>
      </c>
      <c r="KSB230" s="508"/>
      <c r="KSC230" s="507" t="s">
        <v>1381</v>
      </c>
      <c r="KSD230" s="508"/>
      <c r="KSE230" s="507" t="s">
        <v>1381</v>
      </c>
      <c r="KSF230" s="508"/>
      <c r="KSG230" s="507" t="s">
        <v>1381</v>
      </c>
      <c r="KSH230" s="508"/>
      <c r="KSI230" s="507" t="s">
        <v>1381</v>
      </c>
      <c r="KSJ230" s="508"/>
      <c r="KSK230" s="507" t="s">
        <v>1381</v>
      </c>
      <c r="KSL230" s="508"/>
      <c r="KSM230" s="507" t="s">
        <v>1381</v>
      </c>
      <c r="KSN230" s="508"/>
      <c r="KSO230" s="507" t="s">
        <v>1381</v>
      </c>
      <c r="KSP230" s="508"/>
      <c r="KSQ230" s="507" t="s">
        <v>1381</v>
      </c>
      <c r="KSR230" s="508"/>
      <c r="KSS230" s="507" t="s">
        <v>1381</v>
      </c>
      <c r="KST230" s="508"/>
      <c r="KSU230" s="507" t="s">
        <v>1381</v>
      </c>
      <c r="KSV230" s="508"/>
      <c r="KSW230" s="507" t="s">
        <v>1381</v>
      </c>
      <c r="KSX230" s="508"/>
      <c r="KSY230" s="507" t="s">
        <v>1381</v>
      </c>
      <c r="KSZ230" s="508"/>
      <c r="KTA230" s="507" t="s">
        <v>1381</v>
      </c>
      <c r="KTB230" s="508"/>
      <c r="KTC230" s="507" t="s">
        <v>1381</v>
      </c>
      <c r="KTD230" s="508"/>
      <c r="KTE230" s="507" t="s">
        <v>1381</v>
      </c>
      <c r="KTF230" s="508"/>
      <c r="KTG230" s="507" t="s">
        <v>1381</v>
      </c>
      <c r="KTH230" s="508"/>
      <c r="KTI230" s="507" t="s">
        <v>1381</v>
      </c>
      <c r="KTJ230" s="508"/>
      <c r="KTK230" s="507" t="s">
        <v>1381</v>
      </c>
      <c r="KTL230" s="508"/>
      <c r="KTM230" s="507" t="s">
        <v>1381</v>
      </c>
      <c r="KTN230" s="508"/>
      <c r="KTO230" s="507" t="s">
        <v>1381</v>
      </c>
      <c r="KTP230" s="508"/>
      <c r="KTQ230" s="507" t="s">
        <v>1381</v>
      </c>
      <c r="KTR230" s="508"/>
      <c r="KTS230" s="507" t="s">
        <v>1381</v>
      </c>
      <c r="KTT230" s="508"/>
      <c r="KTU230" s="507" t="s">
        <v>1381</v>
      </c>
      <c r="KTV230" s="508"/>
      <c r="KTW230" s="507" t="s">
        <v>1381</v>
      </c>
      <c r="KTX230" s="508"/>
      <c r="KTY230" s="507" t="s">
        <v>1381</v>
      </c>
      <c r="KTZ230" s="508"/>
      <c r="KUA230" s="507" t="s">
        <v>1381</v>
      </c>
      <c r="KUB230" s="508"/>
      <c r="KUC230" s="507" t="s">
        <v>1381</v>
      </c>
      <c r="KUD230" s="508"/>
      <c r="KUE230" s="507" t="s">
        <v>1381</v>
      </c>
      <c r="KUF230" s="508"/>
      <c r="KUG230" s="507" t="s">
        <v>1381</v>
      </c>
      <c r="KUH230" s="508"/>
      <c r="KUI230" s="507" t="s">
        <v>1381</v>
      </c>
      <c r="KUJ230" s="508"/>
      <c r="KUK230" s="507" t="s">
        <v>1381</v>
      </c>
      <c r="KUL230" s="508"/>
      <c r="KUM230" s="507" t="s">
        <v>1381</v>
      </c>
      <c r="KUN230" s="508"/>
      <c r="KUO230" s="507" t="s">
        <v>1381</v>
      </c>
      <c r="KUP230" s="508"/>
      <c r="KUQ230" s="507" t="s">
        <v>1381</v>
      </c>
      <c r="KUR230" s="508"/>
      <c r="KUS230" s="507" t="s">
        <v>1381</v>
      </c>
      <c r="KUT230" s="508"/>
      <c r="KUU230" s="507" t="s">
        <v>1381</v>
      </c>
      <c r="KUV230" s="508"/>
      <c r="KUW230" s="507" t="s">
        <v>1381</v>
      </c>
      <c r="KUX230" s="508"/>
      <c r="KUY230" s="507" t="s">
        <v>1381</v>
      </c>
      <c r="KUZ230" s="508"/>
      <c r="KVA230" s="507" t="s">
        <v>1381</v>
      </c>
      <c r="KVB230" s="508"/>
      <c r="KVC230" s="507" t="s">
        <v>1381</v>
      </c>
      <c r="KVD230" s="508"/>
      <c r="KVE230" s="507" t="s">
        <v>1381</v>
      </c>
      <c r="KVF230" s="508"/>
      <c r="KVG230" s="507" t="s">
        <v>1381</v>
      </c>
      <c r="KVH230" s="508"/>
      <c r="KVI230" s="507" t="s">
        <v>1381</v>
      </c>
      <c r="KVJ230" s="508"/>
      <c r="KVK230" s="507" t="s">
        <v>1381</v>
      </c>
      <c r="KVL230" s="508"/>
      <c r="KVM230" s="507" t="s">
        <v>1381</v>
      </c>
      <c r="KVN230" s="508"/>
      <c r="KVO230" s="507" t="s">
        <v>1381</v>
      </c>
      <c r="KVP230" s="508"/>
      <c r="KVQ230" s="507" t="s">
        <v>1381</v>
      </c>
      <c r="KVR230" s="508"/>
      <c r="KVS230" s="507" t="s">
        <v>1381</v>
      </c>
      <c r="KVT230" s="508"/>
      <c r="KVU230" s="507" t="s">
        <v>1381</v>
      </c>
      <c r="KVV230" s="508"/>
      <c r="KVW230" s="507" t="s">
        <v>1381</v>
      </c>
      <c r="KVX230" s="508"/>
      <c r="KVY230" s="507" t="s">
        <v>1381</v>
      </c>
      <c r="KVZ230" s="508"/>
      <c r="KWA230" s="507" t="s">
        <v>1381</v>
      </c>
      <c r="KWB230" s="508"/>
      <c r="KWC230" s="507" t="s">
        <v>1381</v>
      </c>
      <c r="KWD230" s="508"/>
      <c r="KWE230" s="507" t="s">
        <v>1381</v>
      </c>
      <c r="KWF230" s="508"/>
      <c r="KWG230" s="507" t="s">
        <v>1381</v>
      </c>
      <c r="KWH230" s="508"/>
      <c r="KWI230" s="507" t="s">
        <v>1381</v>
      </c>
      <c r="KWJ230" s="508"/>
      <c r="KWK230" s="507" t="s">
        <v>1381</v>
      </c>
      <c r="KWL230" s="508"/>
      <c r="KWM230" s="507" t="s">
        <v>1381</v>
      </c>
      <c r="KWN230" s="508"/>
      <c r="KWO230" s="507" t="s">
        <v>1381</v>
      </c>
      <c r="KWP230" s="508"/>
      <c r="KWQ230" s="507" t="s">
        <v>1381</v>
      </c>
      <c r="KWR230" s="508"/>
      <c r="KWS230" s="507" t="s">
        <v>1381</v>
      </c>
      <c r="KWT230" s="508"/>
      <c r="KWU230" s="507" t="s">
        <v>1381</v>
      </c>
      <c r="KWV230" s="508"/>
      <c r="KWW230" s="507" t="s">
        <v>1381</v>
      </c>
      <c r="KWX230" s="508"/>
      <c r="KWY230" s="507" t="s">
        <v>1381</v>
      </c>
      <c r="KWZ230" s="508"/>
      <c r="KXA230" s="507" t="s">
        <v>1381</v>
      </c>
      <c r="KXB230" s="508"/>
      <c r="KXC230" s="507" t="s">
        <v>1381</v>
      </c>
      <c r="KXD230" s="508"/>
      <c r="KXE230" s="507" t="s">
        <v>1381</v>
      </c>
      <c r="KXF230" s="508"/>
      <c r="KXG230" s="507" t="s">
        <v>1381</v>
      </c>
      <c r="KXH230" s="508"/>
      <c r="KXI230" s="507" t="s">
        <v>1381</v>
      </c>
      <c r="KXJ230" s="508"/>
      <c r="KXK230" s="507" t="s">
        <v>1381</v>
      </c>
      <c r="KXL230" s="508"/>
      <c r="KXM230" s="507" t="s">
        <v>1381</v>
      </c>
      <c r="KXN230" s="508"/>
      <c r="KXO230" s="507" t="s">
        <v>1381</v>
      </c>
      <c r="KXP230" s="508"/>
      <c r="KXQ230" s="507" t="s">
        <v>1381</v>
      </c>
      <c r="KXR230" s="508"/>
      <c r="KXS230" s="507" t="s">
        <v>1381</v>
      </c>
      <c r="KXT230" s="508"/>
      <c r="KXU230" s="507" t="s">
        <v>1381</v>
      </c>
      <c r="KXV230" s="508"/>
      <c r="KXW230" s="507" t="s">
        <v>1381</v>
      </c>
      <c r="KXX230" s="508"/>
      <c r="KXY230" s="507" t="s">
        <v>1381</v>
      </c>
      <c r="KXZ230" s="508"/>
      <c r="KYA230" s="507" t="s">
        <v>1381</v>
      </c>
      <c r="KYB230" s="508"/>
      <c r="KYC230" s="507" t="s">
        <v>1381</v>
      </c>
      <c r="KYD230" s="508"/>
      <c r="KYE230" s="507" t="s">
        <v>1381</v>
      </c>
      <c r="KYF230" s="508"/>
      <c r="KYG230" s="507" t="s">
        <v>1381</v>
      </c>
      <c r="KYH230" s="508"/>
      <c r="KYI230" s="507" t="s">
        <v>1381</v>
      </c>
      <c r="KYJ230" s="508"/>
      <c r="KYK230" s="507" t="s">
        <v>1381</v>
      </c>
      <c r="KYL230" s="508"/>
      <c r="KYM230" s="507" t="s">
        <v>1381</v>
      </c>
      <c r="KYN230" s="508"/>
      <c r="KYO230" s="507" t="s">
        <v>1381</v>
      </c>
      <c r="KYP230" s="508"/>
      <c r="KYQ230" s="507" t="s">
        <v>1381</v>
      </c>
      <c r="KYR230" s="508"/>
      <c r="KYS230" s="507" t="s">
        <v>1381</v>
      </c>
      <c r="KYT230" s="508"/>
      <c r="KYU230" s="507" t="s">
        <v>1381</v>
      </c>
      <c r="KYV230" s="508"/>
      <c r="KYW230" s="507" t="s">
        <v>1381</v>
      </c>
      <c r="KYX230" s="508"/>
      <c r="KYY230" s="507" t="s">
        <v>1381</v>
      </c>
      <c r="KYZ230" s="508"/>
      <c r="KZA230" s="507" t="s">
        <v>1381</v>
      </c>
      <c r="KZB230" s="508"/>
      <c r="KZC230" s="507" t="s">
        <v>1381</v>
      </c>
      <c r="KZD230" s="508"/>
      <c r="KZE230" s="507" t="s">
        <v>1381</v>
      </c>
      <c r="KZF230" s="508"/>
      <c r="KZG230" s="507" t="s">
        <v>1381</v>
      </c>
      <c r="KZH230" s="508"/>
      <c r="KZI230" s="507" t="s">
        <v>1381</v>
      </c>
      <c r="KZJ230" s="508"/>
      <c r="KZK230" s="507" t="s">
        <v>1381</v>
      </c>
      <c r="KZL230" s="508"/>
      <c r="KZM230" s="507" t="s">
        <v>1381</v>
      </c>
      <c r="KZN230" s="508"/>
      <c r="KZO230" s="507" t="s">
        <v>1381</v>
      </c>
      <c r="KZP230" s="508"/>
      <c r="KZQ230" s="507" t="s">
        <v>1381</v>
      </c>
      <c r="KZR230" s="508"/>
      <c r="KZS230" s="507" t="s">
        <v>1381</v>
      </c>
      <c r="KZT230" s="508"/>
      <c r="KZU230" s="507" t="s">
        <v>1381</v>
      </c>
      <c r="KZV230" s="508"/>
      <c r="KZW230" s="507" t="s">
        <v>1381</v>
      </c>
      <c r="KZX230" s="508"/>
      <c r="KZY230" s="507" t="s">
        <v>1381</v>
      </c>
      <c r="KZZ230" s="508"/>
      <c r="LAA230" s="507" t="s">
        <v>1381</v>
      </c>
      <c r="LAB230" s="508"/>
      <c r="LAC230" s="507" t="s">
        <v>1381</v>
      </c>
      <c r="LAD230" s="508"/>
      <c r="LAE230" s="507" t="s">
        <v>1381</v>
      </c>
      <c r="LAF230" s="508"/>
      <c r="LAG230" s="507" t="s">
        <v>1381</v>
      </c>
      <c r="LAH230" s="508"/>
      <c r="LAI230" s="507" t="s">
        <v>1381</v>
      </c>
      <c r="LAJ230" s="508"/>
      <c r="LAK230" s="507" t="s">
        <v>1381</v>
      </c>
      <c r="LAL230" s="508"/>
      <c r="LAM230" s="507" t="s">
        <v>1381</v>
      </c>
      <c r="LAN230" s="508"/>
      <c r="LAO230" s="507" t="s">
        <v>1381</v>
      </c>
      <c r="LAP230" s="508"/>
      <c r="LAQ230" s="507" t="s">
        <v>1381</v>
      </c>
      <c r="LAR230" s="508"/>
      <c r="LAS230" s="507" t="s">
        <v>1381</v>
      </c>
      <c r="LAT230" s="508"/>
      <c r="LAU230" s="507" t="s">
        <v>1381</v>
      </c>
      <c r="LAV230" s="508"/>
      <c r="LAW230" s="507" t="s">
        <v>1381</v>
      </c>
      <c r="LAX230" s="508"/>
      <c r="LAY230" s="507" t="s">
        <v>1381</v>
      </c>
      <c r="LAZ230" s="508"/>
      <c r="LBA230" s="507" t="s">
        <v>1381</v>
      </c>
      <c r="LBB230" s="508"/>
      <c r="LBC230" s="507" t="s">
        <v>1381</v>
      </c>
      <c r="LBD230" s="508"/>
      <c r="LBE230" s="507" t="s">
        <v>1381</v>
      </c>
      <c r="LBF230" s="508"/>
      <c r="LBG230" s="507" t="s">
        <v>1381</v>
      </c>
      <c r="LBH230" s="508"/>
      <c r="LBI230" s="507" t="s">
        <v>1381</v>
      </c>
      <c r="LBJ230" s="508"/>
      <c r="LBK230" s="507" t="s">
        <v>1381</v>
      </c>
      <c r="LBL230" s="508"/>
      <c r="LBM230" s="507" t="s">
        <v>1381</v>
      </c>
      <c r="LBN230" s="508"/>
      <c r="LBO230" s="507" t="s">
        <v>1381</v>
      </c>
      <c r="LBP230" s="508"/>
      <c r="LBQ230" s="507" t="s">
        <v>1381</v>
      </c>
      <c r="LBR230" s="508"/>
      <c r="LBS230" s="507" t="s">
        <v>1381</v>
      </c>
      <c r="LBT230" s="508"/>
      <c r="LBU230" s="507" t="s">
        <v>1381</v>
      </c>
      <c r="LBV230" s="508"/>
      <c r="LBW230" s="507" t="s">
        <v>1381</v>
      </c>
      <c r="LBX230" s="508"/>
      <c r="LBY230" s="507" t="s">
        <v>1381</v>
      </c>
      <c r="LBZ230" s="508"/>
      <c r="LCA230" s="507" t="s">
        <v>1381</v>
      </c>
      <c r="LCB230" s="508"/>
      <c r="LCC230" s="507" t="s">
        <v>1381</v>
      </c>
      <c r="LCD230" s="508"/>
      <c r="LCE230" s="507" t="s">
        <v>1381</v>
      </c>
      <c r="LCF230" s="508"/>
      <c r="LCG230" s="507" t="s">
        <v>1381</v>
      </c>
      <c r="LCH230" s="508"/>
      <c r="LCI230" s="507" t="s">
        <v>1381</v>
      </c>
      <c r="LCJ230" s="508"/>
      <c r="LCK230" s="507" t="s">
        <v>1381</v>
      </c>
      <c r="LCL230" s="508"/>
      <c r="LCM230" s="507" t="s">
        <v>1381</v>
      </c>
      <c r="LCN230" s="508"/>
      <c r="LCO230" s="507" t="s">
        <v>1381</v>
      </c>
      <c r="LCP230" s="508"/>
      <c r="LCQ230" s="507" t="s">
        <v>1381</v>
      </c>
      <c r="LCR230" s="508"/>
      <c r="LCS230" s="507" t="s">
        <v>1381</v>
      </c>
      <c r="LCT230" s="508"/>
      <c r="LCU230" s="507" t="s">
        <v>1381</v>
      </c>
      <c r="LCV230" s="508"/>
      <c r="LCW230" s="507" t="s">
        <v>1381</v>
      </c>
      <c r="LCX230" s="508"/>
      <c r="LCY230" s="507" t="s">
        <v>1381</v>
      </c>
      <c r="LCZ230" s="508"/>
      <c r="LDA230" s="507" t="s">
        <v>1381</v>
      </c>
      <c r="LDB230" s="508"/>
      <c r="LDC230" s="507" t="s">
        <v>1381</v>
      </c>
      <c r="LDD230" s="508"/>
      <c r="LDE230" s="507" t="s">
        <v>1381</v>
      </c>
      <c r="LDF230" s="508"/>
      <c r="LDG230" s="507" t="s">
        <v>1381</v>
      </c>
      <c r="LDH230" s="508"/>
      <c r="LDI230" s="507" t="s">
        <v>1381</v>
      </c>
      <c r="LDJ230" s="508"/>
      <c r="LDK230" s="507" t="s">
        <v>1381</v>
      </c>
      <c r="LDL230" s="508"/>
      <c r="LDM230" s="507" t="s">
        <v>1381</v>
      </c>
      <c r="LDN230" s="508"/>
      <c r="LDO230" s="507" t="s">
        <v>1381</v>
      </c>
      <c r="LDP230" s="508"/>
      <c r="LDQ230" s="507" t="s">
        <v>1381</v>
      </c>
      <c r="LDR230" s="508"/>
      <c r="LDS230" s="507" t="s">
        <v>1381</v>
      </c>
      <c r="LDT230" s="508"/>
      <c r="LDU230" s="507" t="s">
        <v>1381</v>
      </c>
      <c r="LDV230" s="508"/>
      <c r="LDW230" s="507" t="s">
        <v>1381</v>
      </c>
      <c r="LDX230" s="508"/>
      <c r="LDY230" s="507" t="s">
        <v>1381</v>
      </c>
      <c r="LDZ230" s="508"/>
      <c r="LEA230" s="507" t="s">
        <v>1381</v>
      </c>
      <c r="LEB230" s="508"/>
      <c r="LEC230" s="507" t="s">
        <v>1381</v>
      </c>
      <c r="LED230" s="508"/>
      <c r="LEE230" s="507" t="s">
        <v>1381</v>
      </c>
      <c r="LEF230" s="508"/>
      <c r="LEG230" s="507" t="s">
        <v>1381</v>
      </c>
      <c r="LEH230" s="508"/>
      <c r="LEI230" s="507" t="s">
        <v>1381</v>
      </c>
      <c r="LEJ230" s="508"/>
      <c r="LEK230" s="507" t="s">
        <v>1381</v>
      </c>
      <c r="LEL230" s="508"/>
      <c r="LEM230" s="507" t="s">
        <v>1381</v>
      </c>
      <c r="LEN230" s="508"/>
      <c r="LEO230" s="507" t="s">
        <v>1381</v>
      </c>
      <c r="LEP230" s="508"/>
      <c r="LEQ230" s="507" t="s">
        <v>1381</v>
      </c>
      <c r="LER230" s="508"/>
      <c r="LES230" s="507" t="s">
        <v>1381</v>
      </c>
      <c r="LET230" s="508"/>
      <c r="LEU230" s="507" t="s">
        <v>1381</v>
      </c>
      <c r="LEV230" s="508"/>
      <c r="LEW230" s="507" t="s">
        <v>1381</v>
      </c>
      <c r="LEX230" s="508"/>
      <c r="LEY230" s="507" t="s">
        <v>1381</v>
      </c>
      <c r="LEZ230" s="508"/>
      <c r="LFA230" s="507" t="s">
        <v>1381</v>
      </c>
      <c r="LFB230" s="508"/>
      <c r="LFC230" s="507" t="s">
        <v>1381</v>
      </c>
      <c r="LFD230" s="508"/>
      <c r="LFE230" s="507" t="s">
        <v>1381</v>
      </c>
      <c r="LFF230" s="508"/>
      <c r="LFG230" s="507" t="s">
        <v>1381</v>
      </c>
      <c r="LFH230" s="508"/>
      <c r="LFI230" s="507" t="s">
        <v>1381</v>
      </c>
      <c r="LFJ230" s="508"/>
      <c r="LFK230" s="507" t="s">
        <v>1381</v>
      </c>
      <c r="LFL230" s="508"/>
      <c r="LFM230" s="507" t="s">
        <v>1381</v>
      </c>
      <c r="LFN230" s="508"/>
      <c r="LFO230" s="507" t="s">
        <v>1381</v>
      </c>
      <c r="LFP230" s="508"/>
      <c r="LFQ230" s="507" t="s">
        <v>1381</v>
      </c>
      <c r="LFR230" s="508"/>
      <c r="LFS230" s="507" t="s">
        <v>1381</v>
      </c>
      <c r="LFT230" s="508"/>
      <c r="LFU230" s="507" t="s">
        <v>1381</v>
      </c>
      <c r="LFV230" s="508"/>
      <c r="LFW230" s="507" t="s">
        <v>1381</v>
      </c>
      <c r="LFX230" s="508"/>
      <c r="LFY230" s="507" t="s">
        <v>1381</v>
      </c>
      <c r="LFZ230" s="508"/>
      <c r="LGA230" s="507" t="s">
        <v>1381</v>
      </c>
      <c r="LGB230" s="508"/>
      <c r="LGC230" s="507" t="s">
        <v>1381</v>
      </c>
      <c r="LGD230" s="508"/>
      <c r="LGE230" s="507" t="s">
        <v>1381</v>
      </c>
      <c r="LGF230" s="508"/>
      <c r="LGG230" s="507" t="s">
        <v>1381</v>
      </c>
      <c r="LGH230" s="508"/>
      <c r="LGI230" s="507" t="s">
        <v>1381</v>
      </c>
      <c r="LGJ230" s="508"/>
      <c r="LGK230" s="507" t="s">
        <v>1381</v>
      </c>
      <c r="LGL230" s="508"/>
      <c r="LGM230" s="507" t="s">
        <v>1381</v>
      </c>
      <c r="LGN230" s="508"/>
      <c r="LGO230" s="507" t="s">
        <v>1381</v>
      </c>
      <c r="LGP230" s="508"/>
      <c r="LGQ230" s="507" t="s">
        <v>1381</v>
      </c>
      <c r="LGR230" s="508"/>
      <c r="LGS230" s="507" t="s">
        <v>1381</v>
      </c>
      <c r="LGT230" s="508"/>
      <c r="LGU230" s="507" t="s">
        <v>1381</v>
      </c>
      <c r="LGV230" s="508"/>
      <c r="LGW230" s="507" t="s">
        <v>1381</v>
      </c>
      <c r="LGX230" s="508"/>
      <c r="LGY230" s="507" t="s">
        <v>1381</v>
      </c>
      <c r="LGZ230" s="508"/>
      <c r="LHA230" s="507" t="s">
        <v>1381</v>
      </c>
      <c r="LHB230" s="508"/>
      <c r="LHC230" s="507" t="s">
        <v>1381</v>
      </c>
      <c r="LHD230" s="508"/>
      <c r="LHE230" s="507" t="s">
        <v>1381</v>
      </c>
      <c r="LHF230" s="508"/>
      <c r="LHG230" s="507" t="s">
        <v>1381</v>
      </c>
      <c r="LHH230" s="508"/>
      <c r="LHI230" s="507" t="s">
        <v>1381</v>
      </c>
      <c r="LHJ230" s="508"/>
      <c r="LHK230" s="507" t="s">
        <v>1381</v>
      </c>
      <c r="LHL230" s="508"/>
      <c r="LHM230" s="507" t="s">
        <v>1381</v>
      </c>
      <c r="LHN230" s="508"/>
      <c r="LHO230" s="507" t="s">
        <v>1381</v>
      </c>
      <c r="LHP230" s="508"/>
      <c r="LHQ230" s="507" t="s">
        <v>1381</v>
      </c>
      <c r="LHR230" s="508"/>
      <c r="LHS230" s="507" t="s">
        <v>1381</v>
      </c>
      <c r="LHT230" s="508"/>
      <c r="LHU230" s="507" t="s">
        <v>1381</v>
      </c>
      <c r="LHV230" s="508"/>
      <c r="LHW230" s="507" t="s">
        <v>1381</v>
      </c>
      <c r="LHX230" s="508"/>
      <c r="LHY230" s="507" t="s">
        <v>1381</v>
      </c>
      <c r="LHZ230" s="508"/>
      <c r="LIA230" s="507" t="s">
        <v>1381</v>
      </c>
      <c r="LIB230" s="508"/>
      <c r="LIC230" s="507" t="s">
        <v>1381</v>
      </c>
      <c r="LID230" s="508"/>
      <c r="LIE230" s="507" t="s">
        <v>1381</v>
      </c>
      <c r="LIF230" s="508"/>
      <c r="LIG230" s="507" t="s">
        <v>1381</v>
      </c>
      <c r="LIH230" s="508"/>
      <c r="LII230" s="507" t="s">
        <v>1381</v>
      </c>
      <c r="LIJ230" s="508"/>
      <c r="LIK230" s="507" t="s">
        <v>1381</v>
      </c>
      <c r="LIL230" s="508"/>
      <c r="LIM230" s="507" t="s">
        <v>1381</v>
      </c>
      <c r="LIN230" s="508"/>
      <c r="LIO230" s="507" t="s">
        <v>1381</v>
      </c>
      <c r="LIP230" s="508"/>
      <c r="LIQ230" s="507" t="s">
        <v>1381</v>
      </c>
      <c r="LIR230" s="508"/>
      <c r="LIS230" s="507" t="s">
        <v>1381</v>
      </c>
      <c r="LIT230" s="508"/>
      <c r="LIU230" s="507" t="s">
        <v>1381</v>
      </c>
      <c r="LIV230" s="508"/>
      <c r="LIW230" s="507" t="s">
        <v>1381</v>
      </c>
      <c r="LIX230" s="508"/>
      <c r="LIY230" s="507" t="s">
        <v>1381</v>
      </c>
      <c r="LIZ230" s="508"/>
      <c r="LJA230" s="507" t="s">
        <v>1381</v>
      </c>
      <c r="LJB230" s="508"/>
      <c r="LJC230" s="507" t="s">
        <v>1381</v>
      </c>
      <c r="LJD230" s="508"/>
      <c r="LJE230" s="507" t="s">
        <v>1381</v>
      </c>
      <c r="LJF230" s="508"/>
      <c r="LJG230" s="507" t="s">
        <v>1381</v>
      </c>
      <c r="LJH230" s="508"/>
      <c r="LJI230" s="507" t="s">
        <v>1381</v>
      </c>
      <c r="LJJ230" s="508"/>
      <c r="LJK230" s="507" t="s">
        <v>1381</v>
      </c>
      <c r="LJL230" s="508"/>
      <c r="LJM230" s="507" t="s">
        <v>1381</v>
      </c>
      <c r="LJN230" s="508"/>
      <c r="LJO230" s="507" t="s">
        <v>1381</v>
      </c>
      <c r="LJP230" s="508"/>
      <c r="LJQ230" s="507" t="s">
        <v>1381</v>
      </c>
      <c r="LJR230" s="508"/>
      <c r="LJS230" s="507" t="s">
        <v>1381</v>
      </c>
      <c r="LJT230" s="508"/>
      <c r="LJU230" s="507" t="s">
        <v>1381</v>
      </c>
      <c r="LJV230" s="508"/>
      <c r="LJW230" s="507" t="s">
        <v>1381</v>
      </c>
      <c r="LJX230" s="508"/>
      <c r="LJY230" s="507" t="s">
        <v>1381</v>
      </c>
      <c r="LJZ230" s="508"/>
      <c r="LKA230" s="507" t="s">
        <v>1381</v>
      </c>
      <c r="LKB230" s="508"/>
      <c r="LKC230" s="507" t="s">
        <v>1381</v>
      </c>
      <c r="LKD230" s="508"/>
      <c r="LKE230" s="507" t="s">
        <v>1381</v>
      </c>
      <c r="LKF230" s="508"/>
      <c r="LKG230" s="507" t="s">
        <v>1381</v>
      </c>
      <c r="LKH230" s="508"/>
      <c r="LKI230" s="507" t="s">
        <v>1381</v>
      </c>
      <c r="LKJ230" s="508"/>
      <c r="LKK230" s="507" t="s">
        <v>1381</v>
      </c>
      <c r="LKL230" s="508"/>
      <c r="LKM230" s="507" t="s">
        <v>1381</v>
      </c>
      <c r="LKN230" s="508"/>
      <c r="LKO230" s="507" t="s">
        <v>1381</v>
      </c>
      <c r="LKP230" s="508"/>
      <c r="LKQ230" s="507" t="s">
        <v>1381</v>
      </c>
      <c r="LKR230" s="508"/>
      <c r="LKS230" s="507" t="s">
        <v>1381</v>
      </c>
      <c r="LKT230" s="508"/>
      <c r="LKU230" s="507" t="s">
        <v>1381</v>
      </c>
      <c r="LKV230" s="508"/>
      <c r="LKW230" s="507" t="s">
        <v>1381</v>
      </c>
      <c r="LKX230" s="508"/>
      <c r="LKY230" s="507" t="s">
        <v>1381</v>
      </c>
      <c r="LKZ230" s="508"/>
      <c r="LLA230" s="507" t="s">
        <v>1381</v>
      </c>
      <c r="LLB230" s="508"/>
      <c r="LLC230" s="507" t="s">
        <v>1381</v>
      </c>
      <c r="LLD230" s="508"/>
      <c r="LLE230" s="507" t="s">
        <v>1381</v>
      </c>
      <c r="LLF230" s="508"/>
      <c r="LLG230" s="507" t="s">
        <v>1381</v>
      </c>
      <c r="LLH230" s="508"/>
      <c r="LLI230" s="507" t="s">
        <v>1381</v>
      </c>
      <c r="LLJ230" s="508"/>
      <c r="LLK230" s="507" t="s">
        <v>1381</v>
      </c>
      <c r="LLL230" s="508"/>
      <c r="LLM230" s="507" t="s">
        <v>1381</v>
      </c>
      <c r="LLN230" s="508"/>
      <c r="LLO230" s="507" t="s">
        <v>1381</v>
      </c>
      <c r="LLP230" s="508"/>
      <c r="LLQ230" s="507" t="s">
        <v>1381</v>
      </c>
      <c r="LLR230" s="508"/>
      <c r="LLS230" s="507" t="s">
        <v>1381</v>
      </c>
      <c r="LLT230" s="508"/>
      <c r="LLU230" s="507" t="s">
        <v>1381</v>
      </c>
      <c r="LLV230" s="508"/>
      <c r="LLW230" s="507" t="s">
        <v>1381</v>
      </c>
      <c r="LLX230" s="508"/>
      <c r="LLY230" s="507" t="s">
        <v>1381</v>
      </c>
      <c r="LLZ230" s="508"/>
      <c r="LMA230" s="507" t="s">
        <v>1381</v>
      </c>
      <c r="LMB230" s="508"/>
      <c r="LMC230" s="507" t="s">
        <v>1381</v>
      </c>
      <c r="LMD230" s="508"/>
      <c r="LME230" s="507" t="s">
        <v>1381</v>
      </c>
      <c r="LMF230" s="508"/>
      <c r="LMG230" s="507" t="s">
        <v>1381</v>
      </c>
      <c r="LMH230" s="508"/>
      <c r="LMI230" s="507" t="s">
        <v>1381</v>
      </c>
      <c r="LMJ230" s="508"/>
      <c r="LMK230" s="507" t="s">
        <v>1381</v>
      </c>
      <c r="LML230" s="508"/>
      <c r="LMM230" s="507" t="s">
        <v>1381</v>
      </c>
      <c r="LMN230" s="508"/>
      <c r="LMO230" s="507" t="s">
        <v>1381</v>
      </c>
      <c r="LMP230" s="508"/>
      <c r="LMQ230" s="507" t="s">
        <v>1381</v>
      </c>
      <c r="LMR230" s="508"/>
      <c r="LMS230" s="507" t="s">
        <v>1381</v>
      </c>
      <c r="LMT230" s="508"/>
      <c r="LMU230" s="507" t="s">
        <v>1381</v>
      </c>
      <c r="LMV230" s="508"/>
      <c r="LMW230" s="507" t="s">
        <v>1381</v>
      </c>
      <c r="LMX230" s="508"/>
      <c r="LMY230" s="507" t="s">
        <v>1381</v>
      </c>
      <c r="LMZ230" s="508"/>
      <c r="LNA230" s="507" t="s">
        <v>1381</v>
      </c>
      <c r="LNB230" s="508"/>
      <c r="LNC230" s="507" t="s">
        <v>1381</v>
      </c>
      <c r="LND230" s="508"/>
      <c r="LNE230" s="507" t="s">
        <v>1381</v>
      </c>
      <c r="LNF230" s="508"/>
      <c r="LNG230" s="507" t="s">
        <v>1381</v>
      </c>
      <c r="LNH230" s="508"/>
      <c r="LNI230" s="507" t="s">
        <v>1381</v>
      </c>
      <c r="LNJ230" s="508"/>
      <c r="LNK230" s="507" t="s">
        <v>1381</v>
      </c>
      <c r="LNL230" s="508"/>
      <c r="LNM230" s="507" t="s">
        <v>1381</v>
      </c>
      <c r="LNN230" s="508"/>
      <c r="LNO230" s="507" t="s">
        <v>1381</v>
      </c>
      <c r="LNP230" s="508"/>
      <c r="LNQ230" s="507" t="s">
        <v>1381</v>
      </c>
      <c r="LNR230" s="508"/>
      <c r="LNS230" s="507" t="s">
        <v>1381</v>
      </c>
      <c r="LNT230" s="508"/>
      <c r="LNU230" s="507" t="s">
        <v>1381</v>
      </c>
      <c r="LNV230" s="508"/>
      <c r="LNW230" s="507" t="s">
        <v>1381</v>
      </c>
      <c r="LNX230" s="508"/>
      <c r="LNY230" s="507" t="s">
        <v>1381</v>
      </c>
      <c r="LNZ230" s="508"/>
      <c r="LOA230" s="507" t="s">
        <v>1381</v>
      </c>
      <c r="LOB230" s="508"/>
      <c r="LOC230" s="507" t="s">
        <v>1381</v>
      </c>
      <c r="LOD230" s="508"/>
      <c r="LOE230" s="507" t="s">
        <v>1381</v>
      </c>
      <c r="LOF230" s="508"/>
      <c r="LOG230" s="507" t="s">
        <v>1381</v>
      </c>
      <c r="LOH230" s="508"/>
      <c r="LOI230" s="507" t="s">
        <v>1381</v>
      </c>
      <c r="LOJ230" s="508"/>
      <c r="LOK230" s="507" t="s">
        <v>1381</v>
      </c>
      <c r="LOL230" s="508"/>
      <c r="LOM230" s="507" t="s">
        <v>1381</v>
      </c>
      <c r="LON230" s="508"/>
      <c r="LOO230" s="507" t="s">
        <v>1381</v>
      </c>
      <c r="LOP230" s="508"/>
      <c r="LOQ230" s="507" t="s">
        <v>1381</v>
      </c>
      <c r="LOR230" s="508"/>
      <c r="LOS230" s="507" t="s">
        <v>1381</v>
      </c>
      <c r="LOT230" s="508"/>
      <c r="LOU230" s="507" t="s">
        <v>1381</v>
      </c>
      <c r="LOV230" s="508"/>
      <c r="LOW230" s="507" t="s">
        <v>1381</v>
      </c>
      <c r="LOX230" s="508"/>
      <c r="LOY230" s="507" t="s">
        <v>1381</v>
      </c>
      <c r="LOZ230" s="508"/>
      <c r="LPA230" s="507" t="s">
        <v>1381</v>
      </c>
      <c r="LPB230" s="508"/>
      <c r="LPC230" s="507" t="s">
        <v>1381</v>
      </c>
      <c r="LPD230" s="508"/>
      <c r="LPE230" s="507" t="s">
        <v>1381</v>
      </c>
      <c r="LPF230" s="508"/>
      <c r="LPG230" s="507" t="s">
        <v>1381</v>
      </c>
      <c r="LPH230" s="508"/>
      <c r="LPI230" s="507" t="s">
        <v>1381</v>
      </c>
      <c r="LPJ230" s="508"/>
      <c r="LPK230" s="507" t="s">
        <v>1381</v>
      </c>
      <c r="LPL230" s="508"/>
      <c r="LPM230" s="507" t="s">
        <v>1381</v>
      </c>
      <c r="LPN230" s="508"/>
      <c r="LPO230" s="507" t="s">
        <v>1381</v>
      </c>
      <c r="LPP230" s="508"/>
      <c r="LPQ230" s="507" t="s">
        <v>1381</v>
      </c>
      <c r="LPR230" s="508"/>
      <c r="LPS230" s="507" t="s">
        <v>1381</v>
      </c>
      <c r="LPT230" s="508"/>
      <c r="LPU230" s="507" t="s">
        <v>1381</v>
      </c>
      <c r="LPV230" s="508"/>
      <c r="LPW230" s="507" t="s">
        <v>1381</v>
      </c>
      <c r="LPX230" s="508"/>
      <c r="LPY230" s="507" t="s">
        <v>1381</v>
      </c>
      <c r="LPZ230" s="508"/>
      <c r="LQA230" s="507" t="s">
        <v>1381</v>
      </c>
      <c r="LQB230" s="508"/>
      <c r="LQC230" s="507" t="s">
        <v>1381</v>
      </c>
      <c r="LQD230" s="508"/>
      <c r="LQE230" s="507" t="s">
        <v>1381</v>
      </c>
      <c r="LQF230" s="508"/>
      <c r="LQG230" s="507" t="s">
        <v>1381</v>
      </c>
      <c r="LQH230" s="508"/>
      <c r="LQI230" s="507" t="s">
        <v>1381</v>
      </c>
      <c r="LQJ230" s="508"/>
      <c r="LQK230" s="507" t="s">
        <v>1381</v>
      </c>
      <c r="LQL230" s="508"/>
      <c r="LQM230" s="507" t="s">
        <v>1381</v>
      </c>
      <c r="LQN230" s="508"/>
      <c r="LQO230" s="507" t="s">
        <v>1381</v>
      </c>
      <c r="LQP230" s="508"/>
      <c r="LQQ230" s="507" t="s">
        <v>1381</v>
      </c>
      <c r="LQR230" s="508"/>
      <c r="LQS230" s="507" t="s">
        <v>1381</v>
      </c>
      <c r="LQT230" s="508"/>
      <c r="LQU230" s="507" t="s">
        <v>1381</v>
      </c>
      <c r="LQV230" s="508"/>
      <c r="LQW230" s="507" t="s">
        <v>1381</v>
      </c>
      <c r="LQX230" s="508"/>
      <c r="LQY230" s="507" t="s">
        <v>1381</v>
      </c>
      <c r="LQZ230" s="508"/>
      <c r="LRA230" s="507" t="s">
        <v>1381</v>
      </c>
      <c r="LRB230" s="508"/>
      <c r="LRC230" s="507" t="s">
        <v>1381</v>
      </c>
      <c r="LRD230" s="508"/>
      <c r="LRE230" s="507" t="s">
        <v>1381</v>
      </c>
      <c r="LRF230" s="508"/>
      <c r="LRG230" s="507" t="s">
        <v>1381</v>
      </c>
      <c r="LRH230" s="508"/>
      <c r="LRI230" s="507" t="s">
        <v>1381</v>
      </c>
      <c r="LRJ230" s="508"/>
      <c r="LRK230" s="507" t="s">
        <v>1381</v>
      </c>
      <c r="LRL230" s="508"/>
      <c r="LRM230" s="507" t="s">
        <v>1381</v>
      </c>
      <c r="LRN230" s="508"/>
      <c r="LRO230" s="507" t="s">
        <v>1381</v>
      </c>
      <c r="LRP230" s="508"/>
      <c r="LRQ230" s="507" t="s">
        <v>1381</v>
      </c>
      <c r="LRR230" s="508"/>
      <c r="LRS230" s="507" t="s">
        <v>1381</v>
      </c>
      <c r="LRT230" s="508"/>
      <c r="LRU230" s="507" t="s">
        <v>1381</v>
      </c>
      <c r="LRV230" s="508"/>
      <c r="LRW230" s="507" t="s">
        <v>1381</v>
      </c>
      <c r="LRX230" s="508"/>
      <c r="LRY230" s="507" t="s">
        <v>1381</v>
      </c>
      <c r="LRZ230" s="508"/>
      <c r="LSA230" s="507" t="s">
        <v>1381</v>
      </c>
      <c r="LSB230" s="508"/>
      <c r="LSC230" s="507" t="s">
        <v>1381</v>
      </c>
      <c r="LSD230" s="508"/>
      <c r="LSE230" s="507" t="s">
        <v>1381</v>
      </c>
      <c r="LSF230" s="508"/>
      <c r="LSG230" s="507" t="s">
        <v>1381</v>
      </c>
      <c r="LSH230" s="508"/>
      <c r="LSI230" s="507" t="s">
        <v>1381</v>
      </c>
      <c r="LSJ230" s="508"/>
      <c r="LSK230" s="507" t="s">
        <v>1381</v>
      </c>
      <c r="LSL230" s="508"/>
      <c r="LSM230" s="507" t="s">
        <v>1381</v>
      </c>
      <c r="LSN230" s="508"/>
      <c r="LSO230" s="507" t="s">
        <v>1381</v>
      </c>
      <c r="LSP230" s="508"/>
      <c r="LSQ230" s="507" t="s">
        <v>1381</v>
      </c>
      <c r="LSR230" s="508"/>
      <c r="LSS230" s="507" t="s">
        <v>1381</v>
      </c>
      <c r="LST230" s="508"/>
      <c r="LSU230" s="507" t="s">
        <v>1381</v>
      </c>
      <c r="LSV230" s="508"/>
      <c r="LSW230" s="507" t="s">
        <v>1381</v>
      </c>
      <c r="LSX230" s="508"/>
      <c r="LSY230" s="507" t="s">
        <v>1381</v>
      </c>
      <c r="LSZ230" s="508"/>
      <c r="LTA230" s="507" t="s">
        <v>1381</v>
      </c>
      <c r="LTB230" s="508"/>
      <c r="LTC230" s="507" t="s">
        <v>1381</v>
      </c>
      <c r="LTD230" s="508"/>
      <c r="LTE230" s="507" t="s">
        <v>1381</v>
      </c>
      <c r="LTF230" s="508"/>
      <c r="LTG230" s="507" t="s">
        <v>1381</v>
      </c>
      <c r="LTH230" s="508"/>
      <c r="LTI230" s="507" t="s">
        <v>1381</v>
      </c>
      <c r="LTJ230" s="508"/>
      <c r="LTK230" s="507" t="s">
        <v>1381</v>
      </c>
      <c r="LTL230" s="508"/>
      <c r="LTM230" s="507" t="s">
        <v>1381</v>
      </c>
      <c r="LTN230" s="508"/>
      <c r="LTO230" s="507" t="s">
        <v>1381</v>
      </c>
      <c r="LTP230" s="508"/>
      <c r="LTQ230" s="507" t="s">
        <v>1381</v>
      </c>
      <c r="LTR230" s="508"/>
      <c r="LTS230" s="507" t="s">
        <v>1381</v>
      </c>
      <c r="LTT230" s="508"/>
      <c r="LTU230" s="507" t="s">
        <v>1381</v>
      </c>
      <c r="LTV230" s="508"/>
      <c r="LTW230" s="507" t="s">
        <v>1381</v>
      </c>
      <c r="LTX230" s="508"/>
      <c r="LTY230" s="507" t="s">
        <v>1381</v>
      </c>
      <c r="LTZ230" s="508"/>
      <c r="LUA230" s="507" t="s">
        <v>1381</v>
      </c>
      <c r="LUB230" s="508"/>
      <c r="LUC230" s="507" t="s">
        <v>1381</v>
      </c>
      <c r="LUD230" s="508"/>
      <c r="LUE230" s="507" t="s">
        <v>1381</v>
      </c>
      <c r="LUF230" s="508"/>
      <c r="LUG230" s="507" t="s">
        <v>1381</v>
      </c>
      <c r="LUH230" s="508"/>
      <c r="LUI230" s="507" t="s">
        <v>1381</v>
      </c>
      <c r="LUJ230" s="508"/>
      <c r="LUK230" s="507" t="s">
        <v>1381</v>
      </c>
      <c r="LUL230" s="508"/>
      <c r="LUM230" s="507" t="s">
        <v>1381</v>
      </c>
      <c r="LUN230" s="508"/>
      <c r="LUO230" s="507" t="s">
        <v>1381</v>
      </c>
      <c r="LUP230" s="508"/>
      <c r="LUQ230" s="507" t="s">
        <v>1381</v>
      </c>
      <c r="LUR230" s="508"/>
      <c r="LUS230" s="507" t="s">
        <v>1381</v>
      </c>
      <c r="LUT230" s="508"/>
      <c r="LUU230" s="507" t="s">
        <v>1381</v>
      </c>
      <c r="LUV230" s="508"/>
      <c r="LUW230" s="507" t="s">
        <v>1381</v>
      </c>
      <c r="LUX230" s="508"/>
      <c r="LUY230" s="507" t="s">
        <v>1381</v>
      </c>
      <c r="LUZ230" s="508"/>
      <c r="LVA230" s="507" t="s">
        <v>1381</v>
      </c>
      <c r="LVB230" s="508"/>
      <c r="LVC230" s="507" t="s">
        <v>1381</v>
      </c>
      <c r="LVD230" s="508"/>
      <c r="LVE230" s="507" t="s">
        <v>1381</v>
      </c>
      <c r="LVF230" s="508"/>
      <c r="LVG230" s="507" t="s">
        <v>1381</v>
      </c>
      <c r="LVH230" s="508"/>
      <c r="LVI230" s="507" t="s">
        <v>1381</v>
      </c>
      <c r="LVJ230" s="508"/>
      <c r="LVK230" s="507" t="s">
        <v>1381</v>
      </c>
      <c r="LVL230" s="508"/>
      <c r="LVM230" s="507" t="s">
        <v>1381</v>
      </c>
      <c r="LVN230" s="508"/>
      <c r="LVO230" s="507" t="s">
        <v>1381</v>
      </c>
      <c r="LVP230" s="508"/>
      <c r="LVQ230" s="507" t="s">
        <v>1381</v>
      </c>
      <c r="LVR230" s="508"/>
      <c r="LVS230" s="507" t="s">
        <v>1381</v>
      </c>
      <c r="LVT230" s="508"/>
      <c r="LVU230" s="507" t="s">
        <v>1381</v>
      </c>
      <c r="LVV230" s="508"/>
      <c r="LVW230" s="507" t="s">
        <v>1381</v>
      </c>
      <c r="LVX230" s="508"/>
      <c r="LVY230" s="507" t="s">
        <v>1381</v>
      </c>
      <c r="LVZ230" s="508"/>
      <c r="LWA230" s="507" t="s">
        <v>1381</v>
      </c>
      <c r="LWB230" s="508"/>
      <c r="LWC230" s="507" t="s">
        <v>1381</v>
      </c>
      <c r="LWD230" s="508"/>
      <c r="LWE230" s="507" t="s">
        <v>1381</v>
      </c>
      <c r="LWF230" s="508"/>
      <c r="LWG230" s="507" t="s">
        <v>1381</v>
      </c>
      <c r="LWH230" s="508"/>
      <c r="LWI230" s="507" t="s">
        <v>1381</v>
      </c>
      <c r="LWJ230" s="508"/>
      <c r="LWK230" s="507" t="s">
        <v>1381</v>
      </c>
      <c r="LWL230" s="508"/>
      <c r="LWM230" s="507" t="s">
        <v>1381</v>
      </c>
      <c r="LWN230" s="508"/>
      <c r="LWO230" s="507" t="s">
        <v>1381</v>
      </c>
      <c r="LWP230" s="508"/>
      <c r="LWQ230" s="507" t="s">
        <v>1381</v>
      </c>
      <c r="LWR230" s="508"/>
      <c r="LWS230" s="507" t="s">
        <v>1381</v>
      </c>
      <c r="LWT230" s="508"/>
      <c r="LWU230" s="507" t="s">
        <v>1381</v>
      </c>
      <c r="LWV230" s="508"/>
      <c r="LWW230" s="507" t="s">
        <v>1381</v>
      </c>
      <c r="LWX230" s="508"/>
      <c r="LWY230" s="507" t="s">
        <v>1381</v>
      </c>
      <c r="LWZ230" s="508"/>
      <c r="LXA230" s="507" t="s">
        <v>1381</v>
      </c>
      <c r="LXB230" s="508"/>
      <c r="LXC230" s="507" t="s">
        <v>1381</v>
      </c>
      <c r="LXD230" s="508"/>
      <c r="LXE230" s="507" t="s">
        <v>1381</v>
      </c>
      <c r="LXF230" s="508"/>
      <c r="LXG230" s="507" t="s">
        <v>1381</v>
      </c>
      <c r="LXH230" s="508"/>
      <c r="LXI230" s="507" t="s">
        <v>1381</v>
      </c>
      <c r="LXJ230" s="508"/>
      <c r="LXK230" s="507" t="s">
        <v>1381</v>
      </c>
      <c r="LXL230" s="508"/>
      <c r="LXM230" s="507" t="s">
        <v>1381</v>
      </c>
      <c r="LXN230" s="508"/>
      <c r="LXO230" s="507" t="s">
        <v>1381</v>
      </c>
      <c r="LXP230" s="508"/>
      <c r="LXQ230" s="507" t="s">
        <v>1381</v>
      </c>
      <c r="LXR230" s="508"/>
      <c r="LXS230" s="507" t="s">
        <v>1381</v>
      </c>
      <c r="LXT230" s="508"/>
      <c r="LXU230" s="507" t="s">
        <v>1381</v>
      </c>
      <c r="LXV230" s="508"/>
      <c r="LXW230" s="507" t="s">
        <v>1381</v>
      </c>
      <c r="LXX230" s="508"/>
      <c r="LXY230" s="507" t="s">
        <v>1381</v>
      </c>
      <c r="LXZ230" s="508"/>
      <c r="LYA230" s="507" t="s">
        <v>1381</v>
      </c>
      <c r="LYB230" s="508"/>
      <c r="LYC230" s="507" t="s">
        <v>1381</v>
      </c>
      <c r="LYD230" s="508"/>
      <c r="LYE230" s="507" t="s">
        <v>1381</v>
      </c>
      <c r="LYF230" s="508"/>
      <c r="LYG230" s="507" t="s">
        <v>1381</v>
      </c>
      <c r="LYH230" s="508"/>
      <c r="LYI230" s="507" t="s">
        <v>1381</v>
      </c>
      <c r="LYJ230" s="508"/>
      <c r="LYK230" s="507" t="s">
        <v>1381</v>
      </c>
      <c r="LYL230" s="508"/>
      <c r="LYM230" s="507" t="s">
        <v>1381</v>
      </c>
      <c r="LYN230" s="508"/>
      <c r="LYO230" s="507" t="s">
        <v>1381</v>
      </c>
      <c r="LYP230" s="508"/>
      <c r="LYQ230" s="507" t="s">
        <v>1381</v>
      </c>
      <c r="LYR230" s="508"/>
      <c r="LYS230" s="507" t="s">
        <v>1381</v>
      </c>
      <c r="LYT230" s="508"/>
      <c r="LYU230" s="507" t="s">
        <v>1381</v>
      </c>
      <c r="LYV230" s="508"/>
      <c r="LYW230" s="507" t="s">
        <v>1381</v>
      </c>
      <c r="LYX230" s="508"/>
      <c r="LYY230" s="507" t="s">
        <v>1381</v>
      </c>
      <c r="LYZ230" s="508"/>
      <c r="LZA230" s="507" t="s">
        <v>1381</v>
      </c>
      <c r="LZB230" s="508"/>
      <c r="LZC230" s="507" t="s">
        <v>1381</v>
      </c>
      <c r="LZD230" s="508"/>
      <c r="LZE230" s="507" t="s">
        <v>1381</v>
      </c>
      <c r="LZF230" s="508"/>
      <c r="LZG230" s="507" t="s">
        <v>1381</v>
      </c>
      <c r="LZH230" s="508"/>
      <c r="LZI230" s="507" t="s">
        <v>1381</v>
      </c>
      <c r="LZJ230" s="508"/>
      <c r="LZK230" s="507" t="s">
        <v>1381</v>
      </c>
      <c r="LZL230" s="508"/>
      <c r="LZM230" s="507" t="s">
        <v>1381</v>
      </c>
      <c r="LZN230" s="508"/>
      <c r="LZO230" s="507" t="s">
        <v>1381</v>
      </c>
      <c r="LZP230" s="508"/>
      <c r="LZQ230" s="507" t="s">
        <v>1381</v>
      </c>
      <c r="LZR230" s="508"/>
      <c r="LZS230" s="507" t="s">
        <v>1381</v>
      </c>
      <c r="LZT230" s="508"/>
      <c r="LZU230" s="507" t="s">
        <v>1381</v>
      </c>
      <c r="LZV230" s="508"/>
      <c r="LZW230" s="507" t="s">
        <v>1381</v>
      </c>
      <c r="LZX230" s="508"/>
      <c r="LZY230" s="507" t="s">
        <v>1381</v>
      </c>
      <c r="LZZ230" s="508"/>
      <c r="MAA230" s="507" t="s">
        <v>1381</v>
      </c>
      <c r="MAB230" s="508"/>
      <c r="MAC230" s="507" t="s">
        <v>1381</v>
      </c>
      <c r="MAD230" s="508"/>
      <c r="MAE230" s="507" t="s">
        <v>1381</v>
      </c>
      <c r="MAF230" s="508"/>
      <c r="MAG230" s="507" t="s">
        <v>1381</v>
      </c>
      <c r="MAH230" s="508"/>
      <c r="MAI230" s="507" t="s">
        <v>1381</v>
      </c>
      <c r="MAJ230" s="508"/>
      <c r="MAK230" s="507" t="s">
        <v>1381</v>
      </c>
      <c r="MAL230" s="508"/>
      <c r="MAM230" s="507" t="s">
        <v>1381</v>
      </c>
      <c r="MAN230" s="508"/>
      <c r="MAO230" s="507" t="s">
        <v>1381</v>
      </c>
      <c r="MAP230" s="508"/>
      <c r="MAQ230" s="507" t="s">
        <v>1381</v>
      </c>
      <c r="MAR230" s="508"/>
      <c r="MAS230" s="507" t="s">
        <v>1381</v>
      </c>
      <c r="MAT230" s="508"/>
      <c r="MAU230" s="507" t="s">
        <v>1381</v>
      </c>
      <c r="MAV230" s="508"/>
      <c r="MAW230" s="507" t="s">
        <v>1381</v>
      </c>
      <c r="MAX230" s="508"/>
      <c r="MAY230" s="507" t="s">
        <v>1381</v>
      </c>
      <c r="MAZ230" s="508"/>
      <c r="MBA230" s="507" t="s">
        <v>1381</v>
      </c>
      <c r="MBB230" s="508"/>
      <c r="MBC230" s="507" t="s">
        <v>1381</v>
      </c>
      <c r="MBD230" s="508"/>
      <c r="MBE230" s="507" t="s">
        <v>1381</v>
      </c>
      <c r="MBF230" s="508"/>
      <c r="MBG230" s="507" t="s">
        <v>1381</v>
      </c>
      <c r="MBH230" s="508"/>
      <c r="MBI230" s="507" t="s">
        <v>1381</v>
      </c>
      <c r="MBJ230" s="508"/>
      <c r="MBK230" s="507" t="s">
        <v>1381</v>
      </c>
      <c r="MBL230" s="508"/>
      <c r="MBM230" s="507" t="s">
        <v>1381</v>
      </c>
      <c r="MBN230" s="508"/>
      <c r="MBO230" s="507" t="s">
        <v>1381</v>
      </c>
      <c r="MBP230" s="508"/>
      <c r="MBQ230" s="507" t="s">
        <v>1381</v>
      </c>
      <c r="MBR230" s="508"/>
      <c r="MBS230" s="507" t="s">
        <v>1381</v>
      </c>
      <c r="MBT230" s="508"/>
      <c r="MBU230" s="507" t="s">
        <v>1381</v>
      </c>
      <c r="MBV230" s="508"/>
      <c r="MBW230" s="507" t="s">
        <v>1381</v>
      </c>
      <c r="MBX230" s="508"/>
      <c r="MBY230" s="507" t="s">
        <v>1381</v>
      </c>
      <c r="MBZ230" s="508"/>
      <c r="MCA230" s="507" t="s">
        <v>1381</v>
      </c>
      <c r="MCB230" s="508"/>
      <c r="MCC230" s="507" t="s">
        <v>1381</v>
      </c>
      <c r="MCD230" s="508"/>
      <c r="MCE230" s="507" t="s">
        <v>1381</v>
      </c>
      <c r="MCF230" s="508"/>
      <c r="MCG230" s="507" t="s">
        <v>1381</v>
      </c>
      <c r="MCH230" s="508"/>
      <c r="MCI230" s="507" t="s">
        <v>1381</v>
      </c>
      <c r="MCJ230" s="508"/>
      <c r="MCK230" s="507" t="s">
        <v>1381</v>
      </c>
      <c r="MCL230" s="508"/>
      <c r="MCM230" s="507" t="s">
        <v>1381</v>
      </c>
      <c r="MCN230" s="508"/>
      <c r="MCO230" s="507" t="s">
        <v>1381</v>
      </c>
      <c r="MCP230" s="508"/>
      <c r="MCQ230" s="507" t="s">
        <v>1381</v>
      </c>
      <c r="MCR230" s="508"/>
      <c r="MCS230" s="507" t="s">
        <v>1381</v>
      </c>
      <c r="MCT230" s="508"/>
      <c r="MCU230" s="507" t="s">
        <v>1381</v>
      </c>
      <c r="MCV230" s="508"/>
      <c r="MCW230" s="507" t="s">
        <v>1381</v>
      </c>
      <c r="MCX230" s="508"/>
      <c r="MCY230" s="507" t="s">
        <v>1381</v>
      </c>
      <c r="MCZ230" s="508"/>
      <c r="MDA230" s="507" t="s">
        <v>1381</v>
      </c>
      <c r="MDB230" s="508"/>
      <c r="MDC230" s="507" t="s">
        <v>1381</v>
      </c>
      <c r="MDD230" s="508"/>
      <c r="MDE230" s="507" t="s">
        <v>1381</v>
      </c>
      <c r="MDF230" s="508"/>
      <c r="MDG230" s="507" t="s">
        <v>1381</v>
      </c>
      <c r="MDH230" s="508"/>
      <c r="MDI230" s="507" t="s">
        <v>1381</v>
      </c>
      <c r="MDJ230" s="508"/>
      <c r="MDK230" s="507" t="s">
        <v>1381</v>
      </c>
      <c r="MDL230" s="508"/>
      <c r="MDM230" s="507" t="s">
        <v>1381</v>
      </c>
      <c r="MDN230" s="508"/>
      <c r="MDO230" s="507" t="s">
        <v>1381</v>
      </c>
      <c r="MDP230" s="508"/>
      <c r="MDQ230" s="507" t="s">
        <v>1381</v>
      </c>
      <c r="MDR230" s="508"/>
      <c r="MDS230" s="507" t="s">
        <v>1381</v>
      </c>
      <c r="MDT230" s="508"/>
      <c r="MDU230" s="507" t="s">
        <v>1381</v>
      </c>
      <c r="MDV230" s="508"/>
      <c r="MDW230" s="507" t="s">
        <v>1381</v>
      </c>
      <c r="MDX230" s="508"/>
      <c r="MDY230" s="507" t="s">
        <v>1381</v>
      </c>
      <c r="MDZ230" s="508"/>
      <c r="MEA230" s="507" t="s">
        <v>1381</v>
      </c>
      <c r="MEB230" s="508"/>
      <c r="MEC230" s="507" t="s">
        <v>1381</v>
      </c>
      <c r="MED230" s="508"/>
      <c r="MEE230" s="507" t="s">
        <v>1381</v>
      </c>
      <c r="MEF230" s="508"/>
      <c r="MEG230" s="507" t="s">
        <v>1381</v>
      </c>
      <c r="MEH230" s="508"/>
      <c r="MEI230" s="507" t="s">
        <v>1381</v>
      </c>
      <c r="MEJ230" s="508"/>
      <c r="MEK230" s="507" t="s">
        <v>1381</v>
      </c>
      <c r="MEL230" s="508"/>
      <c r="MEM230" s="507" t="s">
        <v>1381</v>
      </c>
      <c r="MEN230" s="508"/>
      <c r="MEO230" s="507" t="s">
        <v>1381</v>
      </c>
      <c r="MEP230" s="508"/>
      <c r="MEQ230" s="507" t="s">
        <v>1381</v>
      </c>
      <c r="MER230" s="508"/>
      <c r="MES230" s="507" t="s">
        <v>1381</v>
      </c>
      <c r="MET230" s="508"/>
      <c r="MEU230" s="507" t="s">
        <v>1381</v>
      </c>
      <c r="MEV230" s="508"/>
      <c r="MEW230" s="507" t="s">
        <v>1381</v>
      </c>
      <c r="MEX230" s="508"/>
      <c r="MEY230" s="507" t="s">
        <v>1381</v>
      </c>
      <c r="MEZ230" s="508"/>
      <c r="MFA230" s="507" t="s">
        <v>1381</v>
      </c>
      <c r="MFB230" s="508"/>
      <c r="MFC230" s="507" t="s">
        <v>1381</v>
      </c>
      <c r="MFD230" s="508"/>
      <c r="MFE230" s="507" t="s">
        <v>1381</v>
      </c>
      <c r="MFF230" s="508"/>
      <c r="MFG230" s="507" t="s">
        <v>1381</v>
      </c>
      <c r="MFH230" s="508"/>
      <c r="MFI230" s="507" t="s">
        <v>1381</v>
      </c>
      <c r="MFJ230" s="508"/>
      <c r="MFK230" s="507" t="s">
        <v>1381</v>
      </c>
      <c r="MFL230" s="508"/>
      <c r="MFM230" s="507" t="s">
        <v>1381</v>
      </c>
      <c r="MFN230" s="508"/>
      <c r="MFO230" s="507" t="s">
        <v>1381</v>
      </c>
      <c r="MFP230" s="508"/>
      <c r="MFQ230" s="507" t="s">
        <v>1381</v>
      </c>
      <c r="MFR230" s="508"/>
      <c r="MFS230" s="507" t="s">
        <v>1381</v>
      </c>
      <c r="MFT230" s="508"/>
      <c r="MFU230" s="507" t="s">
        <v>1381</v>
      </c>
      <c r="MFV230" s="508"/>
      <c r="MFW230" s="507" t="s">
        <v>1381</v>
      </c>
      <c r="MFX230" s="508"/>
      <c r="MFY230" s="507" t="s">
        <v>1381</v>
      </c>
      <c r="MFZ230" s="508"/>
      <c r="MGA230" s="507" t="s">
        <v>1381</v>
      </c>
      <c r="MGB230" s="508"/>
      <c r="MGC230" s="507" t="s">
        <v>1381</v>
      </c>
      <c r="MGD230" s="508"/>
      <c r="MGE230" s="507" t="s">
        <v>1381</v>
      </c>
      <c r="MGF230" s="508"/>
      <c r="MGG230" s="507" t="s">
        <v>1381</v>
      </c>
      <c r="MGH230" s="508"/>
      <c r="MGI230" s="507" t="s">
        <v>1381</v>
      </c>
      <c r="MGJ230" s="508"/>
      <c r="MGK230" s="507" t="s">
        <v>1381</v>
      </c>
      <c r="MGL230" s="508"/>
      <c r="MGM230" s="507" t="s">
        <v>1381</v>
      </c>
      <c r="MGN230" s="508"/>
      <c r="MGO230" s="507" t="s">
        <v>1381</v>
      </c>
      <c r="MGP230" s="508"/>
      <c r="MGQ230" s="507" t="s">
        <v>1381</v>
      </c>
      <c r="MGR230" s="508"/>
      <c r="MGS230" s="507" t="s">
        <v>1381</v>
      </c>
      <c r="MGT230" s="508"/>
      <c r="MGU230" s="507" t="s">
        <v>1381</v>
      </c>
      <c r="MGV230" s="508"/>
      <c r="MGW230" s="507" t="s">
        <v>1381</v>
      </c>
      <c r="MGX230" s="508"/>
      <c r="MGY230" s="507" t="s">
        <v>1381</v>
      </c>
      <c r="MGZ230" s="508"/>
      <c r="MHA230" s="507" t="s">
        <v>1381</v>
      </c>
      <c r="MHB230" s="508"/>
      <c r="MHC230" s="507" t="s">
        <v>1381</v>
      </c>
      <c r="MHD230" s="508"/>
      <c r="MHE230" s="507" t="s">
        <v>1381</v>
      </c>
      <c r="MHF230" s="508"/>
      <c r="MHG230" s="507" t="s">
        <v>1381</v>
      </c>
      <c r="MHH230" s="508"/>
      <c r="MHI230" s="507" t="s">
        <v>1381</v>
      </c>
      <c r="MHJ230" s="508"/>
      <c r="MHK230" s="507" t="s">
        <v>1381</v>
      </c>
      <c r="MHL230" s="508"/>
      <c r="MHM230" s="507" t="s">
        <v>1381</v>
      </c>
      <c r="MHN230" s="508"/>
      <c r="MHO230" s="507" t="s">
        <v>1381</v>
      </c>
      <c r="MHP230" s="508"/>
      <c r="MHQ230" s="507" t="s">
        <v>1381</v>
      </c>
      <c r="MHR230" s="508"/>
      <c r="MHS230" s="507" t="s">
        <v>1381</v>
      </c>
      <c r="MHT230" s="508"/>
      <c r="MHU230" s="507" t="s">
        <v>1381</v>
      </c>
      <c r="MHV230" s="508"/>
      <c r="MHW230" s="507" t="s">
        <v>1381</v>
      </c>
      <c r="MHX230" s="508"/>
      <c r="MHY230" s="507" t="s">
        <v>1381</v>
      </c>
      <c r="MHZ230" s="508"/>
      <c r="MIA230" s="507" t="s">
        <v>1381</v>
      </c>
      <c r="MIB230" s="508"/>
      <c r="MIC230" s="507" t="s">
        <v>1381</v>
      </c>
      <c r="MID230" s="508"/>
      <c r="MIE230" s="507" t="s">
        <v>1381</v>
      </c>
      <c r="MIF230" s="508"/>
      <c r="MIG230" s="507" t="s">
        <v>1381</v>
      </c>
      <c r="MIH230" s="508"/>
      <c r="MII230" s="507" t="s">
        <v>1381</v>
      </c>
      <c r="MIJ230" s="508"/>
      <c r="MIK230" s="507" t="s">
        <v>1381</v>
      </c>
      <c r="MIL230" s="508"/>
      <c r="MIM230" s="507" t="s">
        <v>1381</v>
      </c>
      <c r="MIN230" s="508"/>
      <c r="MIO230" s="507" t="s">
        <v>1381</v>
      </c>
      <c r="MIP230" s="508"/>
      <c r="MIQ230" s="507" t="s">
        <v>1381</v>
      </c>
      <c r="MIR230" s="508"/>
      <c r="MIS230" s="507" t="s">
        <v>1381</v>
      </c>
      <c r="MIT230" s="508"/>
      <c r="MIU230" s="507" t="s">
        <v>1381</v>
      </c>
      <c r="MIV230" s="508"/>
      <c r="MIW230" s="507" t="s">
        <v>1381</v>
      </c>
      <c r="MIX230" s="508"/>
      <c r="MIY230" s="507" t="s">
        <v>1381</v>
      </c>
      <c r="MIZ230" s="508"/>
      <c r="MJA230" s="507" t="s">
        <v>1381</v>
      </c>
      <c r="MJB230" s="508"/>
      <c r="MJC230" s="507" t="s">
        <v>1381</v>
      </c>
      <c r="MJD230" s="508"/>
      <c r="MJE230" s="507" t="s">
        <v>1381</v>
      </c>
      <c r="MJF230" s="508"/>
      <c r="MJG230" s="507" t="s">
        <v>1381</v>
      </c>
      <c r="MJH230" s="508"/>
      <c r="MJI230" s="507" t="s">
        <v>1381</v>
      </c>
      <c r="MJJ230" s="508"/>
      <c r="MJK230" s="507" t="s">
        <v>1381</v>
      </c>
      <c r="MJL230" s="508"/>
      <c r="MJM230" s="507" t="s">
        <v>1381</v>
      </c>
      <c r="MJN230" s="508"/>
      <c r="MJO230" s="507" t="s">
        <v>1381</v>
      </c>
      <c r="MJP230" s="508"/>
      <c r="MJQ230" s="507" t="s">
        <v>1381</v>
      </c>
      <c r="MJR230" s="508"/>
      <c r="MJS230" s="507" t="s">
        <v>1381</v>
      </c>
      <c r="MJT230" s="508"/>
      <c r="MJU230" s="507" t="s">
        <v>1381</v>
      </c>
      <c r="MJV230" s="508"/>
      <c r="MJW230" s="507" t="s">
        <v>1381</v>
      </c>
      <c r="MJX230" s="508"/>
      <c r="MJY230" s="507" t="s">
        <v>1381</v>
      </c>
      <c r="MJZ230" s="508"/>
      <c r="MKA230" s="507" t="s">
        <v>1381</v>
      </c>
      <c r="MKB230" s="508"/>
      <c r="MKC230" s="507" t="s">
        <v>1381</v>
      </c>
      <c r="MKD230" s="508"/>
      <c r="MKE230" s="507" t="s">
        <v>1381</v>
      </c>
      <c r="MKF230" s="508"/>
      <c r="MKG230" s="507" t="s">
        <v>1381</v>
      </c>
      <c r="MKH230" s="508"/>
      <c r="MKI230" s="507" t="s">
        <v>1381</v>
      </c>
      <c r="MKJ230" s="508"/>
      <c r="MKK230" s="507" t="s">
        <v>1381</v>
      </c>
      <c r="MKL230" s="508"/>
      <c r="MKM230" s="507" t="s">
        <v>1381</v>
      </c>
      <c r="MKN230" s="508"/>
      <c r="MKO230" s="507" t="s">
        <v>1381</v>
      </c>
      <c r="MKP230" s="508"/>
      <c r="MKQ230" s="507" t="s">
        <v>1381</v>
      </c>
      <c r="MKR230" s="508"/>
      <c r="MKS230" s="507" t="s">
        <v>1381</v>
      </c>
      <c r="MKT230" s="508"/>
      <c r="MKU230" s="507" t="s">
        <v>1381</v>
      </c>
      <c r="MKV230" s="508"/>
      <c r="MKW230" s="507" t="s">
        <v>1381</v>
      </c>
      <c r="MKX230" s="508"/>
      <c r="MKY230" s="507" t="s">
        <v>1381</v>
      </c>
      <c r="MKZ230" s="508"/>
      <c r="MLA230" s="507" t="s">
        <v>1381</v>
      </c>
      <c r="MLB230" s="508"/>
      <c r="MLC230" s="507" t="s">
        <v>1381</v>
      </c>
      <c r="MLD230" s="508"/>
      <c r="MLE230" s="507" t="s">
        <v>1381</v>
      </c>
      <c r="MLF230" s="508"/>
      <c r="MLG230" s="507" t="s">
        <v>1381</v>
      </c>
      <c r="MLH230" s="508"/>
      <c r="MLI230" s="507" t="s">
        <v>1381</v>
      </c>
      <c r="MLJ230" s="508"/>
      <c r="MLK230" s="507" t="s">
        <v>1381</v>
      </c>
      <c r="MLL230" s="508"/>
      <c r="MLM230" s="507" t="s">
        <v>1381</v>
      </c>
      <c r="MLN230" s="508"/>
      <c r="MLO230" s="507" t="s">
        <v>1381</v>
      </c>
      <c r="MLP230" s="508"/>
      <c r="MLQ230" s="507" t="s">
        <v>1381</v>
      </c>
      <c r="MLR230" s="508"/>
      <c r="MLS230" s="507" t="s">
        <v>1381</v>
      </c>
      <c r="MLT230" s="508"/>
      <c r="MLU230" s="507" t="s">
        <v>1381</v>
      </c>
      <c r="MLV230" s="508"/>
      <c r="MLW230" s="507" t="s">
        <v>1381</v>
      </c>
      <c r="MLX230" s="508"/>
      <c r="MLY230" s="507" t="s">
        <v>1381</v>
      </c>
      <c r="MLZ230" s="508"/>
      <c r="MMA230" s="507" t="s">
        <v>1381</v>
      </c>
      <c r="MMB230" s="508"/>
      <c r="MMC230" s="507" t="s">
        <v>1381</v>
      </c>
      <c r="MMD230" s="508"/>
      <c r="MME230" s="507" t="s">
        <v>1381</v>
      </c>
      <c r="MMF230" s="508"/>
      <c r="MMG230" s="507" t="s">
        <v>1381</v>
      </c>
      <c r="MMH230" s="508"/>
      <c r="MMI230" s="507" t="s">
        <v>1381</v>
      </c>
      <c r="MMJ230" s="508"/>
      <c r="MMK230" s="507" t="s">
        <v>1381</v>
      </c>
      <c r="MML230" s="508"/>
      <c r="MMM230" s="507" t="s">
        <v>1381</v>
      </c>
      <c r="MMN230" s="508"/>
      <c r="MMO230" s="507" t="s">
        <v>1381</v>
      </c>
      <c r="MMP230" s="508"/>
      <c r="MMQ230" s="507" t="s">
        <v>1381</v>
      </c>
      <c r="MMR230" s="508"/>
      <c r="MMS230" s="507" t="s">
        <v>1381</v>
      </c>
      <c r="MMT230" s="508"/>
      <c r="MMU230" s="507" t="s">
        <v>1381</v>
      </c>
      <c r="MMV230" s="508"/>
      <c r="MMW230" s="507" t="s">
        <v>1381</v>
      </c>
      <c r="MMX230" s="508"/>
      <c r="MMY230" s="507" t="s">
        <v>1381</v>
      </c>
      <c r="MMZ230" s="508"/>
      <c r="MNA230" s="507" t="s">
        <v>1381</v>
      </c>
      <c r="MNB230" s="508"/>
      <c r="MNC230" s="507" t="s">
        <v>1381</v>
      </c>
      <c r="MND230" s="508"/>
      <c r="MNE230" s="507" t="s">
        <v>1381</v>
      </c>
      <c r="MNF230" s="508"/>
      <c r="MNG230" s="507" t="s">
        <v>1381</v>
      </c>
      <c r="MNH230" s="508"/>
      <c r="MNI230" s="507" t="s">
        <v>1381</v>
      </c>
      <c r="MNJ230" s="508"/>
      <c r="MNK230" s="507" t="s">
        <v>1381</v>
      </c>
      <c r="MNL230" s="508"/>
      <c r="MNM230" s="507" t="s">
        <v>1381</v>
      </c>
      <c r="MNN230" s="508"/>
      <c r="MNO230" s="507" t="s">
        <v>1381</v>
      </c>
      <c r="MNP230" s="508"/>
      <c r="MNQ230" s="507" t="s">
        <v>1381</v>
      </c>
      <c r="MNR230" s="508"/>
      <c r="MNS230" s="507" t="s">
        <v>1381</v>
      </c>
      <c r="MNT230" s="508"/>
      <c r="MNU230" s="507" t="s">
        <v>1381</v>
      </c>
      <c r="MNV230" s="508"/>
      <c r="MNW230" s="507" t="s">
        <v>1381</v>
      </c>
      <c r="MNX230" s="508"/>
      <c r="MNY230" s="507" t="s">
        <v>1381</v>
      </c>
      <c r="MNZ230" s="508"/>
      <c r="MOA230" s="507" t="s">
        <v>1381</v>
      </c>
      <c r="MOB230" s="508"/>
      <c r="MOC230" s="507" t="s">
        <v>1381</v>
      </c>
      <c r="MOD230" s="508"/>
      <c r="MOE230" s="507" t="s">
        <v>1381</v>
      </c>
      <c r="MOF230" s="508"/>
      <c r="MOG230" s="507" t="s">
        <v>1381</v>
      </c>
      <c r="MOH230" s="508"/>
      <c r="MOI230" s="507" t="s">
        <v>1381</v>
      </c>
      <c r="MOJ230" s="508"/>
      <c r="MOK230" s="507" t="s">
        <v>1381</v>
      </c>
      <c r="MOL230" s="508"/>
      <c r="MOM230" s="507" t="s">
        <v>1381</v>
      </c>
      <c r="MON230" s="508"/>
      <c r="MOO230" s="507" t="s">
        <v>1381</v>
      </c>
      <c r="MOP230" s="508"/>
      <c r="MOQ230" s="507" t="s">
        <v>1381</v>
      </c>
      <c r="MOR230" s="508"/>
      <c r="MOS230" s="507" t="s">
        <v>1381</v>
      </c>
      <c r="MOT230" s="508"/>
      <c r="MOU230" s="507" t="s">
        <v>1381</v>
      </c>
      <c r="MOV230" s="508"/>
      <c r="MOW230" s="507" t="s">
        <v>1381</v>
      </c>
      <c r="MOX230" s="508"/>
      <c r="MOY230" s="507" t="s">
        <v>1381</v>
      </c>
      <c r="MOZ230" s="508"/>
      <c r="MPA230" s="507" t="s">
        <v>1381</v>
      </c>
      <c r="MPB230" s="508"/>
      <c r="MPC230" s="507" t="s">
        <v>1381</v>
      </c>
      <c r="MPD230" s="508"/>
      <c r="MPE230" s="507" t="s">
        <v>1381</v>
      </c>
      <c r="MPF230" s="508"/>
      <c r="MPG230" s="507" t="s">
        <v>1381</v>
      </c>
      <c r="MPH230" s="508"/>
      <c r="MPI230" s="507" t="s">
        <v>1381</v>
      </c>
      <c r="MPJ230" s="508"/>
      <c r="MPK230" s="507" t="s">
        <v>1381</v>
      </c>
      <c r="MPL230" s="508"/>
      <c r="MPM230" s="507" t="s">
        <v>1381</v>
      </c>
      <c r="MPN230" s="508"/>
      <c r="MPO230" s="507" t="s">
        <v>1381</v>
      </c>
      <c r="MPP230" s="508"/>
      <c r="MPQ230" s="507" t="s">
        <v>1381</v>
      </c>
      <c r="MPR230" s="508"/>
      <c r="MPS230" s="507" t="s">
        <v>1381</v>
      </c>
      <c r="MPT230" s="508"/>
      <c r="MPU230" s="507" t="s">
        <v>1381</v>
      </c>
      <c r="MPV230" s="508"/>
      <c r="MPW230" s="507" t="s">
        <v>1381</v>
      </c>
      <c r="MPX230" s="508"/>
      <c r="MPY230" s="507" t="s">
        <v>1381</v>
      </c>
      <c r="MPZ230" s="508"/>
      <c r="MQA230" s="507" t="s">
        <v>1381</v>
      </c>
      <c r="MQB230" s="508"/>
      <c r="MQC230" s="507" t="s">
        <v>1381</v>
      </c>
      <c r="MQD230" s="508"/>
      <c r="MQE230" s="507" t="s">
        <v>1381</v>
      </c>
      <c r="MQF230" s="508"/>
      <c r="MQG230" s="507" t="s">
        <v>1381</v>
      </c>
      <c r="MQH230" s="508"/>
      <c r="MQI230" s="507" t="s">
        <v>1381</v>
      </c>
      <c r="MQJ230" s="508"/>
      <c r="MQK230" s="507" t="s">
        <v>1381</v>
      </c>
      <c r="MQL230" s="508"/>
      <c r="MQM230" s="507" t="s">
        <v>1381</v>
      </c>
      <c r="MQN230" s="508"/>
      <c r="MQO230" s="507" t="s">
        <v>1381</v>
      </c>
      <c r="MQP230" s="508"/>
      <c r="MQQ230" s="507" t="s">
        <v>1381</v>
      </c>
      <c r="MQR230" s="508"/>
      <c r="MQS230" s="507" t="s">
        <v>1381</v>
      </c>
      <c r="MQT230" s="508"/>
      <c r="MQU230" s="507" t="s">
        <v>1381</v>
      </c>
      <c r="MQV230" s="508"/>
      <c r="MQW230" s="507" t="s">
        <v>1381</v>
      </c>
      <c r="MQX230" s="508"/>
      <c r="MQY230" s="507" t="s">
        <v>1381</v>
      </c>
      <c r="MQZ230" s="508"/>
      <c r="MRA230" s="507" t="s">
        <v>1381</v>
      </c>
      <c r="MRB230" s="508"/>
      <c r="MRC230" s="507" t="s">
        <v>1381</v>
      </c>
      <c r="MRD230" s="508"/>
      <c r="MRE230" s="507" t="s">
        <v>1381</v>
      </c>
      <c r="MRF230" s="508"/>
      <c r="MRG230" s="507" t="s">
        <v>1381</v>
      </c>
      <c r="MRH230" s="508"/>
      <c r="MRI230" s="507" t="s">
        <v>1381</v>
      </c>
      <c r="MRJ230" s="508"/>
      <c r="MRK230" s="507" t="s">
        <v>1381</v>
      </c>
      <c r="MRL230" s="508"/>
      <c r="MRM230" s="507" t="s">
        <v>1381</v>
      </c>
      <c r="MRN230" s="508"/>
      <c r="MRO230" s="507" t="s">
        <v>1381</v>
      </c>
      <c r="MRP230" s="508"/>
      <c r="MRQ230" s="507" t="s">
        <v>1381</v>
      </c>
      <c r="MRR230" s="508"/>
      <c r="MRS230" s="507" t="s">
        <v>1381</v>
      </c>
      <c r="MRT230" s="508"/>
      <c r="MRU230" s="507" t="s">
        <v>1381</v>
      </c>
      <c r="MRV230" s="508"/>
      <c r="MRW230" s="507" t="s">
        <v>1381</v>
      </c>
      <c r="MRX230" s="508"/>
      <c r="MRY230" s="507" t="s">
        <v>1381</v>
      </c>
      <c r="MRZ230" s="508"/>
      <c r="MSA230" s="507" t="s">
        <v>1381</v>
      </c>
      <c r="MSB230" s="508"/>
      <c r="MSC230" s="507" t="s">
        <v>1381</v>
      </c>
      <c r="MSD230" s="508"/>
      <c r="MSE230" s="507" t="s">
        <v>1381</v>
      </c>
      <c r="MSF230" s="508"/>
      <c r="MSG230" s="507" t="s">
        <v>1381</v>
      </c>
      <c r="MSH230" s="508"/>
      <c r="MSI230" s="507" t="s">
        <v>1381</v>
      </c>
      <c r="MSJ230" s="508"/>
      <c r="MSK230" s="507" t="s">
        <v>1381</v>
      </c>
      <c r="MSL230" s="508"/>
      <c r="MSM230" s="507" t="s">
        <v>1381</v>
      </c>
      <c r="MSN230" s="508"/>
      <c r="MSO230" s="507" t="s">
        <v>1381</v>
      </c>
      <c r="MSP230" s="508"/>
      <c r="MSQ230" s="507" t="s">
        <v>1381</v>
      </c>
      <c r="MSR230" s="508"/>
      <c r="MSS230" s="507" t="s">
        <v>1381</v>
      </c>
      <c r="MST230" s="508"/>
      <c r="MSU230" s="507" t="s">
        <v>1381</v>
      </c>
      <c r="MSV230" s="508"/>
      <c r="MSW230" s="507" t="s">
        <v>1381</v>
      </c>
      <c r="MSX230" s="508"/>
      <c r="MSY230" s="507" t="s">
        <v>1381</v>
      </c>
      <c r="MSZ230" s="508"/>
      <c r="MTA230" s="507" t="s">
        <v>1381</v>
      </c>
      <c r="MTB230" s="508"/>
      <c r="MTC230" s="507" t="s">
        <v>1381</v>
      </c>
      <c r="MTD230" s="508"/>
      <c r="MTE230" s="507" t="s">
        <v>1381</v>
      </c>
      <c r="MTF230" s="508"/>
      <c r="MTG230" s="507" t="s">
        <v>1381</v>
      </c>
      <c r="MTH230" s="508"/>
      <c r="MTI230" s="507" t="s">
        <v>1381</v>
      </c>
      <c r="MTJ230" s="508"/>
      <c r="MTK230" s="507" t="s">
        <v>1381</v>
      </c>
      <c r="MTL230" s="508"/>
      <c r="MTM230" s="507" t="s">
        <v>1381</v>
      </c>
      <c r="MTN230" s="508"/>
      <c r="MTO230" s="507" t="s">
        <v>1381</v>
      </c>
      <c r="MTP230" s="508"/>
      <c r="MTQ230" s="507" t="s">
        <v>1381</v>
      </c>
      <c r="MTR230" s="508"/>
      <c r="MTS230" s="507" t="s">
        <v>1381</v>
      </c>
      <c r="MTT230" s="508"/>
      <c r="MTU230" s="507" t="s">
        <v>1381</v>
      </c>
      <c r="MTV230" s="508"/>
      <c r="MTW230" s="507" t="s">
        <v>1381</v>
      </c>
      <c r="MTX230" s="508"/>
      <c r="MTY230" s="507" t="s">
        <v>1381</v>
      </c>
      <c r="MTZ230" s="508"/>
      <c r="MUA230" s="507" t="s">
        <v>1381</v>
      </c>
      <c r="MUB230" s="508"/>
      <c r="MUC230" s="507" t="s">
        <v>1381</v>
      </c>
      <c r="MUD230" s="508"/>
      <c r="MUE230" s="507" t="s">
        <v>1381</v>
      </c>
      <c r="MUF230" s="508"/>
      <c r="MUG230" s="507" t="s">
        <v>1381</v>
      </c>
      <c r="MUH230" s="508"/>
      <c r="MUI230" s="507" t="s">
        <v>1381</v>
      </c>
      <c r="MUJ230" s="508"/>
      <c r="MUK230" s="507" t="s">
        <v>1381</v>
      </c>
      <c r="MUL230" s="508"/>
      <c r="MUM230" s="507" t="s">
        <v>1381</v>
      </c>
      <c r="MUN230" s="508"/>
      <c r="MUO230" s="507" t="s">
        <v>1381</v>
      </c>
      <c r="MUP230" s="508"/>
      <c r="MUQ230" s="507" t="s">
        <v>1381</v>
      </c>
      <c r="MUR230" s="508"/>
      <c r="MUS230" s="507" t="s">
        <v>1381</v>
      </c>
      <c r="MUT230" s="508"/>
      <c r="MUU230" s="507" t="s">
        <v>1381</v>
      </c>
      <c r="MUV230" s="508"/>
      <c r="MUW230" s="507" t="s">
        <v>1381</v>
      </c>
      <c r="MUX230" s="508"/>
      <c r="MUY230" s="507" t="s">
        <v>1381</v>
      </c>
      <c r="MUZ230" s="508"/>
      <c r="MVA230" s="507" t="s">
        <v>1381</v>
      </c>
      <c r="MVB230" s="508"/>
      <c r="MVC230" s="507" t="s">
        <v>1381</v>
      </c>
      <c r="MVD230" s="508"/>
      <c r="MVE230" s="507" t="s">
        <v>1381</v>
      </c>
      <c r="MVF230" s="508"/>
      <c r="MVG230" s="507" t="s">
        <v>1381</v>
      </c>
      <c r="MVH230" s="508"/>
      <c r="MVI230" s="507" t="s">
        <v>1381</v>
      </c>
      <c r="MVJ230" s="508"/>
      <c r="MVK230" s="507" t="s">
        <v>1381</v>
      </c>
      <c r="MVL230" s="508"/>
      <c r="MVM230" s="507" t="s">
        <v>1381</v>
      </c>
      <c r="MVN230" s="508"/>
      <c r="MVO230" s="507" t="s">
        <v>1381</v>
      </c>
      <c r="MVP230" s="508"/>
      <c r="MVQ230" s="507" t="s">
        <v>1381</v>
      </c>
      <c r="MVR230" s="508"/>
      <c r="MVS230" s="507" t="s">
        <v>1381</v>
      </c>
      <c r="MVT230" s="508"/>
      <c r="MVU230" s="507" t="s">
        <v>1381</v>
      </c>
      <c r="MVV230" s="508"/>
      <c r="MVW230" s="507" t="s">
        <v>1381</v>
      </c>
      <c r="MVX230" s="508"/>
      <c r="MVY230" s="507" t="s">
        <v>1381</v>
      </c>
      <c r="MVZ230" s="508"/>
      <c r="MWA230" s="507" t="s">
        <v>1381</v>
      </c>
      <c r="MWB230" s="508"/>
      <c r="MWC230" s="507" t="s">
        <v>1381</v>
      </c>
      <c r="MWD230" s="508"/>
      <c r="MWE230" s="507" t="s">
        <v>1381</v>
      </c>
      <c r="MWF230" s="508"/>
      <c r="MWG230" s="507" t="s">
        <v>1381</v>
      </c>
      <c r="MWH230" s="508"/>
      <c r="MWI230" s="507" t="s">
        <v>1381</v>
      </c>
      <c r="MWJ230" s="508"/>
      <c r="MWK230" s="507" t="s">
        <v>1381</v>
      </c>
      <c r="MWL230" s="508"/>
      <c r="MWM230" s="507" t="s">
        <v>1381</v>
      </c>
      <c r="MWN230" s="508"/>
      <c r="MWO230" s="507" t="s">
        <v>1381</v>
      </c>
      <c r="MWP230" s="508"/>
      <c r="MWQ230" s="507" t="s">
        <v>1381</v>
      </c>
      <c r="MWR230" s="508"/>
      <c r="MWS230" s="507" t="s">
        <v>1381</v>
      </c>
      <c r="MWT230" s="508"/>
      <c r="MWU230" s="507" t="s">
        <v>1381</v>
      </c>
      <c r="MWV230" s="508"/>
      <c r="MWW230" s="507" t="s">
        <v>1381</v>
      </c>
      <c r="MWX230" s="508"/>
      <c r="MWY230" s="507" t="s">
        <v>1381</v>
      </c>
      <c r="MWZ230" s="508"/>
      <c r="MXA230" s="507" t="s">
        <v>1381</v>
      </c>
      <c r="MXB230" s="508"/>
      <c r="MXC230" s="507" t="s">
        <v>1381</v>
      </c>
      <c r="MXD230" s="508"/>
      <c r="MXE230" s="507" t="s">
        <v>1381</v>
      </c>
      <c r="MXF230" s="508"/>
      <c r="MXG230" s="507" t="s">
        <v>1381</v>
      </c>
      <c r="MXH230" s="508"/>
      <c r="MXI230" s="507" t="s">
        <v>1381</v>
      </c>
      <c r="MXJ230" s="508"/>
      <c r="MXK230" s="507" t="s">
        <v>1381</v>
      </c>
      <c r="MXL230" s="508"/>
      <c r="MXM230" s="507" t="s">
        <v>1381</v>
      </c>
      <c r="MXN230" s="508"/>
      <c r="MXO230" s="507" t="s">
        <v>1381</v>
      </c>
      <c r="MXP230" s="508"/>
      <c r="MXQ230" s="507" t="s">
        <v>1381</v>
      </c>
      <c r="MXR230" s="508"/>
      <c r="MXS230" s="507" t="s">
        <v>1381</v>
      </c>
      <c r="MXT230" s="508"/>
      <c r="MXU230" s="507" t="s">
        <v>1381</v>
      </c>
      <c r="MXV230" s="508"/>
      <c r="MXW230" s="507" t="s">
        <v>1381</v>
      </c>
      <c r="MXX230" s="508"/>
      <c r="MXY230" s="507" t="s">
        <v>1381</v>
      </c>
      <c r="MXZ230" s="508"/>
      <c r="MYA230" s="507" t="s">
        <v>1381</v>
      </c>
      <c r="MYB230" s="508"/>
      <c r="MYC230" s="507" t="s">
        <v>1381</v>
      </c>
      <c r="MYD230" s="508"/>
      <c r="MYE230" s="507" t="s">
        <v>1381</v>
      </c>
      <c r="MYF230" s="508"/>
      <c r="MYG230" s="507" t="s">
        <v>1381</v>
      </c>
      <c r="MYH230" s="508"/>
      <c r="MYI230" s="507" t="s">
        <v>1381</v>
      </c>
      <c r="MYJ230" s="508"/>
      <c r="MYK230" s="507" t="s">
        <v>1381</v>
      </c>
      <c r="MYL230" s="508"/>
      <c r="MYM230" s="507" t="s">
        <v>1381</v>
      </c>
      <c r="MYN230" s="508"/>
      <c r="MYO230" s="507" t="s">
        <v>1381</v>
      </c>
      <c r="MYP230" s="508"/>
      <c r="MYQ230" s="507" t="s">
        <v>1381</v>
      </c>
      <c r="MYR230" s="508"/>
      <c r="MYS230" s="507" t="s">
        <v>1381</v>
      </c>
      <c r="MYT230" s="508"/>
      <c r="MYU230" s="507" t="s">
        <v>1381</v>
      </c>
      <c r="MYV230" s="508"/>
      <c r="MYW230" s="507" t="s">
        <v>1381</v>
      </c>
      <c r="MYX230" s="508"/>
      <c r="MYY230" s="507" t="s">
        <v>1381</v>
      </c>
      <c r="MYZ230" s="508"/>
      <c r="MZA230" s="507" t="s">
        <v>1381</v>
      </c>
      <c r="MZB230" s="508"/>
      <c r="MZC230" s="507" t="s">
        <v>1381</v>
      </c>
      <c r="MZD230" s="508"/>
      <c r="MZE230" s="507" t="s">
        <v>1381</v>
      </c>
      <c r="MZF230" s="508"/>
      <c r="MZG230" s="507" t="s">
        <v>1381</v>
      </c>
      <c r="MZH230" s="508"/>
      <c r="MZI230" s="507" t="s">
        <v>1381</v>
      </c>
      <c r="MZJ230" s="508"/>
      <c r="MZK230" s="507" t="s">
        <v>1381</v>
      </c>
      <c r="MZL230" s="508"/>
      <c r="MZM230" s="507" t="s">
        <v>1381</v>
      </c>
      <c r="MZN230" s="508"/>
      <c r="MZO230" s="507" t="s">
        <v>1381</v>
      </c>
      <c r="MZP230" s="508"/>
      <c r="MZQ230" s="507" t="s">
        <v>1381</v>
      </c>
      <c r="MZR230" s="508"/>
      <c r="MZS230" s="507" t="s">
        <v>1381</v>
      </c>
      <c r="MZT230" s="508"/>
      <c r="MZU230" s="507" t="s">
        <v>1381</v>
      </c>
      <c r="MZV230" s="508"/>
      <c r="MZW230" s="507" t="s">
        <v>1381</v>
      </c>
      <c r="MZX230" s="508"/>
      <c r="MZY230" s="507" t="s">
        <v>1381</v>
      </c>
      <c r="MZZ230" s="508"/>
      <c r="NAA230" s="507" t="s">
        <v>1381</v>
      </c>
      <c r="NAB230" s="508"/>
      <c r="NAC230" s="507" t="s">
        <v>1381</v>
      </c>
      <c r="NAD230" s="508"/>
      <c r="NAE230" s="507" t="s">
        <v>1381</v>
      </c>
      <c r="NAF230" s="508"/>
      <c r="NAG230" s="507" t="s">
        <v>1381</v>
      </c>
      <c r="NAH230" s="508"/>
      <c r="NAI230" s="507" t="s">
        <v>1381</v>
      </c>
      <c r="NAJ230" s="508"/>
      <c r="NAK230" s="507" t="s">
        <v>1381</v>
      </c>
      <c r="NAL230" s="508"/>
      <c r="NAM230" s="507" t="s">
        <v>1381</v>
      </c>
      <c r="NAN230" s="508"/>
      <c r="NAO230" s="507" t="s">
        <v>1381</v>
      </c>
      <c r="NAP230" s="508"/>
      <c r="NAQ230" s="507" t="s">
        <v>1381</v>
      </c>
      <c r="NAR230" s="508"/>
      <c r="NAS230" s="507" t="s">
        <v>1381</v>
      </c>
      <c r="NAT230" s="508"/>
      <c r="NAU230" s="507" t="s">
        <v>1381</v>
      </c>
      <c r="NAV230" s="508"/>
      <c r="NAW230" s="507" t="s">
        <v>1381</v>
      </c>
      <c r="NAX230" s="508"/>
      <c r="NAY230" s="507" t="s">
        <v>1381</v>
      </c>
      <c r="NAZ230" s="508"/>
      <c r="NBA230" s="507" t="s">
        <v>1381</v>
      </c>
      <c r="NBB230" s="508"/>
      <c r="NBC230" s="507" t="s">
        <v>1381</v>
      </c>
      <c r="NBD230" s="508"/>
      <c r="NBE230" s="507" t="s">
        <v>1381</v>
      </c>
      <c r="NBF230" s="508"/>
      <c r="NBG230" s="507" t="s">
        <v>1381</v>
      </c>
      <c r="NBH230" s="508"/>
      <c r="NBI230" s="507" t="s">
        <v>1381</v>
      </c>
      <c r="NBJ230" s="508"/>
      <c r="NBK230" s="507" t="s">
        <v>1381</v>
      </c>
      <c r="NBL230" s="508"/>
      <c r="NBM230" s="507" t="s">
        <v>1381</v>
      </c>
      <c r="NBN230" s="508"/>
      <c r="NBO230" s="507" t="s">
        <v>1381</v>
      </c>
      <c r="NBP230" s="508"/>
      <c r="NBQ230" s="507" t="s">
        <v>1381</v>
      </c>
      <c r="NBR230" s="508"/>
      <c r="NBS230" s="507" t="s">
        <v>1381</v>
      </c>
      <c r="NBT230" s="508"/>
      <c r="NBU230" s="507" t="s">
        <v>1381</v>
      </c>
      <c r="NBV230" s="508"/>
      <c r="NBW230" s="507" t="s">
        <v>1381</v>
      </c>
      <c r="NBX230" s="508"/>
      <c r="NBY230" s="507" t="s">
        <v>1381</v>
      </c>
      <c r="NBZ230" s="508"/>
      <c r="NCA230" s="507" t="s">
        <v>1381</v>
      </c>
      <c r="NCB230" s="508"/>
      <c r="NCC230" s="507" t="s">
        <v>1381</v>
      </c>
      <c r="NCD230" s="508"/>
      <c r="NCE230" s="507" t="s">
        <v>1381</v>
      </c>
      <c r="NCF230" s="508"/>
      <c r="NCG230" s="507" t="s">
        <v>1381</v>
      </c>
      <c r="NCH230" s="508"/>
      <c r="NCI230" s="507" t="s">
        <v>1381</v>
      </c>
      <c r="NCJ230" s="508"/>
      <c r="NCK230" s="507" t="s">
        <v>1381</v>
      </c>
      <c r="NCL230" s="508"/>
      <c r="NCM230" s="507" t="s">
        <v>1381</v>
      </c>
      <c r="NCN230" s="508"/>
      <c r="NCO230" s="507" t="s">
        <v>1381</v>
      </c>
      <c r="NCP230" s="508"/>
      <c r="NCQ230" s="507" t="s">
        <v>1381</v>
      </c>
      <c r="NCR230" s="508"/>
      <c r="NCS230" s="507" t="s">
        <v>1381</v>
      </c>
      <c r="NCT230" s="508"/>
      <c r="NCU230" s="507" t="s">
        <v>1381</v>
      </c>
      <c r="NCV230" s="508"/>
      <c r="NCW230" s="507" t="s">
        <v>1381</v>
      </c>
      <c r="NCX230" s="508"/>
      <c r="NCY230" s="507" t="s">
        <v>1381</v>
      </c>
      <c r="NCZ230" s="508"/>
      <c r="NDA230" s="507" t="s">
        <v>1381</v>
      </c>
      <c r="NDB230" s="508"/>
      <c r="NDC230" s="507" t="s">
        <v>1381</v>
      </c>
      <c r="NDD230" s="508"/>
      <c r="NDE230" s="507" t="s">
        <v>1381</v>
      </c>
      <c r="NDF230" s="508"/>
      <c r="NDG230" s="507" t="s">
        <v>1381</v>
      </c>
      <c r="NDH230" s="508"/>
      <c r="NDI230" s="507" t="s">
        <v>1381</v>
      </c>
      <c r="NDJ230" s="508"/>
      <c r="NDK230" s="507" t="s">
        <v>1381</v>
      </c>
      <c r="NDL230" s="508"/>
      <c r="NDM230" s="507" t="s">
        <v>1381</v>
      </c>
      <c r="NDN230" s="508"/>
      <c r="NDO230" s="507" t="s">
        <v>1381</v>
      </c>
      <c r="NDP230" s="508"/>
      <c r="NDQ230" s="507" t="s">
        <v>1381</v>
      </c>
      <c r="NDR230" s="508"/>
      <c r="NDS230" s="507" t="s">
        <v>1381</v>
      </c>
      <c r="NDT230" s="508"/>
      <c r="NDU230" s="507" t="s">
        <v>1381</v>
      </c>
      <c r="NDV230" s="508"/>
      <c r="NDW230" s="507" t="s">
        <v>1381</v>
      </c>
      <c r="NDX230" s="508"/>
      <c r="NDY230" s="507" t="s">
        <v>1381</v>
      </c>
      <c r="NDZ230" s="508"/>
      <c r="NEA230" s="507" t="s">
        <v>1381</v>
      </c>
      <c r="NEB230" s="508"/>
      <c r="NEC230" s="507" t="s">
        <v>1381</v>
      </c>
      <c r="NED230" s="508"/>
      <c r="NEE230" s="507" t="s">
        <v>1381</v>
      </c>
      <c r="NEF230" s="508"/>
      <c r="NEG230" s="507" t="s">
        <v>1381</v>
      </c>
      <c r="NEH230" s="508"/>
      <c r="NEI230" s="507" t="s">
        <v>1381</v>
      </c>
      <c r="NEJ230" s="508"/>
      <c r="NEK230" s="507" t="s">
        <v>1381</v>
      </c>
      <c r="NEL230" s="508"/>
      <c r="NEM230" s="507" t="s">
        <v>1381</v>
      </c>
      <c r="NEN230" s="508"/>
      <c r="NEO230" s="507" t="s">
        <v>1381</v>
      </c>
      <c r="NEP230" s="508"/>
      <c r="NEQ230" s="507" t="s">
        <v>1381</v>
      </c>
      <c r="NER230" s="508"/>
      <c r="NES230" s="507" t="s">
        <v>1381</v>
      </c>
      <c r="NET230" s="508"/>
      <c r="NEU230" s="507" t="s">
        <v>1381</v>
      </c>
      <c r="NEV230" s="508"/>
      <c r="NEW230" s="507" t="s">
        <v>1381</v>
      </c>
      <c r="NEX230" s="508"/>
      <c r="NEY230" s="507" t="s">
        <v>1381</v>
      </c>
      <c r="NEZ230" s="508"/>
      <c r="NFA230" s="507" t="s">
        <v>1381</v>
      </c>
      <c r="NFB230" s="508"/>
      <c r="NFC230" s="507" t="s">
        <v>1381</v>
      </c>
      <c r="NFD230" s="508"/>
      <c r="NFE230" s="507" t="s">
        <v>1381</v>
      </c>
      <c r="NFF230" s="508"/>
      <c r="NFG230" s="507" t="s">
        <v>1381</v>
      </c>
      <c r="NFH230" s="508"/>
      <c r="NFI230" s="507" t="s">
        <v>1381</v>
      </c>
      <c r="NFJ230" s="508"/>
      <c r="NFK230" s="507" t="s">
        <v>1381</v>
      </c>
      <c r="NFL230" s="508"/>
      <c r="NFM230" s="507" t="s">
        <v>1381</v>
      </c>
      <c r="NFN230" s="508"/>
      <c r="NFO230" s="507" t="s">
        <v>1381</v>
      </c>
      <c r="NFP230" s="508"/>
      <c r="NFQ230" s="507" t="s">
        <v>1381</v>
      </c>
      <c r="NFR230" s="508"/>
      <c r="NFS230" s="507" t="s">
        <v>1381</v>
      </c>
      <c r="NFT230" s="508"/>
      <c r="NFU230" s="507" t="s">
        <v>1381</v>
      </c>
      <c r="NFV230" s="508"/>
      <c r="NFW230" s="507" t="s">
        <v>1381</v>
      </c>
      <c r="NFX230" s="508"/>
      <c r="NFY230" s="507" t="s">
        <v>1381</v>
      </c>
      <c r="NFZ230" s="508"/>
      <c r="NGA230" s="507" t="s">
        <v>1381</v>
      </c>
      <c r="NGB230" s="508"/>
      <c r="NGC230" s="507" t="s">
        <v>1381</v>
      </c>
      <c r="NGD230" s="508"/>
      <c r="NGE230" s="507" t="s">
        <v>1381</v>
      </c>
      <c r="NGF230" s="508"/>
      <c r="NGG230" s="507" t="s">
        <v>1381</v>
      </c>
      <c r="NGH230" s="508"/>
      <c r="NGI230" s="507" t="s">
        <v>1381</v>
      </c>
      <c r="NGJ230" s="508"/>
      <c r="NGK230" s="507" t="s">
        <v>1381</v>
      </c>
      <c r="NGL230" s="508"/>
      <c r="NGM230" s="507" t="s">
        <v>1381</v>
      </c>
      <c r="NGN230" s="508"/>
      <c r="NGO230" s="507" t="s">
        <v>1381</v>
      </c>
      <c r="NGP230" s="508"/>
      <c r="NGQ230" s="507" t="s">
        <v>1381</v>
      </c>
      <c r="NGR230" s="508"/>
      <c r="NGS230" s="507" t="s">
        <v>1381</v>
      </c>
      <c r="NGT230" s="508"/>
      <c r="NGU230" s="507" t="s">
        <v>1381</v>
      </c>
      <c r="NGV230" s="508"/>
      <c r="NGW230" s="507" t="s">
        <v>1381</v>
      </c>
      <c r="NGX230" s="508"/>
      <c r="NGY230" s="507" t="s">
        <v>1381</v>
      </c>
      <c r="NGZ230" s="508"/>
      <c r="NHA230" s="507" t="s">
        <v>1381</v>
      </c>
      <c r="NHB230" s="508"/>
      <c r="NHC230" s="507" t="s">
        <v>1381</v>
      </c>
      <c r="NHD230" s="508"/>
      <c r="NHE230" s="507" t="s">
        <v>1381</v>
      </c>
      <c r="NHF230" s="508"/>
      <c r="NHG230" s="507" t="s">
        <v>1381</v>
      </c>
      <c r="NHH230" s="508"/>
      <c r="NHI230" s="507" t="s">
        <v>1381</v>
      </c>
      <c r="NHJ230" s="508"/>
      <c r="NHK230" s="507" t="s">
        <v>1381</v>
      </c>
      <c r="NHL230" s="508"/>
      <c r="NHM230" s="507" t="s">
        <v>1381</v>
      </c>
      <c r="NHN230" s="508"/>
      <c r="NHO230" s="507" t="s">
        <v>1381</v>
      </c>
      <c r="NHP230" s="508"/>
      <c r="NHQ230" s="507" t="s">
        <v>1381</v>
      </c>
      <c r="NHR230" s="508"/>
      <c r="NHS230" s="507" t="s">
        <v>1381</v>
      </c>
      <c r="NHT230" s="508"/>
      <c r="NHU230" s="507" t="s">
        <v>1381</v>
      </c>
      <c r="NHV230" s="508"/>
      <c r="NHW230" s="507" t="s">
        <v>1381</v>
      </c>
      <c r="NHX230" s="508"/>
      <c r="NHY230" s="507" t="s">
        <v>1381</v>
      </c>
      <c r="NHZ230" s="508"/>
      <c r="NIA230" s="507" t="s">
        <v>1381</v>
      </c>
      <c r="NIB230" s="508"/>
      <c r="NIC230" s="507" t="s">
        <v>1381</v>
      </c>
      <c r="NID230" s="508"/>
      <c r="NIE230" s="507" t="s">
        <v>1381</v>
      </c>
      <c r="NIF230" s="508"/>
      <c r="NIG230" s="507" t="s">
        <v>1381</v>
      </c>
      <c r="NIH230" s="508"/>
      <c r="NII230" s="507" t="s">
        <v>1381</v>
      </c>
      <c r="NIJ230" s="508"/>
      <c r="NIK230" s="507" t="s">
        <v>1381</v>
      </c>
      <c r="NIL230" s="508"/>
      <c r="NIM230" s="507" t="s">
        <v>1381</v>
      </c>
      <c r="NIN230" s="508"/>
      <c r="NIO230" s="507" t="s">
        <v>1381</v>
      </c>
      <c r="NIP230" s="508"/>
      <c r="NIQ230" s="507" t="s">
        <v>1381</v>
      </c>
      <c r="NIR230" s="508"/>
      <c r="NIS230" s="507" t="s">
        <v>1381</v>
      </c>
      <c r="NIT230" s="508"/>
      <c r="NIU230" s="507" t="s">
        <v>1381</v>
      </c>
      <c r="NIV230" s="508"/>
      <c r="NIW230" s="507" t="s">
        <v>1381</v>
      </c>
      <c r="NIX230" s="508"/>
      <c r="NIY230" s="507" t="s">
        <v>1381</v>
      </c>
      <c r="NIZ230" s="508"/>
      <c r="NJA230" s="507" t="s">
        <v>1381</v>
      </c>
      <c r="NJB230" s="508"/>
      <c r="NJC230" s="507" t="s">
        <v>1381</v>
      </c>
      <c r="NJD230" s="508"/>
      <c r="NJE230" s="507" t="s">
        <v>1381</v>
      </c>
      <c r="NJF230" s="508"/>
      <c r="NJG230" s="507" t="s">
        <v>1381</v>
      </c>
      <c r="NJH230" s="508"/>
      <c r="NJI230" s="507" t="s">
        <v>1381</v>
      </c>
      <c r="NJJ230" s="508"/>
      <c r="NJK230" s="507" t="s">
        <v>1381</v>
      </c>
      <c r="NJL230" s="508"/>
      <c r="NJM230" s="507" t="s">
        <v>1381</v>
      </c>
      <c r="NJN230" s="508"/>
      <c r="NJO230" s="507" t="s">
        <v>1381</v>
      </c>
      <c r="NJP230" s="508"/>
      <c r="NJQ230" s="507" t="s">
        <v>1381</v>
      </c>
      <c r="NJR230" s="508"/>
      <c r="NJS230" s="507" t="s">
        <v>1381</v>
      </c>
      <c r="NJT230" s="508"/>
      <c r="NJU230" s="507" t="s">
        <v>1381</v>
      </c>
      <c r="NJV230" s="508"/>
      <c r="NJW230" s="507" t="s">
        <v>1381</v>
      </c>
      <c r="NJX230" s="508"/>
      <c r="NJY230" s="507" t="s">
        <v>1381</v>
      </c>
      <c r="NJZ230" s="508"/>
      <c r="NKA230" s="507" t="s">
        <v>1381</v>
      </c>
      <c r="NKB230" s="508"/>
      <c r="NKC230" s="507" t="s">
        <v>1381</v>
      </c>
      <c r="NKD230" s="508"/>
      <c r="NKE230" s="507" t="s">
        <v>1381</v>
      </c>
      <c r="NKF230" s="508"/>
      <c r="NKG230" s="507" t="s">
        <v>1381</v>
      </c>
      <c r="NKH230" s="508"/>
      <c r="NKI230" s="507" t="s">
        <v>1381</v>
      </c>
      <c r="NKJ230" s="508"/>
      <c r="NKK230" s="507" t="s">
        <v>1381</v>
      </c>
      <c r="NKL230" s="508"/>
      <c r="NKM230" s="507" t="s">
        <v>1381</v>
      </c>
      <c r="NKN230" s="508"/>
      <c r="NKO230" s="507" t="s">
        <v>1381</v>
      </c>
      <c r="NKP230" s="508"/>
      <c r="NKQ230" s="507" t="s">
        <v>1381</v>
      </c>
      <c r="NKR230" s="508"/>
      <c r="NKS230" s="507" t="s">
        <v>1381</v>
      </c>
      <c r="NKT230" s="508"/>
      <c r="NKU230" s="507" t="s">
        <v>1381</v>
      </c>
      <c r="NKV230" s="508"/>
      <c r="NKW230" s="507" t="s">
        <v>1381</v>
      </c>
      <c r="NKX230" s="508"/>
      <c r="NKY230" s="507" t="s">
        <v>1381</v>
      </c>
      <c r="NKZ230" s="508"/>
      <c r="NLA230" s="507" t="s">
        <v>1381</v>
      </c>
      <c r="NLB230" s="508"/>
      <c r="NLC230" s="507" t="s">
        <v>1381</v>
      </c>
      <c r="NLD230" s="508"/>
      <c r="NLE230" s="507" t="s">
        <v>1381</v>
      </c>
      <c r="NLF230" s="508"/>
      <c r="NLG230" s="507" t="s">
        <v>1381</v>
      </c>
      <c r="NLH230" s="508"/>
      <c r="NLI230" s="507" t="s">
        <v>1381</v>
      </c>
      <c r="NLJ230" s="508"/>
      <c r="NLK230" s="507" t="s">
        <v>1381</v>
      </c>
      <c r="NLL230" s="508"/>
      <c r="NLM230" s="507" t="s">
        <v>1381</v>
      </c>
      <c r="NLN230" s="508"/>
      <c r="NLO230" s="507" t="s">
        <v>1381</v>
      </c>
      <c r="NLP230" s="508"/>
      <c r="NLQ230" s="507" t="s">
        <v>1381</v>
      </c>
      <c r="NLR230" s="508"/>
      <c r="NLS230" s="507" t="s">
        <v>1381</v>
      </c>
      <c r="NLT230" s="508"/>
      <c r="NLU230" s="507" t="s">
        <v>1381</v>
      </c>
      <c r="NLV230" s="508"/>
      <c r="NLW230" s="507" t="s">
        <v>1381</v>
      </c>
      <c r="NLX230" s="508"/>
      <c r="NLY230" s="507" t="s">
        <v>1381</v>
      </c>
      <c r="NLZ230" s="508"/>
      <c r="NMA230" s="507" t="s">
        <v>1381</v>
      </c>
      <c r="NMB230" s="508"/>
      <c r="NMC230" s="507" t="s">
        <v>1381</v>
      </c>
      <c r="NMD230" s="508"/>
      <c r="NME230" s="507" t="s">
        <v>1381</v>
      </c>
      <c r="NMF230" s="508"/>
      <c r="NMG230" s="507" t="s">
        <v>1381</v>
      </c>
      <c r="NMH230" s="508"/>
      <c r="NMI230" s="507" t="s">
        <v>1381</v>
      </c>
      <c r="NMJ230" s="508"/>
      <c r="NMK230" s="507" t="s">
        <v>1381</v>
      </c>
      <c r="NML230" s="508"/>
      <c r="NMM230" s="507" t="s">
        <v>1381</v>
      </c>
      <c r="NMN230" s="508"/>
      <c r="NMO230" s="507" t="s">
        <v>1381</v>
      </c>
      <c r="NMP230" s="508"/>
      <c r="NMQ230" s="507" t="s">
        <v>1381</v>
      </c>
      <c r="NMR230" s="508"/>
      <c r="NMS230" s="507" t="s">
        <v>1381</v>
      </c>
      <c r="NMT230" s="508"/>
      <c r="NMU230" s="507" t="s">
        <v>1381</v>
      </c>
      <c r="NMV230" s="508"/>
      <c r="NMW230" s="507" t="s">
        <v>1381</v>
      </c>
      <c r="NMX230" s="508"/>
      <c r="NMY230" s="507" t="s">
        <v>1381</v>
      </c>
      <c r="NMZ230" s="508"/>
      <c r="NNA230" s="507" t="s">
        <v>1381</v>
      </c>
      <c r="NNB230" s="508"/>
      <c r="NNC230" s="507" t="s">
        <v>1381</v>
      </c>
      <c r="NND230" s="508"/>
      <c r="NNE230" s="507" t="s">
        <v>1381</v>
      </c>
      <c r="NNF230" s="508"/>
      <c r="NNG230" s="507" t="s">
        <v>1381</v>
      </c>
      <c r="NNH230" s="508"/>
      <c r="NNI230" s="507" t="s">
        <v>1381</v>
      </c>
      <c r="NNJ230" s="508"/>
      <c r="NNK230" s="507" t="s">
        <v>1381</v>
      </c>
      <c r="NNL230" s="508"/>
      <c r="NNM230" s="507" t="s">
        <v>1381</v>
      </c>
      <c r="NNN230" s="508"/>
      <c r="NNO230" s="507" t="s">
        <v>1381</v>
      </c>
      <c r="NNP230" s="508"/>
      <c r="NNQ230" s="507" t="s">
        <v>1381</v>
      </c>
      <c r="NNR230" s="508"/>
      <c r="NNS230" s="507" t="s">
        <v>1381</v>
      </c>
      <c r="NNT230" s="508"/>
      <c r="NNU230" s="507" t="s">
        <v>1381</v>
      </c>
      <c r="NNV230" s="508"/>
      <c r="NNW230" s="507" t="s">
        <v>1381</v>
      </c>
      <c r="NNX230" s="508"/>
      <c r="NNY230" s="507" t="s">
        <v>1381</v>
      </c>
      <c r="NNZ230" s="508"/>
      <c r="NOA230" s="507" t="s">
        <v>1381</v>
      </c>
      <c r="NOB230" s="508"/>
      <c r="NOC230" s="507" t="s">
        <v>1381</v>
      </c>
      <c r="NOD230" s="508"/>
      <c r="NOE230" s="507" t="s">
        <v>1381</v>
      </c>
      <c r="NOF230" s="508"/>
      <c r="NOG230" s="507" t="s">
        <v>1381</v>
      </c>
      <c r="NOH230" s="508"/>
      <c r="NOI230" s="507" t="s">
        <v>1381</v>
      </c>
      <c r="NOJ230" s="508"/>
      <c r="NOK230" s="507" t="s">
        <v>1381</v>
      </c>
      <c r="NOL230" s="508"/>
      <c r="NOM230" s="507" t="s">
        <v>1381</v>
      </c>
      <c r="NON230" s="508"/>
      <c r="NOO230" s="507" t="s">
        <v>1381</v>
      </c>
      <c r="NOP230" s="508"/>
      <c r="NOQ230" s="507" t="s">
        <v>1381</v>
      </c>
      <c r="NOR230" s="508"/>
      <c r="NOS230" s="507" t="s">
        <v>1381</v>
      </c>
      <c r="NOT230" s="508"/>
      <c r="NOU230" s="507" t="s">
        <v>1381</v>
      </c>
      <c r="NOV230" s="508"/>
      <c r="NOW230" s="507" t="s">
        <v>1381</v>
      </c>
      <c r="NOX230" s="508"/>
      <c r="NOY230" s="507" t="s">
        <v>1381</v>
      </c>
      <c r="NOZ230" s="508"/>
      <c r="NPA230" s="507" t="s">
        <v>1381</v>
      </c>
      <c r="NPB230" s="508"/>
      <c r="NPC230" s="507" t="s">
        <v>1381</v>
      </c>
      <c r="NPD230" s="508"/>
      <c r="NPE230" s="507" t="s">
        <v>1381</v>
      </c>
      <c r="NPF230" s="508"/>
      <c r="NPG230" s="507" t="s">
        <v>1381</v>
      </c>
      <c r="NPH230" s="508"/>
      <c r="NPI230" s="507" t="s">
        <v>1381</v>
      </c>
      <c r="NPJ230" s="508"/>
      <c r="NPK230" s="507" t="s">
        <v>1381</v>
      </c>
      <c r="NPL230" s="508"/>
      <c r="NPM230" s="507" t="s">
        <v>1381</v>
      </c>
      <c r="NPN230" s="508"/>
      <c r="NPO230" s="507" t="s">
        <v>1381</v>
      </c>
      <c r="NPP230" s="508"/>
      <c r="NPQ230" s="507" t="s">
        <v>1381</v>
      </c>
      <c r="NPR230" s="508"/>
      <c r="NPS230" s="507" t="s">
        <v>1381</v>
      </c>
      <c r="NPT230" s="508"/>
      <c r="NPU230" s="507" t="s">
        <v>1381</v>
      </c>
      <c r="NPV230" s="508"/>
      <c r="NPW230" s="507" t="s">
        <v>1381</v>
      </c>
      <c r="NPX230" s="508"/>
      <c r="NPY230" s="507" t="s">
        <v>1381</v>
      </c>
      <c r="NPZ230" s="508"/>
      <c r="NQA230" s="507" t="s">
        <v>1381</v>
      </c>
      <c r="NQB230" s="508"/>
      <c r="NQC230" s="507" t="s">
        <v>1381</v>
      </c>
      <c r="NQD230" s="508"/>
      <c r="NQE230" s="507" t="s">
        <v>1381</v>
      </c>
      <c r="NQF230" s="508"/>
      <c r="NQG230" s="507" t="s">
        <v>1381</v>
      </c>
      <c r="NQH230" s="508"/>
      <c r="NQI230" s="507" t="s">
        <v>1381</v>
      </c>
      <c r="NQJ230" s="508"/>
      <c r="NQK230" s="507" t="s">
        <v>1381</v>
      </c>
      <c r="NQL230" s="508"/>
      <c r="NQM230" s="507" t="s">
        <v>1381</v>
      </c>
      <c r="NQN230" s="508"/>
      <c r="NQO230" s="507" t="s">
        <v>1381</v>
      </c>
      <c r="NQP230" s="508"/>
      <c r="NQQ230" s="507" t="s">
        <v>1381</v>
      </c>
      <c r="NQR230" s="508"/>
      <c r="NQS230" s="507" t="s">
        <v>1381</v>
      </c>
      <c r="NQT230" s="508"/>
      <c r="NQU230" s="507" t="s">
        <v>1381</v>
      </c>
      <c r="NQV230" s="508"/>
      <c r="NQW230" s="507" t="s">
        <v>1381</v>
      </c>
      <c r="NQX230" s="508"/>
      <c r="NQY230" s="507" t="s">
        <v>1381</v>
      </c>
      <c r="NQZ230" s="508"/>
      <c r="NRA230" s="507" t="s">
        <v>1381</v>
      </c>
      <c r="NRB230" s="508"/>
      <c r="NRC230" s="507" t="s">
        <v>1381</v>
      </c>
      <c r="NRD230" s="508"/>
      <c r="NRE230" s="507" t="s">
        <v>1381</v>
      </c>
      <c r="NRF230" s="508"/>
      <c r="NRG230" s="507" t="s">
        <v>1381</v>
      </c>
      <c r="NRH230" s="508"/>
      <c r="NRI230" s="507" t="s">
        <v>1381</v>
      </c>
      <c r="NRJ230" s="508"/>
      <c r="NRK230" s="507" t="s">
        <v>1381</v>
      </c>
      <c r="NRL230" s="508"/>
      <c r="NRM230" s="507" t="s">
        <v>1381</v>
      </c>
      <c r="NRN230" s="508"/>
      <c r="NRO230" s="507" t="s">
        <v>1381</v>
      </c>
      <c r="NRP230" s="508"/>
      <c r="NRQ230" s="507" t="s">
        <v>1381</v>
      </c>
      <c r="NRR230" s="508"/>
      <c r="NRS230" s="507" t="s">
        <v>1381</v>
      </c>
      <c r="NRT230" s="508"/>
      <c r="NRU230" s="507" t="s">
        <v>1381</v>
      </c>
      <c r="NRV230" s="508"/>
      <c r="NRW230" s="507" t="s">
        <v>1381</v>
      </c>
      <c r="NRX230" s="508"/>
      <c r="NRY230" s="507" t="s">
        <v>1381</v>
      </c>
      <c r="NRZ230" s="508"/>
      <c r="NSA230" s="507" t="s">
        <v>1381</v>
      </c>
      <c r="NSB230" s="508"/>
      <c r="NSC230" s="507" t="s">
        <v>1381</v>
      </c>
      <c r="NSD230" s="508"/>
      <c r="NSE230" s="507" t="s">
        <v>1381</v>
      </c>
      <c r="NSF230" s="508"/>
      <c r="NSG230" s="507" t="s">
        <v>1381</v>
      </c>
      <c r="NSH230" s="508"/>
      <c r="NSI230" s="507" t="s">
        <v>1381</v>
      </c>
      <c r="NSJ230" s="508"/>
      <c r="NSK230" s="507" t="s">
        <v>1381</v>
      </c>
      <c r="NSL230" s="508"/>
      <c r="NSM230" s="507" t="s">
        <v>1381</v>
      </c>
      <c r="NSN230" s="508"/>
      <c r="NSO230" s="507" t="s">
        <v>1381</v>
      </c>
      <c r="NSP230" s="508"/>
      <c r="NSQ230" s="507" t="s">
        <v>1381</v>
      </c>
      <c r="NSR230" s="508"/>
      <c r="NSS230" s="507" t="s">
        <v>1381</v>
      </c>
      <c r="NST230" s="508"/>
      <c r="NSU230" s="507" t="s">
        <v>1381</v>
      </c>
      <c r="NSV230" s="508"/>
      <c r="NSW230" s="507" t="s">
        <v>1381</v>
      </c>
      <c r="NSX230" s="508"/>
      <c r="NSY230" s="507" t="s">
        <v>1381</v>
      </c>
      <c r="NSZ230" s="508"/>
      <c r="NTA230" s="507" t="s">
        <v>1381</v>
      </c>
      <c r="NTB230" s="508"/>
      <c r="NTC230" s="507" t="s">
        <v>1381</v>
      </c>
      <c r="NTD230" s="508"/>
      <c r="NTE230" s="507" t="s">
        <v>1381</v>
      </c>
      <c r="NTF230" s="508"/>
      <c r="NTG230" s="507" t="s">
        <v>1381</v>
      </c>
      <c r="NTH230" s="508"/>
      <c r="NTI230" s="507" t="s">
        <v>1381</v>
      </c>
      <c r="NTJ230" s="508"/>
      <c r="NTK230" s="507" t="s">
        <v>1381</v>
      </c>
      <c r="NTL230" s="508"/>
      <c r="NTM230" s="507" t="s">
        <v>1381</v>
      </c>
      <c r="NTN230" s="508"/>
      <c r="NTO230" s="507" t="s">
        <v>1381</v>
      </c>
      <c r="NTP230" s="508"/>
      <c r="NTQ230" s="507" t="s">
        <v>1381</v>
      </c>
      <c r="NTR230" s="508"/>
      <c r="NTS230" s="507" t="s">
        <v>1381</v>
      </c>
      <c r="NTT230" s="508"/>
      <c r="NTU230" s="507" t="s">
        <v>1381</v>
      </c>
      <c r="NTV230" s="508"/>
      <c r="NTW230" s="507" t="s">
        <v>1381</v>
      </c>
      <c r="NTX230" s="508"/>
      <c r="NTY230" s="507" t="s">
        <v>1381</v>
      </c>
      <c r="NTZ230" s="508"/>
      <c r="NUA230" s="507" t="s">
        <v>1381</v>
      </c>
      <c r="NUB230" s="508"/>
      <c r="NUC230" s="507" t="s">
        <v>1381</v>
      </c>
      <c r="NUD230" s="508"/>
      <c r="NUE230" s="507" t="s">
        <v>1381</v>
      </c>
      <c r="NUF230" s="508"/>
      <c r="NUG230" s="507" t="s">
        <v>1381</v>
      </c>
      <c r="NUH230" s="508"/>
      <c r="NUI230" s="507" t="s">
        <v>1381</v>
      </c>
      <c r="NUJ230" s="508"/>
      <c r="NUK230" s="507" t="s">
        <v>1381</v>
      </c>
      <c r="NUL230" s="508"/>
      <c r="NUM230" s="507" t="s">
        <v>1381</v>
      </c>
      <c r="NUN230" s="508"/>
      <c r="NUO230" s="507" t="s">
        <v>1381</v>
      </c>
      <c r="NUP230" s="508"/>
      <c r="NUQ230" s="507" t="s">
        <v>1381</v>
      </c>
      <c r="NUR230" s="508"/>
      <c r="NUS230" s="507" t="s">
        <v>1381</v>
      </c>
      <c r="NUT230" s="508"/>
      <c r="NUU230" s="507" t="s">
        <v>1381</v>
      </c>
      <c r="NUV230" s="508"/>
      <c r="NUW230" s="507" t="s">
        <v>1381</v>
      </c>
      <c r="NUX230" s="508"/>
      <c r="NUY230" s="507" t="s">
        <v>1381</v>
      </c>
      <c r="NUZ230" s="508"/>
      <c r="NVA230" s="507" t="s">
        <v>1381</v>
      </c>
      <c r="NVB230" s="508"/>
      <c r="NVC230" s="507" t="s">
        <v>1381</v>
      </c>
      <c r="NVD230" s="508"/>
      <c r="NVE230" s="507" t="s">
        <v>1381</v>
      </c>
      <c r="NVF230" s="508"/>
      <c r="NVG230" s="507" t="s">
        <v>1381</v>
      </c>
      <c r="NVH230" s="508"/>
      <c r="NVI230" s="507" t="s">
        <v>1381</v>
      </c>
      <c r="NVJ230" s="508"/>
      <c r="NVK230" s="507" t="s">
        <v>1381</v>
      </c>
      <c r="NVL230" s="508"/>
      <c r="NVM230" s="507" t="s">
        <v>1381</v>
      </c>
      <c r="NVN230" s="508"/>
      <c r="NVO230" s="507" t="s">
        <v>1381</v>
      </c>
      <c r="NVP230" s="508"/>
      <c r="NVQ230" s="507" t="s">
        <v>1381</v>
      </c>
      <c r="NVR230" s="508"/>
      <c r="NVS230" s="507" t="s">
        <v>1381</v>
      </c>
      <c r="NVT230" s="508"/>
      <c r="NVU230" s="507" t="s">
        <v>1381</v>
      </c>
      <c r="NVV230" s="508"/>
      <c r="NVW230" s="507" t="s">
        <v>1381</v>
      </c>
      <c r="NVX230" s="508"/>
      <c r="NVY230" s="507" t="s">
        <v>1381</v>
      </c>
      <c r="NVZ230" s="508"/>
      <c r="NWA230" s="507" t="s">
        <v>1381</v>
      </c>
      <c r="NWB230" s="508"/>
      <c r="NWC230" s="507" t="s">
        <v>1381</v>
      </c>
      <c r="NWD230" s="508"/>
      <c r="NWE230" s="507" t="s">
        <v>1381</v>
      </c>
      <c r="NWF230" s="508"/>
      <c r="NWG230" s="507" t="s">
        <v>1381</v>
      </c>
      <c r="NWH230" s="508"/>
      <c r="NWI230" s="507" t="s">
        <v>1381</v>
      </c>
      <c r="NWJ230" s="508"/>
      <c r="NWK230" s="507" t="s">
        <v>1381</v>
      </c>
      <c r="NWL230" s="508"/>
      <c r="NWM230" s="507" t="s">
        <v>1381</v>
      </c>
      <c r="NWN230" s="508"/>
      <c r="NWO230" s="507" t="s">
        <v>1381</v>
      </c>
      <c r="NWP230" s="508"/>
      <c r="NWQ230" s="507" t="s">
        <v>1381</v>
      </c>
      <c r="NWR230" s="508"/>
      <c r="NWS230" s="507" t="s">
        <v>1381</v>
      </c>
      <c r="NWT230" s="508"/>
      <c r="NWU230" s="507" t="s">
        <v>1381</v>
      </c>
      <c r="NWV230" s="508"/>
      <c r="NWW230" s="507" t="s">
        <v>1381</v>
      </c>
      <c r="NWX230" s="508"/>
      <c r="NWY230" s="507" t="s">
        <v>1381</v>
      </c>
      <c r="NWZ230" s="508"/>
      <c r="NXA230" s="507" t="s">
        <v>1381</v>
      </c>
      <c r="NXB230" s="508"/>
      <c r="NXC230" s="507" t="s">
        <v>1381</v>
      </c>
      <c r="NXD230" s="508"/>
      <c r="NXE230" s="507" t="s">
        <v>1381</v>
      </c>
      <c r="NXF230" s="508"/>
      <c r="NXG230" s="507" t="s">
        <v>1381</v>
      </c>
      <c r="NXH230" s="508"/>
      <c r="NXI230" s="507" t="s">
        <v>1381</v>
      </c>
      <c r="NXJ230" s="508"/>
      <c r="NXK230" s="507" t="s">
        <v>1381</v>
      </c>
      <c r="NXL230" s="508"/>
      <c r="NXM230" s="507" t="s">
        <v>1381</v>
      </c>
      <c r="NXN230" s="508"/>
      <c r="NXO230" s="507" t="s">
        <v>1381</v>
      </c>
      <c r="NXP230" s="508"/>
      <c r="NXQ230" s="507" t="s">
        <v>1381</v>
      </c>
      <c r="NXR230" s="508"/>
      <c r="NXS230" s="507" t="s">
        <v>1381</v>
      </c>
      <c r="NXT230" s="508"/>
      <c r="NXU230" s="507" t="s">
        <v>1381</v>
      </c>
      <c r="NXV230" s="508"/>
      <c r="NXW230" s="507" t="s">
        <v>1381</v>
      </c>
      <c r="NXX230" s="508"/>
      <c r="NXY230" s="507" t="s">
        <v>1381</v>
      </c>
      <c r="NXZ230" s="508"/>
      <c r="NYA230" s="507" t="s">
        <v>1381</v>
      </c>
      <c r="NYB230" s="508"/>
      <c r="NYC230" s="507" t="s">
        <v>1381</v>
      </c>
      <c r="NYD230" s="508"/>
      <c r="NYE230" s="507" t="s">
        <v>1381</v>
      </c>
      <c r="NYF230" s="508"/>
      <c r="NYG230" s="507" t="s">
        <v>1381</v>
      </c>
      <c r="NYH230" s="508"/>
      <c r="NYI230" s="507" t="s">
        <v>1381</v>
      </c>
      <c r="NYJ230" s="508"/>
      <c r="NYK230" s="507" t="s">
        <v>1381</v>
      </c>
      <c r="NYL230" s="508"/>
      <c r="NYM230" s="507" t="s">
        <v>1381</v>
      </c>
      <c r="NYN230" s="508"/>
      <c r="NYO230" s="507" t="s">
        <v>1381</v>
      </c>
      <c r="NYP230" s="508"/>
      <c r="NYQ230" s="507" t="s">
        <v>1381</v>
      </c>
      <c r="NYR230" s="508"/>
      <c r="NYS230" s="507" t="s">
        <v>1381</v>
      </c>
      <c r="NYT230" s="508"/>
      <c r="NYU230" s="507" t="s">
        <v>1381</v>
      </c>
      <c r="NYV230" s="508"/>
      <c r="NYW230" s="507" t="s">
        <v>1381</v>
      </c>
      <c r="NYX230" s="508"/>
      <c r="NYY230" s="507" t="s">
        <v>1381</v>
      </c>
      <c r="NYZ230" s="508"/>
      <c r="NZA230" s="507" t="s">
        <v>1381</v>
      </c>
      <c r="NZB230" s="508"/>
      <c r="NZC230" s="507" t="s">
        <v>1381</v>
      </c>
      <c r="NZD230" s="508"/>
      <c r="NZE230" s="507" t="s">
        <v>1381</v>
      </c>
      <c r="NZF230" s="508"/>
      <c r="NZG230" s="507" t="s">
        <v>1381</v>
      </c>
      <c r="NZH230" s="508"/>
      <c r="NZI230" s="507" t="s">
        <v>1381</v>
      </c>
      <c r="NZJ230" s="508"/>
      <c r="NZK230" s="507" t="s">
        <v>1381</v>
      </c>
      <c r="NZL230" s="508"/>
      <c r="NZM230" s="507" t="s">
        <v>1381</v>
      </c>
      <c r="NZN230" s="508"/>
      <c r="NZO230" s="507" t="s">
        <v>1381</v>
      </c>
      <c r="NZP230" s="508"/>
      <c r="NZQ230" s="507" t="s">
        <v>1381</v>
      </c>
      <c r="NZR230" s="508"/>
      <c r="NZS230" s="507" t="s">
        <v>1381</v>
      </c>
      <c r="NZT230" s="508"/>
      <c r="NZU230" s="507" t="s">
        <v>1381</v>
      </c>
      <c r="NZV230" s="508"/>
      <c r="NZW230" s="507" t="s">
        <v>1381</v>
      </c>
      <c r="NZX230" s="508"/>
      <c r="NZY230" s="507" t="s">
        <v>1381</v>
      </c>
      <c r="NZZ230" s="508"/>
      <c r="OAA230" s="507" t="s">
        <v>1381</v>
      </c>
      <c r="OAB230" s="508"/>
      <c r="OAC230" s="507" t="s">
        <v>1381</v>
      </c>
      <c r="OAD230" s="508"/>
      <c r="OAE230" s="507" t="s">
        <v>1381</v>
      </c>
      <c r="OAF230" s="508"/>
      <c r="OAG230" s="507" t="s">
        <v>1381</v>
      </c>
      <c r="OAH230" s="508"/>
      <c r="OAI230" s="507" t="s">
        <v>1381</v>
      </c>
      <c r="OAJ230" s="508"/>
      <c r="OAK230" s="507" t="s">
        <v>1381</v>
      </c>
      <c r="OAL230" s="508"/>
      <c r="OAM230" s="507" t="s">
        <v>1381</v>
      </c>
      <c r="OAN230" s="508"/>
      <c r="OAO230" s="507" t="s">
        <v>1381</v>
      </c>
      <c r="OAP230" s="508"/>
      <c r="OAQ230" s="507" t="s">
        <v>1381</v>
      </c>
      <c r="OAR230" s="508"/>
      <c r="OAS230" s="507" t="s">
        <v>1381</v>
      </c>
      <c r="OAT230" s="508"/>
      <c r="OAU230" s="507" t="s">
        <v>1381</v>
      </c>
      <c r="OAV230" s="508"/>
      <c r="OAW230" s="507" t="s">
        <v>1381</v>
      </c>
      <c r="OAX230" s="508"/>
      <c r="OAY230" s="507" t="s">
        <v>1381</v>
      </c>
      <c r="OAZ230" s="508"/>
      <c r="OBA230" s="507" t="s">
        <v>1381</v>
      </c>
      <c r="OBB230" s="508"/>
      <c r="OBC230" s="507" t="s">
        <v>1381</v>
      </c>
      <c r="OBD230" s="508"/>
      <c r="OBE230" s="507" t="s">
        <v>1381</v>
      </c>
      <c r="OBF230" s="508"/>
      <c r="OBG230" s="507" t="s">
        <v>1381</v>
      </c>
      <c r="OBH230" s="508"/>
      <c r="OBI230" s="507" t="s">
        <v>1381</v>
      </c>
      <c r="OBJ230" s="508"/>
      <c r="OBK230" s="507" t="s">
        <v>1381</v>
      </c>
      <c r="OBL230" s="508"/>
      <c r="OBM230" s="507" t="s">
        <v>1381</v>
      </c>
      <c r="OBN230" s="508"/>
      <c r="OBO230" s="507" t="s">
        <v>1381</v>
      </c>
      <c r="OBP230" s="508"/>
      <c r="OBQ230" s="507" t="s">
        <v>1381</v>
      </c>
      <c r="OBR230" s="508"/>
      <c r="OBS230" s="507" t="s">
        <v>1381</v>
      </c>
      <c r="OBT230" s="508"/>
      <c r="OBU230" s="507" t="s">
        <v>1381</v>
      </c>
      <c r="OBV230" s="508"/>
      <c r="OBW230" s="507" t="s">
        <v>1381</v>
      </c>
      <c r="OBX230" s="508"/>
      <c r="OBY230" s="507" t="s">
        <v>1381</v>
      </c>
      <c r="OBZ230" s="508"/>
      <c r="OCA230" s="507" t="s">
        <v>1381</v>
      </c>
      <c r="OCB230" s="508"/>
      <c r="OCC230" s="507" t="s">
        <v>1381</v>
      </c>
      <c r="OCD230" s="508"/>
      <c r="OCE230" s="507" t="s">
        <v>1381</v>
      </c>
      <c r="OCF230" s="508"/>
      <c r="OCG230" s="507" t="s">
        <v>1381</v>
      </c>
      <c r="OCH230" s="508"/>
      <c r="OCI230" s="507" t="s">
        <v>1381</v>
      </c>
      <c r="OCJ230" s="508"/>
      <c r="OCK230" s="507" t="s">
        <v>1381</v>
      </c>
      <c r="OCL230" s="508"/>
      <c r="OCM230" s="507" t="s">
        <v>1381</v>
      </c>
      <c r="OCN230" s="508"/>
      <c r="OCO230" s="507" t="s">
        <v>1381</v>
      </c>
      <c r="OCP230" s="508"/>
      <c r="OCQ230" s="507" t="s">
        <v>1381</v>
      </c>
      <c r="OCR230" s="508"/>
      <c r="OCS230" s="507" t="s">
        <v>1381</v>
      </c>
      <c r="OCT230" s="508"/>
      <c r="OCU230" s="507" t="s">
        <v>1381</v>
      </c>
      <c r="OCV230" s="508"/>
      <c r="OCW230" s="507" t="s">
        <v>1381</v>
      </c>
      <c r="OCX230" s="508"/>
      <c r="OCY230" s="507" t="s">
        <v>1381</v>
      </c>
      <c r="OCZ230" s="508"/>
      <c r="ODA230" s="507" t="s">
        <v>1381</v>
      </c>
      <c r="ODB230" s="508"/>
      <c r="ODC230" s="507" t="s">
        <v>1381</v>
      </c>
      <c r="ODD230" s="508"/>
      <c r="ODE230" s="507" t="s">
        <v>1381</v>
      </c>
      <c r="ODF230" s="508"/>
      <c r="ODG230" s="507" t="s">
        <v>1381</v>
      </c>
      <c r="ODH230" s="508"/>
      <c r="ODI230" s="507" t="s">
        <v>1381</v>
      </c>
      <c r="ODJ230" s="508"/>
      <c r="ODK230" s="507" t="s">
        <v>1381</v>
      </c>
      <c r="ODL230" s="508"/>
      <c r="ODM230" s="507" t="s">
        <v>1381</v>
      </c>
      <c r="ODN230" s="508"/>
      <c r="ODO230" s="507" t="s">
        <v>1381</v>
      </c>
      <c r="ODP230" s="508"/>
      <c r="ODQ230" s="507" t="s">
        <v>1381</v>
      </c>
      <c r="ODR230" s="508"/>
      <c r="ODS230" s="507" t="s">
        <v>1381</v>
      </c>
      <c r="ODT230" s="508"/>
      <c r="ODU230" s="507" t="s">
        <v>1381</v>
      </c>
      <c r="ODV230" s="508"/>
      <c r="ODW230" s="507" t="s">
        <v>1381</v>
      </c>
      <c r="ODX230" s="508"/>
      <c r="ODY230" s="507" t="s">
        <v>1381</v>
      </c>
      <c r="ODZ230" s="508"/>
      <c r="OEA230" s="507" t="s">
        <v>1381</v>
      </c>
      <c r="OEB230" s="508"/>
      <c r="OEC230" s="507" t="s">
        <v>1381</v>
      </c>
      <c r="OED230" s="508"/>
      <c r="OEE230" s="507" t="s">
        <v>1381</v>
      </c>
      <c r="OEF230" s="508"/>
      <c r="OEG230" s="507" t="s">
        <v>1381</v>
      </c>
      <c r="OEH230" s="508"/>
      <c r="OEI230" s="507" t="s">
        <v>1381</v>
      </c>
      <c r="OEJ230" s="508"/>
      <c r="OEK230" s="507" t="s">
        <v>1381</v>
      </c>
      <c r="OEL230" s="508"/>
      <c r="OEM230" s="507" t="s">
        <v>1381</v>
      </c>
      <c r="OEN230" s="508"/>
      <c r="OEO230" s="507" t="s">
        <v>1381</v>
      </c>
      <c r="OEP230" s="508"/>
      <c r="OEQ230" s="507" t="s">
        <v>1381</v>
      </c>
      <c r="OER230" s="508"/>
      <c r="OES230" s="507" t="s">
        <v>1381</v>
      </c>
      <c r="OET230" s="508"/>
      <c r="OEU230" s="507" t="s">
        <v>1381</v>
      </c>
      <c r="OEV230" s="508"/>
      <c r="OEW230" s="507" t="s">
        <v>1381</v>
      </c>
      <c r="OEX230" s="508"/>
      <c r="OEY230" s="507" t="s">
        <v>1381</v>
      </c>
      <c r="OEZ230" s="508"/>
      <c r="OFA230" s="507" t="s">
        <v>1381</v>
      </c>
      <c r="OFB230" s="508"/>
      <c r="OFC230" s="507" t="s">
        <v>1381</v>
      </c>
      <c r="OFD230" s="508"/>
      <c r="OFE230" s="507" t="s">
        <v>1381</v>
      </c>
      <c r="OFF230" s="508"/>
      <c r="OFG230" s="507" t="s">
        <v>1381</v>
      </c>
      <c r="OFH230" s="508"/>
      <c r="OFI230" s="507" t="s">
        <v>1381</v>
      </c>
      <c r="OFJ230" s="508"/>
      <c r="OFK230" s="507" t="s">
        <v>1381</v>
      </c>
      <c r="OFL230" s="508"/>
      <c r="OFM230" s="507" t="s">
        <v>1381</v>
      </c>
      <c r="OFN230" s="508"/>
      <c r="OFO230" s="507" t="s">
        <v>1381</v>
      </c>
      <c r="OFP230" s="508"/>
      <c r="OFQ230" s="507" t="s">
        <v>1381</v>
      </c>
      <c r="OFR230" s="508"/>
      <c r="OFS230" s="507" t="s">
        <v>1381</v>
      </c>
      <c r="OFT230" s="508"/>
      <c r="OFU230" s="507" t="s">
        <v>1381</v>
      </c>
      <c r="OFV230" s="508"/>
      <c r="OFW230" s="507" t="s">
        <v>1381</v>
      </c>
      <c r="OFX230" s="508"/>
      <c r="OFY230" s="507" t="s">
        <v>1381</v>
      </c>
      <c r="OFZ230" s="508"/>
      <c r="OGA230" s="507" t="s">
        <v>1381</v>
      </c>
      <c r="OGB230" s="508"/>
      <c r="OGC230" s="507" t="s">
        <v>1381</v>
      </c>
      <c r="OGD230" s="508"/>
      <c r="OGE230" s="507" t="s">
        <v>1381</v>
      </c>
      <c r="OGF230" s="508"/>
      <c r="OGG230" s="507" t="s">
        <v>1381</v>
      </c>
      <c r="OGH230" s="508"/>
      <c r="OGI230" s="507" t="s">
        <v>1381</v>
      </c>
      <c r="OGJ230" s="508"/>
      <c r="OGK230" s="507" t="s">
        <v>1381</v>
      </c>
      <c r="OGL230" s="508"/>
      <c r="OGM230" s="507" t="s">
        <v>1381</v>
      </c>
      <c r="OGN230" s="508"/>
      <c r="OGO230" s="507" t="s">
        <v>1381</v>
      </c>
      <c r="OGP230" s="508"/>
      <c r="OGQ230" s="507" t="s">
        <v>1381</v>
      </c>
      <c r="OGR230" s="508"/>
      <c r="OGS230" s="507" t="s">
        <v>1381</v>
      </c>
      <c r="OGT230" s="508"/>
      <c r="OGU230" s="507" t="s">
        <v>1381</v>
      </c>
      <c r="OGV230" s="508"/>
      <c r="OGW230" s="507" t="s">
        <v>1381</v>
      </c>
      <c r="OGX230" s="508"/>
      <c r="OGY230" s="507" t="s">
        <v>1381</v>
      </c>
      <c r="OGZ230" s="508"/>
      <c r="OHA230" s="507" t="s">
        <v>1381</v>
      </c>
      <c r="OHB230" s="508"/>
      <c r="OHC230" s="507" t="s">
        <v>1381</v>
      </c>
      <c r="OHD230" s="508"/>
      <c r="OHE230" s="507" t="s">
        <v>1381</v>
      </c>
      <c r="OHF230" s="508"/>
      <c r="OHG230" s="507" t="s">
        <v>1381</v>
      </c>
      <c r="OHH230" s="508"/>
      <c r="OHI230" s="507" t="s">
        <v>1381</v>
      </c>
      <c r="OHJ230" s="508"/>
      <c r="OHK230" s="507" t="s">
        <v>1381</v>
      </c>
      <c r="OHL230" s="508"/>
      <c r="OHM230" s="507" t="s">
        <v>1381</v>
      </c>
      <c r="OHN230" s="508"/>
      <c r="OHO230" s="507" t="s">
        <v>1381</v>
      </c>
      <c r="OHP230" s="508"/>
      <c r="OHQ230" s="507" t="s">
        <v>1381</v>
      </c>
      <c r="OHR230" s="508"/>
      <c r="OHS230" s="507" t="s">
        <v>1381</v>
      </c>
      <c r="OHT230" s="508"/>
      <c r="OHU230" s="507" t="s">
        <v>1381</v>
      </c>
      <c r="OHV230" s="508"/>
      <c r="OHW230" s="507" t="s">
        <v>1381</v>
      </c>
      <c r="OHX230" s="508"/>
      <c r="OHY230" s="507" t="s">
        <v>1381</v>
      </c>
      <c r="OHZ230" s="508"/>
      <c r="OIA230" s="507" t="s">
        <v>1381</v>
      </c>
      <c r="OIB230" s="508"/>
      <c r="OIC230" s="507" t="s">
        <v>1381</v>
      </c>
      <c r="OID230" s="508"/>
      <c r="OIE230" s="507" t="s">
        <v>1381</v>
      </c>
      <c r="OIF230" s="508"/>
      <c r="OIG230" s="507" t="s">
        <v>1381</v>
      </c>
      <c r="OIH230" s="508"/>
      <c r="OII230" s="507" t="s">
        <v>1381</v>
      </c>
      <c r="OIJ230" s="508"/>
      <c r="OIK230" s="507" t="s">
        <v>1381</v>
      </c>
      <c r="OIL230" s="508"/>
      <c r="OIM230" s="507" t="s">
        <v>1381</v>
      </c>
      <c r="OIN230" s="508"/>
      <c r="OIO230" s="507" t="s">
        <v>1381</v>
      </c>
      <c r="OIP230" s="508"/>
      <c r="OIQ230" s="507" t="s">
        <v>1381</v>
      </c>
      <c r="OIR230" s="508"/>
      <c r="OIS230" s="507" t="s">
        <v>1381</v>
      </c>
      <c r="OIT230" s="508"/>
      <c r="OIU230" s="507" t="s">
        <v>1381</v>
      </c>
      <c r="OIV230" s="508"/>
      <c r="OIW230" s="507" t="s">
        <v>1381</v>
      </c>
      <c r="OIX230" s="508"/>
      <c r="OIY230" s="507" t="s">
        <v>1381</v>
      </c>
      <c r="OIZ230" s="508"/>
      <c r="OJA230" s="507" t="s">
        <v>1381</v>
      </c>
      <c r="OJB230" s="508"/>
      <c r="OJC230" s="507" t="s">
        <v>1381</v>
      </c>
      <c r="OJD230" s="508"/>
      <c r="OJE230" s="507" t="s">
        <v>1381</v>
      </c>
      <c r="OJF230" s="508"/>
      <c r="OJG230" s="507" t="s">
        <v>1381</v>
      </c>
      <c r="OJH230" s="508"/>
      <c r="OJI230" s="507" t="s">
        <v>1381</v>
      </c>
      <c r="OJJ230" s="508"/>
      <c r="OJK230" s="507" t="s">
        <v>1381</v>
      </c>
      <c r="OJL230" s="508"/>
      <c r="OJM230" s="507" t="s">
        <v>1381</v>
      </c>
      <c r="OJN230" s="508"/>
      <c r="OJO230" s="507" t="s">
        <v>1381</v>
      </c>
      <c r="OJP230" s="508"/>
      <c r="OJQ230" s="507" t="s">
        <v>1381</v>
      </c>
      <c r="OJR230" s="508"/>
      <c r="OJS230" s="507" t="s">
        <v>1381</v>
      </c>
      <c r="OJT230" s="508"/>
      <c r="OJU230" s="507" t="s">
        <v>1381</v>
      </c>
      <c r="OJV230" s="508"/>
      <c r="OJW230" s="507" t="s">
        <v>1381</v>
      </c>
      <c r="OJX230" s="508"/>
      <c r="OJY230" s="507" t="s">
        <v>1381</v>
      </c>
      <c r="OJZ230" s="508"/>
      <c r="OKA230" s="507" t="s">
        <v>1381</v>
      </c>
      <c r="OKB230" s="508"/>
      <c r="OKC230" s="507" t="s">
        <v>1381</v>
      </c>
      <c r="OKD230" s="508"/>
      <c r="OKE230" s="507" t="s">
        <v>1381</v>
      </c>
      <c r="OKF230" s="508"/>
      <c r="OKG230" s="507" t="s">
        <v>1381</v>
      </c>
      <c r="OKH230" s="508"/>
      <c r="OKI230" s="507" t="s">
        <v>1381</v>
      </c>
      <c r="OKJ230" s="508"/>
      <c r="OKK230" s="507" t="s">
        <v>1381</v>
      </c>
      <c r="OKL230" s="508"/>
      <c r="OKM230" s="507" t="s">
        <v>1381</v>
      </c>
      <c r="OKN230" s="508"/>
      <c r="OKO230" s="507" t="s">
        <v>1381</v>
      </c>
      <c r="OKP230" s="508"/>
      <c r="OKQ230" s="507" t="s">
        <v>1381</v>
      </c>
      <c r="OKR230" s="508"/>
      <c r="OKS230" s="507" t="s">
        <v>1381</v>
      </c>
      <c r="OKT230" s="508"/>
      <c r="OKU230" s="507" t="s">
        <v>1381</v>
      </c>
      <c r="OKV230" s="508"/>
      <c r="OKW230" s="507" t="s">
        <v>1381</v>
      </c>
      <c r="OKX230" s="508"/>
      <c r="OKY230" s="507" t="s">
        <v>1381</v>
      </c>
      <c r="OKZ230" s="508"/>
      <c r="OLA230" s="507" t="s">
        <v>1381</v>
      </c>
      <c r="OLB230" s="508"/>
      <c r="OLC230" s="507" t="s">
        <v>1381</v>
      </c>
      <c r="OLD230" s="508"/>
      <c r="OLE230" s="507" t="s">
        <v>1381</v>
      </c>
      <c r="OLF230" s="508"/>
      <c r="OLG230" s="507" t="s">
        <v>1381</v>
      </c>
      <c r="OLH230" s="508"/>
      <c r="OLI230" s="507" t="s">
        <v>1381</v>
      </c>
      <c r="OLJ230" s="508"/>
      <c r="OLK230" s="507" t="s">
        <v>1381</v>
      </c>
      <c r="OLL230" s="508"/>
      <c r="OLM230" s="507" t="s">
        <v>1381</v>
      </c>
      <c r="OLN230" s="508"/>
      <c r="OLO230" s="507" t="s">
        <v>1381</v>
      </c>
      <c r="OLP230" s="508"/>
      <c r="OLQ230" s="507" t="s">
        <v>1381</v>
      </c>
      <c r="OLR230" s="508"/>
      <c r="OLS230" s="507" t="s">
        <v>1381</v>
      </c>
      <c r="OLT230" s="508"/>
      <c r="OLU230" s="507" t="s">
        <v>1381</v>
      </c>
      <c r="OLV230" s="508"/>
      <c r="OLW230" s="507" t="s">
        <v>1381</v>
      </c>
      <c r="OLX230" s="508"/>
      <c r="OLY230" s="507" t="s">
        <v>1381</v>
      </c>
      <c r="OLZ230" s="508"/>
      <c r="OMA230" s="507" t="s">
        <v>1381</v>
      </c>
      <c r="OMB230" s="508"/>
      <c r="OMC230" s="507" t="s">
        <v>1381</v>
      </c>
      <c r="OMD230" s="508"/>
      <c r="OME230" s="507" t="s">
        <v>1381</v>
      </c>
      <c r="OMF230" s="508"/>
      <c r="OMG230" s="507" t="s">
        <v>1381</v>
      </c>
      <c r="OMH230" s="508"/>
      <c r="OMI230" s="507" t="s">
        <v>1381</v>
      </c>
      <c r="OMJ230" s="508"/>
      <c r="OMK230" s="507" t="s">
        <v>1381</v>
      </c>
      <c r="OML230" s="508"/>
      <c r="OMM230" s="507" t="s">
        <v>1381</v>
      </c>
      <c r="OMN230" s="508"/>
      <c r="OMO230" s="507" t="s">
        <v>1381</v>
      </c>
      <c r="OMP230" s="508"/>
      <c r="OMQ230" s="507" t="s">
        <v>1381</v>
      </c>
      <c r="OMR230" s="508"/>
      <c r="OMS230" s="507" t="s">
        <v>1381</v>
      </c>
      <c r="OMT230" s="508"/>
      <c r="OMU230" s="507" t="s">
        <v>1381</v>
      </c>
      <c r="OMV230" s="508"/>
      <c r="OMW230" s="507" t="s">
        <v>1381</v>
      </c>
      <c r="OMX230" s="508"/>
      <c r="OMY230" s="507" t="s">
        <v>1381</v>
      </c>
      <c r="OMZ230" s="508"/>
      <c r="ONA230" s="507" t="s">
        <v>1381</v>
      </c>
      <c r="ONB230" s="508"/>
      <c r="ONC230" s="507" t="s">
        <v>1381</v>
      </c>
      <c r="OND230" s="508"/>
      <c r="ONE230" s="507" t="s">
        <v>1381</v>
      </c>
      <c r="ONF230" s="508"/>
      <c r="ONG230" s="507" t="s">
        <v>1381</v>
      </c>
      <c r="ONH230" s="508"/>
      <c r="ONI230" s="507" t="s">
        <v>1381</v>
      </c>
      <c r="ONJ230" s="508"/>
      <c r="ONK230" s="507" t="s">
        <v>1381</v>
      </c>
      <c r="ONL230" s="508"/>
      <c r="ONM230" s="507" t="s">
        <v>1381</v>
      </c>
      <c r="ONN230" s="508"/>
      <c r="ONO230" s="507" t="s">
        <v>1381</v>
      </c>
      <c r="ONP230" s="508"/>
      <c r="ONQ230" s="507" t="s">
        <v>1381</v>
      </c>
      <c r="ONR230" s="508"/>
      <c r="ONS230" s="507" t="s">
        <v>1381</v>
      </c>
      <c r="ONT230" s="508"/>
      <c r="ONU230" s="507" t="s">
        <v>1381</v>
      </c>
      <c r="ONV230" s="508"/>
      <c r="ONW230" s="507" t="s">
        <v>1381</v>
      </c>
      <c r="ONX230" s="508"/>
      <c r="ONY230" s="507" t="s">
        <v>1381</v>
      </c>
      <c r="ONZ230" s="508"/>
      <c r="OOA230" s="507" t="s">
        <v>1381</v>
      </c>
      <c r="OOB230" s="508"/>
      <c r="OOC230" s="507" t="s">
        <v>1381</v>
      </c>
      <c r="OOD230" s="508"/>
      <c r="OOE230" s="507" t="s">
        <v>1381</v>
      </c>
      <c r="OOF230" s="508"/>
      <c r="OOG230" s="507" t="s">
        <v>1381</v>
      </c>
      <c r="OOH230" s="508"/>
      <c r="OOI230" s="507" t="s">
        <v>1381</v>
      </c>
      <c r="OOJ230" s="508"/>
      <c r="OOK230" s="507" t="s">
        <v>1381</v>
      </c>
      <c r="OOL230" s="508"/>
      <c r="OOM230" s="507" t="s">
        <v>1381</v>
      </c>
      <c r="OON230" s="508"/>
      <c r="OOO230" s="507" t="s">
        <v>1381</v>
      </c>
      <c r="OOP230" s="508"/>
      <c r="OOQ230" s="507" t="s">
        <v>1381</v>
      </c>
      <c r="OOR230" s="508"/>
      <c r="OOS230" s="507" t="s">
        <v>1381</v>
      </c>
      <c r="OOT230" s="508"/>
      <c r="OOU230" s="507" t="s">
        <v>1381</v>
      </c>
      <c r="OOV230" s="508"/>
      <c r="OOW230" s="507" t="s">
        <v>1381</v>
      </c>
      <c r="OOX230" s="508"/>
      <c r="OOY230" s="507" t="s">
        <v>1381</v>
      </c>
      <c r="OOZ230" s="508"/>
      <c r="OPA230" s="507" t="s">
        <v>1381</v>
      </c>
      <c r="OPB230" s="508"/>
      <c r="OPC230" s="507" t="s">
        <v>1381</v>
      </c>
      <c r="OPD230" s="508"/>
      <c r="OPE230" s="507" t="s">
        <v>1381</v>
      </c>
      <c r="OPF230" s="508"/>
      <c r="OPG230" s="507" t="s">
        <v>1381</v>
      </c>
      <c r="OPH230" s="508"/>
      <c r="OPI230" s="507" t="s">
        <v>1381</v>
      </c>
      <c r="OPJ230" s="508"/>
      <c r="OPK230" s="507" t="s">
        <v>1381</v>
      </c>
      <c r="OPL230" s="508"/>
      <c r="OPM230" s="507" t="s">
        <v>1381</v>
      </c>
      <c r="OPN230" s="508"/>
      <c r="OPO230" s="507" t="s">
        <v>1381</v>
      </c>
      <c r="OPP230" s="508"/>
      <c r="OPQ230" s="507" t="s">
        <v>1381</v>
      </c>
      <c r="OPR230" s="508"/>
      <c r="OPS230" s="507" t="s">
        <v>1381</v>
      </c>
      <c r="OPT230" s="508"/>
      <c r="OPU230" s="507" t="s">
        <v>1381</v>
      </c>
      <c r="OPV230" s="508"/>
      <c r="OPW230" s="507" t="s">
        <v>1381</v>
      </c>
      <c r="OPX230" s="508"/>
      <c r="OPY230" s="507" t="s">
        <v>1381</v>
      </c>
      <c r="OPZ230" s="508"/>
      <c r="OQA230" s="507" t="s">
        <v>1381</v>
      </c>
      <c r="OQB230" s="508"/>
      <c r="OQC230" s="507" t="s">
        <v>1381</v>
      </c>
      <c r="OQD230" s="508"/>
      <c r="OQE230" s="507" t="s">
        <v>1381</v>
      </c>
      <c r="OQF230" s="508"/>
      <c r="OQG230" s="507" t="s">
        <v>1381</v>
      </c>
      <c r="OQH230" s="508"/>
      <c r="OQI230" s="507" t="s">
        <v>1381</v>
      </c>
      <c r="OQJ230" s="508"/>
      <c r="OQK230" s="507" t="s">
        <v>1381</v>
      </c>
      <c r="OQL230" s="508"/>
      <c r="OQM230" s="507" t="s">
        <v>1381</v>
      </c>
      <c r="OQN230" s="508"/>
      <c r="OQO230" s="507" t="s">
        <v>1381</v>
      </c>
      <c r="OQP230" s="508"/>
      <c r="OQQ230" s="507" t="s">
        <v>1381</v>
      </c>
      <c r="OQR230" s="508"/>
      <c r="OQS230" s="507" t="s">
        <v>1381</v>
      </c>
      <c r="OQT230" s="508"/>
      <c r="OQU230" s="507" t="s">
        <v>1381</v>
      </c>
      <c r="OQV230" s="508"/>
      <c r="OQW230" s="507" t="s">
        <v>1381</v>
      </c>
      <c r="OQX230" s="508"/>
      <c r="OQY230" s="507" t="s">
        <v>1381</v>
      </c>
      <c r="OQZ230" s="508"/>
      <c r="ORA230" s="507" t="s">
        <v>1381</v>
      </c>
      <c r="ORB230" s="508"/>
      <c r="ORC230" s="507" t="s">
        <v>1381</v>
      </c>
      <c r="ORD230" s="508"/>
      <c r="ORE230" s="507" t="s">
        <v>1381</v>
      </c>
      <c r="ORF230" s="508"/>
      <c r="ORG230" s="507" t="s">
        <v>1381</v>
      </c>
      <c r="ORH230" s="508"/>
      <c r="ORI230" s="507" t="s">
        <v>1381</v>
      </c>
      <c r="ORJ230" s="508"/>
      <c r="ORK230" s="507" t="s">
        <v>1381</v>
      </c>
      <c r="ORL230" s="508"/>
      <c r="ORM230" s="507" t="s">
        <v>1381</v>
      </c>
      <c r="ORN230" s="508"/>
      <c r="ORO230" s="507" t="s">
        <v>1381</v>
      </c>
      <c r="ORP230" s="508"/>
      <c r="ORQ230" s="507" t="s">
        <v>1381</v>
      </c>
      <c r="ORR230" s="508"/>
      <c r="ORS230" s="507" t="s">
        <v>1381</v>
      </c>
      <c r="ORT230" s="508"/>
      <c r="ORU230" s="507" t="s">
        <v>1381</v>
      </c>
      <c r="ORV230" s="508"/>
      <c r="ORW230" s="507" t="s">
        <v>1381</v>
      </c>
      <c r="ORX230" s="508"/>
      <c r="ORY230" s="507" t="s">
        <v>1381</v>
      </c>
      <c r="ORZ230" s="508"/>
      <c r="OSA230" s="507" t="s">
        <v>1381</v>
      </c>
      <c r="OSB230" s="508"/>
      <c r="OSC230" s="507" t="s">
        <v>1381</v>
      </c>
      <c r="OSD230" s="508"/>
      <c r="OSE230" s="507" t="s">
        <v>1381</v>
      </c>
      <c r="OSF230" s="508"/>
      <c r="OSG230" s="507" t="s">
        <v>1381</v>
      </c>
      <c r="OSH230" s="508"/>
      <c r="OSI230" s="507" t="s">
        <v>1381</v>
      </c>
      <c r="OSJ230" s="508"/>
      <c r="OSK230" s="507" t="s">
        <v>1381</v>
      </c>
      <c r="OSL230" s="508"/>
      <c r="OSM230" s="507" t="s">
        <v>1381</v>
      </c>
      <c r="OSN230" s="508"/>
      <c r="OSO230" s="507" t="s">
        <v>1381</v>
      </c>
      <c r="OSP230" s="508"/>
      <c r="OSQ230" s="507" t="s">
        <v>1381</v>
      </c>
      <c r="OSR230" s="508"/>
      <c r="OSS230" s="507" t="s">
        <v>1381</v>
      </c>
      <c r="OST230" s="508"/>
      <c r="OSU230" s="507" t="s">
        <v>1381</v>
      </c>
      <c r="OSV230" s="508"/>
      <c r="OSW230" s="507" t="s">
        <v>1381</v>
      </c>
      <c r="OSX230" s="508"/>
      <c r="OSY230" s="507" t="s">
        <v>1381</v>
      </c>
      <c r="OSZ230" s="508"/>
      <c r="OTA230" s="507" t="s">
        <v>1381</v>
      </c>
      <c r="OTB230" s="508"/>
      <c r="OTC230" s="507" t="s">
        <v>1381</v>
      </c>
      <c r="OTD230" s="508"/>
      <c r="OTE230" s="507" t="s">
        <v>1381</v>
      </c>
      <c r="OTF230" s="508"/>
      <c r="OTG230" s="507" t="s">
        <v>1381</v>
      </c>
      <c r="OTH230" s="508"/>
      <c r="OTI230" s="507" t="s">
        <v>1381</v>
      </c>
      <c r="OTJ230" s="508"/>
      <c r="OTK230" s="507" t="s">
        <v>1381</v>
      </c>
      <c r="OTL230" s="508"/>
      <c r="OTM230" s="507" t="s">
        <v>1381</v>
      </c>
      <c r="OTN230" s="508"/>
      <c r="OTO230" s="507" t="s">
        <v>1381</v>
      </c>
      <c r="OTP230" s="508"/>
      <c r="OTQ230" s="507" t="s">
        <v>1381</v>
      </c>
      <c r="OTR230" s="508"/>
      <c r="OTS230" s="507" t="s">
        <v>1381</v>
      </c>
      <c r="OTT230" s="508"/>
      <c r="OTU230" s="507" t="s">
        <v>1381</v>
      </c>
      <c r="OTV230" s="508"/>
      <c r="OTW230" s="507" t="s">
        <v>1381</v>
      </c>
      <c r="OTX230" s="508"/>
      <c r="OTY230" s="507" t="s">
        <v>1381</v>
      </c>
      <c r="OTZ230" s="508"/>
      <c r="OUA230" s="507" t="s">
        <v>1381</v>
      </c>
      <c r="OUB230" s="508"/>
      <c r="OUC230" s="507" t="s">
        <v>1381</v>
      </c>
      <c r="OUD230" s="508"/>
      <c r="OUE230" s="507" t="s">
        <v>1381</v>
      </c>
      <c r="OUF230" s="508"/>
      <c r="OUG230" s="507" t="s">
        <v>1381</v>
      </c>
      <c r="OUH230" s="508"/>
      <c r="OUI230" s="507" t="s">
        <v>1381</v>
      </c>
      <c r="OUJ230" s="508"/>
      <c r="OUK230" s="507" t="s">
        <v>1381</v>
      </c>
      <c r="OUL230" s="508"/>
      <c r="OUM230" s="507" t="s">
        <v>1381</v>
      </c>
      <c r="OUN230" s="508"/>
      <c r="OUO230" s="507" t="s">
        <v>1381</v>
      </c>
      <c r="OUP230" s="508"/>
      <c r="OUQ230" s="507" t="s">
        <v>1381</v>
      </c>
      <c r="OUR230" s="508"/>
      <c r="OUS230" s="507" t="s">
        <v>1381</v>
      </c>
      <c r="OUT230" s="508"/>
      <c r="OUU230" s="507" t="s">
        <v>1381</v>
      </c>
      <c r="OUV230" s="508"/>
      <c r="OUW230" s="507" t="s">
        <v>1381</v>
      </c>
      <c r="OUX230" s="508"/>
      <c r="OUY230" s="507" t="s">
        <v>1381</v>
      </c>
      <c r="OUZ230" s="508"/>
      <c r="OVA230" s="507" t="s">
        <v>1381</v>
      </c>
      <c r="OVB230" s="508"/>
      <c r="OVC230" s="507" t="s">
        <v>1381</v>
      </c>
      <c r="OVD230" s="508"/>
      <c r="OVE230" s="507" t="s">
        <v>1381</v>
      </c>
      <c r="OVF230" s="508"/>
      <c r="OVG230" s="507" t="s">
        <v>1381</v>
      </c>
      <c r="OVH230" s="508"/>
      <c r="OVI230" s="507" t="s">
        <v>1381</v>
      </c>
      <c r="OVJ230" s="508"/>
      <c r="OVK230" s="507" t="s">
        <v>1381</v>
      </c>
      <c r="OVL230" s="508"/>
      <c r="OVM230" s="507" t="s">
        <v>1381</v>
      </c>
      <c r="OVN230" s="508"/>
      <c r="OVO230" s="507" t="s">
        <v>1381</v>
      </c>
      <c r="OVP230" s="508"/>
      <c r="OVQ230" s="507" t="s">
        <v>1381</v>
      </c>
      <c r="OVR230" s="508"/>
      <c r="OVS230" s="507" t="s">
        <v>1381</v>
      </c>
      <c r="OVT230" s="508"/>
      <c r="OVU230" s="507" t="s">
        <v>1381</v>
      </c>
      <c r="OVV230" s="508"/>
      <c r="OVW230" s="507" t="s">
        <v>1381</v>
      </c>
      <c r="OVX230" s="508"/>
      <c r="OVY230" s="507" t="s">
        <v>1381</v>
      </c>
      <c r="OVZ230" s="508"/>
      <c r="OWA230" s="507" t="s">
        <v>1381</v>
      </c>
      <c r="OWB230" s="508"/>
      <c r="OWC230" s="507" t="s">
        <v>1381</v>
      </c>
      <c r="OWD230" s="508"/>
      <c r="OWE230" s="507" t="s">
        <v>1381</v>
      </c>
      <c r="OWF230" s="508"/>
      <c r="OWG230" s="507" t="s">
        <v>1381</v>
      </c>
      <c r="OWH230" s="508"/>
      <c r="OWI230" s="507" t="s">
        <v>1381</v>
      </c>
      <c r="OWJ230" s="508"/>
      <c r="OWK230" s="507" t="s">
        <v>1381</v>
      </c>
      <c r="OWL230" s="508"/>
      <c r="OWM230" s="507" t="s">
        <v>1381</v>
      </c>
      <c r="OWN230" s="508"/>
      <c r="OWO230" s="507" t="s">
        <v>1381</v>
      </c>
      <c r="OWP230" s="508"/>
      <c r="OWQ230" s="507" t="s">
        <v>1381</v>
      </c>
      <c r="OWR230" s="508"/>
      <c r="OWS230" s="507" t="s">
        <v>1381</v>
      </c>
      <c r="OWT230" s="508"/>
      <c r="OWU230" s="507" t="s">
        <v>1381</v>
      </c>
      <c r="OWV230" s="508"/>
      <c r="OWW230" s="507" t="s">
        <v>1381</v>
      </c>
      <c r="OWX230" s="508"/>
      <c r="OWY230" s="507" t="s">
        <v>1381</v>
      </c>
      <c r="OWZ230" s="508"/>
      <c r="OXA230" s="507" t="s">
        <v>1381</v>
      </c>
      <c r="OXB230" s="508"/>
      <c r="OXC230" s="507" t="s">
        <v>1381</v>
      </c>
      <c r="OXD230" s="508"/>
      <c r="OXE230" s="507" t="s">
        <v>1381</v>
      </c>
      <c r="OXF230" s="508"/>
      <c r="OXG230" s="507" t="s">
        <v>1381</v>
      </c>
      <c r="OXH230" s="508"/>
      <c r="OXI230" s="507" t="s">
        <v>1381</v>
      </c>
      <c r="OXJ230" s="508"/>
      <c r="OXK230" s="507" t="s">
        <v>1381</v>
      </c>
      <c r="OXL230" s="508"/>
      <c r="OXM230" s="507" t="s">
        <v>1381</v>
      </c>
      <c r="OXN230" s="508"/>
      <c r="OXO230" s="507" t="s">
        <v>1381</v>
      </c>
      <c r="OXP230" s="508"/>
      <c r="OXQ230" s="507" t="s">
        <v>1381</v>
      </c>
      <c r="OXR230" s="508"/>
      <c r="OXS230" s="507" t="s">
        <v>1381</v>
      </c>
      <c r="OXT230" s="508"/>
      <c r="OXU230" s="507" t="s">
        <v>1381</v>
      </c>
      <c r="OXV230" s="508"/>
      <c r="OXW230" s="507" t="s">
        <v>1381</v>
      </c>
      <c r="OXX230" s="508"/>
      <c r="OXY230" s="507" t="s">
        <v>1381</v>
      </c>
      <c r="OXZ230" s="508"/>
      <c r="OYA230" s="507" t="s">
        <v>1381</v>
      </c>
      <c r="OYB230" s="508"/>
      <c r="OYC230" s="507" t="s">
        <v>1381</v>
      </c>
      <c r="OYD230" s="508"/>
      <c r="OYE230" s="507" t="s">
        <v>1381</v>
      </c>
      <c r="OYF230" s="508"/>
      <c r="OYG230" s="507" t="s">
        <v>1381</v>
      </c>
      <c r="OYH230" s="508"/>
      <c r="OYI230" s="507" t="s">
        <v>1381</v>
      </c>
      <c r="OYJ230" s="508"/>
      <c r="OYK230" s="507" t="s">
        <v>1381</v>
      </c>
      <c r="OYL230" s="508"/>
      <c r="OYM230" s="507" t="s">
        <v>1381</v>
      </c>
      <c r="OYN230" s="508"/>
      <c r="OYO230" s="507" t="s">
        <v>1381</v>
      </c>
      <c r="OYP230" s="508"/>
      <c r="OYQ230" s="507" t="s">
        <v>1381</v>
      </c>
      <c r="OYR230" s="508"/>
      <c r="OYS230" s="507" t="s">
        <v>1381</v>
      </c>
      <c r="OYT230" s="508"/>
      <c r="OYU230" s="507" t="s">
        <v>1381</v>
      </c>
      <c r="OYV230" s="508"/>
      <c r="OYW230" s="507" t="s">
        <v>1381</v>
      </c>
      <c r="OYX230" s="508"/>
      <c r="OYY230" s="507" t="s">
        <v>1381</v>
      </c>
      <c r="OYZ230" s="508"/>
      <c r="OZA230" s="507" t="s">
        <v>1381</v>
      </c>
      <c r="OZB230" s="508"/>
      <c r="OZC230" s="507" t="s">
        <v>1381</v>
      </c>
      <c r="OZD230" s="508"/>
      <c r="OZE230" s="507" t="s">
        <v>1381</v>
      </c>
      <c r="OZF230" s="508"/>
      <c r="OZG230" s="507" t="s">
        <v>1381</v>
      </c>
      <c r="OZH230" s="508"/>
      <c r="OZI230" s="507" t="s">
        <v>1381</v>
      </c>
      <c r="OZJ230" s="508"/>
      <c r="OZK230" s="507" t="s">
        <v>1381</v>
      </c>
      <c r="OZL230" s="508"/>
      <c r="OZM230" s="507" t="s">
        <v>1381</v>
      </c>
      <c r="OZN230" s="508"/>
      <c r="OZO230" s="507" t="s">
        <v>1381</v>
      </c>
      <c r="OZP230" s="508"/>
      <c r="OZQ230" s="507" t="s">
        <v>1381</v>
      </c>
      <c r="OZR230" s="508"/>
      <c r="OZS230" s="507" t="s">
        <v>1381</v>
      </c>
      <c r="OZT230" s="508"/>
      <c r="OZU230" s="507" t="s">
        <v>1381</v>
      </c>
      <c r="OZV230" s="508"/>
      <c r="OZW230" s="507" t="s">
        <v>1381</v>
      </c>
      <c r="OZX230" s="508"/>
      <c r="OZY230" s="507" t="s">
        <v>1381</v>
      </c>
      <c r="OZZ230" s="508"/>
      <c r="PAA230" s="507" t="s">
        <v>1381</v>
      </c>
      <c r="PAB230" s="508"/>
      <c r="PAC230" s="507" t="s">
        <v>1381</v>
      </c>
      <c r="PAD230" s="508"/>
      <c r="PAE230" s="507" t="s">
        <v>1381</v>
      </c>
      <c r="PAF230" s="508"/>
      <c r="PAG230" s="507" t="s">
        <v>1381</v>
      </c>
      <c r="PAH230" s="508"/>
      <c r="PAI230" s="507" t="s">
        <v>1381</v>
      </c>
      <c r="PAJ230" s="508"/>
      <c r="PAK230" s="507" t="s">
        <v>1381</v>
      </c>
      <c r="PAL230" s="508"/>
      <c r="PAM230" s="507" t="s">
        <v>1381</v>
      </c>
      <c r="PAN230" s="508"/>
      <c r="PAO230" s="507" t="s">
        <v>1381</v>
      </c>
      <c r="PAP230" s="508"/>
      <c r="PAQ230" s="507" t="s">
        <v>1381</v>
      </c>
      <c r="PAR230" s="508"/>
      <c r="PAS230" s="507" t="s">
        <v>1381</v>
      </c>
      <c r="PAT230" s="508"/>
      <c r="PAU230" s="507" t="s">
        <v>1381</v>
      </c>
      <c r="PAV230" s="508"/>
      <c r="PAW230" s="507" t="s">
        <v>1381</v>
      </c>
      <c r="PAX230" s="508"/>
      <c r="PAY230" s="507" t="s">
        <v>1381</v>
      </c>
      <c r="PAZ230" s="508"/>
      <c r="PBA230" s="507" t="s">
        <v>1381</v>
      </c>
      <c r="PBB230" s="508"/>
      <c r="PBC230" s="507" t="s">
        <v>1381</v>
      </c>
      <c r="PBD230" s="508"/>
      <c r="PBE230" s="507" t="s">
        <v>1381</v>
      </c>
      <c r="PBF230" s="508"/>
      <c r="PBG230" s="507" t="s">
        <v>1381</v>
      </c>
      <c r="PBH230" s="508"/>
      <c r="PBI230" s="507" t="s">
        <v>1381</v>
      </c>
      <c r="PBJ230" s="508"/>
      <c r="PBK230" s="507" t="s">
        <v>1381</v>
      </c>
      <c r="PBL230" s="508"/>
      <c r="PBM230" s="507" t="s">
        <v>1381</v>
      </c>
      <c r="PBN230" s="508"/>
      <c r="PBO230" s="507" t="s">
        <v>1381</v>
      </c>
      <c r="PBP230" s="508"/>
      <c r="PBQ230" s="507" t="s">
        <v>1381</v>
      </c>
      <c r="PBR230" s="508"/>
      <c r="PBS230" s="507" t="s">
        <v>1381</v>
      </c>
      <c r="PBT230" s="508"/>
      <c r="PBU230" s="507" t="s">
        <v>1381</v>
      </c>
      <c r="PBV230" s="508"/>
      <c r="PBW230" s="507" t="s">
        <v>1381</v>
      </c>
      <c r="PBX230" s="508"/>
      <c r="PBY230" s="507" t="s">
        <v>1381</v>
      </c>
      <c r="PBZ230" s="508"/>
      <c r="PCA230" s="507" t="s">
        <v>1381</v>
      </c>
      <c r="PCB230" s="508"/>
      <c r="PCC230" s="507" t="s">
        <v>1381</v>
      </c>
      <c r="PCD230" s="508"/>
      <c r="PCE230" s="507" t="s">
        <v>1381</v>
      </c>
      <c r="PCF230" s="508"/>
      <c r="PCG230" s="507" t="s">
        <v>1381</v>
      </c>
      <c r="PCH230" s="508"/>
      <c r="PCI230" s="507" t="s">
        <v>1381</v>
      </c>
      <c r="PCJ230" s="508"/>
      <c r="PCK230" s="507" t="s">
        <v>1381</v>
      </c>
      <c r="PCL230" s="508"/>
      <c r="PCM230" s="507" t="s">
        <v>1381</v>
      </c>
      <c r="PCN230" s="508"/>
      <c r="PCO230" s="507" t="s">
        <v>1381</v>
      </c>
      <c r="PCP230" s="508"/>
      <c r="PCQ230" s="507" t="s">
        <v>1381</v>
      </c>
      <c r="PCR230" s="508"/>
      <c r="PCS230" s="507" t="s">
        <v>1381</v>
      </c>
      <c r="PCT230" s="508"/>
      <c r="PCU230" s="507" t="s">
        <v>1381</v>
      </c>
      <c r="PCV230" s="508"/>
      <c r="PCW230" s="507" t="s">
        <v>1381</v>
      </c>
      <c r="PCX230" s="508"/>
      <c r="PCY230" s="507" t="s">
        <v>1381</v>
      </c>
      <c r="PCZ230" s="508"/>
      <c r="PDA230" s="507" t="s">
        <v>1381</v>
      </c>
      <c r="PDB230" s="508"/>
      <c r="PDC230" s="507" t="s">
        <v>1381</v>
      </c>
      <c r="PDD230" s="508"/>
      <c r="PDE230" s="507" t="s">
        <v>1381</v>
      </c>
      <c r="PDF230" s="508"/>
      <c r="PDG230" s="507" t="s">
        <v>1381</v>
      </c>
      <c r="PDH230" s="508"/>
      <c r="PDI230" s="507" t="s">
        <v>1381</v>
      </c>
      <c r="PDJ230" s="508"/>
      <c r="PDK230" s="507" t="s">
        <v>1381</v>
      </c>
      <c r="PDL230" s="508"/>
      <c r="PDM230" s="507" t="s">
        <v>1381</v>
      </c>
      <c r="PDN230" s="508"/>
      <c r="PDO230" s="507" t="s">
        <v>1381</v>
      </c>
      <c r="PDP230" s="508"/>
      <c r="PDQ230" s="507" t="s">
        <v>1381</v>
      </c>
      <c r="PDR230" s="508"/>
      <c r="PDS230" s="507" t="s">
        <v>1381</v>
      </c>
      <c r="PDT230" s="508"/>
      <c r="PDU230" s="507" t="s">
        <v>1381</v>
      </c>
      <c r="PDV230" s="508"/>
      <c r="PDW230" s="507" t="s">
        <v>1381</v>
      </c>
      <c r="PDX230" s="508"/>
      <c r="PDY230" s="507" t="s">
        <v>1381</v>
      </c>
      <c r="PDZ230" s="508"/>
      <c r="PEA230" s="507" t="s">
        <v>1381</v>
      </c>
      <c r="PEB230" s="508"/>
      <c r="PEC230" s="507" t="s">
        <v>1381</v>
      </c>
      <c r="PED230" s="508"/>
      <c r="PEE230" s="507" t="s">
        <v>1381</v>
      </c>
      <c r="PEF230" s="508"/>
      <c r="PEG230" s="507" t="s">
        <v>1381</v>
      </c>
      <c r="PEH230" s="508"/>
      <c r="PEI230" s="507" t="s">
        <v>1381</v>
      </c>
      <c r="PEJ230" s="508"/>
      <c r="PEK230" s="507" t="s">
        <v>1381</v>
      </c>
      <c r="PEL230" s="508"/>
      <c r="PEM230" s="507" t="s">
        <v>1381</v>
      </c>
      <c r="PEN230" s="508"/>
      <c r="PEO230" s="507" t="s">
        <v>1381</v>
      </c>
      <c r="PEP230" s="508"/>
      <c r="PEQ230" s="507" t="s">
        <v>1381</v>
      </c>
      <c r="PER230" s="508"/>
      <c r="PES230" s="507" t="s">
        <v>1381</v>
      </c>
      <c r="PET230" s="508"/>
      <c r="PEU230" s="507" t="s">
        <v>1381</v>
      </c>
      <c r="PEV230" s="508"/>
      <c r="PEW230" s="507" t="s">
        <v>1381</v>
      </c>
      <c r="PEX230" s="508"/>
      <c r="PEY230" s="507" t="s">
        <v>1381</v>
      </c>
      <c r="PEZ230" s="508"/>
      <c r="PFA230" s="507" t="s">
        <v>1381</v>
      </c>
      <c r="PFB230" s="508"/>
      <c r="PFC230" s="507" t="s">
        <v>1381</v>
      </c>
      <c r="PFD230" s="508"/>
      <c r="PFE230" s="507" t="s">
        <v>1381</v>
      </c>
      <c r="PFF230" s="508"/>
      <c r="PFG230" s="507" t="s">
        <v>1381</v>
      </c>
      <c r="PFH230" s="508"/>
      <c r="PFI230" s="507" t="s">
        <v>1381</v>
      </c>
      <c r="PFJ230" s="508"/>
      <c r="PFK230" s="507" t="s">
        <v>1381</v>
      </c>
      <c r="PFL230" s="508"/>
      <c r="PFM230" s="507" t="s">
        <v>1381</v>
      </c>
      <c r="PFN230" s="508"/>
      <c r="PFO230" s="507" t="s">
        <v>1381</v>
      </c>
      <c r="PFP230" s="508"/>
      <c r="PFQ230" s="507" t="s">
        <v>1381</v>
      </c>
      <c r="PFR230" s="508"/>
      <c r="PFS230" s="507" t="s">
        <v>1381</v>
      </c>
      <c r="PFT230" s="508"/>
      <c r="PFU230" s="507" t="s">
        <v>1381</v>
      </c>
      <c r="PFV230" s="508"/>
      <c r="PFW230" s="507" t="s">
        <v>1381</v>
      </c>
      <c r="PFX230" s="508"/>
      <c r="PFY230" s="507" t="s">
        <v>1381</v>
      </c>
      <c r="PFZ230" s="508"/>
      <c r="PGA230" s="507" t="s">
        <v>1381</v>
      </c>
      <c r="PGB230" s="508"/>
      <c r="PGC230" s="507" t="s">
        <v>1381</v>
      </c>
      <c r="PGD230" s="508"/>
      <c r="PGE230" s="507" t="s">
        <v>1381</v>
      </c>
      <c r="PGF230" s="508"/>
      <c r="PGG230" s="507" t="s">
        <v>1381</v>
      </c>
      <c r="PGH230" s="508"/>
      <c r="PGI230" s="507" t="s">
        <v>1381</v>
      </c>
      <c r="PGJ230" s="508"/>
      <c r="PGK230" s="507" t="s">
        <v>1381</v>
      </c>
      <c r="PGL230" s="508"/>
      <c r="PGM230" s="507" t="s">
        <v>1381</v>
      </c>
      <c r="PGN230" s="508"/>
      <c r="PGO230" s="507" t="s">
        <v>1381</v>
      </c>
      <c r="PGP230" s="508"/>
      <c r="PGQ230" s="507" t="s">
        <v>1381</v>
      </c>
      <c r="PGR230" s="508"/>
      <c r="PGS230" s="507" t="s">
        <v>1381</v>
      </c>
      <c r="PGT230" s="508"/>
      <c r="PGU230" s="507" t="s">
        <v>1381</v>
      </c>
      <c r="PGV230" s="508"/>
      <c r="PGW230" s="507" t="s">
        <v>1381</v>
      </c>
      <c r="PGX230" s="508"/>
      <c r="PGY230" s="507" t="s">
        <v>1381</v>
      </c>
      <c r="PGZ230" s="508"/>
      <c r="PHA230" s="507" t="s">
        <v>1381</v>
      </c>
      <c r="PHB230" s="508"/>
      <c r="PHC230" s="507" t="s">
        <v>1381</v>
      </c>
      <c r="PHD230" s="508"/>
      <c r="PHE230" s="507" t="s">
        <v>1381</v>
      </c>
      <c r="PHF230" s="508"/>
      <c r="PHG230" s="507" t="s">
        <v>1381</v>
      </c>
      <c r="PHH230" s="508"/>
      <c r="PHI230" s="507" t="s">
        <v>1381</v>
      </c>
      <c r="PHJ230" s="508"/>
      <c r="PHK230" s="507" t="s">
        <v>1381</v>
      </c>
      <c r="PHL230" s="508"/>
      <c r="PHM230" s="507" t="s">
        <v>1381</v>
      </c>
      <c r="PHN230" s="508"/>
      <c r="PHO230" s="507" t="s">
        <v>1381</v>
      </c>
      <c r="PHP230" s="508"/>
      <c r="PHQ230" s="507" t="s">
        <v>1381</v>
      </c>
      <c r="PHR230" s="508"/>
      <c r="PHS230" s="507" t="s">
        <v>1381</v>
      </c>
      <c r="PHT230" s="508"/>
      <c r="PHU230" s="507" t="s">
        <v>1381</v>
      </c>
      <c r="PHV230" s="508"/>
      <c r="PHW230" s="507" t="s">
        <v>1381</v>
      </c>
      <c r="PHX230" s="508"/>
      <c r="PHY230" s="507" t="s">
        <v>1381</v>
      </c>
      <c r="PHZ230" s="508"/>
      <c r="PIA230" s="507" t="s">
        <v>1381</v>
      </c>
      <c r="PIB230" s="508"/>
      <c r="PIC230" s="507" t="s">
        <v>1381</v>
      </c>
      <c r="PID230" s="508"/>
      <c r="PIE230" s="507" t="s">
        <v>1381</v>
      </c>
      <c r="PIF230" s="508"/>
      <c r="PIG230" s="507" t="s">
        <v>1381</v>
      </c>
      <c r="PIH230" s="508"/>
      <c r="PII230" s="507" t="s">
        <v>1381</v>
      </c>
      <c r="PIJ230" s="508"/>
      <c r="PIK230" s="507" t="s">
        <v>1381</v>
      </c>
      <c r="PIL230" s="508"/>
      <c r="PIM230" s="507" t="s">
        <v>1381</v>
      </c>
      <c r="PIN230" s="508"/>
      <c r="PIO230" s="507" t="s">
        <v>1381</v>
      </c>
      <c r="PIP230" s="508"/>
      <c r="PIQ230" s="507" t="s">
        <v>1381</v>
      </c>
      <c r="PIR230" s="508"/>
      <c r="PIS230" s="507" t="s">
        <v>1381</v>
      </c>
      <c r="PIT230" s="508"/>
      <c r="PIU230" s="507" t="s">
        <v>1381</v>
      </c>
      <c r="PIV230" s="508"/>
      <c r="PIW230" s="507" t="s">
        <v>1381</v>
      </c>
      <c r="PIX230" s="508"/>
      <c r="PIY230" s="507" t="s">
        <v>1381</v>
      </c>
      <c r="PIZ230" s="508"/>
      <c r="PJA230" s="507" t="s">
        <v>1381</v>
      </c>
      <c r="PJB230" s="508"/>
      <c r="PJC230" s="507" t="s">
        <v>1381</v>
      </c>
      <c r="PJD230" s="508"/>
      <c r="PJE230" s="507" t="s">
        <v>1381</v>
      </c>
      <c r="PJF230" s="508"/>
      <c r="PJG230" s="507" t="s">
        <v>1381</v>
      </c>
      <c r="PJH230" s="508"/>
      <c r="PJI230" s="507" t="s">
        <v>1381</v>
      </c>
      <c r="PJJ230" s="508"/>
      <c r="PJK230" s="507" t="s">
        <v>1381</v>
      </c>
      <c r="PJL230" s="508"/>
      <c r="PJM230" s="507" t="s">
        <v>1381</v>
      </c>
      <c r="PJN230" s="508"/>
      <c r="PJO230" s="507" t="s">
        <v>1381</v>
      </c>
      <c r="PJP230" s="508"/>
      <c r="PJQ230" s="507" t="s">
        <v>1381</v>
      </c>
      <c r="PJR230" s="508"/>
      <c r="PJS230" s="507" t="s">
        <v>1381</v>
      </c>
      <c r="PJT230" s="508"/>
      <c r="PJU230" s="507" t="s">
        <v>1381</v>
      </c>
      <c r="PJV230" s="508"/>
      <c r="PJW230" s="507" t="s">
        <v>1381</v>
      </c>
      <c r="PJX230" s="508"/>
      <c r="PJY230" s="507" t="s">
        <v>1381</v>
      </c>
      <c r="PJZ230" s="508"/>
      <c r="PKA230" s="507" t="s">
        <v>1381</v>
      </c>
      <c r="PKB230" s="508"/>
      <c r="PKC230" s="507" t="s">
        <v>1381</v>
      </c>
      <c r="PKD230" s="508"/>
      <c r="PKE230" s="507" t="s">
        <v>1381</v>
      </c>
      <c r="PKF230" s="508"/>
      <c r="PKG230" s="507" t="s">
        <v>1381</v>
      </c>
      <c r="PKH230" s="508"/>
      <c r="PKI230" s="507" t="s">
        <v>1381</v>
      </c>
      <c r="PKJ230" s="508"/>
      <c r="PKK230" s="507" t="s">
        <v>1381</v>
      </c>
      <c r="PKL230" s="508"/>
      <c r="PKM230" s="507" t="s">
        <v>1381</v>
      </c>
      <c r="PKN230" s="508"/>
      <c r="PKO230" s="507" t="s">
        <v>1381</v>
      </c>
      <c r="PKP230" s="508"/>
      <c r="PKQ230" s="507" t="s">
        <v>1381</v>
      </c>
      <c r="PKR230" s="508"/>
      <c r="PKS230" s="507" t="s">
        <v>1381</v>
      </c>
      <c r="PKT230" s="508"/>
      <c r="PKU230" s="507" t="s">
        <v>1381</v>
      </c>
      <c r="PKV230" s="508"/>
      <c r="PKW230" s="507" t="s">
        <v>1381</v>
      </c>
      <c r="PKX230" s="508"/>
      <c r="PKY230" s="507" t="s">
        <v>1381</v>
      </c>
      <c r="PKZ230" s="508"/>
      <c r="PLA230" s="507" t="s">
        <v>1381</v>
      </c>
      <c r="PLB230" s="508"/>
      <c r="PLC230" s="507" t="s">
        <v>1381</v>
      </c>
      <c r="PLD230" s="508"/>
      <c r="PLE230" s="507" t="s">
        <v>1381</v>
      </c>
      <c r="PLF230" s="508"/>
      <c r="PLG230" s="507" t="s">
        <v>1381</v>
      </c>
      <c r="PLH230" s="508"/>
      <c r="PLI230" s="507" t="s">
        <v>1381</v>
      </c>
      <c r="PLJ230" s="508"/>
      <c r="PLK230" s="507" t="s">
        <v>1381</v>
      </c>
      <c r="PLL230" s="508"/>
      <c r="PLM230" s="507" t="s">
        <v>1381</v>
      </c>
      <c r="PLN230" s="508"/>
      <c r="PLO230" s="507" t="s">
        <v>1381</v>
      </c>
      <c r="PLP230" s="508"/>
      <c r="PLQ230" s="507" t="s">
        <v>1381</v>
      </c>
      <c r="PLR230" s="508"/>
      <c r="PLS230" s="507" t="s">
        <v>1381</v>
      </c>
      <c r="PLT230" s="508"/>
      <c r="PLU230" s="507" t="s">
        <v>1381</v>
      </c>
      <c r="PLV230" s="508"/>
      <c r="PLW230" s="507" t="s">
        <v>1381</v>
      </c>
      <c r="PLX230" s="508"/>
      <c r="PLY230" s="507" t="s">
        <v>1381</v>
      </c>
      <c r="PLZ230" s="508"/>
      <c r="PMA230" s="507" t="s">
        <v>1381</v>
      </c>
      <c r="PMB230" s="508"/>
      <c r="PMC230" s="507" t="s">
        <v>1381</v>
      </c>
      <c r="PMD230" s="508"/>
      <c r="PME230" s="507" t="s">
        <v>1381</v>
      </c>
      <c r="PMF230" s="508"/>
      <c r="PMG230" s="507" t="s">
        <v>1381</v>
      </c>
      <c r="PMH230" s="508"/>
      <c r="PMI230" s="507" t="s">
        <v>1381</v>
      </c>
      <c r="PMJ230" s="508"/>
      <c r="PMK230" s="507" t="s">
        <v>1381</v>
      </c>
      <c r="PML230" s="508"/>
      <c r="PMM230" s="507" t="s">
        <v>1381</v>
      </c>
      <c r="PMN230" s="508"/>
      <c r="PMO230" s="507" t="s">
        <v>1381</v>
      </c>
      <c r="PMP230" s="508"/>
      <c r="PMQ230" s="507" t="s">
        <v>1381</v>
      </c>
      <c r="PMR230" s="508"/>
      <c r="PMS230" s="507" t="s">
        <v>1381</v>
      </c>
      <c r="PMT230" s="508"/>
      <c r="PMU230" s="507" t="s">
        <v>1381</v>
      </c>
      <c r="PMV230" s="508"/>
      <c r="PMW230" s="507" t="s">
        <v>1381</v>
      </c>
      <c r="PMX230" s="508"/>
      <c r="PMY230" s="507" t="s">
        <v>1381</v>
      </c>
      <c r="PMZ230" s="508"/>
      <c r="PNA230" s="507" t="s">
        <v>1381</v>
      </c>
      <c r="PNB230" s="508"/>
      <c r="PNC230" s="507" t="s">
        <v>1381</v>
      </c>
      <c r="PND230" s="508"/>
      <c r="PNE230" s="507" t="s">
        <v>1381</v>
      </c>
      <c r="PNF230" s="508"/>
      <c r="PNG230" s="507" t="s">
        <v>1381</v>
      </c>
      <c r="PNH230" s="508"/>
      <c r="PNI230" s="507" t="s">
        <v>1381</v>
      </c>
      <c r="PNJ230" s="508"/>
      <c r="PNK230" s="507" t="s">
        <v>1381</v>
      </c>
      <c r="PNL230" s="508"/>
      <c r="PNM230" s="507" t="s">
        <v>1381</v>
      </c>
      <c r="PNN230" s="508"/>
      <c r="PNO230" s="507" t="s">
        <v>1381</v>
      </c>
      <c r="PNP230" s="508"/>
      <c r="PNQ230" s="507" t="s">
        <v>1381</v>
      </c>
      <c r="PNR230" s="508"/>
      <c r="PNS230" s="507" t="s">
        <v>1381</v>
      </c>
      <c r="PNT230" s="508"/>
      <c r="PNU230" s="507" t="s">
        <v>1381</v>
      </c>
      <c r="PNV230" s="508"/>
      <c r="PNW230" s="507" t="s">
        <v>1381</v>
      </c>
      <c r="PNX230" s="508"/>
      <c r="PNY230" s="507" t="s">
        <v>1381</v>
      </c>
      <c r="PNZ230" s="508"/>
      <c r="POA230" s="507" t="s">
        <v>1381</v>
      </c>
      <c r="POB230" s="508"/>
      <c r="POC230" s="507" t="s">
        <v>1381</v>
      </c>
      <c r="POD230" s="508"/>
      <c r="POE230" s="507" t="s">
        <v>1381</v>
      </c>
      <c r="POF230" s="508"/>
      <c r="POG230" s="507" t="s">
        <v>1381</v>
      </c>
      <c r="POH230" s="508"/>
      <c r="POI230" s="507" t="s">
        <v>1381</v>
      </c>
      <c r="POJ230" s="508"/>
      <c r="POK230" s="507" t="s">
        <v>1381</v>
      </c>
      <c r="POL230" s="508"/>
      <c r="POM230" s="507" t="s">
        <v>1381</v>
      </c>
      <c r="PON230" s="508"/>
      <c r="POO230" s="507" t="s">
        <v>1381</v>
      </c>
      <c r="POP230" s="508"/>
      <c r="POQ230" s="507" t="s">
        <v>1381</v>
      </c>
      <c r="POR230" s="508"/>
      <c r="POS230" s="507" t="s">
        <v>1381</v>
      </c>
      <c r="POT230" s="508"/>
      <c r="POU230" s="507" t="s">
        <v>1381</v>
      </c>
      <c r="POV230" s="508"/>
      <c r="POW230" s="507" t="s">
        <v>1381</v>
      </c>
      <c r="POX230" s="508"/>
      <c r="POY230" s="507" t="s">
        <v>1381</v>
      </c>
      <c r="POZ230" s="508"/>
      <c r="PPA230" s="507" t="s">
        <v>1381</v>
      </c>
      <c r="PPB230" s="508"/>
      <c r="PPC230" s="507" t="s">
        <v>1381</v>
      </c>
      <c r="PPD230" s="508"/>
      <c r="PPE230" s="507" t="s">
        <v>1381</v>
      </c>
      <c r="PPF230" s="508"/>
      <c r="PPG230" s="507" t="s">
        <v>1381</v>
      </c>
      <c r="PPH230" s="508"/>
      <c r="PPI230" s="507" t="s">
        <v>1381</v>
      </c>
      <c r="PPJ230" s="508"/>
      <c r="PPK230" s="507" t="s">
        <v>1381</v>
      </c>
      <c r="PPL230" s="508"/>
      <c r="PPM230" s="507" t="s">
        <v>1381</v>
      </c>
      <c r="PPN230" s="508"/>
      <c r="PPO230" s="507" t="s">
        <v>1381</v>
      </c>
      <c r="PPP230" s="508"/>
      <c r="PPQ230" s="507" t="s">
        <v>1381</v>
      </c>
      <c r="PPR230" s="508"/>
      <c r="PPS230" s="507" t="s">
        <v>1381</v>
      </c>
      <c r="PPT230" s="508"/>
      <c r="PPU230" s="507" t="s">
        <v>1381</v>
      </c>
      <c r="PPV230" s="508"/>
      <c r="PPW230" s="507" t="s">
        <v>1381</v>
      </c>
      <c r="PPX230" s="508"/>
      <c r="PPY230" s="507" t="s">
        <v>1381</v>
      </c>
      <c r="PPZ230" s="508"/>
      <c r="PQA230" s="507" t="s">
        <v>1381</v>
      </c>
      <c r="PQB230" s="508"/>
      <c r="PQC230" s="507" t="s">
        <v>1381</v>
      </c>
      <c r="PQD230" s="508"/>
      <c r="PQE230" s="507" t="s">
        <v>1381</v>
      </c>
      <c r="PQF230" s="508"/>
      <c r="PQG230" s="507" t="s">
        <v>1381</v>
      </c>
      <c r="PQH230" s="508"/>
      <c r="PQI230" s="507" t="s">
        <v>1381</v>
      </c>
      <c r="PQJ230" s="508"/>
      <c r="PQK230" s="507" t="s">
        <v>1381</v>
      </c>
      <c r="PQL230" s="508"/>
      <c r="PQM230" s="507" t="s">
        <v>1381</v>
      </c>
      <c r="PQN230" s="508"/>
      <c r="PQO230" s="507" t="s">
        <v>1381</v>
      </c>
      <c r="PQP230" s="508"/>
      <c r="PQQ230" s="507" t="s">
        <v>1381</v>
      </c>
      <c r="PQR230" s="508"/>
      <c r="PQS230" s="507" t="s">
        <v>1381</v>
      </c>
      <c r="PQT230" s="508"/>
      <c r="PQU230" s="507" t="s">
        <v>1381</v>
      </c>
      <c r="PQV230" s="508"/>
      <c r="PQW230" s="507" t="s">
        <v>1381</v>
      </c>
      <c r="PQX230" s="508"/>
      <c r="PQY230" s="507" t="s">
        <v>1381</v>
      </c>
      <c r="PQZ230" s="508"/>
      <c r="PRA230" s="507" t="s">
        <v>1381</v>
      </c>
      <c r="PRB230" s="508"/>
      <c r="PRC230" s="507" t="s">
        <v>1381</v>
      </c>
      <c r="PRD230" s="508"/>
      <c r="PRE230" s="507" t="s">
        <v>1381</v>
      </c>
      <c r="PRF230" s="508"/>
      <c r="PRG230" s="507" t="s">
        <v>1381</v>
      </c>
      <c r="PRH230" s="508"/>
      <c r="PRI230" s="507" t="s">
        <v>1381</v>
      </c>
      <c r="PRJ230" s="508"/>
      <c r="PRK230" s="507" t="s">
        <v>1381</v>
      </c>
      <c r="PRL230" s="508"/>
      <c r="PRM230" s="507" t="s">
        <v>1381</v>
      </c>
      <c r="PRN230" s="508"/>
      <c r="PRO230" s="507" t="s">
        <v>1381</v>
      </c>
      <c r="PRP230" s="508"/>
      <c r="PRQ230" s="507" t="s">
        <v>1381</v>
      </c>
      <c r="PRR230" s="508"/>
      <c r="PRS230" s="507" t="s">
        <v>1381</v>
      </c>
      <c r="PRT230" s="508"/>
      <c r="PRU230" s="507" t="s">
        <v>1381</v>
      </c>
      <c r="PRV230" s="508"/>
      <c r="PRW230" s="507" t="s">
        <v>1381</v>
      </c>
      <c r="PRX230" s="508"/>
      <c r="PRY230" s="507" t="s">
        <v>1381</v>
      </c>
      <c r="PRZ230" s="508"/>
      <c r="PSA230" s="507" t="s">
        <v>1381</v>
      </c>
      <c r="PSB230" s="508"/>
      <c r="PSC230" s="507" t="s">
        <v>1381</v>
      </c>
      <c r="PSD230" s="508"/>
      <c r="PSE230" s="507" t="s">
        <v>1381</v>
      </c>
      <c r="PSF230" s="508"/>
      <c r="PSG230" s="507" t="s">
        <v>1381</v>
      </c>
      <c r="PSH230" s="508"/>
      <c r="PSI230" s="507" t="s">
        <v>1381</v>
      </c>
      <c r="PSJ230" s="508"/>
      <c r="PSK230" s="507" t="s">
        <v>1381</v>
      </c>
      <c r="PSL230" s="508"/>
      <c r="PSM230" s="507" t="s">
        <v>1381</v>
      </c>
      <c r="PSN230" s="508"/>
      <c r="PSO230" s="507" t="s">
        <v>1381</v>
      </c>
      <c r="PSP230" s="508"/>
      <c r="PSQ230" s="507" t="s">
        <v>1381</v>
      </c>
      <c r="PSR230" s="508"/>
      <c r="PSS230" s="507" t="s">
        <v>1381</v>
      </c>
      <c r="PST230" s="508"/>
      <c r="PSU230" s="507" t="s">
        <v>1381</v>
      </c>
      <c r="PSV230" s="508"/>
      <c r="PSW230" s="507" t="s">
        <v>1381</v>
      </c>
      <c r="PSX230" s="508"/>
      <c r="PSY230" s="507" t="s">
        <v>1381</v>
      </c>
      <c r="PSZ230" s="508"/>
      <c r="PTA230" s="507" t="s">
        <v>1381</v>
      </c>
      <c r="PTB230" s="508"/>
      <c r="PTC230" s="507" t="s">
        <v>1381</v>
      </c>
      <c r="PTD230" s="508"/>
      <c r="PTE230" s="507" t="s">
        <v>1381</v>
      </c>
      <c r="PTF230" s="508"/>
      <c r="PTG230" s="507" t="s">
        <v>1381</v>
      </c>
      <c r="PTH230" s="508"/>
      <c r="PTI230" s="507" t="s">
        <v>1381</v>
      </c>
      <c r="PTJ230" s="508"/>
      <c r="PTK230" s="507" t="s">
        <v>1381</v>
      </c>
      <c r="PTL230" s="508"/>
      <c r="PTM230" s="507" t="s">
        <v>1381</v>
      </c>
      <c r="PTN230" s="508"/>
      <c r="PTO230" s="507" t="s">
        <v>1381</v>
      </c>
      <c r="PTP230" s="508"/>
      <c r="PTQ230" s="507" t="s">
        <v>1381</v>
      </c>
      <c r="PTR230" s="508"/>
      <c r="PTS230" s="507" t="s">
        <v>1381</v>
      </c>
      <c r="PTT230" s="508"/>
      <c r="PTU230" s="507" t="s">
        <v>1381</v>
      </c>
      <c r="PTV230" s="508"/>
      <c r="PTW230" s="507" t="s">
        <v>1381</v>
      </c>
      <c r="PTX230" s="508"/>
      <c r="PTY230" s="507" t="s">
        <v>1381</v>
      </c>
      <c r="PTZ230" s="508"/>
      <c r="PUA230" s="507" t="s">
        <v>1381</v>
      </c>
      <c r="PUB230" s="508"/>
      <c r="PUC230" s="507" t="s">
        <v>1381</v>
      </c>
      <c r="PUD230" s="508"/>
      <c r="PUE230" s="507" t="s">
        <v>1381</v>
      </c>
      <c r="PUF230" s="508"/>
      <c r="PUG230" s="507" t="s">
        <v>1381</v>
      </c>
      <c r="PUH230" s="508"/>
      <c r="PUI230" s="507" t="s">
        <v>1381</v>
      </c>
      <c r="PUJ230" s="508"/>
      <c r="PUK230" s="507" t="s">
        <v>1381</v>
      </c>
      <c r="PUL230" s="508"/>
      <c r="PUM230" s="507" t="s">
        <v>1381</v>
      </c>
      <c r="PUN230" s="508"/>
      <c r="PUO230" s="507" t="s">
        <v>1381</v>
      </c>
      <c r="PUP230" s="508"/>
      <c r="PUQ230" s="507" t="s">
        <v>1381</v>
      </c>
      <c r="PUR230" s="508"/>
      <c r="PUS230" s="507" t="s">
        <v>1381</v>
      </c>
      <c r="PUT230" s="508"/>
      <c r="PUU230" s="507" t="s">
        <v>1381</v>
      </c>
      <c r="PUV230" s="508"/>
      <c r="PUW230" s="507" t="s">
        <v>1381</v>
      </c>
      <c r="PUX230" s="508"/>
      <c r="PUY230" s="507" t="s">
        <v>1381</v>
      </c>
      <c r="PUZ230" s="508"/>
      <c r="PVA230" s="507" t="s">
        <v>1381</v>
      </c>
      <c r="PVB230" s="508"/>
      <c r="PVC230" s="507" t="s">
        <v>1381</v>
      </c>
      <c r="PVD230" s="508"/>
      <c r="PVE230" s="507" t="s">
        <v>1381</v>
      </c>
      <c r="PVF230" s="508"/>
      <c r="PVG230" s="507" t="s">
        <v>1381</v>
      </c>
      <c r="PVH230" s="508"/>
      <c r="PVI230" s="507" t="s">
        <v>1381</v>
      </c>
      <c r="PVJ230" s="508"/>
      <c r="PVK230" s="507" t="s">
        <v>1381</v>
      </c>
      <c r="PVL230" s="508"/>
      <c r="PVM230" s="507" t="s">
        <v>1381</v>
      </c>
      <c r="PVN230" s="508"/>
      <c r="PVO230" s="507" t="s">
        <v>1381</v>
      </c>
      <c r="PVP230" s="508"/>
      <c r="PVQ230" s="507" t="s">
        <v>1381</v>
      </c>
      <c r="PVR230" s="508"/>
      <c r="PVS230" s="507" t="s">
        <v>1381</v>
      </c>
      <c r="PVT230" s="508"/>
      <c r="PVU230" s="507" t="s">
        <v>1381</v>
      </c>
      <c r="PVV230" s="508"/>
      <c r="PVW230" s="507" t="s">
        <v>1381</v>
      </c>
      <c r="PVX230" s="508"/>
      <c r="PVY230" s="507" t="s">
        <v>1381</v>
      </c>
      <c r="PVZ230" s="508"/>
      <c r="PWA230" s="507" t="s">
        <v>1381</v>
      </c>
      <c r="PWB230" s="508"/>
      <c r="PWC230" s="507" t="s">
        <v>1381</v>
      </c>
      <c r="PWD230" s="508"/>
      <c r="PWE230" s="507" t="s">
        <v>1381</v>
      </c>
      <c r="PWF230" s="508"/>
      <c r="PWG230" s="507" t="s">
        <v>1381</v>
      </c>
      <c r="PWH230" s="508"/>
      <c r="PWI230" s="507" t="s">
        <v>1381</v>
      </c>
      <c r="PWJ230" s="508"/>
      <c r="PWK230" s="507" t="s">
        <v>1381</v>
      </c>
      <c r="PWL230" s="508"/>
      <c r="PWM230" s="507" t="s">
        <v>1381</v>
      </c>
      <c r="PWN230" s="508"/>
      <c r="PWO230" s="507" t="s">
        <v>1381</v>
      </c>
      <c r="PWP230" s="508"/>
      <c r="PWQ230" s="507" t="s">
        <v>1381</v>
      </c>
      <c r="PWR230" s="508"/>
      <c r="PWS230" s="507" t="s">
        <v>1381</v>
      </c>
      <c r="PWT230" s="508"/>
      <c r="PWU230" s="507" t="s">
        <v>1381</v>
      </c>
      <c r="PWV230" s="508"/>
      <c r="PWW230" s="507" t="s">
        <v>1381</v>
      </c>
      <c r="PWX230" s="508"/>
      <c r="PWY230" s="507" t="s">
        <v>1381</v>
      </c>
      <c r="PWZ230" s="508"/>
      <c r="PXA230" s="507" t="s">
        <v>1381</v>
      </c>
      <c r="PXB230" s="508"/>
      <c r="PXC230" s="507" t="s">
        <v>1381</v>
      </c>
      <c r="PXD230" s="508"/>
      <c r="PXE230" s="507" t="s">
        <v>1381</v>
      </c>
      <c r="PXF230" s="508"/>
      <c r="PXG230" s="507" t="s">
        <v>1381</v>
      </c>
      <c r="PXH230" s="508"/>
      <c r="PXI230" s="507" t="s">
        <v>1381</v>
      </c>
      <c r="PXJ230" s="508"/>
      <c r="PXK230" s="507" t="s">
        <v>1381</v>
      </c>
      <c r="PXL230" s="508"/>
      <c r="PXM230" s="507" t="s">
        <v>1381</v>
      </c>
      <c r="PXN230" s="508"/>
      <c r="PXO230" s="507" t="s">
        <v>1381</v>
      </c>
      <c r="PXP230" s="508"/>
      <c r="PXQ230" s="507" t="s">
        <v>1381</v>
      </c>
      <c r="PXR230" s="508"/>
      <c r="PXS230" s="507" t="s">
        <v>1381</v>
      </c>
      <c r="PXT230" s="508"/>
      <c r="PXU230" s="507" t="s">
        <v>1381</v>
      </c>
      <c r="PXV230" s="508"/>
      <c r="PXW230" s="507" t="s">
        <v>1381</v>
      </c>
      <c r="PXX230" s="508"/>
      <c r="PXY230" s="507" t="s">
        <v>1381</v>
      </c>
      <c r="PXZ230" s="508"/>
      <c r="PYA230" s="507" t="s">
        <v>1381</v>
      </c>
      <c r="PYB230" s="508"/>
      <c r="PYC230" s="507" t="s">
        <v>1381</v>
      </c>
      <c r="PYD230" s="508"/>
      <c r="PYE230" s="507" t="s">
        <v>1381</v>
      </c>
      <c r="PYF230" s="508"/>
      <c r="PYG230" s="507" t="s">
        <v>1381</v>
      </c>
      <c r="PYH230" s="508"/>
      <c r="PYI230" s="507" t="s">
        <v>1381</v>
      </c>
      <c r="PYJ230" s="508"/>
      <c r="PYK230" s="507" t="s">
        <v>1381</v>
      </c>
      <c r="PYL230" s="508"/>
      <c r="PYM230" s="507" t="s">
        <v>1381</v>
      </c>
      <c r="PYN230" s="508"/>
      <c r="PYO230" s="507" t="s">
        <v>1381</v>
      </c>
      <c r="PYP230" s="508"/>
      <c r="PYQ230" s="507" t="s">
        <v>1381</v>
      </c>
      <c r="PYR230" s="508"/>
      <c r="PYS230" s="507" t="s">
        <v>1381</v>
      </c>
      <c r="PYT230" s="508"/>
      <c r="PYU230" s="507" t="s">
        <v>1381</v>
      </c>
      <c r="PYV230" s="508"/>
      <c r="PYW230" s="507" t="s">
        <v>1381</v>
      </c>
      <c r="PYX230" s="508"/>
      <c r="PYY230" s="507" t="s">
        <v>1381</v>
      </c>
      <c r="PYZ230" s="508"/>
      <c r="PZA230" s="507" t="s">
        <v>1381</v>
      </c>
      <c r="PZB230" s="508"/>
      <c r="PZC230" s="507" t="s">
        <v>1381</v>
      </c>
      <c r="PZD230" s="508"/>
      <c r="PZE230" s="507" t="s">
        <v>1381</v>
      </c>
      <c r="PZF230" s="508"/>
      <c r="PZG230" s="507" t="s">
        <v>1381</v>
      </c>
      <c r="PZH230" s="508"/>
      <c r="PZI230" s="507" t="s">
        <v>1381</v>
      </c>
      <c r="PZJ230" s="508"/>
      <c r="PZK230" s="507" t="s">
        <v>1381</v>
      </c>
      <c r="PZL230" s="508"/>
      <c r="PZM230" s="507" t="s">
        <v>1381</v>
      </c>
      <c r="PZN230" s="508"/>
      <c r="PZO230" s="507" t="s">
        <v>1381</v>
      </c>
      <c r="PZP230" s="508"/>
      <c r="PZQ230" s="507" t="s">
        <v>1381</v>
      </c>
      <c r="PZR230" s="508"/>
      <c r="PZS230" s="507" t="s">
        <v>1381</v>
      </c>
      <c r="PZT230" s="508"/>
      <c r="PZU230" s="507" t="s">
        <v>1381</v>
      </c>
      <c r="PZV230" s="508"/>
      <c r="PZW230" s="507" t="s">
        <v>1381</v>
      </c>
      <c r="PZX230" s="508"/>
      <c r="PZY230" s="507" t="s">
        <v>1381</v>
      </c>
      <c r="PZZ230" s="508"/>
      <c r="QAA230" s="507" t="s">
        <v>1381</v>
      </c>
      <c r="QAB230" s="508"/>
      <c r="QAC230" s="507" t="s">
        <v>1381</v>
      </c>
      <c r="QAD230" s="508"/>
      <c r="QAE230" s="507" t="s">
        <v>1381</v>
      </c>
      <c r="QAF230" s="508"/>
      <c r="QAG230" s="507" t="s">
        <v>1381</v>
      </c>
      <c r="QAH230" s="508"/>
      <c r="QAI230" s="507" t="s">
        <v>1381</v>
      </c>
      <c r="QAJ230" s="508"/>
      <c r="QAK230" s="507" t="s">
        <v>1381</v>
      </c>
      <c r="QAL230" s="508"/>
      <c r="QAM230" s="507" t="s">
        <v>1381</v>
      </c>
      <c r="QAN230" s="508"/>
      <c r="QAO230" s="507" t="s">
        <v>1381</v>
      </c>
      <c r="QAP230" s="508"/>
      <c r="QAQ230" s="507" t="s">
        <v>1381</v>
      </c>
      <c r="QAR230" s="508"/>
      <c r="QAS230" s="507" t="s">
        <v>1381</v>
      </c>
      <c r="QAT230" s="508"/>
      <c r="QAU230" s="507" t="s">
        <v>1381</v>
      </c>
      <c r="QAV230" s="508"/>
      <c r="QAW230" s="507" t="s">
        <v>1381</v>
      </c>
      <c r="QAX230" s="508"/>
      <c r="QAY230" s="507" t="s">
        <v>1381</v>
      </c>
      <c r="QAZ230" s="508"/>
      <c r="QBA230" s="507" t="s">
        <v>1381</v>
      </c>
      <c r="QBB230" s="508"/>
      <c r="QBC230" s="507" t="s">
        <v>1381</v>
      </c>
      <c r="QBD230" s="508"/>
      <c r="QBE230" s="507" t="s">
        <v>1381</v>
      </c>
      <c r="QBF230" s="508"/>
      <c r="QBG230" s="507" t="s">
        <v>1381</v>
      </c>
      <c r="QBH230" s="508"/>
      <c r="QBI230" s="507" t="s">
        <v>1381</v>
      </c>
      <c r="QBJ230" s="508"/>
      <c r="QBK230" s="507" t="s">
        <v>1381</v>
      </c>
      <c r="QBL230" s="508"/>
      <c r="QBM230" s="507" t="s">
        <v>1381</v>
      </c>
      <c r="QBN230" s="508"/>
      <c r="QBO230" s="507" t="s">
        <v>1381</v>
      </c>
      <c r="QBP230" s="508"/>
      <c r="QBQ230" s="507" t="s">
        <v>1381</v>
      </c>
      <c r="QBR230" s="508"/>
      <c r="QBS230" s="507" t="s">
        <v>1381</v>
      </c>
      <c r="QBT230" s="508"/>
      <c r="QBU230" s="507" t="s">
        <v>1381</v>
      </c>
      <c r="QBV230" s="508"/>
      <c r="QBW230" s="507" t="s">
        <v>1381</v>
      </c>
      <c r="QBX230" s="508"/>
      <c r="QBY230" s="507" t="s">
        <v>1381</v>
      </c>
      <c r="QBZ230" s="508"/>
      <c r="QCA230" s="507" t="s">
        <v>1381</v>
      </c>
      <c r="QCB230" s="508"/>
      <c r="QCC230" s="507" t="s">
        <v>1381</v>
      </c>
      <c r="QCD230" s="508"/>
      <c r="QCE230" s="507" t="s">
        <v>1381</v>
      </c>
      <c r="QCF230" s="508"/>
      <c r="QCG230" s="507" t="s">
        <v>1381</v>
      </c>
      <c r="QCH230" s="508"/>
      <c r="QCI230" s="507" t="s">
        <v>1381</v>
      </c>
      <c r="QCJ230" s="508"/>
      <c r="QCK230" s="507" t="s">
        <v>1381</v>
      </c>
      <c r="QCL230" s="508"/>
      <c r="QCM230" s="507" t="s">
        <v>1381</v>
      </c>
      <c r="QCN230" s="508"/>
      <c r="QCO230" s="507" t="s">
        <v>1381</v>
      </c>
      <c r="QCP230" s="508"/>
      <c r="QCQ230" s="507" t="s">
        <v>1381</v>
      </c>
      <c r="QCR230" s="508"/>
      <c r="QCS230" s="507" t="s">
        <v>1381</v>
      </c>
      <c r="QCT230" s="508"/>
      <c r="QCU230" s="507" t="s">
        <v>1381</v>
      </c>
      <c r="QCV230" s="508"/>
      <c r="QCW230" s="507" t="s">
        <v>1381</v>
      </c>
      <c r="QCX230" s="508"/>
      <c r="QCY230" s="507" t="s">
        <v>1381</v>
      </c>
      <c r="QCZ230" s="508"/>
      <c r="QDA230" s="507" t="s">
        <v>1381</v>
      </c>
      <c r="QDB230" s="508"/>
      <c r="QDC230" s="507" t="s">
        <v>1381</v>
      </c>
      <c r="QDD230" s="508"/>
      <c r="QDE230" s="507" t="s">
        <v>1381</v>
      </c>
      <c r="QDF230" s="508"/>
      <c r="QDG230" s="507" t="s">
        <v>1381</v>
      </c>
      <c r="QDH230" s="508"/>
      <c r="QDI230" s="507" t="s">
        <v>1381</v>
      </c>
      <c r="QDJ230" s="508"/>
      <c r="QDK230" s="507" t="s">
        <v>1381</v>
      </c>
      <c r="QDL230" s="508"/>
      <c r="QDM230" s="507" t="s">
        <v>1381</v>
      </c>
      <c r="QDN230" s="508"/>
      <c r="QDO230" s="507" t="s">
        <v>1381</v>
      </c>
      <c r="QDP230" s="508"/>
      <c r="QDQ230" s="507" t="s">
        <v>1381</v>
      </c>
      <c r="QDR230" s="508"/>
      <c r="QDS230" s="507" t="s">
        <v>1381</v>
      </c>
      <c r="QDT230" s="508"/>
      <c r="QDU230" s="507" t="s">
        <v>1381</v>
      </c>
      <c r="QDV230" s="508"/>
      <c r="QDW230" s="507" t="s">
        <v>1381</v>
      </c>
      <c r="QDX230" s="508"/>
      <c r="QDY230" s="507" t="s">
        <v>1381</v>
      </c>
      <c r="QDZ230" s="508"/>
      <c r="QEA230" s="507" t="s">
        <v>1381</v>
      </c>
      <c r="QEB230" s="508"/>
      <c r="QEC230" s="507" t="s">
        <v>1381</v>
      </c>
      <c r="QED230" s="508"/>
      <c r="QEE230" s="507" t="s">
        <v>1381</v>
      </c>
      <c r="QEF230" s="508"/>
      <c r="QEG230" s="507" t="s">
        <v>1381</v>
      </c>
      <c r="QEH230" s="508"/>
      <c r="QEI230" s="507" t="s">
        <v>1381</v>
      </c>
      <c r="QEJ230" s="508"/>
      <c r="QEK230" s="507" t="s">
        <v>1381</v>
      </c>
      <c r="QEL230" s="508"/>
      <c r="QEM230" s="507" t="s">
        <v>1381</v>
      </c>
      <c r="QEN230" s="508"/>
      <c r="QEO230" s="507" t="s">
        <v>1381</v>
      </c>
      <c r="QEP230" s="508"/>
      <c r="QEQ230" s="507" t="s">
        <v>1381</v>
      </c>
      <c r="QER230" s="508"/>
      <c r="QES230" s="507" t="s">
        <v>1381</v>
      </c>
      <c r="QET230" s="508"/>
      <c r="QEU230" s="507" t="s">
        <v>1381</v>
      </c>
      <c r="QEV230" s="508"/>
      <c r="QEW230" s="507" t="s">
        <v>1381</v>
      </c>
      <c r="QEX230" s="508"/>
      <c r="QEY230" s="507" t="s">
        <v>1381</v>
      </c>
      <c r="QEZ230" s="508"/>
      <c r="QFA230" s="507" t="s">
        <v>1381</v>
      </c>
      <c r="QFB230" s="508"/>
      <c r="QFC230" s="507" t="s">
        <v>1381</v>
      </c>
      <c r="QFD230" s="508"/>
      <c r="QFE230" s="507" t="s">
        <v>1381</v>
      </c>
      <c r="QFF230" s="508"/>
      <c r="QFG230" s="507" t="s">
        <v>1381</v>
      </c>
      <c r="QFH230" s="508"/>
      <c r="QFI230" s="507" t="s">
        <v>1381</v>
      </c>
      <c r="QFJ230" s="508"/>
      <c r="QFK230" s="507" t="s">
        <v>1381</v>
      </c>
      <c r="QFL230" s="508"/>
      <c r="QFM230" s="507" t="s">
        <v>1381</v>
      </c>
      <c r="QFN230" s="508"/>
      <c r="QFO230" s="507" t="s">
        <v>1381</v>
      </c>
      <c r="QFP230" s="508"/>
      <c r="QFQ230" s="507" t="s">
        <v>1381</v>
      </c>
      <c r="QFR230" s="508"/>
      <c r="QFS230" s="507" t="s">
        <v>1381</v>
      </c>
      <c r="QFT230" s="508"/>
      <c r="QFU230" s="507" t="s">
        <v>1381</v>
      </c>
      <c r="QFV230" s="508"/>
      <c r="QFW230" s="507" t="s">
        <v>1381</v>
      </c>
      <c r="QFX230" s="508"/>
      <c r="QFY230" s="507" t="s">
        <v>1381</v>
      </c>
      <c r="QFZ230" s="508"/>
      <c r="QGA230" s="507" t="s">
        <v>1381</v>
      </c>
      <c r="QGB230" s="508"/>
      <c r="QGC230" s="507" t="s">
        <v>1381</v>
      </c>
      <c r="QGD230" s="508"/>
      <c r="QGE230" s="507" t="s">
        <v>1381</v>
      </c>
      <c r="QGF230" s="508"/>
      <c r="QGG230" s="507" t="s">
        <v>1381</v>
      </c>
      <c r="QGH230" s="508"/>
      <c r="QGI230" s="507" t="s">
        <v>1381</v>
      </c>
      <c r="QGJ230" s="508"/>
      <c r="QGK230" s="507" t="s">
        <v>1381</v>
      </c>
      <c r="QGL230" s="508"/>
      <c r="QGM230" s="507" t="s">
        <v>1381</v>
      </c>
      <c r="QGN230" s="508"/>
      <c r="QGO230" s="507" t="s">
        <v>1381</v>
      </c>
      <c r="QGP230" s="508"/>
      <c r="QGQ230" s="507" t="s">
        <v>1381</v>
      </c>
      <c r="QGR230" s="508"/>
      <c r="QGS230" s="507" t="s">
        <v>1381</v>
      </c>
      <c r="QGT230" s="508"/>
      <c r="QGU230" s="507" t="s">
        <v>1381</v>
      </c>
      <c r="QGV230" s="508"/>
      <c r="QGW230" s="507" t="s">
        <v>1381</v>
      </c>
      <c r="QGX230" s="508"/>
      <c r="QGY230" s="507" t="s">
        <v>1381</v>
      </c>
      <c r="QGZ230" s="508"/>
      <c r="QHA230" s="507" t="s">
        <v>1381</v>
      </c>
      <c r="QHB230" s="508"/>
      <c r="QHC230" s="507" t="s">
        <v>1381</v>
      </c>
      <c r="QHD230" s="508"/>
      <c r="QHE230" s="507" t="s">
        <v>1381</v>
      </c>
      <c r="QHF230" s="508"/>
      <c r="QHG230" s="507" t="s">
        <v>1381</v>
      </c>
      <c r="QHH230" s="508"/>
      <c r="QHI230" s="507" t="s">
        <v>1381</v>
      </c>
      <c r="QHJ230" s="508"/>
      <c r="QHK230" s="507" t="s">
        <v>1381</v>
      </c>
      <c r="QHL230" s="508"/>
      <c r="QHM230" s="507" t="s">
        <v>1381</v>
      </c>
      <c r="QHN230" s="508"/>
      <c r="QHO230" s="507" t="s">
        <v>1381</v>
      </c>
      <c r="QHP230" s="508"/>
      <c r="QHQ230" s="507" t="s">
        <v>1381</v>
      </c>
      <c r="QHR230" s="508"/>
      <c r="QHS230" s="507" t="s">
        <v>1381</v>
      </c>
      <c r="QHT230" s="508"/>
      <c r="QHU230" s="507" t="s">
        <v>1381</v>
      </c>
      <c r="QHV230" s="508"/>
      <c r="QHW230" s="507" t="s">
        <v>1381</v>
      </c>
      <c r="QHX230" s="508"/>
      <c r="QHY230" s="507" t="s">
        <v>1381</v>
      </c>
      <c r="QHZ230" s="508"/>
      <c r="QIA230" s="507" t="s">
        <v>1381</v>
      </c>
      <c r="QIB230" s="508"/>
      <c r="QIC230" s="507" t="s">
        <v>1381</v>
      </c>
      <c r="QID230" s="508"/>
      <c r="QIE230" s="507" t="s">
        <v>1381</v>
      </c>
      <c r="QIF230" s="508"/>
      <c r="QIG230" s="507" t="s">
        <v>1381</v>
      </c>
      <c r="QIH230" s="508"/>
      <c r="QII230" s="507" t="s">
        <v>1381</v>
      </c>
      <c r="QIJ230" s="508"/>
      <c r="QIK230" s="507" t="s">
        <v>1381</v>
      </c>
      <c r="QIL230" s="508"/>
      <c r="QIM230" s="507" t="s">
        <v>1381</v>
      </c>
      <c r="QIN230" s="508"/>
      <c r="QIO230" s="507" t="s">
        <v>1381</v>
      </c>
      <c r="QIP230" s="508"/>
      <c r="QIQ230" s="507" t="s">
        <v>1381</v>
      </c>
      <c r="QIR230" s="508"/>
      <c r="QIS230" s="507" t="s">
        <v>1381</v>
      </c>
      <c r="QIT230" s="508"/>
      <c r="QIU230" s="507" t="s">
        <v>1381</v>
      </c>
      <c r="QIV230" s="508"/>
      <c r="QIW230" s="507" t="s">
        <v>1381</v>
      </c>
      <c r="QIX230" s="508"/>
      <c r="QIY230" s="507" t="s">
        <v>1381</v>
      </c>
      <c r="QIZ230" s="508"/>
      <c r="QJA230" s="507" t="s">
        <v>1381</v>
      </c>
      <c r="QJB230" s="508"/>
      <c r="QJC230" s="507" t="s">
        <v>1381</v>
      </c>
      <c r="QJD230" s="508"/>
      <c r="QJE230" s="507" t="s">
        <v>1381</v>
      </c>
      <c r="QJF230" s="508"/>
      <c r="QJG230" s="507" t="s">
        <v>1381</v>
      </c>
      <c r="QJH230" s="508"/>
      <c r="QJI230" s="507" t="s">
        <v>1381</v>
      </c>
      <c r="QJJ230" s="508"/>
      <c r="QJK230" s="507" t="s">
        <v>1381</v>
      </c>
      <c r="QJL230" s="508"/>
      <c r="QJM230" s="507" t="s">
        <v>1381</v>
      </c>
      <c r="QJN230" s="508"/>
      <c r="QJO230" s="507" t="s">
        <v>1381</v>
      </c>
      <c r="QJP230" s="508"/>
      <c r="QJQ230" s="507" t="s">
        <v>1381</v>
      </c>
      <c r="QJR230" s="508"/>
      <c r="QJS230" s="507" t="s">
        <v>1381</v>
      </c>
      <c r="QJT230" s="508"/>
      <c r="QJU230" s="507" t="s">
        <v>1381</v>
      </c>
      <c r="QJV230" s="508"/>
      <c r="QJW230" s="507" t="s">
        <v>1381</v>
      </c>
      <c r="QJX230" s="508"/>
      <c r="QJY230" s="507" t="s">
        <v>1381</v>
      </c>
      <c r="QJZ230" s="508"/>
      <c r="QKA230" s="507" t="s">
        <v>1381</v>
      </c>
      <c r="QKB230" s="508"/>
      <c r="QKC230" s="507" t="s">
        <v>1381</v>
      </c>
      <c r="QKD230" s="508"/>
      <c r="QKE230" s="507" t="s">
        <v>1381</v>
      </c>
      <c r="QKF230" s="508"/>
      <c r="QKG230" s="507" t="s">
        <v>1381</v>
      </c>
      <c r="QKH230" s="508"/>
      <c r="QKI230" s="507" t="s">
        <v>1381</v>
      </c>
      <c r="QKJ230" s="508"/>
      <c r="QKK230" s="507" t="s">
        <v>1381</v>
      </c>
      <c r="QKL230" s="508"/>
      <c r="QKM230" s="507" t="s">
        <v>1381</v>
      </c>
      <c r="QKN230" s="508"/>
      <c r="QKO230" s="507" t="s">
        <v>1381</v>
      </c>
      <c r="QKP230" s="508"/>
      <c r="QKQ230" s="507" t="s">
        <v>1381</v>
      </c>
      <c r="QKR230" s="508"/>
      <c r="QKS230" s="507" t="s">
        <v>1381</v>
      </c>
      <c r="QKT230" s="508"/>
      <c r="QKU230" s="507" t="s">
        <v>1381</v>
      </c>
      <c r="QKV230" s="508"/>
      <c r="QKW230" s="507" t="s">
        <v>1381</v>
      </c>
      <c r="QKX230" s="508"/>
      <c r="QKY230" s="507" t="s">
        <v>1381</v>
      </c>
      <c r="QKZ230" s="508"/>
      <c r="QLA230" s="507" t="s">
        <v>1381</v>
      </c>
      <c r="QLB230" s="508"/>
      <c r="QLC230" s="507" t="s">
        <v>1381</v>
      </c>
      <c r="QLD230" s="508"/>
      <c r="QLE230" s="507" t="s">
        <v>1381</v>
      </c>
      <c r="QLF230" s="508"/>
      <c r="QLG230" s="507" t="s">
        <v>1381</v>
      </c>
      <c r="QLH230" s="508"/>
      <c r="QLI230" s="507" t="s">
        <v>1381</v>
      </c>
      <c r="QLJ230" s="508"/>
      <c r="QLK230" s="507" t="s">
        <v>1381</v>
      </c>
      <c r="QLL230" s="508"/>
      <c r="QLM230" s="507" t="s">
        <v>1381</v>
      </c>
      <c r="QLN230" s="508"/>
      <c r="QLO230" s="507" t="s">
        <v>1381</v>
      </c>
      <c r="QLP230" s="508"/>
      <c r="QLQ230" s="507" t="s">
        <v>1381</v>
      </c>
      <c r="QLR230" s="508"/>
      <c r="QLS230" s="507" t="s">
        <v>1381</v>
      </c>
      <c r="QLT230" s="508"/>
      <c r="QLU230" s="507" t="s">
        <v>1381</v>
      </c>
      <c r="QLV230" s="508"/>
      <c r="QLW230" s="507" t="s">
        <v>1381</v>
      </c>
      <c r="QLX230" s="508"/>
      <c r="QLY230" s="507" t="s">
        <v>1381</v>
      </c>
      <c r="QLZ230" s="508"/>
      <c r="QMA230" s="507" t="s">
        <v>1381</v>
      </c>
      <c r="QMB230" s="508"/>
      <c r="QMC230" s="507" t="s">
        <v>1381</v>
      </c>
      <c r="QMD230" s="508"/>
      <c r="QME230" s="507" t="s">
        <v>1381</v>
      </c>
      <c r="QMF230" s="508"/>
      <c r="QMG230" s="507" t="s">
        <v>1381</v>
      </c>
      <c r="QMH230" s="508"/>
      <c r="QMI230" s="507" t="s">
        <v>1381</v>
      </c>
      <c r="QMJ230" s="508"/>
      <c r="QMK230" s="507" t="s">
        <v>1381</v>
      </c>
      <c r="QML230" s="508"/>
      <c r="QMM230" s="507" t="s">
        <v>1381</v>
      </c>
      <c r="QMN230" s="508"/>
      <c r="QMO230" s="507" t="s">
        <v>1381</v>
      </c>
      <c r="QMP230" s="508"/>
      <c r="QMQ230" s="507" t="s">
        <v>1381</v>
      </c>
      <c r="QMR230" s="508"/>
      <c r="QMS230" s="507" t="s">
        <v>1381</v>
      </c>
      <c r="QMT230" s="508"/>
      <c r="QMU230" s="507" t="s">
        <v>1381</v>
      </c>
      <c r="QMV230" s="508"/>
      <c r="QMW230" s="507" t="s">
        <v>1381</v>
      </c>
      <c r="QMX230" s="508"/>
      <c r="QMY230" s="507" t="s">
        <v>1381</v>
      </c>
      <c r="QMZ230" s="508"/>
      <c r="QNA230" s="507" t="s">
        <v>1381</v>
      </c>
      <c r="QNB230" s="508"/>
      <c r="QNC230" s="507" t="s">
        <v>1381</v>
      </c>
      <c r="QND230" s="508"/>
      <c r="QNE230" s="507" t="s">
        <v>1381</v>
      </c>
      <c r="QNF230" s="508"/>
      <c r="QNG230" s="507" t="s">
        <v>1381</v>
      </c>
      <c r="QNH230" s="508"/>
      <c r="QNI230" s="507" t="s">
        <v>1381</v>
      </c>
      <c r="QNJ230" s="508"/>
      <c r="QNK230" s="507" t="s">
        <v>1381</v>
      </c>
      <c r="QNL230" s="508"/>
      <c r="QNM230" s="507" t="s">
        <v>1381</v>
      </c>
      <c r="QNN230" s="508"/>
      <c r="QNO230" s="507" t="s">
        <v>1381</v>
      </c>
      <c r="QNP230" s="508"/>
      <c r="QNQ230" s="507" t="s">
        <v>1381</v>
      </c>
      <c r="QNR230" s="508"/>
      <c r="QNS230" s="507" t="s">
        <v>1381</v>
      </c>
      <c r="QNT230" s="508"/>
      <c r="QNU230" s="507" t="s">
        <v>1381</v>
      </c>
      <c r="QNV230" s="508"/>
      <c r="QNW230" s="507" t="s">
        <v>1381</v>
      </c>
      <c r="QNX230" s="508"/>
      <c r="QNY230" s="507" t="s">
        <v>1381</v>
      </c>
      <c r="QNZ230" s="508"/>
      <c r="QOA230" s="507" t="s">
        <v>1381</v>
      </c>
      <c r="QOB230" s="508"/>
      <c r="QOC230" s="507" t="s">
        <v>1381</v>
      </c>
      <c r="QOD230" s="508"/>
      <c r="QOE230" s="507" t="s">
        <v>1381</v>
      </c>
      <c r="QOF230" s="508"/>
      <c r="QOG230" s="507" t="s">
        <v>1381</v>
      </c>
      <c r="QOH230" s="508"/>
      <c r="QOI230" s="507" t="s">
        <v>1381</v>
      </c>
      <c r="QOJ230" s="508"/>
      <c r="QOK230" s="507" t="s">
        <v>1381</v>
      </c>
      <c r="QOL230" s="508"/>
      <c r="QOM230" s="507" t="s">
        <v>1381</v>
      </c>
      <c r="QON230" s="508"/>
      <c r="QOO230" s="507" t="s">
        <v>1381</v>
      </c>
      <c r="QOP230" s="508"/>
      <c r="QOQ230" s="507" t="s">
        <v>1381</v>
      </c>
      <c r="QOR230" s="508"/>
      <c r="QOS230" s="507" t="s">
        <v>1381</v>
      </c>
      <c r="QOT230" s="508"/>
      <c r="QOU230" s="507" t="s">
        <v>1381</v>
      </c>
      <c r="QOV230" s="508"/>
      <c r="QOW230" s="507" t="s">
        <v>1381</v>
      </c>
      <c r="QOX230" s="508"/>
      <c r="QOY230" s="507" t="s">
        <v>1381</v>
      </c>
      <c r="QOZ230" s="508"/>
      <c r="QPA230" s="507" t="s">
        <v>1381</v>
      </c>
      <c r="QPB230" s="508"/>
      <c r="QPC230" s="507" t="s">
        <v>1381</v>
      </c>
      <c r="QPD230" s="508"/>
      <c r="QPE230" s="507" t="s">
        <v>1381</v>
      </c>
      <c r="QPF230" s="508"/>
      <c r="QPG230" s="507" t="s">
        <v>1381</v>
      </c>
      <c r="QPH230" s="508"/>
      <c r="QPI230" s="507" t="s">
        <v>1381</v>
      </c>
      <c r="QPJ230" s="508"/>
      <c r="QPK230" s="507" t="s">
        <v>1381</v>
      </c>
      <c r="QPL230" s="508"/>
      <c r="QPM230" s="507" t="s">
        <v>1381</v>
      </c>
      <c r="QPN230" s="508"/>
      <c r="QPO230" s="507" t="s">
        <v>1381</v>
      </c>
      <c r="QPP230" s="508"/>
      <c r="QPQ230" s="507" t="s">
        <v>1381</v>
      </c>
      <c r="QPR230" s="508"/>
      <c r="QPS230" s="507" t="s">
        <v>1381</v>
      </c>
      <c r="QPT230" s="508"/>
      <c r="QPU230" s="507" t="s">
        <v>1381</v>
      </c>
      <c r="QPV230" s="508"/>
      <c r="QPW230" s="507" t="s">
        <v>1381</v>
      </c>
      <c r="QPX230" s="508"/>
      <c r="QPY230" s="507" t="s">
        <v>1381</v>
      </c>
      <c r="QPZ230" s="508"/>
      <c r="QQA230" s="507" t="s">
        <v>1381</v>
      </c>
      <c r="QQB230" s="508"/>
      <c r="QQC230" s="507" t="s">
        <v>1381</v>
      </c>
      <c r="QQD230" s="508"/>
      <c r="QQE230" s="507" t="s">
        <v>1381</v>
      </c>
      <c r="QQF230" s="508"/>
      <c r="QQG230" s="507" t="s">
        <v>1381</v>
      </c>
      <c r="QQH230" s="508"/>
      <c r="QQI230" s="507" t="s">
        <v>1381</v>
      </c>
      <c r="QQJ230" s="508"/>
      <c r="QQK230" s="507" t="s">
        <v>1381</v>
      </c>
      <c r="QQL230" s="508"/>
      <c r="QQM230" s="507" t="s">
        <v>1381</v>
      </c>
      <c r="QQN230" s="508"/>
      <c r="QQO230" s="507" t="s">
        <v>1381</v>
      </c>
      <c r="QQP230" s="508"/>
      <c r="QQQ230" s="507" t="s">
        <v>1381</v>
      </c>
      <c r="QQR230" s="508"/>
      <c r="QQS230" s="507" t="s">
        <v>1381</v>
      </c>
      <c r="QQT230" s="508"/>
      <c r="QQU230" s="507" t="s">
        <v>1381</v>
      </c>
      <c r="QQV230" s="508"/>
      <c r="QQW230" s="507" t="s">
        <v>1381</v>
      </c>
      <c r="QQX230" s="508"/>
      <c r="QQY230" s="507" t="s">
        <v>1381</v>
      </c>
      <c r="QQZ230" s="508"/>
      <c r="QRA230" s="507" t="s">
        <v>1381</v>
      </c>
      <c r="QRB230" s="508"/>
      <c r="QRC230" s="507" t="s">
        <v>1381</v>
      </c>
      <c r="QRD230" s="508"/>
      <c r="QRE230" s="507" t="s">
        <v>1381</v>
      </c>
      <c r="QRF230" s="508"/>
      <c r="QRG230" s="507" t="s">
        <v>1381</v>
      </c>
      <c r="QRH230" s="508"/>
      <c r="QRI230" s="507" t="s">
        <v>1381</v>
      </c>
      <c r="QRJ230" s="508"/>
      <c r="QRK230" s="507" t="s">
        <v>1381</v>
      </c>
      <c r="QRL230" s="508"/>
      <c r="QRM230" s="507" t="s">
        <v>1381</v>
      </c>
      <c r="QRN230" s="508"/>
      <c r="QRO230" s="507" t="s">
        <v>1381</v>
      </c>
      <c r="QRP230" s="508"/>
      <c r="QRQ230" s="507" t="s">
        <v>1381</v>
      </c>
      <c r="QRR230" s="508"/>
      <c r="QRS230" s="507" t="s">
        <v>1381</v>
      </c>
      <c r="QRT230" s="508"/>
      <c r="QRU230" s="507" t="s">
        <v>1381</v>
      </c>
      <c r="QRV230" s="508"/>
      <c r="QRW230" s="507" t="s">
        <v>1381</v>
      </c>
      <c r="QRX230" s="508"/>
      <c r="QRY230" s="507" t="s">
        <v>1381</v>
      </c>
      <c r="QRZ230" s="508"/>
      <c r="QSA230" s="507" t="s">
        <v>1381</v>
      </c>
      <c r="QSB230" s="508"/>
      <c r="QSC230" s="507" t="s">
        <v>1381</v>
      </c>
      <c r="QSD230" s="508"/>
      <c r="QSE230" s="507" t="s">
        <v>1381</v>
      </c>
      <c r="QSF230" s="508"/>
      <c r="QSG230" s="507" t="s">
        <v>1381</v>
      </c>
      <c r="QSH230" s="508"/>
      <c r="QSI230" s="507" t="s">
        <v>1381</v>
      </c>
      <c r="QSJ230" s="508"/>
      <c r="QSK230" s="507" t="s">
        <v>1381</v>
      </c>
      <c r="QSL230" s="508"/>
      <c r="QSM230" s="507" t="s">
        <v>1381</v>
      </c>
      <c r="QSN230" s="508"/>
      <c r="QSO230" s="507" t="s">
        <v>1381</v>
      </c>
      <c r="QSP230" s="508"/>
      <c r="QSQ230" s="507" t="s">
        <v>1381</v>
      </c>
      <c r="QSR230" s="508"/>
      <c r="QSS230" s="507" t="s">
        <v>1381</v>
      </c>
      <c r="QST230" s="508"/>
      <c r="QSU230" s="507" t="s">
        <v>1381</v>
      </c>
      <c r="QSV230" s="508"/>
      <c r="QSW230" s="507" t="s">
        <v>1381</v>
      </c>
      <c r="QSX230" s="508"/>
      <c r="QSY230" s="507" t="s">
        <v>1381</v>
      </c>
      <c r="QSZ230" s="508"/>
      <c r="QTA230" s="507" t="s">
        <v>1381</v>
      </c>
      <c r="QTB230" s="508"/>
      <c r="QTC230" s="507" t="s">
        <v>1381</v>
      </c>
      <c r="QTD230" s="508"/>
      <c r="QTE230" s="507" t="s">
        <v>1381</v>
      </c>
      <c r="QTF230" s="508"/>
      <c r="QTG230" s="507" t="s">
        <v>1381</v>
      </c>
      <c r="QTH230" s="508"/>
      <c r="QTI230" s="507" t="s">
        <v>1381</v>
      </c>
      <c r="QTJ230" s="508"/>
      <c r="QTK230" s="507" t="s">
        <v>1381</v>
      </c>
      <c r="QTL230" s="508"/>
      <c r="QTM230" s="507" t="s">
        <v>1381</v>
      </c>
      <c r="QTN230" s="508"/>
      <c r="QTO230" s="507" t="s">
        <v>1381</v>
      </c>
      <c r="QTP230" s="508"/>
      <c r="QTQ230" s="507" t="s">
        <v>1381</v>
      </c>
      <c r="QTR230" s="508"/>
      <c r="QTS230" s="507" t="s">
        <v>1381</v>
      </c>
      <c r="QTT230" s="508"/>
      <c r="QTU230" s="507" t="s">
        <v>1381</v>
      </c>
      <c r="QTV230" s="508"/>
      <c r="QTW230" s="507" t="s">
        <v>1381</v>
      </c>
      <c r="QTX230" s="508"/>
      <c r="QTY230" s="507" t="s">
        <v>1381</v>
      </c>
      <c r="QTZ230" s="508"/>
      <c r="QUA230" s="507" t="s">
        <v>1381</v>
      </c>
      <c r="QUB230" s="508"/>
      <c r="QUC230" s="507" t="s">
        <v>1381</v>
      </c>
      <c r="QUD230" s="508"/>
      <c r="QUE230" s="507" t="s">
        <v>1381</v>
      </c>
      <c r="QUF230" s="508"/>
      <c r="QUG230" s="507" t="s">
        <v>1381</v>
      </c>
      <c r="QUH230" s="508"/>
      <c r="QUI230" s="507" t="s">
        <v>1381</v>
      </c>
      <c r="QUJ230" s="508"/>
      <c r="QUK230" s="507" t="s">
        <v>1381</v>
      </c>
      <c r="QUL230" s="508"/>
      <c r="QUM230" s="507" t="s">
        <v>1381</v>
      </c>
      <c r="QUN230" s="508"/>
      <c r="QUO230" s="507" t="s">
        <v>1381</v>
      </c>
      <c r="QUP230" s="508"/>
      <c r="QUQ230" s="507" t="s">
        <v>1381</v>
      </c>
      <c r="QUR230" s="508"/>
      <c r="QUS230" s="507" t="s">
        <v>1381</v>
      </c>
      <c r="QUT230" s="508"/>
      <c r="QUU230" s="507" t="s">
        <v>1381</v>
      </c>
      <c r="QUV230" s="508"/>
      <c r="QUW230" s="507" t="s">
        <v>1381</v>
      </c>
      <c r="QUX230" s="508"/>
      <c r="QUY230" s="507" t="s">
        <v>1381</v>
      </c>
      <c r="QUZ230" s="508"/>
      <c r="QVA230" s="507" t="s">
        <v>1381</v>
      </c>
      <c r="QVB230" s="508"/>
      <c r="QVC230" s="507" t="s">
        <v>1381</v>
      </c>
      <c r="QVD230" s="508"/>
      <c r="QVE230" s="507" t="s">
        <v>1381</v>
      </c>
      <c r="QVF230" s="508"/>
      <c r="QVG230" s="507" t="s">
        <v>1381</v>
      </c>
      <c r="QVH230" s="508"/>
      <c r="QVI230" s="507" t="s">
        <v>1381</v>
      </c>
      <c r="QVJ230" s="508"/>
      <c r="QVK230" s="507" t="s">
        <v>1381</v>
      </c>
      <c r="QVL230" s="508"/>
      <c r="QVM230" s="507" t="s">
        <v>1381</v>
      </c>
      <c r="QVN230" s="508"/>
      <c r="QVO230" s="507" t="s">
        <v>1381</v>
      </c>
      <c r="QVP230" s="508"/>
      <c r="QVQ230" s="507" t="s">
        <v>1381</v>
      </c>
      <c r="QVR230" s="508"/>
      <c r="QVS230" s="507" t="s">
        <v>1381</v>
      </c>
      <c r="QVT230" s="508"/>
      <c r="QVU230" s="507" t="s">
        <v>1381</v>
      </c>
      <c r="QVV230" s="508"/>
      <c r="QVW230" s="507" t="s">
        <v>1381</v>
      </c>
      <c r="QVX230" s="508"/>
      <c r="QVY230" s="507" t="s">
        <v>1381</v>
      </c>
      <c r="QVZ230" s="508"/>
      <c r="QWA230" s="507" t="s">
        <v>1381</v>
      </c>
      <c r="QWB230" s="508"/>
      <c r="QWC230" s="507" t="s">
        <v>1381</v>
      </c>
      <c r="QWD230" s="508"/>
      <c r="QWE230" s="507" t="s">
        <v>1381</v>
      </c>
      <c r="QWF230" s="508"/>
      <c r="QWG230" s="507" t="s">
        <v>1381</v>
      </c>
      <c r="QWH230" s="508"/>
      <c r="QWI230" s="507" t="s">
        <v>1381</v>
      </c>
      <c r="QWJ230" s="508"/>
      <c r="QWK230" s="507" t="s">
        <v>1381</v>
      </c>
      <c r="QWL230" s="508"/>
      <c r="QWM230" s="507" t="s">
        <v>1381</v>
      </c>
      <c r="QWN230" s="508"/>
      <c r="QWO230" s="507" t="s">
        <v>1381</v>
      </c>
      <c r="QWP230" s="508"/>
      <c r="QWQ230" s="507" t="s">
        <v>1381</v>
      </c>
      <c r="QWR230" s="508"/>
      <c r="QWS230" s="507" t="s">
        <v>1381</v>
      </c>
      <c r="QWT230" s="508"/>
      <c r="QWU230" s="507" t="s">
        <v>1381</v>
      </c>
      <c r="QWV230" s="508"/>
      <c r="QWW230" s="507" t="s">
        <v>1381</v>
      </c>
      <c r="QWX230" s="508"/>
      <c r="QWY230" s="507" t="s">
        <v>1381</v>
      </c>
      <c r="QWZ230" s="508"/>
      <c r="QXA230" s="507" t="s">
        <v>1381</v>
      </c>
      <c r="QXB230" s="508"/>
      <c r="QXC230" s="507" t="s">
        <v>1381</v>
      </c>
      <c r="QXD230" s="508"/>
      <c r="QXE230" s="507" t="s">
        <v>1381</v>
      </c>
      <c r="QXF230" s="508"/>
      <c r="QXG230" s="507" t="s">
        <v>1381</v>
      </c>
      <c r="QXH230" s="508"/>
      <c r="QXI230" s="507" t="s">
        <v>1381</v>
      </c>
      <c r="QXJ230" s="508"/>
      <c r="QXK230" s="507" t="s">
        <v>1381</v>
      </c>
      <c r="QXL230" s="508"/>
      <c r="QXM230" s="507" t="s">
        <v>1381</v>
      </c>
      <c r="QXN230" s="508"/>
      <c r="QXO230" s="507" t="s">
        <v>1381</v>
      </c>
      <c r="QXP230" s="508"/>
      <c r="QXQ230" s="507" t="s">
        <v>1381</v>
      </c>
      <c r="QXR230" s="508"/>
      <c r="QXS230" s="507" t="s">
        <v>1381</v>
      </c>
      <c r="QXT230" s="508"/>
      <c r="QXU230" s="507" t="s">
        <v>1381</v>
      </c>
      <c r="QXV230" s="508"/>
      <c r="QXW230" s="507" t="s">
        <v>1381</v>
      </c>
      <c r="QXX230" s="508"/>
      <c r="QXY230" s="507" t="s">
        <v>1381</v>
      </c>
      <c r="QXZ230" s="508"/>
      <c r="QYA230" s="507" t="s">
        <v>1381</v>
      </c>
      <c r="QYB230" s="508"/>
      <c r="QYC230" s="507" t="s">
        <v>1381</v>
      </c>
      <c r="QYD230" s="508"/>
      <c r="QYE230" s="507" t="s">
        <v>1381</v>
      </c>
      <c r="QYF230" s="508"/>
      <c r="QYG230" s="507" t="s">
        <v>1381</v>
      </c>
      <c r="QYH230" s="508"/>
      <c r="QYI230" s="507" t="s">
        <v>1381</v>
      </c>
      <c r="QYJ230" s="508"/>
      <c r="QYK230" s="507" t="s">
        <v>1381</v>
      </c>
      <c r="QYL230" s="508"/>
      <c r="QYM230" s="507" t="s">
        <v>1381</v>
      </c>
      <c r="QYN230" s="508"/>
      <c r="QYO230" s="507" t="s">
        <v>1381</v>
      </c>
      <c r="QYP230" s="508"/>
      <c r="QYQ230" s="507" t="s">
        <v>1381</v>
      </c>
      <c r="QYR230" s="508"/>
      <c r="QYS230" s="507" t="s">
        <v>1381</v>
      </c>
      <c r="QYT230" s="508"/>
      <c r="QYU230" s="507" t="s">
        <v>1381</v>
      </c>
      <c r="QYV230" s="508"/>
      <c r="QYW230" s="507" t="s">
        <v>1381</v>
      </c>
      <c r="QYX230" s="508"/>
      <c r="QYY230" s="507" t="s">
        <v>1381</v>
      </c>
      <c r="QYZ230" s="508"/>
      <c r="QZA230" s="507" t="s">
        <v>1381</v>
      </c>
      <c r="QZB230" s="508"/>
      <c r="QZC230" s="507" t="s">
        <v>1381</v>
      </c>
      <c r="QZD230" s="508"/>
      <c r="QZE230" s="507" t="s">
        <v>1381</v>
      </c>
      <c r="QZF230" s="508"/>
      <c r="QZG230" s="507" t="s">
        <v>1381</v>
      </c>
      <c r="QZH230" s="508"/>
      <c r="QZI230" s="507" t="s">
        <v>1381</v>
      </c>
      <c r="QZJ230" s="508"/>
      <c r="QZK230" s="507" t="s">
        <v>1381</v>
      </c>
      <c r="QZL230" s="508"/>
      <c r="QZM230" s="507" t="s">
        <v>1381</v>
      </c>
      <c r="QZN230" s="508"/>
      <c r="QZO230" s="507" t="s">
        <v>1381</v>
      </c>
      <c r="QZP230" s="508"/>
      <c r="QZQ230" s="507" t="s">
        <v>1381</v>
      </c>
      <c r="QZR230" s="508"/>
      <c r="QZS230" s="507" t="s">
        <v>1381</v>
      </c>
      <c r="QZT230" s="508"/>
      <c r="QZU230" s="507" t="s">
        <v>1381</v>
      </c>
      <c r="QZV230" s="508"/>
      <c r="QZW230" s="507" t="s">
        <v>1381</v>
      </c>
      <c r="QZX230" s="508"/>
      <c r="QZY230" s="507" t="s">
        <v>1381</v>
      </c>
      <c r="QZZ230" s="508"/>
      <c r="RAA230" s="507" t="s">
        <v>1381</v>
      </c>
      <c r="RAB230" s="508"/>
      <c r="RAC230" s="507" t="s">
        <v>1381</v>
      </c>
      <c r="RAD230" s="508"/>
      <c r="RAE230" s="507" t="s">
        <v>1381</v>
      </c>
      <c r="RAF230" s="508"/>
      <c r="RAG230" s="507" t="s">
        <v>1381</v>
      </c>
      <c r="RAH230" s="508"/>
      <c r="RAI230" s="507" t="s">
        <v>1381</v>
      </c>
      <c r="RAJ230" s="508"/>
      <c r="RAK230" s="507" t="s">
        <v>1381</v>
      </c>
      <c r="RAL230" s="508"/>
      <c r="RAM230" s="507" t="s">
        <v>1381</v>
      </c>
      <c r="RAN230" s="508"/>
      <c r="RAO230" s="507" t="s">
        <v>1381</v>
      </c>
      <c r="RAP230" s="508"/>
      <c r="RAQ230" s="507" t="s">
        <v>1381</v>
      </c>
      <c r="RAR230" s="508"/>
      <c r="RAS230" s="507" t="s">
        <v>1381</v>
      </c>
      <c r="RAT230" s="508"/>
      <c r="RAU230" s="507" t="s">
        <v>1381</v>
      </c>
      <c r="RAV230" s="508"/>
      <c r="RAW230" s="507" t="s">
        <v>1381</v>
      </c>
      <c r="RAX230" s="508"/>
      <c r="RAY230" s="507" t="s">
        <v>1381</v>
      </c>
      <c r="RAZ230" s="508"/>
      <c r="RBA230" s="507" t="s">
        <v>1381</v>
      </c>
      <c r="RBB230" s="508"/>
      <c r="RBC230" s="507" t="s">
        <v>1381</v>
      </c>
      <c r="RBD230" s="508"/>
      <c r="RBE230" s="507" t="s">
        <v>1381</v>
      </c>
      <c r="RBF230" s="508"/>
      <c r="RBG230" s="507" t="s">
        <v>1381</v>
      </c>
      <c r="RBH230" s="508"/>
      <c r="RBI230" s="507" t="s">
        <v>1381</v>
      </c>
      <c r="RBJ230" s="508"/>
      <c r="RBK230" s="507" t="s">
        <v>1381</v>
      </c>
      <c r="RBL230" s="508"/>
      <c r="RBM230" s="507" t="s">
        <v>1381</v>
      </c>
      <c r="RBN230" s="508"/>
      <c r="RBO230" s="507" t="s">
        <v>1381</v>
      </c>
      <c r="RBP230" s="508"/>
      <c r="RBQ230" s="507" t="s">
        <v>1381</v>
      </c>
      <c r="RBR230" s="508"/>
      <c r="RBS230" s="507" t="s">
        <v>1381</v>
      </c>
      <c r="RBT230" s="508"/>
      <c r="RBU230" s="507" t="s">
        <v>1381</v>
      </c>
      <c r="RBV230" s="508"/>
      <c r="RBW230" s="507" t="s">
        <v>1381</v>
      </c>
      <c r="RBX230" s="508"/>
      <c r="RBY230" s="507" t="s">
        <v>1381</v>
      </c>
      <c r="RBZ230" s="508"/>
      <c r="RCA230" s="507" t="s">
        <v>1381</v>
      </c>
      <c r="RCB230" s="508"/>
      <c r="RCC230" s="507" t="s">
        <v>1381</v>
      </c>
      <c r="RCD230" s="508"/>
      <c r="RCE230" s="507" t="s">
        <v>1381</v>
      </c>
      <c r="RCF230" s="508"/>
      <c r="RCG230" s="507" t="s">
        <v>1381</v>
      </c>
      <c r="RCH230" s="508"/>
      <c r="RCI230" s="507" t="s">
        <v>1381</v>
      </c>
      <c r="RCJ230" s="508"/>
      <c r="RCK230" s="507" t="s">
        <v>1381</v>
      </c>
      <c r="RCL230" s="508"/>
      <c r="RCM230" s="507" t="s">
        <v>1381</v>
      </c>
      <c r="RCN230" s="508"/>
      <c r="RCO230" s="507" t="s">
        <v>1381</v>
      </c>
      <c r="RCP230" s="508"/>
      <c r="RCQ230" s="507" t="s">
        <v>1381</v>
      </c>
      <c r="RCR230" s="508"/>
      <c r="RCS230" s="507" t="s">
        <v>1381</v>
      </c>
      <c r="RCT230" s="508"/>
      <c r="RCU230" s="507" t="s">
        <v>1381</v>
      </c>
      <c r="RCV230" s="508"/>
      <c r="RCW230" s="507" t="s">
        <v>1381</v>
      </c>
      <c r="RCX230" s="508"/>
      <c r="RCY230" s="507" t="s">
        <v>1381</v>
      </c>
      <c r="RCZ230" s="508"/>
      <c r="RDA230" s="507" t="s">
        <v>1381</v>
      </c>
      <c r="RDB230" s="508"/>
      <c r="RDC230" s="507" t="s">
        <v>1381</v>
      </c>
      <c r="RDD230" s="508"/>
      <c r="RDE230" s="507" t="s">
        <v>1381</v>
      </c>
      <c r="RDF230" s="508"/>
      <c r="RDG230" s="507" t="s">
        <v>1381</v>
      </c>
      <c r="RDH230" s="508"/>
      <c r="RDI230" s="507" t="s">
        <v>1381</v>
      </c>
      <c r="RDJ230" s="508"/>
      <c r="RDK230" s="507" t="s">
        <v>1381</v>
      </c>
      <c r="RDL230" s="508"/>
      <c r="RDM230" s="507" t="s">
        <v>1381</v>
      </c>
      <c r="RDN230" s="508"/>
      <c r="RDO230" s="507" t="s">
        <v>1381</v>
      </c>
      <c r="RDP230" s="508"/>
      <c r="RDQ230" s="507" t="s">
        <v>1381</v>
      </c>
      <c r="RDR230" s="508"/>
      <c r="RDS230" s="507" t="s">
        <v>1381</v>
      </c>
      <c r="RDT230" s="508"/>
      <c r="RDU230" s="507" t="s">
        <v>1381</v>
      </c>
      <c r="RDV230" s="508"/>
      <c r="RDW230" s="507" t="s">
        <v>1381</v>
      </c>
      <c r="RDX230" s="508"/>
      <c r="RDY230" s="507" t="s">
        <v>1381</v>
      </c>
      <c r="RDZ230" s="508"/>
      <c r="REA230" s="507" t="s">
        <v>1381</v>
      </c>
      <c r="REB230" s="508"/>
      <c r="REC230" s="507" t="s">
        <v>1381</v>
      </c>
      <c r="RED230" s="508"/>
      <c r="REE230" s="507" t="s">
        <v>1381</v>
      </c>
      <c r="REF230" s="508"/>
      <c r="REG230" s="507" t="s">
        <v>1381</v>
      </c>
      <c r="REH230" s="508"/>
      <c r="REI230" s="507" t="s">
        <v>1381</v>
      </c>
      <c r="REJ230" s="508"/>
      <c r="REK230" s="507" t="s">
        <v>1381</v>
      </c>
      <c r="REL230" s="508"/>
      <c r="REM230" s="507" t="s">
        <v>1381</v>
      </c>
      <c r="REN230" s="508"/>
      <c r="REO230" s="507" t="s">
        <v>1381</v>
      </c>
      <c r="REP230" s="508"/>
      <c r="REQ230" s="507" t="s">
        <v>1381</v>
      </c>
      <c r="RER230" s="508"/>
      <c r="RES230" s="507" t="s">
        <v>1381</v>
      </c>
      <c r="RET230" s="508"/>
      <c r="REU230" s="507" t="s">
        <v>1381</v>
      </c>
      <c r="REV230" s="508"/>
      <c r="REW230" s="507" t="s">
        <v>1381</v>
      </c>
      <c r="REX230" s="508"/>
      <c r="REY230" s="507" t="s">
        <v>1381</v>
      </c>
      <c r="REZ230" s="508"/>
      <c r="RFA230" s="507" t="s">
        <v>1381</v>
      </c>
      <c r="RFB230" s="508"/>
      <c r="RFC230" s="507" t="s">
        <v>1381</v>
      </c>
      <c r="RFD230" s="508"/>
      <c r="RFE230" s="507" t="s">
        <v>1381</v>
      </c>
      <c r="RFF230" s="508"/>
      <c r="RFG230" s="507" t="s">
        <v>1381</v>
      </c>
      <c r="RFH230" s="508"/>
      <c r="RFI230" s="507" t="s">
        <v>1381</v>
      </c>
      <c r="RFJ230" s="508"/>
      <c r="RFK230" s="507" t="s">
        <v>1381</v>
      </c>
      <c r="RFL230" s="508"/>
      <c r="RFM230" s="507" t="s">
        <v>1381</v>
      </c>
      <c r="RFN230" s="508"/>
      <c r="RFO230" s="507" t="s">
        <v>1381</v>
      </c>
      <c r="RFP230" s="508"/>
      <c r="RFQ230" s="507" t="s">
        <v>1381</v>
      </c>
      <c r="RFR230" s="508"/>
      <c r="RFS230" s="507" t="s">
        <v>1381</v>
      </c>
      <c r="RFT230" s="508"/>
      <c r="RFU230" s="507" t="s">
        <v>1381</v>
      </c>
      <c r="RFV230" s="508"/>
      <c r="RFW230" s="507" t="s">
        <v>1381</v>
      </c>
      <c r="RFX230" s="508"/>
      <c r="RFY230" s="507" t="s">
        <v>1381</v>
      </c>
      <c r="RFZ230" s="508"/>
      <c r="RGA230" s="507" t="s">
        <v>1381</v>
      </c>
      <c r="RGB230" s="508"/>
      <c r="RGC230" s="507" t="s">
        <v>1381</v>
      </c>
      <c r="RGD230" s="508"/>
      <c r="RGE230" s="507" t="s">
        <v>1381</v>
      </c>
      <c r="RGF230" s="508"/>
      <c r="RGG230" s="507" t="s">
        <v>1381</v>
      </c>
      <c r="RGH230" s="508"/>
      <c r="RGI230" s="507" t="s">
        <v>1381</v>
      </c>
      <c r="RGJ230" s="508"/>
      <c r="RGK230" s="507" t="s">
        <v>1381</v>
      </c>
      <c r="RGL230" s="508"/>
      <c r="RGM230" s="507" t="s">
        <v>1381</v>
      </c>
      <c r="RGN230" s="508"/>
      <c r="RGO230" s="507" t="s">
        <v>1381</v>
      </c>
      <c r="RGP230" s="508"/>
      <c r="RGQ230" s="507" t="s">
        <v>1381</v>
      </c>
      <c r="RGR230" s="508"/>
      <c r="RGS230" s="507" t="s">
        <v>1381</v>
      </c>
      <c r="RGT230" s="508"/>
      <c r="RGU230" s="507" t="s">
        <v>1381</v>
      </c>
      <c r="RGV230" s="508"/>
      <c r="RGW230" s="507" t="s">
        <v>1381</v>
      </c>
      <c r="RGX230" s="508"/>
      <c r="RGY230" s="507" t="s">
        <v>1381</v>
      </c>
      <c r="RGZ230" s="508"/>
      <c r="RHA230" s="507" t="s">
        <v>1381</v>
      </c>
      <c r="RHB230" s="508"/>
      <c r="RHC230" s="507" t="s">
        <v>1381</v>
      </c>
      <c r="RHD230" s="508"/>
      <c r="RHE230" s="507" t="s">
        <v>1381</v>
      </c>
      <c r="RHF230" s="508"/>
      <c r="RHG230" s="507" t="s">
        <v>1381</v>
      </c>
      <c r="RHH230" s="508"/>
      <c r="RHI230" s="507" t="s">
        <v>1381</v>
      </c>
      <c r="RHJ230" s="508"/>
      <c r="RHK230" s="507" t="s">
        <v>1381</v>
      </c>
      <c r="RHL230" s="508"/>
      <c r="RHM230" s="507" t="s">
        <v>1381</v>
      </c>
      <c r="RHN230" s="508"/>
      <c r="RHO230" s="507" t="s">
        <v>1381</v>
      </c>
      <c r="RHP230" s="508"/>
      <c r="RHQ230" s="507" t="s">
        <v>1381</v>
      </c>
      <c r="RHR230" s="508"/>
      <c r="RHS230" s="507" t="s">
        <v>1381</v>
      </c>
      <c r="RHT230" s="508"/>
      <c r="RHU230" s="507" t="s">
        <v>1381</v>
      </c>
      <c r="RHV230" s="508"/>
      <c r="RHW230" s="507" t="s">
        <v>1381</v>
      </c>
      <c r="RHX230" s="508"/>
      <c r="RHY230" s="507" t="s">
        <v>1381</v>
      </c>
      <c r="RHZ230" s="508"/>
      <c r="RIA230" s="507" t="s">
        <v>1381</v>
      </c>
      <c r="RIB230" s="508"/>
      <c r="RIC230" s="507" t="s">
        <v>1381</v>
      </c>
      <c r="RID230" s="508"/>
      <c r="RIE230" s="507" t="s">
        <v>1381</v>
      </c>
      <c r="RIF230" s="508"/>
      <c r="RIG230" s="507" t="s">
        <v>1381</v>
      </c>
      <c r="RIH230" s="508"/>
      <c r="RII230" s="507" t="s">
        <v>1381</v>
      </c>
      <c r="RIJ230" s="508"/>
      <c r="RIK230" s="507" t="s">
        <v>1381</v>
      </c>
      <c r="RIL230" s="508"/>
      <c r="RIM230" s="507" t="s">
        <v>1381</v>
      </c>
      <c r="RIN230" s="508"/>
      <c r="RIO230" s="507" t="s">
        <v>1381</v>
      </c>
      <c r="RIP230" s="508"/>
      <c r="RIQ230" s="507" t="s">
        <v>1381</v>
      </c>
      <c r="RIR230" s="508"/>
      <c r="RIS230" s="507" t="s">
        <v>1381</v>
      </c>
      <c r="RIT230" s="508"/>
      <c r="RIU230" s="507" t="s">
        <v>1381</v>
      </c>
      <c r="RIV230" s="508"/>
      <c r="RIW230" s="507" t="s">
        <v>1381</v>
      </c>
      <c r="RIX230" s="508"/>
      <c r="RIY230" s="507" t="s">
        <v>1381</v>
      </c>
      <c r="RIZ230" s="508"/>
      <c r="RJA230" s="507" t="s">
        <v>1381</v>
      </c>
      <c r="RJB230" s="508"/>
      <c r="RJC230" s="507" t="s">
        <v>1381</v>
      </c>
      <c r="RJD230" s="508"/>
      <c r="RJE230" s="507" t="s">
        <v>1381</v>
      </c>
      <c r="RJF230" s="508"/>
      <c r="RJG230" s="507" t="s">
        <v>1381</v>
      </c>
      <c r="RJH230" s="508"/>
      <c r="RJI230" s="507" t="s">
        <v>1381</v>
      </c>
      <c r="RJJ230" s="508"/>
      <c r="RJK230" s="507" t="s">
        <v>1381</v>
      </c>
      <c r="RJL230" s="508"/>
      <c r="RJM230" s="507" t="s">
        <v>1381</v>
      </c>
      <c r="RJN230" s="508"/>
      <c r="RJO230" s="507" t="s">
        <v>1381</v>
      </c>
      <c r="RJP230" s="508"/>
      <c r="RJQ230" s="507" t="s">
        <v>1381</v>
      </c>
      <c r="RJR230" s="508"/>
      <c r="RJS230" s="507" t="s">
        <v>1381</v>
      </c>
      <c r="RJT230" s="508"/>
      <c r="RJU230" s="507" t="s">
        <v>1381</v>
      </c>
      <c r="RJV230" s="508"/>
      <c r="RJW230" s="507" t="s">
        <v>1381</v>
      </c>
      <c r="RJX230" s="508"/>
      <c r="RJY230" s="507" t="s">
        <v>1381</v>
      </c>
      <c r="RJZ230" s="508"/>
      <c r="RKA230" s="507" t="s">
        <v>1381</v>
      </c>
      <c r="RKB230" s="508"/>
      <c r="RKC230" s="507" t="s">
        <v>1381</v>
      </c>
      <c r="RKD230" s="508"/>
      <c r="RKE230" s="507" t="s">
        <v>1381</v>
      </c>
      <c r="RKF230" s="508"/>
      <c r="RKG230" s="507" t="s">
        <v>1381</v>
      </c>
      <c r="RKH230" s="508"/>
      <c r="RKI230" s="507" t="s">
        <v>1381</v>
      </c>
      <c r="RKJ230" s="508"/>
      <c r="RKK230" s="507" t="s">
        <v>1381</v>
      </c>
      <c r="RKL230" s="508"/>
      <c r="RKM230" s="507" t="s">
        <v>1381</v>
      </c>
      <c r="RKN230" s="508"/>
      <c r="RKO230" s="507" t="s">
        <v>1381</v>
      </c>
      <c r="RKP230" s="508"/>
      <c r="RKQ230" s="507" t="s">
        <v>1381</v>
      </c>
      <c r="RKR230" s="508"/>
      <c r="RKS230" s="507" t="s">
        <v>1381</v>
      </c>
      <c r="RKT230" s="508"/>
      <c r="RKU230" s="507" t="s">
        <v>1381</v>
      </c>
      <c r="RKV230" s="508"/>
      <c r="RKW230" s="507" t="s">
        <v>1381</v>
      </c>
      <c r="RKX230" s="508"/>
      <c r="RKY230" s="507" t="s">
        <v>1381</v>
      </c>
      <c r="RKZ230" s="508"/>
      <c r="RLA230" s="507" t="s">
        <v>1381</v>
      </c>
      <c r="RLB230" s="508"/>
      <c r="RLC230" s="507" t="s">
        <v>1381</v>
      </c>
      <c r="RLD230" s="508"/>
      <c r="RLE230" s="507" t="s">
        <v>1381</v>
      </c>
      <c r="RLF230" s="508"/>
      <c r="RLG230" s="507" t="s">
        <v>1381</v>
      </c>
      <c r="RLH230" s="508"/>
      <c r="RLI230" s="507" t="s">
        <v>1381</v>
      </c>
      <c r="RLJ230" s="508"/>
      <c r="RLK230" s="507" t="s">
        <v>1381</v>
      </c>
      <c r="RLL230" s="508"/>
      <c r="RLM230" s="507" t="s">
        <v>1381</v>
      </c>
      <c r="RLN230" s="508"/>
      <c r="RLO230" s="507" t="s">
        <v>1381</v>
      </c>
      <c r="RLP230" s="508"/>
      <c r="RLQ230" s="507" t="s">
        <v>1381</v>
      </c>
      <c r="RLR230" s="508"/>
      <c r="RLS230" s="507" t="s">
        <v>1381</v>
      </c>
      <c r="RLT230" s="508"/>
      <c r="RLU230" s="507" t="s">
        <v>1381</v>
      </c>
      <c r="RLV230" s="508"/>
      <c r="RLW230" s="507" t="s">
        <v>1381</v>
      </c>
      <c r="RLX230" s="508"/>
      <c r="RLY230" s="507" t="s">
        <v>1381</v>
      </c>
      <c r="RLZ230" s="508"/>
      <c r="RMA230" s="507" t="s">
        <v>1381</v>
      </c>
      <c r="RMB230" s="508"/>
      <c r="RMC230" s="507" t="s">
        <v>1381</v>
      </c>
      <c r="RMD230" s="508"/>
      <c r="RME230" s="507" t="s">
        <v>1381</v>
      </c>
      <c r="RMF230" s="508"/>
      <c r="RMG230" s="507" t="s">
        <v>1381</v>
      </c>
      <c r="RMH230" s="508"/>
      <c r="RMI230" s="507" t="s">
        <v>1381</v>
      </c>
      <c r="RMJ230" s="508"/>
      <c r="RMK230" s="507" t="s">
        <v>1381</v>
      </c>
      <c r="RML230" s="508"/>
      <c r="RMM230" s="507" t="s">
        <v>1381</v>
      </c>
      <c r="RMN230" s="508"/>
      <c r="RMO230" s="507" t="s">
        <v>1381</v>
      </c>
      <c r="RMP230" s="508"/>
      <c r="RMQ230" s="507" t="s">
        <v>1381</v>
      </c>
      <c r="RMR230" s="508"/>
      <c r="RMS230" s="507" t="s">
        <v>1381</v>
      </c>
      <c r="RMT230" s="508"/>
      <c r="RMU230" s="507" t="s">
        <v>1381</v>
      </c>
      <c r="RMV230" s="508"/>
      <c r="RMW230" s="507" t="s">
        <v>1381</v>
      </c>
      <c r="RMX230" s="508"/>
      <c r="RMY230" s="507" t="s">
        <v>1381</v>
      </c>
      <c r="RMZ230" s="508"/>
      <c r="RNA230" s="507" t="s">
        <v>1381</v>
      </c>
      <c r="RNB230" s="508"/>
      <c r="RNC230" s="507" t="s">
        <v>1381</v>
      </c>
      <c r="RND230" s="508"/>
      <c r="RNE230" s="507" t="s">
        <v>1381</v>
      </c>
      <c r="RNF230" s="508"/>
      <c r="RNG230" s="507" t="s">
        <v>1381</v>
      </c>
      <c r="RNH230" s="508"/>
      <c r="RNI230" s="507" t="s">
        <v>1381</v>
      </c>
      <c r="RNJ230" s="508"/>
      <c r="RNK230" s="507" t="s">
        <v>1381</v>
      </c>
      <c r="RNL230" s="508"/>
      <c r="RNM230" s="507" t="s">
        <v>1381</v>
      </c>
      <c r="RNN230" s="508"/>
      <c r="RNO230" s="507" t="s">
        <v>1381</v>
      </c>
      <c r="RNP230" s="508"/>
      <c r="RNQ230" s="507" t="s">
        <v>1381</v>
      </c>
      <c r="RNR230" s="508"/>
      <c r="RNS230" s="507" t="s">
        <v>1381</v>
      </c>
      <c r="RNT230" s="508"/>
      <c r="RNU230" s="507" t="s">
        <v>1381</v>
      </c>
      <c r="RNV230" s="508"/>
      <c r="RNW230" s="507" t="s">
        <v>1381</v>
      </c>
      <c r="RNX230" s="508"/>
      <c r="RNY230" s="507" t="s">
        <v>1381</v>
      </c>
      <c r="RNZ230" s="508"/>
      <c r="ROA230" s="507" t="s">
        <v>1381</v>
      </c>
      <c r="ROB230" s="508"/>
      <c r="ROC230" s="507" t="s">
        <v>1381</v>
      </c>
      <c r="ROD230" s="508"/>
      <c r="ROE230" s="507" t="s">
        <v>1381</v>
      </c>
      <c r="ROF230" s="508"/>
      <c r="ROG230" s="507" t="s">
        <v>1381</v>
      </c>
      <c r="ROH230" s="508"/>
      <c r="ROI230" s="507" t="s">
        <v>1381</v>
      </c>
      <c r="ROJ230" s="508"/>
      <c r="ROK230" s="507" t="s">
        <v>1381</v>
      </c>
      <c r="ROL230" s="508"/>
      <c r="ROM230" s="507" t="s">
        <v>1381</v>
      </c>
      <c r="RON230" s="508"/>
      <c r="ROO230" s="507" t="s">
        <v>1381</v>
      </c>
      <c r="ROP230" s="508"/>
      <c r="ROQ230" s="507" t="s">
        <v>1381</v>
      </c>
      <c r="ROR230" s="508"/>
      <c r="ROS230" s="507" t="s">
        <v>1381</v>
      </c>
      <c r="ROT230" s="508"/>
      <c r="ROU230" s="507" t="s">
        <v>1381</v>
      </c>
      <c r="ROV230" s="508"/>
      <c r="ROW230" s="507" t="s">
        <v>1381</v>
      </c>
      <c r="ROX230" s="508"/>
      <c r="ROY230" s="507" t="s">
        <v>1381</v>
      </c>
      <c r="ROZ230" s="508"/>
      <c r="RPA230" s="507" t="s">
        <v>1381</v>
      </c>
      <c r="RPB230" s="508"/>
      <c r="RPC230" s="507" t="s">
        <v>1381</v>
      </c>
      <c r="RPD230" s="508"/>
      <c r="RPE230" s="507" t="s">
        <v>1381</v>
      </c>
      <c r="RPF230" s="508"/>
      <c r="RPG230" s="507" t="s">
        <v>1381</v>
      </c>
      <c r="RPH230" s="508"/>
      <c r="RPI230" s="507" t="s">
        <v>1381</v>
      </c>
      <c r="RPJ230" s="508"/>
      <c r="RPK230" s="507" t="s">
        <v>1381</v>
      </c>
      <c r="RPL230" s="508"/>
      <c r="RPM230" s="507" t="s">
        <v>1381</v>
      </c>
      <c r="RPN230" s="508"/>
      <c r="RPO230" s="507" t="s">
        <v>1381</v>
      </c>
      <c r="RPP230" s="508"/>
      <c r="RPQ230" s="507" t="s">
        <v>1381</v>
      </c>
      <c r="RPR230" s="508"/>
      <c r="RPS230" s="507" t="s">
        <v>1381</v>
      </c>
      <c r="RPT230" s="508"/>
      <c r="RPU230" s="507" t="s">
        <v>1381</v>
      </c>
      <c r="RPV230" s="508"/>
      <c r="RPW230" s="507" t="s">
        <v>1381</v>
      </c>
      <c r="RPX230" s="508"/>
      <c r="RPY230" s="507" t="s">
        <v>1381</v>
      </c>
      <c r="RPZ230" s="508"/>
      <c r="RQA230" s="507" t="s">
        <v>1381</v>
      </c>
      <c r="RQB230" s="508"/>
      <c r="RQC230" s="507" t="s">
        <v>1381</v>
      </c>
      <c r="RQD230" s="508"/>
      <c r="RQE230" s="507" t="s">
        <v>1381</v>
      </c>
      <c r="RQF230" s="508"/>
      <c r="RQG230" s="507" t="s">
        <v>1381</v>
      </c>
      <c r="RQH230" s="508"/>
      <c r="RQI230" s="507" t="s">
        <v>1381</v>
      </c>
      <c r="RQJ230" s="508"/>
      <c r="RQK230" s="507" t="s">
        <v>1381</v>
      </c>
      <c r="RQL230" s="508"/>
      <c r="RQM230" s="507" t="s">
        <v>1381</v>
      </c>
      <c r="RQN230" s="508"/>
      <c r="RQO230" s="507" t="s">
        <v>1381</v>
      </c>
      <c r="RQP230" s="508"/>
      <c r="RQQ230" s="507" t="s">
        <v>1381</v>
      </c>
      <c r="RQR230" s="508"/>
      <c r="RQS230" s="507" t="s">
        <v>1381</v>
      </c>
      <c r="RQT230" s="508"/>
      <c r="RQU230" s="507" t="s">
        <v>1381</v>
      </c>
      <c r="RQV230" s="508"/>
      <c r="RQW230" s="507" t="s">
        <v>1381</v>
      </c>
      <c r="RQX230" s="508"/>
      <c r="RQY230" s="507" t="s">
        <v>1381</v>
      </c>
      <c r="RQZ230" s="508"/>
      <c r="RRA230" s="507" t="s">
        <v>1381</v>
      </c>
      <c r="RRB230" s="508"/>
      <c r="RRC230" s="507" t="s">
        <v>1381</v>
      </c>
      <c r="RRD230" s="508"/>
      <c r="RRE230" s="507" t="s">
        <v>1381</v>
      </c>
      <c r="RRF230" s="508"/>
      <c r="RRG230" s="507" t="s">
        <v>1381</v>
      </c>
      <c r="RRH230" s="508"/>
      <c r="RRI230" s="507" t="s">
        <v>1381</v>
      </c>
      <c r="RRJ230" s="508"/>
      <c r="RRK230" s="507" t="s">
        <v>1381</v>
      </c>
      <c r="RRL230" s="508"/>
      <c r="RRM230" s="507" t="s">
        <v>1381</v>
      </c>
      <c r="RRN230" s="508"/>
      <c r="RRO230" s="507" t="s">
        <v>1381</v>
      </c>
      <c r="RRP230" s="508"/>
      <c r="RRQ230" s="507" t="s">
        <v>1381</v>
      </c>
      <c r="RRR230" s="508"/>
      <c r="RRS230" s="507" t="s">
        <v>1381</v>
      </c>
      <c r="RRT230" s="508"/>
      <c r="RRU230" s="507" t="s">
        <v>1381</v>
      </c>
      <c r="RRV230" s="508"/>
      <c r="RRW230" s="507" t="s">
        <v>1381</v>
      </c>
      <c r="RRX230" s="508"/>
      <c r="RRY230" s="507" t="s">
        <v>1381</v>
      </c>
      <c r="RRZ230" s="508"/>
      <c r="RSA230" s="507" t="s">
        <v>1381</v>
      </c>
      <c r="RSB230" s="508"/>
      <c r="RSC230" s="507" t="s">
        <v>1381</v>
      </c>
      <c r="RSD230" s="508"/>
      <c r="RSE230" s="507" t="s">
        <v>1381</v>
      </c>
      <c r="RSF230" s="508"/>
      <c r="RSG230" s="507" t="s">
        <v>1381</v>
      </c>
      <c r="RSH230" s="508"/>
      <c r="RSI230" s="507" t="s">
        <v>1381</v>
      </c>
      <c r="RSJ230" s="508"/>
      <c r="RSK230" s="507" t="s">
        <v>1381</v>
      </c>
      <c r="RSL230" s="508"/>
      <c r="RSM230" s="507" t="s">
        <v>1381</v>
      </c>
      <c r="RSN230" s="508"/>
      <c r="RSO230" s="507" t="s">
        <v>1381</v>
      </c>
      <c r="RSP230" s="508"/>
      <c r="RSQ230" s="507" t="s">
        <v>1381</v>
      </c>
      <c r="RSR230" s="508"/>
      <c r="RSS230" s="507" t="s">
        <v>1381</v>
      </c>
      <c r="RST230" s="508"/>
      <c r="RSU230" s="507" t="s">
        <v>1381</v>
      </c>
      <c r="RSV230" s="508"/>
      <c r="RSW230" s="507" t="s">
        <v>1381</v>
      </c>
      <c r="RSX230" s="508"/>
      <c r="RSY230" s="507" t="s">
        <v>1381</v>
      </c>
      <c r="RSZ230" s="508"/>
      <c r="RTA230" s="507" t="s">
        <v>1381</v>
      </c>
      <c r="RTB230" s="508"/>
      <c r="RTC230" s="507" t="s">
        <v>1381</v>
      </c>
      <c r="RTD230" s="508"/>
      <c r="RTE230" s="507" t="s">
        <v>1381</v>
      </c>
      <c r="RTF230" s="508"/>
      <c r="RTG230" s="507" t="s">
        <v>1381</v>
      </c>
      <c r="RTH230" s="508"/>
      <c r="RTI230" s="507" t="s">
        <v>1381</v>
      </c>
      <c r="RTJ230" s="508"/>
      <c r="RTK230" s="507" t="s">
        <v>1381</v>
      </c>
      <c r="RTL230" s="508"/>
      <c r="RTM230" s="507" t="s">
        <v>1381</v>
      </c>
      <c r="RTN230" s="508"/>
      <c r="RTO230" s="507" t="s">
        <v>1381</v>
      </c>
      <c r="RTP230" s="508"/>
      <c r="RTQ230" s="507" t="s">
        <v>1381</v>
      </c>
      <c r="RTR230" s="508"/>
      <c r="RTS230" s="507" t="s">
        <v>1381</v>
      </c>
      <c r="RTT230" s="508"/>
      <c r="RTU230" s="507" t="s">
        <v>1381</v>
      </c>
      <c r="RTV230" s="508"/>
      <c r="RTW230" s="507" t="s">
        <v>1381</v>
      </c>
      <c r="RTX230" s="508"/>
      <c r="RTY230" s="507" t="s">
        <v>1381</v>
      </c>
      <c r="RTZ230" s="508"/>
      <c r="RUA230" s="507" t="s">
        <v>1381</v>
      </c>
      <c r="RUB230" s="508"/>
      <c r="RUC230" s="507" t="s">
        <v>1381</v>
      </c>
      <c r="RUD230" s="508"/>
      <c r="RUE230" s="507" t="s">
        <v>1381</v>
      </c>
      <c r="RUF230" s="508"/>
      <c r="RUG230" s="507" t="s">
        <v>1381</v>
      </c>
      <c r="RUH230" s="508"/>
      <c r="RUI230" s="507" t="s">
        <v>1381</v>
      </c>
      <c r="RUJ230" s="508"/>
      <c r="RUK230" s="507" t="s">
        <v>1381</v>
      </c>
      <c r="RUL230" s="508"/>
      <c r="RUM230" s="507" t="s">
        <v>1381</v>
      </c>
      <c r="RUN230" s="508"/>
      <c r="RUO230" s="507" t="s">
        <v>1381</v>
      </c>
      <c r="RUP230" s="508"/>
      <c r="RUQ230" s="507" t="s">
        <v>1381</v>
      </c>
      <c r="RUR230" s="508"/>
      <c r="RUS230" s="507" t="s">
        <v>1381</v>
      </c>
      <c r="RUT230" s="508"/>
      <c r="RUU230" s="507" t="s">
        <v>1381</v>
      </c>
      <c r="RUV230" s="508"/>
      <c r="RUW230" s="507" t="s">
        <v>1381</v>
      </c>
      <c r="RUX230" s="508"/>
      <c r="RUY230" s="507" t="s">
        <v>1381</v>
      </c>
      <c r="RUZ230" s="508"/>
      <c r="RVA230" s="507" t="s">
        <v>1381</v>
      </c>
      <c r="RVB230" s="508"/>
      <c r="RVC230" s="507" t="s">
        <v>1381</v>
      </c>
      <c r="RVD230" s="508"/>
      <c r="RVE230" s="507" t="s">
        <v>1381</v>
      </c>
      <c r="RVF230" s="508"/>
      <c r="RVG230" s="507" t="s">
        <v>1381</v>
      </c>
      <c r="RVH230" s="508"/>
      <c r="RVI230" s="507" t="s">
        <v>1381</v>
      </c>
      <c r="RVJ230" s="508"/>
      <c r="RVK230" s="507" t="s">
        <v>1381</v>
      </c>
      <c r="RVL230" s="508"/>
      <c r="RVM230" s="507" t="s">
        <v>1381</v>
      </c>
      <c r="RVN230" s="508"/>
      <c r="RVO230" s="507" t="s">
        <v>1381</v>
      </c>
      <c r="RVP230" s="508"/>
      <c r="RVQ230" s="507" t="s">
        <v>1381</v>
      </c>
      <c r="RVR230" s="508"/>
      <c r="RVS230" s="507" t="s">
        <v>1381</v>
      </c>
      <c r="RVT230" s="508"/>
      <c r="RVU230" s="507" t="s">
        <v>1381</v>
      </c>
      <c r="RVV230" s="508"/>
      <c r="RVW230" s="507" t="s">
        <v>1381</v>
      </c>
      <c r="RVX230" s="508"/>
      <c r="RVY230" s="507" t="s">
        <v>1381</v>
      </c>
      <c r="RVZ230" s="508"/>
      <c r="RWA230" s="507" t="s">
        <v>1381</v>
      </c>
      <c r="RWB230" s="508"/>
      <c r="RWC230" s="507" t="s">
        <v>1381</v>
      </c>
      <c r="RWD230" s="508"/>
      <c r="RWE230" s="507" t="s">
        <v>1381</v>
      </c>
      <c r="RWF230" s="508"/>
      <c r="RWG230" s="507" t="s">
        <v>1381</v>
      </c>
      <c r="RWH230" s="508"/>
      <c r="RWI230" s="507" t="s">
        <v>1381</v>
      </c>
      <c r="RWJ230" s="508"/>
      <c r="RWK230" s="507" t="s">
        <v>1381</v>
      </c>
      <c r="RWL230" s="508"/>
      <c r="RWM230" s="507" t="s">
        <v>1381</v>
      </c>
      <c r="RWN230" s="508"/>
      <c r="RWO230" s="507" t="s">
        <v>1381</v>
      </c>
      <c r="RWP230" s="508"/>
      <c r="RWQ230" s="507" t="s">
        <v>1381</v>
      </c>
      <c r="RWR230" s="508"/>
      <c r="RWS230" s="507" t="s">
        <v>1381</v>
      </c>
      <c r="RWT230" s="508"/>
      <c r="RWU230" s="507" t="s">
        <v>1381</v>
      </c>
      <c r="RWV230" s="508"/>
      <c r="RWW230" s="507" t="s">
        <v>1381</v>
      </c>
      <c r="RWX230" s="508"/>
      <c r="RWY230" s="507" t="s">
        <v>1381</v>
      </c>
      <c r="RWZ230" s="508"/>
      <c r="RXA230" s="507" t="s">
        <v>1381</v>
      </c>
      <c r="RXB230" s="508"/>
      <c r="RXC230" s="507" t="s">
        <v>1381</v>
      </c>
      <c r="RXD230" s="508"/>
      <c r="RXE230" s="507" t="s">
        <v>1381</v>
      </c>
      <c r="RXF230" s="508"/>
      <c r="RXG230" s="507" t="s">
        <v>1381</v>
      </c>
      <c r="RXH230" s="508"/>
      <c r="RXI230" s="507" t="s">
        <v>1381</v>
      </c>
      <c r="RXJ230" s="508"/>
      <c r="RXK230" s="507" t="s">
        <v>1381</v>
      </c>
      <c r="RXL230" s="508"/>
      <c r="RXM230" s="507" t="s">
        <v>1381</v>
      </c>
      <c r="RXN230" s="508"/>
      <c r="RXO230" s="507" t="s">
        <v>1381</v>
      </c>
      <c r="RXP230" s="508"/>
      <c r="RXQ230" s="507" t="s">
        <v>1381</v>
      </c>
      <c r="RXR230" s="508"/>
      <c r="RXS230" s="507" t="s">
        <v>1381</v>
      </c>
      <c r="RXT230" s="508"/>
      <c r="RXU230" s="507" t="s">
        <v>1381</v>
      </c>
      <c r="RXV230" s="508"/>
      <c r="RXW230" s="507" t="s">
        <v>1381</v>
      </c>
      <c r="RXX230" s="508"/>
      <c r="RXY230" s="507" t="s">
        <v>1381</v>
      </c>
      <c r="RXZ230" s="508"/>
      <c r="RYA230" s="507" t="s">
        <v>1381</v>
      </c>
      <c r="RYB230" s="508"/>
      <c r="RYC230" s="507" t="s">
        <v>1381</v>
      </c>
      <c r="RYD230" s="508"/>
      <c r="RYE230" s="507" t="s">
        <v>1381</v>
      </c>
      <c r="RYF230" s="508"/>
      <c r="RYG230" s="507" t="s">
        <v>1381</v>
      </c>
      <c r="RYH230" s="508"/>
      <c r="RYI230" s="507" t="s">
        <v>1381</v>
      </c>
      <c r="RYJ230" s="508"/>
      <c r="RYK230" s="507" t="s">
        <v>1381</v>
      </c>
      <c r="RYL230" s="508"/>
      <c r="RYM230" s="507" t="s">
        <v>1381</v>
      </c>
      <c r="RYN230" s="508"/>
      <c r="RYO230" s="507" t="s">
        <v>1381</v>
      </c>
      <c r="RYP230" s="508"/>
      <c r="RYQ230" s="507" t="s">
        <v>1381</v>
      </c>
      <c r="RYR230" s="508"/>
      <c r="RYS230" s="507" t="s">
        <v>1381</v>
      </c>
      <c r="RYT230" s="508"/>
      <c r="RYU230" s="507" t="s">
        <v>1381</v>
      </c>
      <c r="RYV230" s="508"/>
      <c r="RYW230" s="507" t="s">
        <v>1381</v>
      </c>
      <c r="RYX230" s="508"/>
      <c r="RYY230" s="507" t="s">
        <v>1381</v>
      </c>
      <c r="RYZ230" s="508"/>
      <c r="RZA230" s="507" t="s">
        <v>1381</v>
      </c>
      <c r="RZB230" s="508"/>
      <c r="RZC230" s="507" t="s">
        <v>1381</v>
      </c>
      <c r="RZD230" s="508"/>
      <c r="RZE230" s="507" t="s">
        <v>1381</v>
      </c>
      <c r="RZF230" s="508"/>
      <c r="RZG230" s="507" t="s">
        <v>1381</v>
      </c>
      <c r="RZH230" s="508"/>
      <c r="RZI230" s="507" t="s">
        <v>1381</v>
      </c>
      <c r="RZJ230" s="508"/>
      <c r="RZK230" s="507" t="s">
        <v>1381</v>
      </c>
      <c r="RZL230" s="508"/>
      <c r="RZM230" s="507" t="s">
        <v>1381</v>
      </c>
      <c r="RZN230" s="508"/>
      <c r="RZO230" s="507" t="s">
        <v>1381</v>
      </c>
      <c r="RZP230" s="508"/>
      <c r="RZQ230" s="507" t="s">
        <v>1381</v>
      </c>
      <c r="RZR230" s="508"/>
      <c r="RZS230" s="507" t="s">
        <v>1381</v>
      </c>
      <c r="RZT230" s="508"/>
      <c r="RZU230" s="507" t="s">
        <v>1381</v>
      </c>
      <c r="RZV230" s="508"/>
      <c r="RZW230" s="507" t="s">
        <v>1381</v>
      </c>
      <c r="RZX230" s="508"/>
      <c r="RZY230" s="507" t="s">
        <v>1381</v>
      </c>
      <c r="RZZ230" s="508"/>
      <c r="SAA230" s="507" t="s">
        <v>1381</v>
      </c>
      <c r="SAB230" s="508"/>
      <c r="SAC230" s="507" t="s">
        <v>1381</v>
      </c>
      <c r="SAD230" s="508"/>
      <c r="SAE230" s="507" t="s">
        <v>1381</v>
      </c>
      <c r="SAF230" s="508"/>
      <c r="SAG230" s="507" t="s">
        <v>1381</v>
      </c>
      <c r="SAH230" s="508"/>
      <c r="SAI230" s="507" t="s">
        <v>1381</v>
      </c>
      <c r="SAJ230" s="508"/>
      <c r="SAK230" s="507" t="s">
        <v>1381</v>
      </c>
      <c r="SAL230" s="508"/>
      <c r="SAM230" s="507" t="s">
        <v>1381</v>
      </c>
      <c r="SAN230" s="508"/>
      <c r="SAO230" s="507" t="s">
        <v>1381</v>
      </c>
      <c r="SAP230" s="508"/>
      <c r="SAQ230" s="507" t="s">
        <v>1381</v>
      </c>
      <c r="SAR230" s="508"/>
      <c r="SAS230" s="507" t="s">
        <v>1381</v>
      </c>
      <c r="SAT230" s="508"/>
      <c r="SAU230" s="507" t="s">
        <v>1381</v>
      </c>
      <c r="SAV230" s="508"/>
      <c r="SAW230" s="507" t="s">
        <v>1381</v>
      </c>
      <c r="SAX230" s="508"/>
      <c r="SAY230" s="507" t="s">
        <v>1381</v>
      </c>
      <c r="SAZ230" s="508"/>
      <c r="SBA230" s="507" t="s">
        <v>1381</v>
      </c>
      <c r="SBB230" s="508"/>
      <c r="SBC230" s="507" t="s">
        <v>1381</v>
      </c>
      <c r="SBD230" s="508"/>
      <c r="SBE230" s="507" t="s">
        <v>1381</v>
      </c>
      <c r="SBF230" s="508"/>
      <c r="SBG230" s="507" t="s">
        <v>1381</v>
      </c>
      <c r="SBH230" s="508"/>
      <c r="SBI230" s="507" t="s">
        <v>1381</v>
      </c>
      <c r="SBJ230" s="508"/>
      <c r="SBK230" s="507" t="s">
        <v>1381</v>
      </c>
      <c r="SBL230" s="508"/>
      <c r="SBM230" s="507" t="s">
        <v>1381</v>
      </c>
      <c r="SBN230" s="508"/>
      <c r="SBO230" s="507" t="s">
        <v>1381</v>
      </c>
      <c r="SBP230" s="508"/>
      <c r="SBQ230" s="507" t="s">
        <v>1381</v>
      </c>
      <c r="SBR230" s="508"/>
      <c r="SBS230" s="507" t="s">
        <v>1381</v>
      </c>
      <c r="SBT230" s="508"/>
      <c r="SBU230" s="507" t="s">
        <v>1381</v>
      </c>
      <c r="SBV230" s="508"/>
      <c r="SBW230" s="507" t="s">
        <v>1381</v>
      </c>
      <c r="SBX230" s="508"/>
      <c r="SBY230" s="507" t="s">
        <v>1381</v>
      </c>
      <c r="SBZ230" s="508"/>
      <c r="SCA230" s="507" t="s">
        <v>1381</v>
      </c>
      <c r="SCB230" s="508"/>
      <c r="SCC230" s="507" t="s">
        <v>1381</v>
      </c>
      <c r="SCD230" s="508"/>
      <c r="SCE230" s="507" t="s">
        <v>1381</v>
      </c>
      <c r="SCF230" s="508"/>
      <c r="SCG230" s="507" t="s">
        <v>1381</v>
      </c>
      <c r="SCH230" s="508"/>
      <c r="SCI230" s="507" t="s">
        <v>1381</v>
      </c>
      <c r="SCJ230" s="508"/>
      <c r="SCK230" s="507" t="s">
        <v>1381</v>
      </c>
      <c r="SCL230" s="508"/>
      <c r="SCM230" s="507" t="s">
        <v>1381</v>
      </c>
      <c r="SCN230" s="508"/>
      <c r="SCO230" s="507" t="s">
        <v>1381</v>
      </c>
      <c r="SCP230" s="508"/>
      <c r="SCQ230" s="507" t="s">
        <v>1381</v>
      </c>
      <c r="SCR230" s="508"/>
      <c r="SCS230" s="507" t="s">
        <v>1381</v>
      </c>
      <c r="SCT230" s="508"/>
      <c r="SCU230" s="507" t="s">
        <v>1381</v>
      </c>
      <c r="SCV230" s="508"/>
      <c r="SCW230" s="507" t="s">
        <v>1381</v>
      </c>
      <c r="SCX230" s="508"/>
      <c r="SCY230" s="507" t="s">
        <v>1381</v>
      </c>
      <c r="SCZ230" s="508"/>
      <c r="SDA230" s="507" t="s">
        <v>1381</v>
      </c>
      <c r="SDB230" s="508"/>
      <c r="SDC230" s="507" t="s">
        <v>1381</v>
      </c>
      <c r="SDD230" s="508"/>
      <c r="SDE230" s="507" t="s">
        <v>1381</v>
      </c>
      <c r="SDF230" s="508"/>
      <c r="SDG230" s="507" t="s">
        <v>1381</v>
      </c>
      <c r="SDH230" s="508"/>
      <c r="SDI230" s="507" t="s">
        <v>1381</v>
      </c>
      <c r="SDJ230" s="508"/>
      <c r="SDK230" s="507" t="s">
        <v>1381</v>
      </c>
      <c r="SDL230" s="508"/>
      <c r="SDM230" s="507" t="s">
        <v>1381</v>
      </c>
      <c r="SDN230" s="508"/>
      <c r="SDO230" s="507" t="s">
        <v>1381</v>
      </c>
      <c r="SDP230" s="508"/>
      <c r="SDQ230" s="507" t="s">
        <v>1381</v>
      </c>
      <c r="SDR230" s="508"/>
      <c r="SDS230" s="507" t="s">
        <v>1381</v>
      </c>
      <c r="SDT230" s="508"/>
      <c r="SDU230" s="507" t="s">
        <v>1381</v>
      </c>
      <c r="SDV230" s="508"/>
      <c r="SDW230" s="507" t="s">
        <v>1381</v>
      </c>
      <c r="SDX230" s="508"/>
      <c r="SDY230" s="507" t="s">
        <v>1381</v>
      </c>
      <c r="SDZ230" s="508"/>
      <c r="SEA230" s="507" t="s">
        <v>1381</v>
      </c>
      <c r="SEB230" s="508"/>
      <c r="SEC230" s="507" t="s">
        <v>1381</v>
      </c>
      <c r="SED230" s="508"/>
      <c r="SEE230" s="507" t="s">
        <v>1381</v>
      </c>
      <c r="SEF230" s="508"/>
      <c r="SEG230" s="507" t="s">
        <v>1381</v>
      </c>
      <c r="SEH230" s="508"/>
      <c r="SEI230" s="507" t="s">
        <v>1381</v>
      </c>
      <c r="SEJ230" s="508"/>
      <c r="SEK230" s="507" t="s">
        <v>1381</v>
      </c>
      <c r="SEL230" s="508"/>
      <c r="SEM230" s="507" t="s">
        <v>1381</v>
      </c>
      <c r="SEN230" s="508"/>
      <c r="SEO230" s="507" t="s">
        <v>1381</v>
      </c>
      <c r="SEP230" s="508"/>
      <c r="SEQ230" s="507" t="s">
        <v>1381</v>
      </c>
      <c r="SER230" s="508"/>
      <c r="SES230" s="507" t="s">
        <v>1381</v>
      </c>
      <c r="SET230" s="508"/>
      <c r="SEU230" s="507" t="s">
        <v>1381</v>
      </c>
      <c r="SEV230" s="508"/>
      <c r="SEW230" s="507" t="s">
        <v>1381</v>
      </c>
      <c r="SEX230" s="508"/>
      <c r="SEY230" s="507" t="s">
        <v>1381</v>
      </c>
      <c r="SEZ230" s="508"/>
      <c r="SFA230" s="507" t="s">
        <v>1381</v>
      </c>
      <c r="SFB230" s="508"/>
      <c r="SFC230" s="507" t="s">
        <v>1381</v>
      </c>
      <c r="SFD230" s="508"/>
      <c r="SFE230" s="507" t="s">
        <v>1381</v>
      </c>
      <c r="SFF230" s="508"/>
      <c r="SFG230" s="507" t="s">
        <v>1381</v>
      </c>
      <c r="SFH230" s="508"/>
      <c r="SFI230" s="507" t="s">
        <v>1381</v>
      </c>
      <c r="SFJ230" s="508"/>
      <c r="SFK230" s="507" t="s">
        <v>1381</v>
      </c>
      <c r="SFL230" s="508"/>
      <c r="SFM230" s="507" t="s">
        <v>1381</v>
      </c>
      <c r="SFN230" s="508"/>
      <c r="SFO230" s="507" t="s">
        <v>1381</v>
      </c>
      <c r="SFP230" s="508"/>
      <c r="SFQ230" s="507" t="s">
        <v>1381</v>
      </c>
      <c r="SFR230" s="508"/>
      <c r="SFS230" s="507" t="s">
        <v>1381</v>
      </c>
      <c r="SFT230" s="508"/>
      <c r="SFU230" s="507" t="s">
        <v>1381</v>
      </c>
      <c r="SFV230" s="508"/>
      <c r="SFW230" s="507" t="s">
        <v>1381</v>
      </c>
      <c r="SFX230" s="508"/>
      <c r="SFY230" s="507" t="s">
        <v>1381</v>
      </c>
      <c r="SFZ230" s="508"/>
      <c r="SGA230" s="507" t="s">
        <v>1381</v>
      </c>
      <c r="SGB230" s="508"/>
      <c r="SGC230" s="507" t="s">
        <v>1381</v>
      </c>
      <c r="SGD230" s="508"/>
      <c r="SGE230" s="507" t="s">
        <v>1381</v>
      </c>
      <c r="SGF230" s="508"/>
      <c r="SGG230" s="507" t="s">
        <v>1381</v>
      </c>
      <c r="SGH230" s="508"/>
      <c r="SGI230" s="507" t="s">
        <v>1381</v>
      </c>
      <c r="SGJ230" s="508"/>
      <c r="SGK230" s="507" t="s">
        <v>1381</v>
      </c>
      <c r="SGL230" s="508"/>
      <c r="SGM230" s="507" t="s">
        <v>1381</v>
      </c>
      <c r="SGN230" s="508"/>
      <c r="SGO230" s="507" t="s">
        <v>1381</v>
      </c>
      <c r="SGP230" s="508"/>
      <c r="SGQ230" s="507" t="s">
        <v>1381</v>
      </c>
      <c r="SGR230" s="508"/>
      <c r="SGS230" s="507" t="s">
        <v>1381</v>
      </c>
      <c r="SGT230" s="508"/>
      <c r="SGU230" s="507" t="s">
        <v>1381</v>
      </c>
      <c r="SGV230" s="508"/>
      <c r="SGW230" s="507" t="s">
        <v>1381</v>
      </c>
      <c r="SGX230" s="508"/>
      <c r="SGY230" s="507" t="s">
        <v>1381</v>
      </c>
      <c r="SGZ230" s="508"/>
      <c r="SHA230" s="507" t="s">
        <v>1381</v>
      </c>
      <c r="SHB230" s="508"/>
      <c r="SHC230" s="507" t="s">
        <v>1381</v>
      </c>
      <c r="SHD230" s="508"/>
      <c r="SHE230" s="507" t="s">
        <v>1381</v>
      </c>
      <c r="SHF230" s="508"/>
      <c r="SHG230" s="507" t="s">
        <v>1381</v>
      </c>
      <c r="SHH230" s="508"/>
      <c r="SHI230" s="507" t="s">
        <v>1381</v>
      </c>
      <c r="SHJ230" s="508"/>
      <c r="SHK230" s="507" t="s">
        <v>1381</v>
      </c>
      <c r="SHL230" s="508"/>
      <c r="SHM230" s="507" t="s">
        <v>1381</v>
      </c>
      <c r="SHN230" s="508"/>
      <c r="SHO230" s="507" t="s">
        <v>1381</v>
      </c>
      <c r="SHP230" s="508"/>
      <c r="SHQ230" s="507" t="s">
        <v>1381</v>
      </c>
      <c r="SHR230" s="508"/>
      <c r="SHS230" s="507" t="s">
        <v>1381</v>
      </c>
      <c r="SHT230" s="508"/>
      <c r="SHU230" s="507" t="s">
        <v>1381</v>
      </c>
      <c r="SHV230" s="508"/>
      <c r="SHW230" s="507" t="s">
        <v>1381</v>
      </c>
      <c r="SHX230" s="508"/>
      <c r="SHY230" s="507" t="s">
        <v>1381</v>
      </c>
      <c r="SHZ230" s="508"/>
      <c r="SIA230" s="507" t="s">
        <v>1381</v>
      </c>
      <c r="SIB230" s="508"/>
      <c r="SIC230" s="507" t="s">
        <v>1381</v>
      </c>
      <c r="SID230" s="508"/>
      <c r="SIE230" s="507" t="s">
        <v>1381</v>
      </c>
      <c r="SIF230" s="508"/>
      <c r="SIG230" s="507" t="s">
        <v>1381</v>
      </c>
      <c r="SIH230" s="508"/>
      <c r="SII230" s="507" t="s">
        <v>1381</v>
      </c>
      <c r="SIJ230" s="508"/>
      <c r="SIK230" s="507" t="s">
        <v>1381</v>
      </c>
      <c r="SIL230" s="508"/>
      <c r="SIM230" s="507" t="s">
        <v>1381</v>
      </c>
      <c r="SIN230" s="508"/>
      <c r="SIO230" s="507" t="s">
        <v>1381</v>
      </c>
      <c r="SIP230" s="508"/>
      <c r="SIQ230" s="507" t="s">
        <v>1381</v>
      </c>
      <c r="SIR230" s="508"/>
      <c r="SIS230" s="507" t="s">
        <v>1381</v>
      </c>
      <c r="SIT230" s="508"/>
      <c r="SIU230" s="507" t="s">
        <v>1381</v>
      </c>
      <c r="SIV230" s="508"/>
      <c r="SIW230" s="507" t="s">
        <v>1381</v>
      </c>
      <c r="SIX230" s="508"/>
      <c r="SIY230" s="507" t="s">
        <v>1381</v>
      </c>
      <c r="SIZ230" s="508"/>
      <c r="SJA230" s="507" t="s">
        <v>1381</v>
      </c>
      <c r="SJB230" s="508"/>
      <c r="SJC230" s="507" t="s">
        <v>1381</v>
      </c>
      <c r="SJD230" s="508"/>
      <c r="SJE230" s="507" t="s">
        <v>1381</v>
      </c>
      <c r="SJF230" s="508"/>
      <c r="SJG230" s="507" t="s">
        <v>1381</v>
      </c>
      <c r="SJH230" s="508"/>
      <c r="SJI230" s="507" t="s">
        <v>1381</v>
      </c>
      <c r="SJJ230" s="508"/>
      <c r="SJK230" s="507" t="s">
        <v>1381</v>
      </c>
      <c r="SJL230" s="508"/>
      <c r="SJM230" s="507" t="s">
        <v>1381</v>
      </c>
      <c r="SJN230" s="508"/>
      <c r="SJO230" s="507" t="s">
        <v>1381</v>
      </c>
      <c r="SJP230" s="508"/>
      <c r="SJQ230" s="507" t="s">
        <v>1381</v>
      </c>
      <c r="SJR230" s="508"/>
      <c r="SJS230" s="507" t="s">
        <v>1381</v>
      </c>
      <c r="SJT230" s="508"/>
      <c r="SJU230" s="507" t="s">
        <v>1381</v>
      </c>
      <c r="SJV230" s="508"/>
      <c r="SJW230" s="507" t="s">
        <v>1381</v>
      </c>
      <c r="SJX230" s="508"/>
      <c r="SJY230" s="507" t="s">
        <v>1381</v>
      </c>
      <c r="SJZ230" s="508"/>
      <c r="SKA230" s="507" t="s">
        <v>1381</v>
      </c>
      <c r="SKB230" s="508"/>
      <c r="SKC230" s="507" t="s">
        <v>1381</v>
      </c>
      <c r="SKD230" s="508"/>
      <c r="SKE230" s="507" t="s">
        <v>1381</v>
      </c>
      <c r="SKF230" s="508"/>
      <c r="SKG230" s="507" t="s">
        <v>1381</v>
      </c>
      <c r="SKH230" s="508"/>
      <c r="SKI230" s="507" t="s">
        <v>1381</v>
      </c>
      <c r="SKJ230" s="508"/>
      <c r="SKK230" s="507" t="s">
        <v>1381</v>
      </c>
      <c r="SKL230" s="508"/>
      <c r="SKM230" s="507" t="s">
        <v>1381</v>
      </c>
      <c r="SKN230" s="508"/>
      <c r="SKO230" s="507" t="s">
        <v>1381</v>
      </c>
      <c r="SKP230" s="508"/>
      <c r="SKQ230" s="507" t="s">
        <v>1381</v>
      </c>
      <c r="SKR230" s="508"/>
      <c r="SKS230" s="507" t="s">
        <v>1381</v>
      </c>
      <c r="SKT230" s="508"/>
      <c r="SKU230" s="507" t="s">
        <v>1381</v>
      </c>
      <c r="SKV230" s="508"/>
      <c r="SKW230" s="507" t="s">
        <v>1381</v>
      </c>
      <c r="SKX230" s="508"/>
      <c r="SKY230" s="507" t="s">
        <v>1381</v>
      </c>
      <c r="SKZ230" s="508"/>
      <c r="SLA230" s="507" t="s">
        <v>1381</v>
      </c>
      <c r="SLB230" s="508"/>
      <c r="SLC230" s="507" t="s">
        <v>1381</v>
      </c>
      <c r="SLD230" s="508"/>
      <c r="SLE230" s="507" t="s">
        <v>1381</v>
      </c>
      <c r="SLF230" s="508"/>
      <c r="SLG230" s="507" t="s">
        <v>1381</v>
      </c>
      <c r="SLH230" s="508"/>
      <c r="SLI230" s="507" t="s">
        <v>1381</v>
      </c>
      <c r="SLJ230" s="508"/>
      <c r="SLK230" s="507" t="s">
        <v>1381</v>
      </c>
      <c r="SLL230" s="508"/>
      <c r="SLM230" s="507" t="s">
        <v>1381</v>
      </c>
      <c r="SLN230" s="508"/>
      <c r="SLO230" s="507" t="s">
        <v>1381</v>
      </c>
      <c r="SLP230" s="508"/>
      <c r="SLQ230" s="507" t="s">
        <v>1381</v>
      </c>
      <c r="SLR230" s="508"/>
      <c r="SLS230" s="507" t="s">
        <v>1381</v>
      </c>
      <c r="SLT230" s="508"/>
      <c r="SLU230" s="507" t="s">
        <v>1381</v>
      </c>
      <c r="SLV230" s="508"/>
      <c r="SLW230" s="507" t="s">
        <v>1381</v>
      </c>
      <c r="SLX230" s="508"/>
      <c r="SLY230" s="507" t="s">
        <v>1381</v>
      </c>
      <c r="SLZ230" s="508"/>
      <c r="SMA230" s="507" t="s">
        <v>1381</v>
      </c>
      <c r="SMB230" s="508"/>
      <c r="SMC230" s="507" t="s">
        <v>1381</v>
      </c>
      <c r="SMD230" s="508"/>
      <c r="SME230" s="507" t="s">
        <v>1381</v>
      </c>
      <c r="SMF230" s="508"/>
      <c r="SMG230" s="507" t="s">
        <v>1381</v>
      </c>
      <c r="SMH230" s="508"/>
      <c r="SMI230" s="507" t="s">
        <v>1381</v>
      </c>
      <c r="SMJ230" s="508"/>
      <c r="SMK230" s="507" t="s">
        <v>1381</v>
      </c>
      <c r="SML230" s="508"/>
      <c r="SMM230" s="507" t="s">
        <v>1381</v>
      </c>
      <c r="SMN230" s="508"/>
      <c r="SMO230" s="507" t="s">
        <v>1381</v>
      </c>
      <c r="SMP230" s="508"/>
      <c r="SMQ230" s="507" t="s">
        <v>1381</v>
      </c>
      <c r="SMR230" s="508"/>
      <c r="SMS230" s="507" t="s">
        <v>1381</v>
      </c>
      <c r="SMT230" s="508"/>
      <c r="SMU230" s="507" t="s">
        <v>1381</v>
      </c>
      <c r="SMV230" s="508"/>
      <c r="SMW230" s="507" t="s">
        <v>1381</v>
      </c>
      <c r="SMX230" s="508"/>
      <c r="SMY230" s="507" t="s">
        <v>1381</v>
      </c>
      <c r="SMZ230" s="508"/>
      <c r="SNA230" s="507" t="s">
        <v>1381</v>
      </c>
      <c r="SNB230" s="508"/>
      <c r="SNC230" s="507" t="s">
        <v>1381</v>
      </c>
      <c r="SND230" s="508"/>
      <c r="SNE230" s="507" t="s">
        <v>1381</v>
      </c>
      <c r="SNF230" s="508"/>
      <c r="SNG230" s="507" t="s">
        <v>1381</v>
      </c>
      <c r="SNH230" s="508"/>
      <c r="SNI230" s="507" t="s">
        <v>1381</v>
      </c>
      <c r="SNJ230" s="508"/>
      <c r="SNK230" s="507" t="s">
        <v>1381</v>
      </c>
      <c r="SNL230" s="508"/>
      <c r="SNM230" s="507" t="s">
        <v>1381</v>
      </c>
      <c r="SNN230" s="508"/>
      <c r="SNO230" s="507" t="s">
        <v>1381</v>
      </c>
      <c r="SNP230" s="508"/>
      <c r="SNQ230" s="507" t="s">
        <v>1381</v>
      </c>
      <c r="SNR230" s="508"/>
      <c r="SNS230" s="507" t="s">
        <v>1381</v>
      </c>
      <c r="SNT230" s="508"/>
      <c r="SNU230" s="507" t="s">
        <v>1381</v>
      </c>
      <c r="SNV230" s="508"/>
      <c r="SNW230" s="507" t="s">
        <v>1381</v>
      </c>
      <c r="SNX230" s="508"/>
      <c r="SNY230" s="507" t="s">
        <v>1381</v>
      </c>
      <c r="SNZ230" s="508"/>
      <c r="SOA230" s="507" t="s">
        <v>1381</v>
      </c>
      <c r="SOB230" s="508"/>
      <c r="SOC230" s="507" t="s">
        <v>1381</v>
      </c>
      <c r="SOD230" s="508"/>
      <c r="SOE230" s="507" t="s">
        <v>1381</v>
      </c>
      <c r="SOF230" s="508"/>
      <c r="SOG230" s="507" t="s">
        <v>1381</v>
      </c>
      <c r="SOH230" s="508"/>
      <c r="SOI230" s="507" t="s">
        <v>1381</v>
      </c>
      <c r="SOJ230" s="508"/>
      <c r="SOK230" s="507" t="s">
        <v>1381</v>
      </c>
      <c r="SOL230" s="508"/>
      <c r="SOM230" s="507" t="s">
        <v>1381</v>
      </c>
      <c r="SON230" s="508"/>
      <c r="SOO230" s="507" t="s">
        <v>1381</v>
      </c>
      <c r="SOP230" s="508"/>
      <c r="SOQ230" s="507" t="s">
        <v>1381</v>
      </c>
      <c r="SOR230" s="508"/>
      <c r="SOS230" s="507" t="s">
        <v>1381</v>
      </c>
      <c r="SOT230" s="508"/>
      <c r="SOU230" s="507" t="s">
        <v>1381</v>
      </c>
      <c r="SOV230" s="508"/>
      <c r="SOW230" s="507" t="s">
        <v>1381</v>
      </c>
      <c r="SOX230" s="508"/>
      <c r="SOY230" s="507" t="s">
        <v>1381</v>
      </c>
      <c r="SOZ230" s="508"/>
      <c r="SPA230" s="507" t="s">
        <v>1381</v>
      </c>
      <c r="SPB230" s="508"/>
      <c r="SPC230" s="507" t="s">
        <v>1381</v>
      </c>
      <c r="SPD230" s="508"/>
      <c r="SPE230" s="507" t="s">
        <v>1381</v>
      </c>
      <c r="SPF230" s="508"/>
      <c r="SPG230" s="507" t="s">
        <v>1381</v>
      </c>
      <c r="SPH230" s="508"/>
      <c r="SPI230" s="507" t="s">
        <v>1381</v>
      </c>
      <c r="SPJ230" s="508"/>
      <c r="SPK230" s="507" t="s">
        <v>1381</v>
      </c>
      <c r="SPL230" s="508"/>
      <c r="SPM230" s="507" t="s">
        <v>1381</v>
      </c>
      <c r="SPN230" s="508"/>
      <c r="SPO230" s="507" t="s">
        <v>1381</v>
      </c>
      <c r="SPP230" s="508"/>
      <c r="SPQ230" s="507" t="s">
        <v>1381</v>
      </c>
      <c r="SPR230" s="508"/>
      <c r="SPS230" s="507" t="s">
        <v>1381</v>
      </c>
      <c r="SPT230" s="508"/>
      <c r="SPU230" s="507" t="s">
        <v>1381</v>
      </c>
      <c r="SPV230" s="508"/>
      <c r="SPW230" s="507" t="s">
        <v>1381</v>
      </c>
      <c r="SPX230" s="508"/>
      <c r="SPY230" s="507" t="s">
        <v>1381</v>
      </c>
      <c r="SPZ230" s="508"/>
      <c r="SQA230" s="507" t="s">
        <v>1381</v>
      </c>
      <c r="SQB230" s="508"/>
      <c r="SQC230" s="507" t="s">
        <v>1381</v>
      </c>
      <c r="SQD230" s="508"/>
      <c r="SQE230" s="507" t="s">
        <v>1381</v>
      </c>
      <c r="SQF230" s="508"/>
      <c r="SQG230" s="507" t="s">
        <v>1381</v>
      </c>
      <c r="SQH230" s="508"/>
      <c r="SQI230" s="507" t="s">
        <v>1381</v>
      </c>
      <c r="SQJ230" s="508"/>
      <c r="SQK230" s="507" t="s">
        <v>1381</v>
      </c>
      <c r="SQL230" s="508"/>
      <c r="SQM230" s="507" t="s">
        <v>1381</v>
      </c>
      <c r="SQN230" s="508"/>
      <c r="SQO230" s="507" t="s">
        <v>1381</v>
      </c>
      <c r="SQP230" s="508"/>
      <c r="SQQ230" s="507" t="s">
        <v>1381</v>
      </c>
      <c r="SQR230" s="508"/>
      <c r="SQS230" s="507" t="s">
        <v>1381</v>
      </c>
      <c r="SQT230" s="508"/>
      <c r="SQU230" s="507" t="s">
        <v>1381</v>
      </c>
      <c r="SQV230" s="508"/>
      <c r="SQW230" s="507" t="s">
        <v>1381</v>
      </c>
      <c r="SQX230" s="508"/>
      <c r="SQY230" s="507" t="s">
        <v>1381</v>
      </c>
      <c r="SQZ230" s="508"/>
      <c r="SRA230" s="507" t="s">
        <v>1381</v>
      </c>
      <c r="SRB230" s="508"/>
      <c r="SRC230" s="507" t="s">
        <v>1381</v>
      </c>
      <c r="SRD230" s="508"/>
      <c r="SRE230" s="507" t="s">
        <v>1381</v>
      </c>
      <c r="SRF230" s="508"/>
      <c r="SRG230" s="507" t="s">
        <v>1381</v>
      </c>
      <c r="SRH230" s="508"/>
      <c r="SRI230" s="507" t="s">
        <v>1381</v>
      </c>
      <c r="SRJ230" s="508"/>
      <c r="SRK230" s="507" t="s">
        <v>1381</v>
      </c>
      <c r="SRL230" s="508"/>
      <c r="SRM230" s="507" t="s">
        <v>1381</v>
      </c>
      <c r="SRN230" s="508"/>
      <c r="SRO230" s="507" t="s">
        <v>1381</v>
      </c>
      <c r="SRP230" s="508"/>
      <c r="SRQ230" s="507" t="s">
        <v>1381</v>
      </c>
      <c r="SRR230" s="508"/>
      <c r="SRS230" s="507" t="s">
        <v>1381</v>
      </c>
      <c r="SRT230" s="508"/>
      <c r="SRU230" s="507" t="s">
        <v>1381</v>
      </c>
      <c r="SRV230" s="508"/>
      <c r="SRW230" s="507" t="s">
        <v>1381</v>
      </c>
      <c r="SRX230" s="508"/>
      <c r="SRY230" s="507" t="s">
        <v>1381</v>
      </c>
      <c r="SRZ230" s="508"/>
      <c r="SSA230" s="507" t="s">
        <v>1381</v>
      </c>
      <c r="SSB230" s="508"/>
      <c r="SSC230" s="507" t="s">
        <v>1381</v>
      </c>
      <c r="SSD230" s="508"/>
      <c r="SSE230" s="507" t="s">
        <v>1381</v>
      </c>
      <c r="SSF230" s="508"/>
      <c r="SSG230" s="507" t="s">
        <v>1381</v>
      </c>
      <c r="SSH230" s="508"/>
      <c r="SSI230" s="507" t="s">
        <v>1381</v>
      </c>
      <c r="SSJ230" s="508"/>
      <c r="SSK230" s="507" t="s">
        <v>1381</v>
      </c>
      <c r="SSL230" s="508"/>
      <c r="SSM230" s="507" t="s">
        <v>1381</v>
      </c>
      <c r="SSN230" s="508"/>
      <c r="SSO230" s="507" t="s">
        <v>1381</v>
      </c>
      <c r="SSP230" s="508"/>
      <c r="SSQ230" s="507" t="s">
        <v>1381</v>
      </c>
      <c r="SSR230" s="508"/>
      <c r="SSS230" s="507" t="s">
        <v>1381</v>
      </c>
      <c r="SST230" s="508"/>
      <c r="SSU230" s="507" t="s">
        <v>1381</v>
      </c>
      <c r="SSV230" s="508"/>
      <c r="SSW230" s="507" t="s">
        <v>1381</v>
      </c>
      <c r="SSX230" s="508"/>
      <c r="SSY230" s="507" t="s">
        <v>1381</v>
      </c>
      <c r="SSZ230" s="508"/>
      <c r="STA230" s="507" t="s">
        <v>1381</v>
      </c>
      <c r="STB230" s="508"/>
      <c r="STC230" s="507" t="s">
        <v>1381</v>
      </c>
      <c r="STD230" s="508"/>
      <c r="STE230" s="507" t="s">
        <v>1381</v>
      </c>
      <c r="STF230" s="508"/>
      <c r="STG230" s="507" t="s">
        <v>1381</v>
      </c>
      <c r="STH230" s="508"/>
      <c r="STI230" s="507" t="s">
        <v>1381</v>
      </c>
      <c r="STJ230" s="508"/>
      <c r="STK230" s="507" t="s">
        <v>1381</v>
      </c>
      <c r="STL230" s="508"/>
      <c r="STM230" s="507" t="s">
        <v>1381</v>
      </c>
      <c r="STN230" s="508"/>
      <c r="STO230" s="507" t="s">
        <v>1381</v>
      </c>
      <c r="STP230" s="508"/>
      <c r="STQ230" s="507" t="s">
        <v>1381</v>
      </c>
      <c r="STR230" s="508"/>
      <c r="STS230" s="507" t="s">
        <v>1381</v>
      </c>
      <c r="STT230" s="508"/>
      <c r="STU230" s="507" t="s">
        <v>1381</v>
      </c>
      <c r="STV230" s="508"/>
      <c r="STW230" s="507" t="s">
        <v>1381</v>
      </c>
      <c r="STX230" s="508"/>
      <c r="STY230" s="507" t="s">
        <v>1381</v>
      </c>
      <c r="STZ230" s="508"/>
      <c r="SUA230" s="507" t="s">
        <v>1381</v>
      </c>
      <c r="SUB230" s="508"/>
      <c r="SUC230" s="507" t="s">
        <v>1381</v>
      </c>
      <c r="SUD230" s="508"/>
      <c r="SUE230" s="507" t="s">
        <v>1381</v>
      </c>
      <c r="SUF230" s="508"/>
      <c r="SUG230" s="507" t="s">
        <v>1381</v>
      </c>
      <c r="SUH230" s="508"/>
      <c r="SUI230" s="507" t="s">
        <v>1381</v>
      </c>
      <c r="SUJ230" s="508"/>
      <c r="SUK230" s="507" t="s">
        <v>1381</v>
      </c>
      <c r="SUL230" s="508"/>
      <c r="SUM230" s="507" t="s">
        <v>1381</v>
      </c>
      <c r="SUN230" s="508"/>
      <c r="SUO230" s="507" t="s">
        <v>1381</v>
      </c>
      <c r="SUP230" s="508"/>
      <c r="SUQ230" s="507" t="s">
        <v>1381</v>
      </c>
      <c r="SUR230" s="508"/>
      <c r="SUS230" s="507" t="s">
        <v>1381</v>
      </c>
      <c r="SUT230" s="508"/>
      <c r="SUU230" s="507" t="s">
        <v>1381</v>
      </c>
      <c r="SUV230" s="508"/>
      <c r="SUW230" s="507" t="s">
        <v>1381</v>
      </c>
      <c r="SUX230" s="508"/>
      <c r="SUY230" s="507" t="s">
        <v>1381</v>
      </c>
      <c r="SUZ230" s="508"/>
      <c r="SVA230" s="507" t="s">
        <v>1381</v>
      </c>
      <c r="SVB230" s="508"/>
      <c r="SVC230" s="507" t="s">
        <v>1381</v>
      </c>
      <c r="SVD230" s="508"/>
      <c r="SVE230" s="507" t="s">
        <v>1381</v>
      </c>
      <c r="SVF230" s="508"/>
      <c r="SVG230" s="507" t="s">
        <v>1381</v>
      </c>
      <c r="SVH230" s="508"/>
      <c r="SVI230" s="507" t="s">
        <v>1381</v>
      </c>
      <c r="SVJ230" s="508"/>
      <c r="SVK230" s="507" t="s">
        <v>1381</v>
      </c>
      <c r="SVL230" s="508"/>
      <c r="SVM230" s="507" t="s">
        <v>1381</v>
      </c>
      <c r="SVN230" s="508"/>
      <c r="SVO230" s="507" t="s">
        <v>1381</v>
      </c>
      <c r="SVP230" s="508"/>
      <c r="SVQ230" s="507" t="s">
        <v>1381</v>
      </c>
      <c r="SVR230" s="508"/>
      <c r="SVS230" s="507" t="s">
        <v>1381</v>
      </c>
      <c r="SVT230" s="508"/>
      <c r="SVU230" s="507" t="s">
        <v>1381</v>
      </c>
      <c r="SVV230" s="508"/>
      <c r="SVW230" s="507" t="s">
        <v>1381</v>
      </c>
      <c r="SVX230" s="508"/>
      <c r="SVY230" s="507" t="s">
        <v>1381</v>
      </c>
      <c r="SVZ230" s="508"/>
      <c r="SWA230" s="507" t="s">
        <v>1381</v>
      </c>
      <c r="SWB230" s="508"/>
      <c r="SWC230" s="507" t="s">
        <v>1381</v>
      </c>
      <c r="SWD230" s="508"/>
      <c r="SWE230" s="507" t="s">
        <v>1381</v>
      </c>
      <c r="SWF230" s="508"/>
      <c r="SWG230" s="507" t="s">
        <v>1381</v>
      </c>
      <c r="SWH230" s="508"/>
      <c r="SWI230" s="507" t="s">
        <v>1381</v>
      </c>
      <c r="SWJ230" s="508"/>
      <c r="SWK230" s="507" t="s">
        <v>1381</v>
      </c>
      <c r="SWL230" s="508"/>
      <c r="SWM230" s="507" t="s">
        <v>1381</v>
      </c>
      <c r="SWN230" s="508"/>
      <c r="SWO230" s="507" t="s">
        <v>1381</v>
      </c>
      <c r="SWP230" s="508"/>
      <c r="SWQ230" s="507" t="s">
        <v>1381</v>
      </c>
      <c r="SWR230" s="508"/>
      <c r="SWS230" s="507" t="s">
        <v>1381</v>
      </c>
      <c r="SWT230" s="508"/>
      <c r="SWU230" s="507" t="s">
        <v>1381</v>
      </c>
      <c r="SWV230" s="508"/>
      <c r="SWW230" s="507" t="s">
        <v>1381</v>
      </c>
      <c r="SWX230" s="508"/>
      <c r="SWY230" s="507" t="s">
        <v>1381</v>
      </c>
      <c r="SWZ230" s="508"/>
      <c r="SXA230" s="507" t="s">
        <v>1381</v>
      </c>
      <c r="SXB230" s="508"/>
      <c r="SXC230" s="507" t="s">
        <v>1381</v>
      </c>
      <c r="SXD230" s="508"/>
      <c r="SXE230" s="507" t="s">
        <v>1381</v>
      </c>
      <c r="SXF230" s="508"/>
      <c r="SXG230" s="507" t="s">
        <v>1381</v>
      </c>
      <c r="SXH230" s="508"/>
      <c r="SXI230" s="507" t="s">
        <v>1381</v>
      </c>
      <c r="SXJ230" s="508"/>
      <c r="SXK230" s="507" t="s">
        <v>1381</v>
      </c>
      <c r="SXL230" s="508"/>
      <c r="SXM230" s="507" t="s">
        <v>1381</v>
      </c>
      <c r="SXN230" s="508"/>
      <c r="SXO230" s="507" t="s">
        <v>1381</v>
      </c>
      <c r="SXP230" s="508"/>
      <c r="SXQ230" s="507" t="s">
        <v>1381</v>
      </c>
      <c r="SXR230" s="508"/>
      <c r="SXS230" s="507" t="s">
        <v>1381</v>
      </c>
      <c r="SXT230" s="508"/>
      <c r="SXU230" s="507" t="s">
        <v>1381</v>
      </c>
      <c r="SXV230" s="508"/>
      <c r="SXW230" s="507" t="s">
        <v>1381</v>
      </c>
      <c r="SXX230" s="508"/>
      <c r="SXY230" s="507" t="s">
        <v>1381</v>
      </c>
      <c r="SXZ230" s="508"/>
      <c r="SYA230" s="507" t="s">
        <v>1381</v>
      </c>
      <c r="SYB230" s="508"/>
      <c r="SYC230" s="507" t="s">
        <v>1381</v>
      </c>
      <c r="SYD230" s="508"/>
      <c r="SYE230" s="507" t="s">
        <v>1381</v>
      </c>
      <c r="SYF230" s="508"/>
      <c r="SYG230" s="507" t="s">
        <v>1381</v>
      </c>
      <c r="SYH230" s="508"/>
      <c r="SYI230" s="507" t="s">
        <v>1381</v>
      </c>
      <c r="SYJ230" s="508"/>
      <c r="SYK230" s="507" t="s">
        <v>1381</v>
      </c>
      <c r="SYL230" s="508"/>
      <c r="SYM230" s="507" t="s">
        <v>1381</v>
      </c>
      <c r="SYN230" s="508"/>
      <c r="SYO230" s="507" t="s">
        <v>1381</v>
      </c>
      <c r="SYP230" s="508"/>
      <c r="SYQ230" s="507" t="s">
        <v>1381</v>
      </c>
      <c r="SYR230" s="508"/>
      <c r="SYS230" s="507" t="s">
        <v>1381</v>
      </c>
      <c r="SYT230" s="508"/>
      <c r="SYU230" s="507" t="s">
        <v>1381</v>
      </c>
      <c r="SYV230" s="508"/>
      <c r="SYW230" s="507" t="s">
        <v>1381</v>
      </c>
      <c r="SYX230" s="508"/>
      <c r="SYY230" s="507" t="s">
        <v>1381</v>
      </c>
      <c r="SYZ230" s="508"/>
      <c r="SZA230" s="507" t="s">
        <v>1381</v>
      </c>
      <c r="SZB230" s="508"/>
      <c r="SZC230" s="507" t="s">
        <v>1381</v>
      </c>
      <c r="SZD230" s="508"/>
      <c r="SZE230" s="507" t="s">
        <v>1381</v>
      </c>
      <c r="SZF230" s="508"/>
      <c r="SZG230" s="507" t="s">
        <v>1381</v>
      </c>
      <c r="SZH230" s="508"/>
      <c r="SZI230" s="507" t="s">
        <v>1381</v>
      </c>
      <c r="SZJ230" s="508"/>
      <c r="SZK230" s="507" t="s">
        <v>1381</v>
      </c>
      <c r="SZL230" s="508"/>
      <c r="SZM230" s="507" t="s">
        <v>1381</v>
      </c>
      <c r="SZN230" s="508"/>
      <c r="SZO230" s="507" t="s">
        <v>1381</v>
      </c>
      <c r="SZP230" s="508"/>
      <c r="SZQ230" s="507" t="s">
        <v>1381</v>
      </c>
      <c r="SZR230" s="508"/>
      <c r="SZS230" s="507" t="s">
        <v>1381</v>
      </c>
      <c r="SZT230" s="508"/>
      <c r="SZU230" s="507" t="s">
        <v>1381</v>
      </c>
      <c r="SZV230" s="508"/>
      <c r="SZW230" s="507" t="s">
        <v>1381</v>
      </c>
      <c r="SZX230" s="508"/>
      <c r="SZY230" s="507" t="s">
        <v>1381</v>
      </c>
      <c r="SZZ230" s="508"/>
      <c r="TAA230" s="507" t="s">
        <v>1381</v>
      </c>
      <c r="TAB230" s="508"/>
      <c r="TAC230" s="507" t="s">
        <v>1381</v>
      </c>
      <c r="TAD230" s="508"/>
      <c r="TAE230" s="507" t="s">
        <v>1381</v>
      </c>
      <c r="TAF230" s="508"/>
      <c r="TAG230" s="507" t="s">
        <v>1381</v>
      </c>
      <c r="TAH230" s="508"/>
      <c r="TAI230" s="507" t="s">
        <v>1381</v>
      </c>
      <c r="TAJ230" s="508"/>
      <c r="TAK230" s="507" t="s">
        <v>1381</v>
      </c>
      <c r="TAL230" s="508"/>
      <c r="TAM230" s="507" t="s">
        <v>1381</v>
      </c>
      <c r="TAN230" s="508"/>
      <c r="TAO230" s="507" t="s">
        <v>1381</v>
      </c>
      <c r="TAP230" s="508"/>
      <c r="TAQ230" s="507" t="s">
        <v>1381</v>
      </c>
      <c r="TAR230" s="508"/>
      <c r="TAS230" s="507" t="s">
        <v>1381</v>
      </c>
      <c r="TAT230" s="508"/>
      <c r="TAU230" s="507" t="s">
        <v>1381</v>
      </c>
      <c r="TAV230" s="508"/>
      <c r="TAW230" s="507" t="s">
        <v>1381</v>
      </c>
      <c r="TAX230" s="508"/>
      <c r="TAY230" s="507" t="s">
        <v>1381</v>
      </c>
      <c r="TAZ230" s="508"/>
      <c r="TBA230" s="507" t="s">
        <v>1381</v>
      </c>
      <c r="TBB230" s="508"/>
      <c r="TBC230" s="507" t="s">
        <v>1381</v>
      </c>
      <c r="TBD230" s="508"/>
      <c r="TBE230" s="507" t="s">
        <v>1381</v>
      </c>
      <c r="TBF230" s="508"/>
      <c r="TBG230" s="507" t="s">
        <v>1381</v>
      </c>
      <c r="TBH230" s="508"/>
      <c r="TBI230" s="507" t="s">
        <v>1381</v>
      </c>
      <c r="TBJ230" s="508"/>
      <c r="TBK230" s="507" t="s">
        <v>1381</v>
      </c>
      <c r="TBL230" s="508"/>
      <c r="TBM230" s="507" t="s">
        <v>1381</v>
      </c>
      <c r="TBN230" s="508"/>
      <c r="TBO230" s="507" t="s">
        <v>1381</v>
      </c>
      <c r="TBP230" s="508"/>
      <c r="TBQ230" s="507" t="s">
        <v>1381</v>
      </c>
      <c r="TBR230" s="508"/>
      <c r="TBS230" s="507" t="s">
        <v>1381</v>
      </c>
      <c r="TBT230" s="508"/>
      <c r="TBU230" s="507" t="s">
        <v>1381</v>
      </c>
      <c r="TBV230" s="508"/>
      <c r="TBW230" s="507" t="s">
        <v>1381</v>
      </c>
      <c r="TBX230" s="508"/>
      <c r="TBY230" s="507" t="s">
        <v>1381</v>
      </c>
      <c r="TBZ230" s="508"/>
      <c r="TCA230" s="507" t="s">
        <v>1381</v>
      </c>
      <c r="TCB230" s="508"/>
      <c r="TCC230" s="507" t="s">
        <v>1381</v>
      </c>
      <c r="TCD230" s="508"/>
      <c r="TCE230" s="507" t="s">
        <v>1381</v>
      </c>
      <c r="TCF230" s="508"/>
      <c r="TCG230" s="507" t="s">
        <v>1381</v>
      </c>
      <c r="TCH230" s="508"/>
      <c r="TCI230" s="507" t="s">
        <v>1381</v>
      </c>
      <c r="TCJ230" s="508"/>
      <c r="TCK230" s="507" t="s">
        <v>1381</v>
      </c>
      <c r="TCL230" s="508"/>
      <c r="TCM230" s="507" t="s">
        <v>1381</v>
      </c>
      <c r="TCN230" s="508"/>
      <c r="TCO230" s="507" t="s">
        <v>1381</v>
      </c>
      <c r="TCP230" s="508"/>
      <c r="TCQ230" s="507" t="s">
        <v>1381</v>
      </c>
      <c r="TCR230" s="508"/>
      <c r="TCS230" s="507" t="s">
        <v>1381</v>
      </c>
      <c r="TCT230" s="508"/>
      <c r="TCU230" s="507" t="s">
        <v>1381</v>
      </c>
      <c r="TCV230" s="508"/>
      <c r="TCW230" s="507" t="s">
        <v>1381</v>
      </c>
      <c r="TCX230" s="508"/>
      <c r="TCY230" s="507" t="s">
        <v>1381</v>
      </c>
      <c r="TCZ230" s="508"/>
      <c r="TDA230" s="507" t="s">
        <v>1381</v>
      </c>
      <c r="TDB230" s="508"/>
      <c r="TDC230" s="507" t="s">
        <v>1381</v>
      </c>
      <c r="TDD230" s="508"/>
      <c r="TDE230" s="507" t="s">
        <v>1381</v>
      </c>
      <c r="TDF230" s="508"/>
      <c r="TDG230" s="507" t="s">
        <v>1381</v>
      </c>
      <c r="TDH230" s="508"/>
      <c r="TDI230" s="507" t="s">
        <v>1381</v>
      </c>
      <c r="TDJ230" s="508"/>
      <c r="TDK230" s="507" t="s">
        <v>1381</v>
      </c>
      <c r="TDL230" s="508"/>
      <c r="TDM230" s="507" t="s">
        <v>1381</v>
      </c>
      <c r="TDN230" s="508"/>
      <c r="TDO230" s="507" t="s">
        <v>1381</v>
      </c>
      <c r="TDP230" s="508"/>
      <c r="TDQ230" s="507" t="s">
        <v>1381</v>
      </c>
      <c r="TDR230" s="508"/>
      <c r="TDS230" s="507" t="s">
        <v>1381</v>
      </c>
      <c r="TDT230" s="508"/>
      <c r="TDU230" s="507" t="s">
        <v>1381</v>
      </c>
      <c r="TDV230" s="508"/>
      <c r="TDW230" s="507" t="s">
        <v>1381</v>
      </c>
      <c r="TDX230" s="508"/>
      <c r="TDY230" s="507" t="s">
        <v>1381</v>
      </c>
      <c r="TDZ230" s="508"/>
      <c r="TEA230" s="507" t="s">
        <v>1381</v>
      </c>
      <c r="TEB230" s="508"/>
      <c r="TEC230" s="507" t="s">
        <v>1381</v>
      </c>
      <c r="TED230" s="508"/>
      <c r="TEE230" s="507" t="s">
        <v>1381</v>
      </c>
      <c r="TEF230" s="508"/>
      <c r="TEG230" s="507" t="s">
        <v>1381</v>
      </c>
      <c r="TEH230" s="508"/>
      <c r="TEI230" s="507" t="s">
        <v>1381</v>
      </c>
      <c r="TEJ230" s="508"/>
      <c r="TEK230" s="507" t="s">
        <v>1381</v>
      </c>
      <c r="TEL230" s="508"/>
      <c r="TEM230" s="507" t="s">
        <v>1381</v>
      </c>
      <c r="TEN230" s="508"/>
      <c r="TEO230" s="507" t="s">
        <v>1381</v>
      </c>
      <c r="TEP230" s="508"/>
      <c r="TEQ230" s="507" t="s">
        <v>1381</v>
      </c>
      <c r="TER230" s="508"/>
      <c r="TES230" s="507" t="s">
        <v>1381</v>
      </c>
      <c r="TET230" s="508"/>
      <c r="TEU230" s="507" t="s">
        <v>1381</v>
      </c>
      <c r="TEV230" s="508"/>
      <c r="TEW230" s="507" t="s">
        <v>1381</v>
      </c>
      <c r="TEX230" s="508"/>
      <c r="TEY230" s="507" t="s">
        <v>1381</v>
      </c>
      <c r="TEZ230" s="508"/>
      <c r="TFA230" s="507" t="s">
        <v>1381</v>
      </c>
      <c r="TFB230" s="508"/>
      <c r="TFC230" s="507" t="s">
        <v>1381</v>
      </c>
      <c r="TFD230" s="508"/>
      <c r="TFE230" s="507" t="s">
        <v>1381</v>
      </c>
      <c r="TFF230" s="508"/>
      <c r="TFG230" s="507" t="s">
        <v>1381</v>
      </c>
      <c r="TFH230" s="508"/>
      <c r="TFI230" s="507" t="s">
        <v>1381</v>
      </c>
      <c r="TFJ230" s="508"/>
      <c r="TFK230" s="507" t="s">
        <v>1381</v>
      </c>
      <c r="TFL230" s="508"/>
      <c r="TFM230" s="507" t="s">
        <v>1381</v>
      </c>
      <c r="TFN230" s="508"/>
      <c r="TFO230" s="507" t="s">
        <v>1381</v>
      </c>
      <c r="TFP230" s="508"/>
      <c r="TFQ230" s="507" t="s">
        <v>1381</v>
      </c>
      <c r="TFR230" s="508"/>
      <c r="TFS230" s="507" t="s">
        <v>1381</v>
      </c>
      <c r="TFT230" s="508"/>
      <c r="TFU230" s="507" t="s">
        <v>1381</v>
      </c>
      <c r="TFV230" s="508"/>
      <c r="TFW230" s="507" t="s">
        <v>1381</v>
      </c>
      <c r="TFX230" s="508"/>
      <c r="TFY230" s="507" t="s">
        <v>1381</v>
      </c>
      <c r="TFZ230" s="508"/>
      <c r="TGA230" s="507" t="s">
        <v>1381</v>
      </c>
      <c r="TGB230" s="508"/>
      <c r="TGC230" s="507" t="s">
        <v>1381</v>
      </c>
      <c r="TGD230" s="508"/>
      <c r="TGE230" s="507" t="s">
        <v>1381</v>
      </c>
      <c r="TGF230" s="508"/>
      <c r="TGG230" s="507" t="s">
        <v>1381</v>
      </c>
      <c r="TGH230" s="508"/>
      <c r="TGI230" s="507" t="s">
        <v>1381</v>
      </c>
      <c r="TGJ230" s="508"/>
      <c r="TGK230" s="507" t="s">
        <v>1381</v>
      </c>
      <c r="TGL230" s="508"/>
      <c r="TGM230" s="507" t="s">
        <v>1381</v>
      </c>
      <c r="TGN230" s="508"/>
      <c r="TGO230" s="507" t="s">
        <v>1381</v>
      </c>
      <c r="TGP230" s="508"/>
      <c r="TGQ230" s="507" t="s">
        <v>1381</v>
      </c>
      <c r="TGR230" s="508"/>
      <c r="TGS230" s="507" t="s">
        <v>1381</v>
      </c>
      <c r="TGT230" s="508"/>
      <c r="TGU230" s="507" t="s">
        <v>1381</v>
      </c>
      <c r="TGV230" s="508"/>
      <c r="TGW230" s="507" t="s">
        <v>1381</v>
      </c>
      <c r="TGX230" s="508"/>
      <c r="TGY230" s="507" t="s">
        <v>1381</v>
      </c>
      <c r="TGZ230" s="508"/>
      <c r="THA230" s="507" t="s">
        <v>1381</v>
      </c>
      <c r="THB230" s="508"/>
      <c r="THC230" s="507" t="s">
        <v>1381</v>
      </c>
      <c r="THD230" s="508"/>
      <c r="THE230" s="507" t="s">
        <v>1381</v>
      </c>
      <c r="THF230" s="508"/>
      <c r="THG230" s="507" t="s">
        <v>1381</v>
      </c>
      <c r="THH230" s="508"/>
      <c r="THI230" s="507" t="s">
        <v>1381</v>
      </c>
      <c r="THJ230" s="508"/>
      <c r="THK230" s="507" t="s">
        <v>1381</v>
      </c>
      <c r="THL230" s="508"/>
      <c r="THM230" s="507" t="s">
        <v>1381</v>
      </c>
      <c r="THN230" s="508"/>
      <c r="THO230" s="507" t="s">
        <v>1381</v>
      </c>
      <c r="THP230" s="508"/>
      <c r="THQ230" s="507" t="s">
        <v>1381</v>
      </c>
      <c r="THR230" s="508"/>
      <c r="THS230" s="507" t="s">
        <v>1381</v>
      </c>
      <c r="THT230" s="508"/>
      <c r="THU230" s="507" t="s">
        <v>1381</v>
      </c>
      <c r="THV230" s="508"/>
      <c r="THW230" s="507" t="s">
        <v>1381</v>
      </c>
      <c r="THX230" s="508"/>
      <c r="THY230" s="507" t="s">
        <v>1381</v>
      </c>
      <c r="THZ230" s="508"/>
      <c r="TIA230" s="507" t="s">
        <v>1381</v>
      </c>
      <c r="TIB230" s="508"/>
      <c r="TIC230" s="507" t="s">
        <v>1381</v>
      </c>
      <c r="TID230" s="508"/>
      <c r="TIE230" s="507" t="s">
        <v>1381</v>
      </c>
      <c r="TIF230" s="508"/>
      <c r="TIG230" s="507" t="s">
        <v>1381</v>
      </c>
      <c r="TIH230" s="508"/>
      <c r="TII230" s="507" t="s">
        <v>1381</v>
      </c>
      <c r="TIJ230" s="508"/>
      <c r="TIK230" s="507" t="s">
        <v>1381</v>
      </c>
      <c r="TIL230" s="508"/>
      <c r="TIM230" s="507" t="s">
        <v>1381</v>
      </c>
      <c r="TIN230" s="508"/>
      <c r="TIO230" s="507" t="s">
        <v>1381</v>
      </c>
      <c r="TIP230" s="508"/>
      <c r="TIQ230" s="507" t="s">
        <v>1381</v>
      </c>
      <c r="TIR230" s="508"/>
      <c r="TIS230" s="507" t="s">
        <v>1381</v>
      </c>
      <c r="TIT230" s="508"/>
      <c r="TIU230" s="507" t="s">
        <v>1381</v>
      </c>
      <c r="TIV230" s="508"/>
      <c r="TIW230" s="507" t="s">
        <v>1381</v>
      </c>
      <c r="TIX230" s="508"/>
      <c r="TIY230" s="507" t="s">
        <v>1381</v>
      </c>
      <c r="TIZ230" s="508"/>
      <c r="TJA230" s="507" t="s">
        <v>1381</v>
      </c>
      <c r="TJB230" s="508"/>
      <c r="TJC230" s="507" t="s">
        <v>1381</v>
      </c>
      <c r="TJD230" s="508"/>
      <c r="TJE230" s="507" t="s">
        <v>1381</v>
      </c>
      <c r="TJF230" s="508"/>
      <c r="TJG230" s="507" t="s">
        <v>1381</v>
      </c>
      <c r="TJH230" s="508"/>
      <c r="TJI230" s="507" t="s">
        <v>1381</v>
      </c>
      <c r="TJJ230" s="508"/>
      <c r="TJK230" s="507" t="s">
        <v>1381</v>
      </c>
      <c r="TJL230" s="508"/>
      <c r="TJM230" s="507" t="s">
        <v>1381</v>
      </c>
      <c r="TJN230" s="508"/>
      <c r="TJO230" s="507" t="s">
        <v>1381</v>
      </c>
      <c r="TJP230" s="508"/>
      <c r="TJQ230" s="507" t="s">
        <v>1381</v>
      </c>
      <c r="TJR230" s="508"/>
      <c r="TJS230" s="507" t="s">
        <v>1381</v>
      </c>
      <c r="TJT230" s="508"/>
      <c r="TJU230" s="507" t="s">
        <v>1381</v>
      </c>
      <c r="TJV230" s="508"/>
      <c r="TJW230" s="507" t="s">
        <v>1381</v>
      </c>
      <c r="TJX230" s="508"/>
      <c r="TJY230" s="507" t="s">
        <v>1381</v>
      </c>
      <c r="TJZ230" s="508"/>
      <c r="TKA230" s="507" t="s">
        <v>1381</v>
      </c>
      <c r="TKB230" s="508"/>
      <c r="TKC230" s="507" t="s">
        <v>1381</v>
      </c>
      <c r="TKD230" s="508"/>
      <c r="TKE230" s="507" t="s">
        <v>1381</v>
      </c>
      <c r="TKF230" s="508"/>
      <c r="TKG230" s="507" t="s">
        <v>1381</v>
      </c>
      <c r="TKH230" s="508"/>
      <c r="TKI230" s="507" t="s">
        <v>1381</v>
      </c>
      <c r="TKJ230" s="508"/>
      <c r="TKK230" s="507" t="s">
        <v>1381</v>
      </c>
      <c r="TKL230" s="508"/>
      <c r="TKM230" s="507" t="s">
        <v>1381</v>
      </c>
      <c r="TKN230" s="508"/>
      <c r="TKO230" s="507" t="s">
        <v>1381</v>
      </c>
      <c r="TKP230" s="508"/>
      <c r="TKQ230" s="507" t="s">
        <v>1381</v>
      </c>
      <c r="TKR230" s="508"/>
      <c r="TKS230" s="507" t="s">
        <v>1381</v>
      </c>
      <c r="TKT230" s="508"/>
      <c r="TKU230" s="507" t="s">
        <v>1381</v>
      </c>
      <c r="TKV230" s="508"/>
      <c r="TKW230" s="507" t="s">
        <v>1381</v>
      </c>
      <c r="TKX230" s="508"/>
      <c r="TKY230" s="507" t="s">
        <v>1381</v>
      </c>
      <c r="TKZ230" s="508"/>
      <c r="TLA230" s="507" t="s">
        <v>1381</v>
      </c>
      <c r="TLB230" s="508"/>
      <c r="TLC230" s="507" t="s">
        <v>1381</v>
      </c>
      <c r="TLD230" s="508"/>
      <c r="TLE230" s="507" t="s">
        <v>1381</v>
      </c>
      <c r="TLF230" s="508"/>
      <c r="TLG230" s="507" t="s">
        <v>1381</v>
      </c>
      <c r="TLH230" s="508"/>
      <c r="TLI230" s="507" t="s">
        <v>1381</v>
      </c>
      <c r="TLJ230" s="508"/>
      <c r="TLK230" s="507" t="s">
        <v>1381</v>
      </c>
      <c r="TLL230" s="508"/>
      <c r="TLM230" s="507" t="s">
        <v>1381</v>
      </c>
      <c r="TLN230" s="508"/>
      <c r="TLO230" s="507" t="s">
        <v>1381</v>
      </c>
      <c r="TLP230" s="508"/>
      <c r="TLQ230" s="507" t="s">
        <v>1381</v>
      </c>
      <c r="TLR230" s="508"/>
      <c r="TLS230" s="507" t="s">
        <v>1381</v>
      </c>
      <c r="TLT230" s="508"/>
      <c r="TLU230" s="507" t="s">
        <v>1381</v>
      </c>
      <c r="TLV230" s="508"/>
      <c r="TLW230" s="507" t="s">
        <v>1381</v>
      </c>
      <c r="TLX230" s="508"/>
      <c r="TLY230" s="507" t="s">
        <v>1381</v>
      </c>
      <c r="TLZ230" s="508"/>
      <c r="TMA230" s="507" t="s">
        <v>1381</v>
      </c>
      <c r="TMB230" s="508"/>
      <c r="TMC230" s="507" t="s">
        <v>1381</v>
      </c>
      <c r="TMD230" s="508"/>
      <c r="TME230" s="507" t="s">
        <v>1381</v>
      </c>
      <c r="TMF230" s="508"/>
      <c r="TMG230" s="507" t="s">
        <v>1381</v>
      </c>
      <c r="TMH230" s="508"/>
      <c r="TMI230" s="507" t="s">
        <v>1381</v>
      </c>
      <c r="TMJ230" s="508"/>
      <c r="TMK230" s="507" t="s">
        <v>1381</v>
      </c>
      <c r="TML230" s="508"/>
      <c r="TMM230" s="507" t="s">
        <v>1381</v>
      </c>
      <c r="TMN230" s="508"/>
      <c r="TMO230" s="507" t="s">
        <v>1381</v>
      </c>
      <c r="TMP230" s="508"/>
      <c r="TMQ230" s="507" t="s">
        <v>1381</v>
      </c>
      <c r="TMR230" s="508"/>
      <c r="TMS230" s="507" t="s">
        <v>1381</v>
      </c>
      <c r="TMT230" s="508"/>
      <c r="TMU230" s="507" t="s">
        <v>1381</v>
      </c>
      <c r="TMV230" s="508"/>
      <c r="TMW230" s="507" t="s">
        <v>1381</v>
      </c>
      <c r="TMX230" s="508"/>
      <c r="TMY230" s="507" t="s">
        <v>1381</v>
      </c>
      <c r="TMZ230" s="508"/>
      <c r="TNA230" s="507" t="s">
        <v>1381</v>
      </c>
      <c r="TNB230" s="508"/>
      <c r="TNC230" s="507" t="s">
        <v>1381</v>
      </c>
      <c r="TND230" s="508"/>
      <c r="TNE230" s="507" t="s">
        <v>1381</v>
      </c>
      <c r="TNF230" s="508"/>
      <c r="TNG230" s="507" t="s">
        <v>1381</v>
      </c>
      <c r="TNH230" s="508"/>
      <c r="TNI230" s="507" t="s">
        <v>1381</v>
      </c>
      <c r="TNJ230" s="508"/>
      <c r="TNK230" s="507" t="s">
        <v>1381</v>
      </c>
      <c r="TNL230" s="508"/>
      <c r="TNM230" s="507" t="s">
        <v>1381</v>
      </c>
      <c r="TNN230" s="508"/>
      <c r="TNO230" s="507" t="s">
        <v>1381</v>
      </c>
      <c r="TNP230" s="508"/>
      <c r="TNQ230" s="507" t="s">
        <v>1381</v>
      </c>
      <c r="TNR230" s="508"/>
      <c r="TNS230" s="507" t="s">
        <v>1381</v>
      </c>
      <c r="TNT230" s="508"/>
      <c r="TNU230" s="507" t="s">
        <v>1381</v>
      </c>
      <c r="TNV230" s="508"/>
      <c r="TNW230" s="507" t="s">
        <v>1381</v>
      </c>
      <c r="TNX230" s="508"/>
      <c r="TNY230" s="507" t="s">
        <v>1381</v>
      </c>
      <c r="TNZ230" s="508"/>
      <c r="TOA230" s="507" t="s">
        <v>1381</v>
      </c>
      <c r="TOB230" s="508"/>
      <c r="TOC230" s="507" t="s">
        <v>1381</v>
      </c>
      <c r="TOD230" s="508"/>
      <c r="TOE230" s="507" t="s">
        <v>1381</v>
      </c>
      <c r="TOF230" s="508"/>
      <c r="TOG230" s="507" t="s">
        <v>1381</v>
      </c>
      <c r="TOH230" s="508"/>
      <c r="TOI230" s="507" t="s">
        <v>1381</v>
      </c>
      <c r="TOJ230" s="508"/>
      <c r="TOK230" s="507" t="s">
        <v>1381</v>
      </c>
      <c r="TOL230" s="508"/>
      <c r="TOM230" s="507" t="s">
        <v>1381</v>
      </c>
      <c r="TON230" s="508"/>
      <c r="TOO230" s="507" t="s">
        <v>1381</v>
      </c>
      <c r="TOP230" s="508"/>
      <c r="TOQ230" s="507" t="s">
        <v>1381</v>
      </c>
      <c r="TOR230" s="508"/>
      <c r="TOS230" s="507" t="s">
        <v>1381</v>
      </c>
      <c r="TOT230" s="508"/>
      <c r="TOU230" s="507" t="s">
        <v>1381</v>
      </c>
      <c r="TOV230" s="508"/>
      <c r="TOW230" s="507" t="s">
        <v>1381</v>
      </c>
      <c r="TOX230" s="508"/>
      <c r="TOY230" s="507" t="s">
        <v>1381</v>
      </c>
      <c r="TOZ230" s="508"/>
      <c r="TPA230" s="507" t="s">
        <v>1381</v>
      </c>
      <c r="TPB230" s="508"/>
      <c r="TPC230" s="507" t="s">
        <v>1381</v>
      </c>
      <c r="TPD230" s="508"/>
      <c r="TPE230" s="507" t="s">
        <v>1381</v>
      </c>
      <c r="TPF230" s="508"/>
      <c r="TPG230" s="507" t="s">
        <v>1381</v>
      </c>
      <c r="TPH230" s="508"/>
      <c r="TPI230" s="507" t="s">
        <v>1381</v>
      </c>
      <c r="TPJ230" s="508"/>
      <c r="TPK230" s="507" t="s">
        <v>1381</v>
      </c>
      <c r="TPL230" s="508"/>
      <c r="TPM230" s="507" t="s">
        <v>1381</v>
      </c>
      <c r="TPN230" s="508"/>
      <c r="TPO230" s="507" t="s">
        <v>1381</v>
      </c>
      <c r="TPP230" s="508"/>
      <c r="TPQ230" s="507" t="s">
        <v>1381</v>
      </c>
      <c r="TPR230" s="508"/>
      <c r="TPS230" s="507" t="s">
        <v>1381</v>
      </c>
      <c r="TPT230" s="508"/>
      <c r="TPU230" s="507" t="s">
        <v>1381</v>
      </c>
      <c r="TPV230" s="508"/>
      <c r="TPW230" s="507" t="s">
        <v>1381</v>
      </c>
      <c r="TPX230" s="508"/>
      <c r="TPY230" s="507" t="s">
        <v>1381</v>
      </c>
      <c r="TPZ230" s="508"/>
      <c r="TQA230" s="507" t="s">
        <v>1381</v>
      </c>
      <c r="TQB230" s="508"/>
      <c r="TQC230" s="507" t="s">
        <v>1381</v>
      </c>
      <c r="TQD230" s="508"/>
      <c r="TQE230" s="507" t="s">
        <v>1381</v>
      </c>
      <c r="TQF230" s="508"/>
      <c r="TQG230" s="507" t="s">
        <v>1381</v>
      </c>
      <c r="TQH230" s="508"/>
      <c r="TQI230" s="507" t="s">
        <v>1381</v>
      </c>
      <c r="TQJ230" s="508"/>
      <c r="TQK230" s="507" t="s">
        <v>1381</v>
      </c>
      <c r="TQL230" s="508"/>
      <c r="TQM230" s="507" t="s">
        <v>1381</v>
      </c>
      <c r="TQN230" s="508"/>
      <c r="TQO230" s="507" t="s">
        <v>1381</v>
      </c>
      <c r="TQP230" s="508"/>
      <c r="TQQ230" s="507" t="s">
        <v>1381</v>
      </c>
      <c r="TQR230" s="508"/>
      <c r="TQS230" s="507" t="s">
        <v>1381</v>
      </c>
      <c r="TQT230" s="508"/>
      <c r="TQU230" s="507" t="s">
        <v>1381</v>
      </c>
      <c r="TQV230" s="508"/>
      <c r="TQW230" s="507" t="s">
        <v>1381</v>
      </c>
      <c r="TQX230" s="508"/>
      <c r="TQY230" s="507" t="s">
        <v>1381</v>
      </c>
      <c r="TQZ230" s="508"/>
      <c r="TRA230" s="507" t="s">
        <v>1381</v>
      </c>
      <c r="TRB230" s="508"/>
      <c r="TRC230" s="507" t="s">
        <v>1381</v>
      </c>
      <c r="TRD230" s="508"/>
      <c r="TRE230" s="507" t="s">
        <v>1381</v>
      </c>
      <c r="TRF230" s="508"/>
      <c r="TRG230" s="507" t="s">
        <v>1381</v>
      </c>
      <c r="TRH230" s="508"/>
      <c r="TRI230" s="507" t="s">
        <v>1381</v>
      </c>
      <c r="TRJ230" s="508"/>
      <c r="TRK230" s="507" t="s">
        <v>1381</v>
      </c>
      <c r="TRL230" s="508"/>
      <c r="TRM230" s="507" t="s">
        <v>1381</v>
      </c>
      <c r="TRN230" s="508"/>
      <c r="TRO230" s="507" t="s">
        <v>1381</v>
      </c>
      <c r="TRP230" s="508"/>
      <c r="TRQ230" s="507" t="s">
        <v>1381</v>
      </c>
      <c r="TRR230" s="508"/>
      <c r="TRS230" s="507" t="s">
        <v>1381</v>
      </c>
      <c r="TRT230" s="508"/>
      <c r="TRU230" s="507" t="s">
        <v>1381</v>
      </c>
      <c r="TRV230" s="508"/>
      <c r="TRW230" s="507" t="s">
        <v>1381</v>
      </c>
      <c r="TRX230" s="508"/>
      <c r="TRY230" s="507" t="s">
        <v>1381</v>
      </c>
      <c r="TRZ230" s="508"/>
      <c r="TSA230" s="507" t="s">
        <v>1381</v>
      </c>
      <c r="TSB230" s="508"/>
      <c r="TSC230" s="507" t="s">
        <v>1381</v>
      </c>
      <c r="TSD230" s="508"/>
      <c r="TSE230" s="507" t="s">
        <v>1381</v>
      </c>
      <c r="TSF230" s="508"/>
      <c r="TSG230" s="507" t="s">
        <v>1381</v>
      </c>
      <c r="TSH230" s="508"/>
      <c r="TSI230" s="507" t="s">
        <v>1381</v>
      </c>
      <c r="TSJ230" s="508"/>
      <c r="TSK230" s="507" t="s">
        <v>1381</v>
      </c>
      <c r="TSL230" s="508"/>
      <c r="TSM230" s="507" t="s">
        <v>1381</v>
      </c>
      <c r="TSN230" s="508"/>
      <c r="TSO230" s="507" t="s">
        <v>1381</v>
      </c>
      <c r="TSP230" s="508"/>
      <c r="TSQ230" s="507" t="s">
        <v>1381</v>
      </c>
      <c r="TSR230" s="508"/>
      <c r="TSS230" s="507" t="s">
        <v>1381</v>
      </c>
      <c r="TST230" s="508"/>
      <c r="TSU230" s="507" t="s">
        <v>1381</v>
      </c>
      <c r="TSV230" s="508"/>
      <c r="TSW230" s="507" t="s">
        <v>1381</v>
      </c>
      <c r="TSX230" s="508"/>
      <c r="TSY230" s="507" t="s">
        <v>1381</v>
      </c>
      <c r="TSZ230" s="508"/>
      <c r="TTA230" s="507" t="s">
        <v>1381</v>
      </c>
      <c r="TTB230" s="508"/>
      <c r="TTC230" s="507" t="s">
        <v>1381</v>
      </c>
      <c r="TTD230" s="508"/>
      <c r="TTE230" s="507" t="s">
        <v>1381</v>
      </c>
      <c r="TTF230" s="508"/>
      <c r="TTG230" s="507" t="s">
        <v>1381</v>
      </c>
      <c r="TTH230" s="508"/>
      <c r="TTI230" s="507" t="s">
        <v>1381</v>
      </c>
      <c r="TTJ230" s="508"/>
      <c r="TTK230" s="507" t="s">
        <v>1381</v>
      </c>
      <c r="TTL230" s="508"/>
      <c r="TTM230" s="507" t="s">
        <v>1381</v>
      </c>
      <c r="TTN230" s="508"/>
      <c r="TTO230" s="507" t="s">
        <v>1381</v>
      </c>
      <c r="TTP230" s="508"/>
      <c r="TTQ230" s="507" t="s">
        <v>1381</v>
      </c>
      <c r="TTR230" s="508"/>
      <c r="TTS230" s="507" t="s">
        <v>1381</v>
      </c>
      <c r="TTT230" s="508"/>
      <c r="TTU230" s="507" t="s">
        <v>1381</v>
      </c>
      <c r="TTV230" s="508"/>
      <c r="TTW230" s="507" t="s">
        <v>1381</v>
      </c>
      <c r="TTX230" s="508"/>
      <c r="TTY230" s="507" t="s">
        <v>1381</v>
      </c>
      <c r="TTZ230" s="508"/>
      <c r="TUA230" s="507" t="s">
        <v>1381</v>
      </c>
      <c r="TUB230" s="508"/>
      <c r="TUC230" s="507" t="s">
        <v>1381</v>
      </c>
      <c r="TUD230" s="508"/>
      <c r="TUE230" s="507" t="s">
        <v>1381</v>
      </c>
      <c r="TUF230" s="508"/>
      <c r="TUG230" s="507" t="s">
        <v>1381</v>
      </c>
      <c r="TUH230" s="508"/>
      <c r="TUI230" s="507" t="s">
        <v>1381</v>
      </c>
      <c r="TUJ230" s="508"/>
      <c r="TUK230" s="507" t="s">
        <v>1381</v>
      </c>
      <c r="TUL230" s="508"/>
      <c r="TUM230" s="507" t="s">
        <v>1381</v>
      </c>
      <c r="TUN230" s="508"/>
      <c r="TUO230" s="507" t="s">
        <v>1381</v>
      </c>
      <c r="TUP230" s="508"/>
      <c r="TUQ230" s="507" t="s">
        <v>1381</v>
      </c>
      <c r="TUR230" s="508"/>
      <c r="TUS230" s="507" t="s">
        <v>1381</v>
      </c>
      <c r="TUT230" s="508"/>
      <c r="TUU230" s="507" t="s">
        <v>1381</v>
      </c>
      <c r="TUV230" s="508"/>
      <c r="TUW230" s="507" t="s">
        <v>1381</v>
      </c>
      <c r="TUX230" s="508"/>
      <c r="TUY230" s="507" t="s">
        <v>1381</v>
      </c>
      <c r="TUZ230" s="508"/>
      <c r="TVA230" s="507" t="s">
        <v>1381</v>
      </c>
      <c r="TVB230" s="508"/>
      <c r="TVC230" s="507" t="s">
        <v>1381</v>
      </c>
      <c r="TVD230" s="508"/>
      <c r="TVE230" s="507" t="s">
        <v>1381</v>
      </c>
      <c r="TVF230" s="508"/>
      <c r="TVG230" s="507" t="s">
        <v>1381</v>
      </c>
      <c r="TVH230" s="508"/>
      <c r="TVI230" s="507" t="s">
        <v>1381</v>
      </c>
      <c r="TVJ230" s="508"/>
      <c r="TVK230" s="507" t="s">
        <v>1381</v>
      </c>
      <c r="TVL230" s="508"/>
      <c r="TVM230" s="507" t="s">
        <v>1381</v>
      </c>
      <c r="TVN230" s="508"/>
      <c r="TVO230" s="507" t="s">
        <v>1381</v>
      </c>
      <c r="TVP230" s="508"/>
      <c r="TVQ230" s="507" t="s">
        <v>1381</v>
      </c>
      <c r="TVR230" s="508"/>
      <c r="TVS230" s="507" t="s">
        <v>1381</v>
      </c>
      <c r="TVT230" s="508"/>
      <c r="TVU230" s="507" t="s">
        <v>1381</v>
      </c>
      <c r="TVV230" s="508"/>
      <c r="TVW230" s="507" t="s">
        <v>1381</v>
      </c>
      <c r="TVX230" s="508"/>
      <c r="TVY230" s="507" t="s">
        <v>1381</v>
      </c>
      <c r="TVZ230" s="508"/>
      <c r="TWA230" s="507" t="s">
        <v>1381</v>
      </c>
      <c r="TWB230" s="508"/>
      <c r="TWC230" s="507" t="s">
        <v>1381</v>
      </c>
      <c r="TWD230" s="508"/>
      <c r="TWE230" s="507" t="s">
        <v>1381</v>
      </c>
      <c r="TWF230" s="508"/>
      <c r="TWG230" s="507" t="s">
        <v>1381</v>
      </c>
      <c r="TWH230" s="508"/>
      <c r="TWI230" s="507" t="s">
        <v>1381</v>
      </c>
      <c r="TWJ230" s="508"/>
      <c r="TWK230" s="507" t="s">
        <v>1381</v>
      </c>
      <c r="TWL230" s="508"/>
      <c r="TWM230" s="507" t="s">
        <v>1381</v>
      </c>
      <c r="TWN230" s="508"/>
      <c r="TWO230" s="507" t="s">
        <v>1381</v>
      </c>
      <c r="TWP230" s="508"/>
      <c r="TWQ230" s="507" t="s">
        <v>1381</v>
      </c>
      <c r="TWR230" s="508"/>
      <c r="TWS230" s="507" t="s">
        <v>1381</v>
      </c>
      <c r="TWT230" s="508"/>
      <c r="TWU230" s="507" t="s">
        <v>1381</v>
      </c>
      <c r="TWV230" s="508"/>
      <c r="TWW230" s="507" t="s">
        <v>1381</v>
      </c>
      <c r="TWX230" s="508"/>
      <c r="TWY230" s="507" t="s">
        <v>1381</v>
      </c>
      <c r="TWZ230" s="508"/>
      <c r="TXA230" s="507" t="s">
        <v>1381</v>
      </c>
      <c r="TXB230" s="508"/>
      <c r="TXC230" s="507" t="s">
        <v>1381</v>
      </c>
      <c r="TXD230" s="508"/>
      <c r="TXE230" s="507" t="s">
        <v>1381</v>
      </c>
      <c r="TXF230" s="508"/>
      <c r="TXG230" s="507" t="s">
        <v>1381</v>
      </c>
      <c r="TXH230" s="508"/>
      <c r="TXI230" s="507" t="s">
        <v>1381</v>
      </c>
      <c r="TXJ230" s="508"/>
      <c r="TXK230" s="507" t="s">
        <v>1381</v>
      </c>
      <c r="TXL230" s="508"/>
      <c r="TXM230" s="507" t="s">
        <v>1381</v>
      </c>
      <c r="TXN230" s="508"/>
      <c r="TXO230" s="507" t="s">
        <v>1381</v>
      </c>
      <c r="TXP230" s="508"/>
      <c r="TXQ230" s="507" t="s">
        <v>1381</v>
      </c>
      <c r="TXR230" s="508"/>
      <c r="TXS230" s="507" t="s">
        <v>1381</v>
      </c>
      <c r="TXT230" s="508"/>
      <c r="TXU230" s="507" t="s">
        <v>1381</v>
      </c>
      <c r="TXV230" s="508"/>
      <c r="TXW230" s="507" t="s">
        <v>1381</v>
      </c>
      <c r="TXX230" s="508"/>
      <c r="TXY230" s="507" t="s">
        <v>1381</v>
      </c>
      <c r="TXZ230" s="508"/>
      <c r="TYA230" s="507" t="s">
        <v>1381</v>
      </c>
      <c r="TYB230" s="508"/>
      <c r="TYC230" s="507" t="s">
        <v>1381</v>
      </c>
      <c r="TYD230" s="508"/>
      <c r="TYE230" s="507" t="s">
        <v>1381</v>
      </c>
      <c r="TYF230" s="508"/>
      <c r="TYG230" s="507" t="s">
        <v>1381</v>
      </c>
      <c r="TYH230" s="508"/>
      <c r="TYI230" s="507" t="s">
        <v>1381</v>
      </c>
      <c r="TYJ230" s="508"/>
      <c r="TYK230" s="507" t="s">
        <v>1381</v>
      </c>
      <c r="TYL230" s="508"/>
      <c r="TYM230" s="507" t="s">
        <v>1381</v>
      </c>
      <c r="TYN230" s="508"/>
      <c r="TYO230" s="507" t="s">
        <v>1381</v>
      </c>
      <c r="TYP230" s="508"/>
      <c r="TYQ230" s="507" t="s">
        <v>1381</v>
      </c>
      <c r="TYR230" s="508"/>
      <c r="TYS230" s="507" t="s">
        <v>1381</v>
      </c>
      <c r="TYT230" s="508"/>
      <c r="TYU230" s="507" t="s">
        <v>1381</v>
      </c>
      <c r="TYV230" s="508"/>
      <c r="TYW230" s="507" t="s">
        <v>1381</v>
      </c>
      <c r="TYX230" s="508"/>
      <c r="TYY230" s="507" t="s">
        <v>1381</v>
      </c>
      <c r="TYZ230" s="508"/>
      <c r="TZA230" s="507" t="s">
        <v>1381</v>
      </c>
      <c r="TZB230" s="508"/>
      <c r="TZC230" s="507" t="s">
        <v>1381</v>
      </c>
      <c r="TZD230" s="508"/>
      <c r="TZE230" s="507" t="s">
        <v>1381</v>
      </c>
      <c r="TZF230" s="508"/>
      <c r="TZG230" s="507" t="s">
        <v>1381</v>
      </c>
      <c r="TZH230" s="508"/>
      <c r="TZI230" s="507" t="s">
        <v>1381</v>
      </c>
      <c r="TZJ230" s="508"/>
      <c r="TZK230" s="507" t="s">
        <v>1381</v>
      </c>
      <c r="TZL230" s="508"/>
      <c r="TZM230" s="507" t="s">
        <v>1381</v>
      </c>
      <c r="TZN230" s="508"/>
      <c r="TZO230" s="507" t="s">
        <v>1381</v>
      </c>
      <c r="TZP230" s="508"/>
      <c r="TZQ230" s="507" t="s">
        <v>1381</v>
      </c>
      <c r="TZR230" s="508"/>
      <c r="TZS230" s="507" t="s">
        <v>1381</v>
      </c>
      <c r="TZT230" s="508"/>
      <c r="TZU230" s="507" t="s">
        <v>1381</v>
      </c>
      <c r="TZV230" s="508"/>
      <c r="TZW230" s="507" t="s">
        <v>1381</v>
      </c>
      <c r="TZX230" s="508"/>
      <c r="TZY230" s="507" t="s">
        <v>1381</v>
      </c>
      <c r="TZZ230" s="508"/>
      <c r="UAA230" s="507" t="s">
        <v>1381</v>
      </c>
      <c r="UAB230" s="508"/>
      <c r="UAC230" s="507" t="s">
        <v>1381</v>
      </c>
      <c r="UAD230" s="508"/>
      <c r="UAE230" s="507" t="s">
        <v>1381</v>
      </c>
      <c r="UAF230" s="508"/>
      <c r="UAG230" s="507" t="s">
        <v>1381</v>
      </c>
      <c r="UAH230" s="508"/>
      <c r="UAI230" s="507" t="s">
        <v>1381</v>
      </c>
      <c r="UAJ230" s="508"/>
      <c r="UAK230" s="507" t="s">
        <v>1381</v>
      </c>
      <c r="UAL230" s="508"/>
      <c r="UAM230" s="507" t="s">
        <v>1381</v>
      </c>
      <c r="UAN230" s="508"/>
      <c r="UAO230" s="507" t="s">
        <v>1381</v>
      </c>
      <c r="UAP230" s="508"/>
      <c r="UAQ230" s="507" t="s">
        <v>1381</v>
      </c>
      <c r="UAR230" s="508"/>
      <c r="UAS230" s="507" t="s">
        <v>1381</v>
      </c>
      <c r="UAT230" s="508"/>
      <c r="UAU230" s="507" t="s">
        <v>1381</v>
      </c>
      <c r="UAV230" s="508"/>
      <c r="UAW230" s="507" t="s">
        <v>1381</v>
      </c>
      <c r="UAX230" s="508"/>
      <c r="UAY230" s="507" t="s">
        <v>1381</v>
      </c>
      <c r="UAZ230" s="508"/>
      <c r="UBA230" s="507" t="s">
        <v>1381</v>
      </c>
      <c r="UBB230" s="508"/>
      <c r="UBC230" s="507" t="s">
        <v>1381</v>
      </c>
      <c r="UBD230" s="508"/>
      <c r="UBE230" s="507" t="s">
        <v>1381</v>
      </c>
      <c r="UBF230" s="508"/>
      <c r="UBG230" s="507" t="s">
        <v>1381</v>
      </c>
      <c r="UBH230" s="508"/>
      <c r="UBI230" s="507" t="s">
        <v>1381</v>
      </c>
      <c r="UBJ230" s="508"/>
      <c r="UBK230" s="507" t="s">
        <v>1381</v>
      </c>
      <c r="UBL230" s="508"/>
      <c r="UBM230" s="507" t="s">
        <v>1381</v>
      </c>
      <c r="UBN230" s="508"/>
      <c r="UBO230" s="507" t="s">
        <v>1381</v>
      </c>
      <c r="UBP230" s="508"/>
      <c r="UBQ230" s="507" t="s">
        <v>1381</v>
      </c>
      <c r="UBR230" s="508"/>
      <c r="UBS230" s="507" t="s">
        <v>1381</v>
      </c>
      <c r="UBT230" s="508"/>
      <c r="UBU230" s="507" t="s">
        <v>1381</v>
      </c>
      <c r="UBV230" s="508"/>
      <c r="UBW230" s="507" t="s">
        <v>1381</v>
      </c>
      <c r="UBX230" s="508"/>
      <c r="UBY230" s="507" t="s">
        <v>1381</v>
      </c>
      <c r="UBZ230" s="508"/>
      <c r="UCA230" s="507" t="s">
        <v>1381</v>
      </c>
      <c r="UCB230" s="508"/>
      <c r="UCC230" s="507" t="s">
        <v>1381</v>
      </c>
      <c r="UCD230" s="508"/>
      <c r="UCE230" s="507" t="s">
        <v>1381</v>
      </c>
      <c r="UCF230" s="508"/>
      <c r="UCG230" s="507" t="s">
        <v>1381</v>
      </c>
      <c r="UCH230" s="508"/>
      <c r="UCI230" s="507" t="s">
        <v>1381</v>
      </c>
      <c r="UCJ230" s="508"/>
      <c r="UCK230" s="507" t="s">
        <v>1381</v>
      </c>
      <c r="UCL230" s="508"/>
      <c r="UCM230" s="507" t="s">
        <v>1381</v>
      </c>
      <c r="UCN230" s="508"/>
      <c r="UCO230" s="507" t="s">
        <v>1381</v>
      </c>
      <c r="UCP230" s="508"/>
      <c r="UCQ230" s="507" t="s">
        <v>1381</v>
      </c>
      <c r="UCR230" s="508"/>
      <c r="UCS230" s="507" t="s">
        <v>1381</v>
      </c>
      <c r="UCT230" s="508"/>
      <c r="UCU230" s="507" t="s">
        <v>1381</v>
      </c>
      <c r="UCV230" s="508"/>
      <c r="UCW230" s="507" t="s">
        <v>1381</v>
      </c>
      <c r="UCX230" s="508"/>
      <c r="UCY230" s="507" t="s">
        <v>1381</v>
      </c>
      <c r="UCZ230" s="508"/>
      <c r="UDA230" s="507" t="s">
        <v>1381</v>
      </c>
      <c r="UDB230" s="508"/>
      <c r="UDC230" s="507" t="s">
        <v>1381</v>
      </c>
      <c r="UDD230" s="508"/>
      <c r="UDE230" s="507" t="s">
        <v>1381</v>
      </c>
      <c r="UDF230" s="508"/>
      <c r="UDG230" s="507" t="s">
        <v>1381</v>
      </c>
      <c r="UDH230" s="508"/>
      <c r="UDI230" s="507" t="s">
        <v>1381</v>
      </c>
      <c r="UDJ230" s="508"/>
      <c r="UDK230" s="507" t="s">
        <v>1381</v>
      </c>
      <c r="UDL230" s="508"/>
      <c r="UDM230" s="507" t="s">
        <v>1381</v>
      </c>
      <c r="UDN230" s="508"/>
      <c r="UDO230" s="507" t="s">
        <v>1381</v>
      </c>
      <c r="UDP230" s="508"/>
      <c r="UDQ230" s="507" t="s">
        <v>1381</v>
      </c>
      <c r="UDR230" s="508"/>
      <c r="UDS230" s="507" t="s">
        <v>1381</v>
      </c>
      <c r="UDT230" s="508"/>
      <c r="UDU230" s="507" t="s">
        <v>1381</v>
      </c>
      <c r="UDV230" s="508"/>
      <c r="UDW230" s="507" t="s">
        <v>1381</v>
      </c>
      <c r="UDX230" s="508"/>
      <c r="UDY230" s="507" t="s">
        <v>1381</v>
      </c>
      <c r="UDZ230" s="508"/>
      <c r="UEA230" s="507" t="s">
        <v>1381</v>
      </c>
      <c r="UEB230" s="508"/>
      <c r="UEC230" s="507" t="s">
        <v>1381</v>
      </c>
      <c r="UED230" s="508"/>
      <c r="UEE230" s="507" t="s">
        <v>1381</v>
      </c>
      <c r="UEF230" s="508"/>
      <c r="UEG230" s="507" t="s">
        <v>1381</v>
      </c>
      <c r="UEH230" s="508"/>
      <c r="UEI230" s="507" t="s">
        <v>1381</v>
      </c>
      <c r="UEJ230" s="508"/>
      <c r="UEK230" s="507" t="s">
        <v>1381</v>
      </c>
      <c r="UEL230" s="508"/>
      <c r="UEM230" s="507" t="s">
        <v>1381</v>
      </c>
      <c r="UEN230" s="508"/>
      <c r="UEO230" s="507" t="s">
        <v>1381</v>
      </c>
      <c r="UEP230" s="508"/>
      <c r="UEQ230" s="507" t="s">
        <v>1381</v>
      </c>
      <c r="UER230" s="508"/>
      <c r="UES230" s="507" t="s">
        <v>1381</v>
      </c>
      <c r="UET230" s="508"/>
      <c r="UEU230" s="507" t="s">
        <v>1381</v>
      </c>
      <c r="UEV230" s="508"/>
      <c r="UEW230" s="507" t="s">
        <v>1381</v>
      </c>
      <c r="UEX230" s="508"/>
      <c r="UEY230" s="507" t="s">
        <v>1381</v>
      </c>
      <c r="UEZ230" s="508"/>
      <c r="UFA230" s="507" t="s">
        <v>1381</v>
      </c>
      <c r="UFB230" s="508"/>
      <c r="UFC230" s="507" t="s">
        <v>1381</v>
      </c>
      <c r="UFD230" s="508"/>
      <c r="UFE230" s="507" t="s">
        <v>1381</v>
      </c>
      <c r="UFF230" s="508"/>
      <c r="UFG230" s="507" t="s">
        <v>1381</v>
      </c>
      <c r="UFH230" s="508"/>
      <c r="UFI230" s="507" t="s">
        <v>1381</v>
      </c>
      <c r="UFJ230" s="508"/>
      <c r="UFK230" s="507" t="s">
        <v>1381</v>
      </c>
      <c r="UFL230" s="508"/>
      <c r="UFM230" s="507" t="s">
        <v>1381</v>
      </c>
      <c r="UFN230" s="508"/>
      <c r="UFO230" s="507" t="s">
        <v>1381</v>
      </c>
      <c r="UFP230" s="508"/>
      <c r="UFQ230" s="507" t="s">
        <v>1381</v>
      </c>
      <c r="UFR230" s="508"/>
      <c r="UFS230" s="507" t="s">
        <v>1381</v>
      </c>
      <c r="UFT230" s="508"/>
      <c r="UFU230" s="507" t="s">
        <v>1381</v>
      </c>
      <c r="UFV230" s="508"/>
      <c r="UFW230" s="507" t="s">
        <v>1381</v>
      </c>
      <c r="UFX230" s="508"/>
      <c r="UFY230" s="507" t="s">
        <v>1381</v>
      </c>
      <c r="UFZ230" s="508"/>
      <c r="UGA230" s="507" t="s">
        <v>1381</v>
      </c>
      <c r="UGB230" s="508"/>
      <c r="UGC230" s="507" t="s">
        <v>1381</v>
      </c>
      <c r="UGD230" s="508"/>
      <c r="UGE230" s="507" t="s">
        <v>1381</v>
      </c>
      <c r="UGF230" s="508"/>
      <c r="UGG230" s="507" t="s">
        <v>1381</v>
      </c>
      <c r="UGH230" s="508"/>
      <c r="UGI230" s="507" t="s">
        <v>1381</v>
      </c>
      <c r="UGJ230" s="508"/>
      <c r="UGK230" s="507" t="s">
        <v>1381</v>
      </c>
      <c r="UGL230" s="508"/>
      <c r="UGM230" s="507" t="s">
        <v>1381</v>
      </c>
      <c r="UGN230" s="508"/>
      <c r="UGO230" s="507" t="s">
        <v>1381</v>
      </c>
      <c r="UGP230" s="508"/>
      <c r="UGQ230" s="507" t="s">
        <v>1381</v>
      </c>
      <c r="UGR230" s="508"/>
      <c r="UGS230" s="507" t="s">
        <v>1381</v>
      </c>
      <c r="UGT230" s="508"/>
      <c r="UGU230" s="507" t="s">
        <v>1381</v>
      </c>
      <c r="UGV230" s="508"/>
      <c r="UGW230" s="507" t="s">
        <v>1381</v>
      </c>
      <c r="UGX230" s="508"/>
      <c r="UGY230" s="507" t="s">
        <v>1381</v>
      </c>
      <c r="UGZ230" s="508"/>
      <c r="UHA230" s="507" t="s">
        <v>1381</v>
      </c>
      <c r="UHB230" s="508"/>
      <c r="UHC230" s="507" t="s">
        <v>1381</v>
      </c>
      <c r="UHD230" s="508"/>
      <c r="UHE230" s="507" t="s">
        <v>1381</v>
      </c>
      <c r="UHF230" s="508"/>
      <c r="UHG230" s="507" t="s">
        <v>1381</v>
      </c>
      <c r="UHH230" s="508"/>
      <c r="UHI230" s="507" t="s">
        <v>1381</v>
      </c>
      <c r="UHJ230" s="508"/>
      <c r="UHK230" s="507" t="s">
        <v>1381</v>
      </c>
      <c r="UHL230" s="508"/>
      <c r="UHM230" s="507" t="s">
        <v>1381</v>
      </c>
      <c r="UHN230" s="508"/>
      <c r="UHO230" s="507" t="s">
        <v>1381</v>
      </c>
      <c r="UHP230" s="508"/>
      <c r="UHQ230" s="507" t="s">
        <v>1381</v>
      </c>
      <c r="UHR230" s="508"/>
      <c r="UHS230" s="507" t="s">
        <v>1381</v>
      </c>
      <c r="UHT230" s="508"/>
      <c r="UHU230" s="507" t="s">
        <v>1381</v>
      </c>
      <c r="UHV230" s="508"/>
      <c r="UHW230" s="507" t="s">
        <v>1381</v>
      </c>
      <c r="UHX230" s="508"/>
      <c r="UHY230" s="507" t="s">
        <v>1381</v>
      </c>
      <c r="UHZ230" s="508"/>
      <c r="UIA230" s="507" t="s">
        <v>1381</v>
      </c>
      <c r="UIB230" s="508"/>
      <c r="UIC230" s="507" t="s">
        <v>1381</v>
      </c>
      <c r="UID230" s="508"/>
      <c r="UIE230" s="507" t="s">
        <v>1381</v>
      </c>
      <c r="UIF230" s="508"/>
      <c r="UIG230" s="507" t="s">
        <v>1381</v>
      </c>
      <c r="UIH230" s="508"/>
      <c r="UII230" s="507" t="s">
        <v>1381</v>
      </c>
      <c r="UIJ230" s="508"/>
      <c r="UIK230" s="507" t="s">
        <v>1381</v>
      </c>
      <c r="UIL230" s="508"/>
      <c r="UIM230" s="507" t="s">
        <v>1381</v>
      </c>
      <c r="UIN230" s="508"/>
      <c r="UIO230" s="507" t="s">
        <v>1381</v>
      </c>
      <c r="UIP230" s="508"/>
      <c r="UIQ230" s="507" t="s">
        <v>1381</v>
      </c>
      <c r="UIR230" s="508"/>
      <c r="UIS230" s="507" t="s">
        <v>1381</v>
      </c>
      <c r="UIT230" s="508"/>
      <c r="UIU230" s="507" t="s">
        <v>1381</v>
      </c>
      <c r="UIV230" s="508"/>
      <c r="UIW230" s="507" t="s">
        <v>1381</v>
      </c>
      <c r="UIX230" s="508"/>
      <c r="UIY230" s="507" t="s">
        <v>1381</v>
      </c>
      <c r="UIZ230" s="508"/>
      <c r="UJA230" s="507" t="s">
        <v>1381</v>
      </c>
      <c r="UJB230" s="508"/>
      <c r="UJC230" s="507" t="s">
        <v>1381</v>
      </c>
      <c r="UJD230" s="508"/>
      <c r="UJE230" s="507" t="s">
        <v>1381</v>
      </c>
      <c r="UJF230" s="508"/>
      <c r="UJG230" s="507" t="s">
        <v>1381</v>
      </c>
      <c r="UJH230" s="508"/>
      <c r="UJI230" s="507" t="s">
        <v>1381</v>
      </c>
      <c r="UJJ230" s="508"/>
      <c r="UJK230" s="507" t="s">
        <v>1381</v>
      </c>
      <c r="UJL230" s="508"/>
      <c r="UJM230" s="507" t="s">
        <v>1381</v>
      </c>
      <c r="UJN230" s="508"/>
      <c r="UJO230" s="507" t="s">
        <v>1381</v>
      </c>
      <c r="UJP230" s="508"/>
      <c r="UJQ230" s="507" t="s">
        <v>1381</v>
      </c>
      <c r="UJR230" s="508"/>
      <c r="UJS230" s="507" t="s">
        <v>1381</v>
      </c>
      <c r="UJT230" s="508"/>
      <c r="UJU230" s="507" t="s">
        <v>1381</v>
      </c>
      <c r="UJV230" s="508"/>
      <c r="UJW230" s="507" t="s">
        <v>1381</v>
      </c>
      <c r="UJX230" s="508"/>
      <c r="UJY230" s="507" t="s">
        <v>1381</v>
      </c>
      <c r="UJZ230" s="508"/>
      <c r="UKA230" s="507" t="s">
        <v>1381</v>
      </c>
      <c r="UKB230" s="508"/>
      <c r="UKC230" s="507" t="s">
        <v>1381</v>
      </c>
      <c r="UKD230" s="508"/>
      <c r="UKE230" s="507" t="s">
        <v>1381</v>
      </c>
      <c r="UKF230" s="508"/>
      <c r="UKG230" s="507" t="s">
        <v>1381</v>
      </c>
      <c r="UKH230" s="508"/>
      <c r="UKI230" s="507" t="s">
        <v>1381</v>
      </c>
      <c r="UKJ230" s="508"/>
      <c r="UKK230" s="507" t="s">
        <v>1381</v>
      </c>
      <c r="UKL230" s="508"/>
      <c r="UKM230" s="507" t="s">
        <v>1381</v>
      </c>
      <c r="UKN230" s="508"/>
      <c r="UKO230" s="507" t="s">
        <v>1381</v>
      </c>
      <c r="UKP230" s="508"/>
      <c r="UKQ230" s="507" t="s">
        <v>1381</v>
      </c>
      <c r="UKR230" s="508"/>
      <c r="UKS230" s="507" t="s">
        <v>1381</v>
      </c>
      <c r="UKT230" s="508"/>
      <c r="UKU230" s="507" t="s">
        <v>1381</v>
      </c>
      <c r="UKV230" s="508"/>
      <c r="UKW230" s="507" t="s">
        <v>1381</v>
      </c>
      <c r="UKX230" s="508"/>
      <c r="UKY230" s="507" t="s">
        <v>1381</v>
      </c>
      <c r="UKZ230" s="508"/>
      <c r="ULA230" s="507" t="s">
        <v>1381</v>
      </c>
      <c r="ULB230" s="508"/>
      <c r="ULC230" s="507" t="s">
        <v>1381</v>
      </c>
      <c r="ULD230" s="508"/>
      <c r="ULE230" s="507" t="s">
        <v>1381</v>
      </c>
      <c r="ULF230" s="508"/>
      <c r="ULG230" s="507" t="s">
        <v>1381</v>
      </c>
      <c r="ULH230" s="508"/>
      <c r="ULI230" s="507" t="s">
        <v>1381</v>
      </c>
      <c r="ULJ230" s="508"/>
      <c r="ULK230" s="507" t="s">
        <v>1381</v>
      </c>
      <c r="ULL230" s="508"/>
      <c r="ULM230" s="507" t="s">
        <v>1381</v>
      </c>
      <c r="ULN230" s="508"/>
      <c r="ULO230" s="507" t="s">
        <v>1381</v>
      </c>
      <c r="ULP230" s="508"/>
      <c r="ULQ230" s="507" t="s">
        <v>1381</v>
      </c>
      <c r="ULR230" s="508"/>
      <c r="ULS230" s="507" t="s">
        <v>1381</v>
      </c>
      <c r="ULT230" s="508"/>
      <c r="ULU230" s="507" t="s">
        <v>1381</v>
      </c>
      <c r="ULV230" s="508"/>
      <c r="ULW230" s="507" t="s">
        <v>1381</v>
      </c>
      <c r="ULX230" s="508"/>
      <c r="ULY230" s="507" t="s">
        <v>1381</v>
      </c>
      <c r="ULZ230" s="508"/>
      <c r="UMA230" s="507" t="s">
        <v>1381</v>
      </c>
      <c r="UMB230" s="508"/>
      <c r="UMC230" s="507" t="s">
        <v>1381</v>
      </c>
      <c r="UMD230" s="508"/>
      <c r="UME230" s="507" t="s">
        <v>1381</v>
      </c>
      <c r="UMF230" s="508"/>
      <c r="UMG230" s="507" t="s">
        <v>1381</v>
      </c>
      <c r="UMH230" s="508"/>
      <c r="UMI230" s="507" t="s">
        <v>1381</v>
      </c>
      <c r="UMJ230" s="508"/>
      <c r="UMK230" s="507" t="s">
        <v>1381</v>
      </c>
      <c r="UML230" s="508"/>
      <c r="UMM230" s="507" t="s">
        <v>1381</v>
      </c>
      <c r="UMN230" s="508"/>
      <c r="UMO230" s="507" t="s">
        <v>1381</v>
      </c>
      <c r="UMP230" s="508"/>
      <c r="UMQ230" s="507" t="s">
        <v>1381</v>
      </c>
      <c r="UMR230" s="508"/>
      <c r="UMS230" s="507" t="s">
        <v>1381</v>
      </c>
      <c r="UMT230" s="508"/>
      <c r="UMU230" s="507" t="s">
        <v>1381</v>
      </c>
      <c r="UMV230" s="508"/>
      <c r="UMW230" s="507" t="s">
        <v>1381</v>
      </c>
      <c r="UMX230" s="508"/>
      <c r="UMY230" s="507" t="s">
        <v>1381</v>
      </c>
      <c r="UMZ230" s="508"/>
      <c r="UNA230" s="507" t="s">
        <v>1381</v>
      </c>
      <c r="UNB230" s="508"/>
      <c r="UNC230" s="507" t="s">
        <v>1381</v>
      </c>
      <c r="UND230" s="508"/>
      <c r="UNE230" s="507" t="s">
        <v>1381</v>
      </c>
      <c r="UNF230" s="508"/>
      <c r="UNG230" s="507" t="s">
        <v>1381</v>
      </c>
      <c r="UNH230" s="508"/>
      <c r="UNI230" s="507" t="s">
        <v>1381</v>
      </c>
      <c r="UNJ230" s="508"/>
      <c r="UNK230" s="507" t="s">
        <v>1381</v>
      </c>
      <c r="UNL230" s="508"/>
      <c r="UNM230" s="507" t="s">
        <v>1381</v>
      </c>
      <c r="UNN230" s="508"/>
      <c r="UNO230" s="507" t="s">
        <v>1381</v>
      </c>
      <c r="UNP230" s="508"/>
      <c r="UNQ230" s="507" t="s">
        <v>1381</v>
      </c>
      <c r="UNR230" s="508"/>
      <c r="UNS230" s="507" t="s">
        <v>1381</v>
      </c>
      <c r="UNT230" s="508"/>
      <c r="UNU230" s="507" t="s">
        <v>1381</v>
      </c>
      <c r="UNV230" s="508"/>
      <c r="UNW230" s="507" t="s">
        <v>1381</v>
      </c>
      <c r="UNX230" s="508"/>
      <c r="UNY230" s="507" t="s">
        <v>1381</v>
      </c>
      <c r="UNZ230" s="508"/>
      <c r="UOA230" s="507" t="s">
        <v>1381</v>
      </c>
      <c r="UOB230" s="508"/>
      <c r="UOC230" s="507" t="s">
        <v>1381</v>
      </c>
      <c r="UOD230" s="508"/>
      <c r="UOE230" s="507" t="s">
        <v>1381</v>
      </c>
      <c r="UOF230" s="508"/>
      <c r="UOG230" s="507" t="s">
        <v>1381</v>
      </c>
      <c r="UOH230" s="508"/>
      <c r="UOI230" s="507" t="s">
        <v>1381</v>
      </c>
      <c r="UOJ230" s="508"/>
      <c r="UOK230" s="507" t="s">
        <v>1381</v>
      </c>
      <c r="UOL230" s="508"/>
      <c r="UOM230" s="507" t="s">
        <v>1381</v>
      </c>
      <c r="UON230" s="508"/>
      <c r="UOO230" s="507" t="s">
        <v>1381</v>
      </c>
      <c r="UOP230" s="508"/>
      <c r="UOQ230" s="507" t="s">
        <v>1381</v>
      </c>
      <c r="UOR230" s="508"/>
      <c r="UOS230" s="507" t="s">
        <v>1381</v>
      </c>
      <c r="UOT230" s="508"/>
      <c r="UOU230" s="507" t="s">
        <v>1381</v>
      </c>
      <c r="UOV230" s="508"/>
      <c r="UOW230" s="507" t="s">
        <v>1381</v>
      </c>
      <c r="UOX230" s="508"/>
      <c r="UOY230" s="507" t="s">
        <v>1381</v>
      </c>
      <c r="UOZ230" s="508"/>
      <c r="UPA230" s="507" t="s">
        <v>1381</v>
      </c>
      <c r="UPB230" s="508"/>
      <c r="UPC230" s="507" t="s">
        <v>1381</v>
      </c>
      <c r="UPD230" s="508"/>
      <c r="UPE230" s="507" t="s">
        <v>1381</v>
      </c>
      <c r="UPF230" s="508"/>
      <c r="UPG230" s="507" t="s">
        <v>1381</v>
      </c>
      <c r="UPH230" s="508"/>
      <c r="UPI230" s="507" t="s">
        <v>1381</v>
      </c>
      <c r="UPJ230" s="508"/>
      <c r="UPK230" s="507" t="s">
        <v>1381</v>
      </c>
      <c r="UPL230" s="508"/>
      <c r="UPM230" s="507" t="s">
        <v>1381</v>
      </c>
      <c r="UPN230" s="508"/>
      <c r="UPO230" s="507" t="s">
        <v>1381</v>
      </c>
      <c r="UPP230" s="508"/>
      <c r="UPQ230" s="507" t="s">
        <v>1381</v>
      </c>
      <c r="UPR230" s="508"/>
      <c r="UPS230" s="507" t="s">
        <v>1381</v>
      </c>
      <c r="UPT230" s="508"/>
      <c r="UPU230" s="507" t="s">
        <v>1381</v>
      </c>
      <c r="UPV230" s="508"/>
      <c r="UPW230" s="507" t="s">
        <v>1381</v>
      </c>
      <c r="UPX230" s="508"/>
      <c r="UPY230" s="507" t="s">
        <v>1381</v>
      </c>
      <c r="UPZ230" s="508"/>
      <c r="UQA230" s="507" t="s">
        <v>1381</v>
      </c>
      <c r="UQB230" s="508"/>
      <c r="UQC230" s="507" t="s">
        <v>1381</v>
      </c>
      <c r="UQD230" s="508"/>
      <c r="UQE230" s="507" t="s">
        <v>1381</v>
      </c>
      <c r="UQF230" s="508"/>
      <c r="UQG230" s="507" t="s">
        <v>1381</v>
      </c>
      <c r="UQH230" s="508"/>
      <c r="UQI230" s="507" t="s">
        <v>1381</v>
      </c>
      <c r="UQJ230" s="508"/>
      <c r="UQK230" s="507" t="s">
        <v>1381</v>
      </c>
      <c r="UQL230" s="508"/>
      <c r="UQM230" s="507" t="s">
        <v>1381</v>
      </c>
      <c r="UQN230" s="508"/>
      <c r="UQO230" s="507" t="s">
        <v>1381</v>
      </c>
      <c r="UQP230" s="508"/>
      <c r="UQQ230" s="507" t="s">
        <v>1381</v>
      </c>
      <c r="UQR230" s="508"/>
      <c r="UQS230" s="507" t="s">
        <v>1381</v>
      </c>
      <c r="UQT230" s="508"/>
      <c r="UQU230" s="507" t="s">
        <v>1381</v>
      </c>
      <c r="UQV230" s="508"/>
      <c r="UQW230" s="507" t="s">
        <v>1381</v>
      </c>
      <c r="UQX230" s="508"/>
      <c r="UQY230" s="507" t="s">
        <v>1381</v>
      </c>
      <c r="UQZ230" s="508"/>
      <c r="URA230" s="507" t="s">
        <v>1381</v>
      </c>
      <c r="URB230" s="508"/>
      <c r="URC230" s="507" t="s">
        <v>1381</v>
      </c>
      <c r="URD230" s="508"/>
      <c r="URE230" s="507" t="s">
        <v>1381</v>
      </c>
      <c r="URF230" s="508"/>
      <c r="URG230" s="507" t="s">
        <v>1381</v>
      </c>
      <c r="URH230" s="508"/>
      <c r="URI230" s="507" t="s">
        <v>1381</v>
      </c>
      <c r="URJ230" s="508"/>
      <c r="URK230" s="507" t="s">
        <v>1381</v>
      </c>
      <c r="URL230" s="508"/>
      <c r="URM230" s="507" t="s">
        <v>1381</v>
      </c>
      <c r="URN230" s="508"/>
      <c r="URO230" s="507" t="s">
        <v>1381</v>
      </c>
      <c r="URP230" s="508"/>
      <c r="URQ230" s="507" t="s">
        <v>1381</v>
      </c>
      <c r="URR230" s="508"/>
      <c r="URS230" s="507" t="s">
        <v>1381</v>
      </c>
      <c r="URT230" s="508"/>
      <c r="URU230" s="507" t="s">
        <v>1381</v>
      </c>
      <c r="URV230" s="508"/>
      <c r="URW230" s="507" t="s">
        <v>1381</v>
      </c>
      <c r="URX230" s="508"/>
      <c r="URY230" s="507" t="s">
        <v>1381</v>
      </c>
      <c r="URZ230" s="508"/>
      <c r="USA230" s="507" t="s">
        <v>1381</v>
      </c>
      <c r="USB230" s="508"/>
      <c r="USC230" s="507" t="s">
        <v>1381</v>
      </c>
      <c r="USD230" s="508"/>
      <c r="USE230" s="507" t="s">
        <v>1381</v>
      </c>
      <c r="USF230" s="508"/>
      <c r="USG230" s="507" t="s">
        <v>1381</v>
      </c>
      <c r="USH230" s="508"/>
      <c r="USI230" s="507" t="s">
        <v>1381</v>
      </c>
      <c r="USJ230" s="508"/>
      <c r="USK230" s="507" t="s">
        <v>1381</v>
      </c>
      <c r="USL230" s="508"/>
      <c r="USM230" s="507" t="s">
        <v>1381</v>
      </c>
      <c r="USN230" s="508"/>
      <c r="USO230" s="507" t="s">
        <v>1381</v>
      </c>
      <c r="USP230" s="508"/>
      <c r="USQ230" s="507" t="s">
        <v>1381</v>
      </c>
      <c r="USR230" s="508"/>
      <c r="USS230" s="507" t="s">
        <v>1381</v>
      </c>
      <c r="UST230" s="508"/>
      <c r="USU230" s="507" t="s">
        <v>1381</v>
      </c>
      <c r="USV230" s="508"/>
      <c r="USW230" s="507" t="s">
        <v>1381</v>
      </c>
      <c r="USX230" s="508"/>
      <c r="USY230" s="507" t="s">
        <v>1381</v>
      </c>
      <c r="USZ230" s="508"/>
      <c r="UTA230" s="507" t="s">
        <v>1381</v>
      </c>
      <c r="UTB230" s="508"/>
      <c r="UTC230" s="507" t="s">
        <v>1381</v>
      </c>
      <c r="UTD230" s="508"/>
      <c r="UTE230" s="507" t="s">
        <v>1381</v>
      </c>
      <c r="UTF230" s="508"/>
      <c r="UTG230" s="507" t="s">
        <v>1381</v>
      </c>
      <c r="UTH230" s="508"/>
      <c r="UTI230" s="507" t="s">
        <v>1381</v>
      </c>
      <c r="UTJ230" s="508"/>
      <c r="UTK230" s="507" t="s">
        <v>1381</v>
      </c>
      <c r="UTL230" s="508"/>
      <c r="UTM230" s="507" t="s">
        <v>1381</v>
      </c>
      <c r="UTN230" s="508"/>
      <c r="UTO230" s="507" t="s">
        <v>1381</v>
      </c>
      <c r="UTP230" s="508"/>
      <c r="UTQ230" s="507" t="s">
        <v>1381</v>
      </c>
      <c r="UTR230" s="508"/>
      <c r="UTS230" s="507" t="s">
        <v>1381</v>
      </c>
      <c r="UTT230" s="508"/>
      <c r="UTU230" s="507" t="s">
        <v>1381</v>
      </c>
      <c r="UTV230" s="508"/>
      <c r="UTW230" s="507" t="s">
        <v>1381</v>
      </c>
      <c r="UTX230" s="508"/>
      <c r="UTY230" s="507" t="s">
        <v>1381</v>
      </c>
      <c r="UTZ230" s="508"/>
      <c r="UUA230" s="507" t="s">
        <v>1381</v>
      </c>
      <c r="UUB230" s="508"/>
      <c r="UUC230" s="507" t="s">
        <v>1381</v>
      </c>
      <c r="UUD230" s="508"/>
      <c r="UUE230" s="507" t="s">
        <v>1381</v>
      </c>
      <c r="UUF230" s="508"/>
      <c r="UUG230" s="507" t="s">
        <v>1381</v>
      </c>
      <c r="UUH230" s="508"/>
      <c r="UUI230" s="507" t="s">
        <v>1381</v>
      </c>
      <c r="UUJ230" s="508"/>
      <c r="UUK230" s="507" t="s">
        <v>1381</v>
      </c>
      <c r="UUL230" s="508"/>
      <c r="UUM230" s="507" t="s">
        <v>1381</v>
      </c>
      <c r="UUN230" s="508"/>
      <c r="UUO230" s="507" t="s">
        <v>1381</v>
      </c>
      <c r="UUP230" s="508"/>
      <c r="UUQ230" s="507" t="s">
        <v>1381</v>
      </c>
      <c r="UUR230" s="508"/>
      <c r="UUS230" s="507" t="s">
        <v>1381</v>
      </c>
      <c r="UUT230" s="508"/>
      <c r="UUU230" s="507" t="s">
        <v>1381</v>
      </c>
      <c r="UUV230" s="508"/>
      <c r="UUW230" s="507" t="s">
        <v>1381</v>
      </c>
      <c r="UUX230" s="508"/>
      <c r="UUY230" s="507" t="s">
        <v>1381</v>
      </c>
      <c r="UUZ230" s="508"/>
      <c r="UVA230" s="507" t="s">
        <v>1381</v>
      </c>
      <c r="UVB230" s="508"/>
      <c r="UVC230" s="507" t="s">
        <v>1381</v>
      </c>
      <c r="UVD230" s="508"/>
      <c r="UVE230" s="507" t="s">
        <v>1381</v>
      </c>
      <c r="UVF230" s="508"/>
      <c r="UVG230" s="507" t="s">
        <v>1381</v>
      </c>
      <c r="UVH230" s="508"/>
      <c r="UVI230" s="507" t="s">
        <v>1381</v>
      </c>
      <c r="UVJ230" s="508"/>
      <c r="UVK230" s="507" t="s">
        <v>1381</v>
      </c>
      <c r="UVL230" s="508"/>
      <c r="UVM230" s="507" t="s">
        <v>1381</v>
      </c>
      <c r="UVN230" s="508"/>
      <c r="UVO230" s="507" t="s">
        <v>1381</v>
      </c>
      <c r="UVP230" s="508"/>
      <c r="UVQ230" s="507" t="s">
        <v>1381</v>
      </c>
      <c r="UVR230" s="508"/>
      <c r="UVS230" s="507" t="s">
        <v>1381</v>
      </c>
      <c r="UVT230" s="508"/>
      <c r="UVU230" s="507" t="s">
        <v>1381</v>
      </c>
      <c r="UVV230" s="508"/>
      <c r="UVW230" s="507" t="s">
        <v>1381</v>
      </c>
      <c r="UVX230" s="508"/>
      <c r="UVY230" s="507" t="s">
        <v>1381</v>
      </c>
      <c r="UVZ230" s="508"/>
      <c r="UWA230" s="507" t="s">
        <v>1381</v>
      </c>
      <c r="UWB230" s="508"/>
      <c r="UWC230" s="507" t="s">
        <v>1381</v>
      </c>
      <c r="UWD230" s="508"/>
      <c r="UWE230" s="507" t="s">
        <v>1381</v>
      </c>
      <c r="UWF230" s="508"/>
      <c r="UWG230" s="507" t="s">
        <v>1381</v>
      </c>
      <c r="UWH230" s="508"/>
      <c r="UWI230" s="507" t="s">
        <v>1381</v>
      </c>
      <c r="UWJ230" s="508"/>
      <c r="UWK230" s="507" t="s">
        <v>1381</v>
      </c>
      <c r="UWL230" s="508"/>
      <c r="UWM230" s="507" t="s">
        <v>1381</v>
      </c>
      <c r="UWN230" s="508"/>
      <c r="UWO230" s="507" t="s">
        <v>1381</v>
      </c>
      <c r="UWP230" s="508"/>
      <c r="UWQ230" s="507" t="s">
        <v>1381</v>
      </c>
      <c r="UWR230" s="508"/>
      <c r="UWS230" s="507" t="s">
        <v>1381</v>
      </c>
      <c r="UWT230" s="508"/>
      <c r="UWU230" s="507" t="s">
        <v>1381</v>
      </c>
      <c r="UWV230" s="508"/>
      <c r="UWW230" s="507" t="s">
        <v>1381</v>
      </c>
      <c r="UWX230" s="508"/>
      <c r="UWY230" s="507" t="s">
        <v>1381</v>
      </c>
      <c r="UWZ230" s="508"/>
      <c r="UXA230" s="507" t="s">
        <v>1381</v>
      </c>
      <c r="UXB230" s="508"/>
      <c r="UXC230" s="507" t="s">
        <v>1381</v>
      </c>
      <c r="UXD230" s="508"/>
      <c r="UXE230" s="507" t="s">
        <v>1381</v>
      </c>
      <c r="UXF230" s="508"/>
      <c r="UXG230" s="507" t="s">
        <v>1381</v>
      </c>
      <c r="UXH230" s="508"/>
      <c r="UXI230" s="507" t="s">
        <v>1381</v>
      </c>
      <c r="UXJ230" s="508"/>
      <c r="UXK230" s="507" t="s">
        <v>1381</v>
      </c>
      <c r="UXL230" s="508"/>
      <c r="UXM230" s="507" t="s">
        <v>1381</v>
      </c>
      <c r="UXN230" s="508"/>
      <c r="UXO230" s="507" t="s">
        <v>1381</v>
      </c>
      <c r="UXP230" s="508"/>
      <c r="UXQ230" s="507" t="s">
        <v>1381</v>
      </c>
      <c r="UXR230" s="508"/>
      <c r="UXS230" s="507" t="s">
        <v>1381</v>
      </c>
      <c r="UXT230" s="508"/>
      <c r="UXU230" s="507" t="s">
        <v>1381</v>
      </c>
      <c r="UXV230" s="508"/>
      <c r="UXW230" s="507" t="s">
        <v>1381</v>
      </c>
      <c r="UXX230" s="508"/>
      <c r="UXY230" s="507" t="s">
        <v>1381</v>
      </c>
      <c r="UXZ230" s="508"/>
      <c r="UYA230" s="507" t="s">
        <v>1381</v>
      </c>
      <c r="UYB230" s="508"/>
      <c r="UYC230" s="507" t="s">
        <v>1381</v>
      </c>
      <c r="UYD230" s="508"/>
      <c r="UYE230" s="507" t="s">
        <v>1381</v>
      </c>
      <c r="UYF230" s="508"/>
      <c r="UYG230" s="507" t="s">
        <v>1381</v>
      </c>
      <c r="UYH230" s="508"/>
      <c r="UYI230" s="507" t="s">
        <v>1381</v>
      </c>
      <c r="UYJ230" s="508"/>
      <c r="UYK230" s="507" t="s">
        <v>1381</v>
      </c>
      <c r="UYL230" s="508"/>
      <c r="UYM230" s="507" t="s">
        <v>1381</v>
      </c>
      <c r="UYN230" s="508"/>
      <c r="UYO230" s="507" t="s">
        <v>1381</v>
      </c>
      <c r="UYP230" s="508"/>
      <c r="UYQ230" s="507" t="s">
        <v>1381</v>
      </c>
      <c r="UYR230" s="508"/>
      <c r="UYS230" s="507" t="s">
        <v>1381</v>
      </c>
      <c r="UYT230" s="508"/>
      <c r="UYU230" s="507" t="s">
        <v>1381</v>
      </c>
      <c r="UYV230" s="508"/>
      <c r="UYW230" s="507" t="s">
        <v>1381</v>
      </c>
      <c r="UYX230" s="508"/>
      <c r="UYY230" s="507" t="s">
        <v>1381</v>
      </c>
      <c r="UYZ230" s="508"/>
      <c r="UZA230" s="507" t="s">
        <v>1381</v>
      </c>
      <c r="UZB230" s="508"/>
      <c r="UZC230" s="507" t="s">
        <v>1381</v>
      </c>
      <c r="UZD230" s="508"/>
      <c r="UZE230" s="507" t="s">
        <v>1381</v>
      </c>
      <c r="UZF230" s="508"/>
      <c r="UZG230" s="507" t="s">
        <v>1381</v>
      </c>
      <c r="UZH230" s="508"/>
      <c r="UZI230" s="507" t="s">
        <v>1381</v>
      </c>
      <c r="UZJ230" s="508"/>
      <c r="UZK230" s="507" t="s">
        <v>1381</v>
      </c>
      <c r="UZL230" s="508"/>
      <c r="UZM230" s="507" t="s">
        <v>1381</v>
      </c>
      <c r="UZN230" s="508"/>
      <c r="UZO230" s="507" t="s">
        <v>1381</v>
      </c>
      <c r="UZP230" s="508"/>
      <c r="UZQ230" s="507" t="s">
        <v>1381</v>
      </c>
      <c r="UZR230" s="508"/>
      <c r="UZS230" s="507" t="s">
        <v>1381</v>
      </c>
      <c r="UZT230" s="508"/>
      <c r="UZU230" s="507" t="s">
        <v>1381</v>
      </c>
      <c r="UZV230" s="508"/>
      <c r="UZW230" s="507" t="s">
        <v>1381</v>
      </c>
      <c r="UZX230" s="508"/>
      <c r="UZY230" s="507" t="s">
        <v>1381</v>
      </c>
      <c r="UZZ230" s="508"/>
      <c r="VAA230" s="507" t="s">
        <v>1381</v>
      </c>
      <c r="VAB230" s="508"/>
      <c r="VAC230" s="507" t="s">
        <v>1381</v>
      </c>
      <c r="VAD230" s="508"/>
      <c r="VAE230" s="507" t="s">
        <v>1381</v>
      </c>
      <c r="VAF230" s="508"/>
      <c r="VAG230" s="507" t="s">
        <v>1381</v>
      </c>
      <c r="VAH230" s="508"/>
      <c r="VAI230" s="507" t="s">
        <v>1381</v>
      </c>
      <c r="VAJ230" s="508"/>
      <c r="VAK230" s="507" t="s">
        <v>1381</v>
      </c>
      <c r="VAL230" s="508"/>
      <c r="VAM230" s="507" t="s">
        <v>1381</v>
      </c>
      <c r="VAN230" s="508"/>
      <c r="VAO230" s="507" t="s">
        <v>1381</v>
      </c>
      <c r="VAP230" s="508"/>
      <c r="VAQ230" s="507" t="s">
        <v>1381</v>
      </c>
      <c r="VAR230" s="508"/>
      <c r="VAS230" s="507" t="s">
        <v>1381</v>
      </c>
      <c r="VAT230" s="508"/>
      <c r="VAU230" s="507" t="s">
        <v>1381</v>
      </c>
      <c r="VAV230" s="508"/>
      <c r="VAW230" s="507" t="s">
        <v>1381</v>
      </c>
      <c r="VAX230" s="508"/>
      <c r="VAY230" s="507" t="s">
        <v>1381</v>
      </c>
      <c r="VAZ230" s="508"/>
      <c r="VBA230" s="507" t="s">
        <v>1381</v>
      </c>
      <c r="VBB230" s="508"/>
      <c r="VBC230" s="507" t="s">
        <v>1381</v>
      </c>
      <c r="VBD230" s="508"/>
      <c r="VBE230" s="507" t="s">
        <v>1381</v>
      </c>
      <c r="VBF230" s="508"/>
      <c r="VBG230" s="507" t="s">
        <v>1381</v>
      </c>
      <c r="VBH230" s="508"/>
      <c r="VBI230" s="507" t="s">
        <v>1381</v>
      </c>
      <c r="VBJ230" s="508"/>
      <c r="VBK230" s="507" t="s">
        <v>1381</v>
      </c>
      <c r="VBL230" s="508"/>
      <c r="VBM230" s="507" t="s">
        <v>1381</v>
      </c>
      <c r="VBN230" s="508"/>
      <c r="VBO230" s="507" t="s">
        <v>1381</v>
      </c>
      <c r="VBP230" s="508"/>
      <c r="VBQ230" s="507" t="s">
        <v>1381</v>
      </c>
      <c r="VBR230" s="508"/>
      <c r="VBS230" s="507" t="s">
        <v>1381</v>
      </c>
      <c r="VBT230" s="508"/>
      <c r="VBU230" s="507" t="s">
        <v>1381</v>
      </c>
      <c r="VBV230" s="508"/>
      <c r="VBW230" s="507" t="s">
        <v>1381</v>
      </c>
      <c r="VBX230" s="508"/>
      <c r="VBY230" s="507" t="s">
        <v>1381</v>
      </c>
      <c r="VBZ230" s="508"/>
      <c r="VCA230" s="507" t="s">
        <v>1381</v>
      </c>
      <c r="VCB230" s="508"/>
      <c r="VCC230" s="507" t="s">
        <v>1381</v>
      </c>
      <c r="VCD230" s="508"/>
      <c r="VCE230" s="507" t="s">
        <v>1381</v>
      </c>
      <c r="VCF230" s="508"/>
      <c r="VCG230" s="507" t="s">
        <v>1381</v>
      </c>
      <c r="VCH230" s="508"/>
      <c r="VCI230" s="507" t="s">
        <v>1381</v>
      </c>
      <c r="VCJ230" s="508"/>
      <c r="VCK230" s="507" t="s">
        <v>1381</v>
      </c>
      <c r="VCL230" s="508"/>
      <c r="VCM230" s="507" t="s">
        <v>1381</v>
      </c>
      <c r="VCN230" s="508"/>
      <c r="VCO230" s="507" t="s">
        <v>1381</v>
      </c>
      <c r="VCP230" s="508"/>
      <c r="VCQ230" s="507" t="s">
        <v>1381</v>
      </c>
      <c r="VCR230" s="508"/>
      <c r="VCS230" s="507" t="s">
        <v>1381</v>
      </c>
      <c r="VCT230" s="508"/>
      <c r="VCU230" s="507" t="s">
        <v>1381</v>
      </c>
      <c r="VCV230" s="508"/>
      <c r="VCW230" s="507" t="s">
        <v>1381</v>
      </c>
      <c r="VCX230" s="508"/>
      <c r="VCY230" s="507" t="s">
        <v>1381</v>
      </c>
      <c r="VCZ230" s="508"/>
      <c r="VDA230" s="507" t="s">
        <v>1381</v>
      </c>
      <c r="VDB230" s="508"/>
      <c r="VDC230" s="507" t="s">
        <v>1381</v>
      </c>
      <c r="VDD230" s="508"/>
      <c r="VDE230" s="507" t="s">
        <v>1381</v>
      </c>
      <c r="VDF230" s="508"/>
      <c r="VDG230" s="507" t="s">
        <v>1381</v>
      </c>
      <c r="VDH230" s="508"/>
      <c r="VDI230" s="507" t="s">
        <v>1381</v>
      </c>
      <c r="VDJ230" s="508"/>
      <c r="VDK230" s="507" t="s">
        <v>1381</v>
      </c>
      <c r="VDL230" s="508"/>
      <c r="VDM230" s="507" t="s">
        <v>1381</v>
      </c>
      <c r="VDN230" s="508"/>
      <c r="VDO230" s="507" t="s">
        <v>1381</v>
      </c>
      <c r="VDP230" s="508"/>
      <c r="VDQ230" s="507" t="s">
        <v>1381</v>
      </c>
      <c r="VDR230" s="508"/>
      <c r="VDS230" s="507" t="s">
        <v>1381</v>
      </c>
      <c r="VDT230" s="508"/>
      <c r="VDU230" s="507" t="s">
        <v>1381</v>
      </c>
      <c r="VDV230" s="508"/>
      <c r="VDW230" s="507" t="s">
        <v>1381</v>
      </c>
      <c r="VDX230" s="508"/>
      <c r="VDY230" s="507" t="s">
        <v>1381</v>
      </c>
      <c r="VDZ230" s="508"/>
      <c r="VEA230" s="507" t="s">
        <v>1381</v>
      </c>
      <c r="VEB230" s="508"/>
      <c r="VEC230" s="507" t="s">
        <v>1381</v>
      </c>
      <c r="VED230" s="508"/>
      <c r="VEE230" s="507" t="s">
        <v>1381</v>
      </c>
      <c r="VEF230" s="508"/>
      <c r="VEG230" s="507" t="s">
        <v>1381</v>
      </c>
      <c r="VEH230" s="508"/>
      <c r="VEI230" s="507" t="s">
        <v>1381</v>
      </c>
      <c r="VEJ230" s="508"/>
      <c r="VEK230" s="507" t="s">
        <v>1381</v>
      </c>
      <c r="VEL230" s="508"/>
      <c r="VEM230" s="507" t="s">
        <v>1381</v>
      </c>
      <c r="VEN230" s="508"/>
      <c r="VEO230" s="507" t="s">
        <v>1381</v>
      </c>
      <c r="VEP230" s="508"/>
      <c r="VEQ230" s="507" t="s">
        <v>1381</v>
      </c>
      <c r="VER230" s="508"/>
      <c r="VES230" s="507" t="s">
        <v>1381</v>
      </c>
      <c r="VET230" s="508"/>
      <c r="VEU230" s="507" t="s">
        <v>1381</v>
      </c>
      <c r="VEV230" s="508"/>
      <c r="VEW230" s="507" t="s">
        <v>1381</v>
      </c>
      <c r="VEX230" s="508"/>
      <c r="VEY230" s="507" t="s">
        <v>1381</v>
      </c>
      <c r="VEZ230" s="508"/>
      <c r="VFA230" s="507" t="s">
        <v>1381</v>
      </c>
      <c r="VFB230" s="508"/>
      <c r="VFC230" s="507" t="s">
        <v>1381</v>
      </c>
      <c r="VFD230" s="508"/>
      <c r="VFE230" s="507" t="s">
        <v>1381</v>
      </c>
      <c r="VFF230" s="508"/>
      <c r="VFG230" s="507" t="s">
        <v>1381</v>
      </c>
      <c r="VFH230" s="508"/>
      <c r="VFI230" s="507" t="s">
        <v>1381</v>
      </c>
      <c r="VFJ230" s="508"/>
      <c r="VFK230" s="507" t="s">
        <v>1381</v>
      </c>
      <c r="VFL230" s="508"/>
      <c r="VFM230" s="507" t="s">
        <v>1381</v>
      </c>
      <c r="VFN230" s="508"/>
      <c r="VFO230" s="507" t="s">
        <v>1381</v>
      </c>
      <c r="VFP230" s="508"/>
      <c r="VFQ230" s="507" t="s">
        <v>1381</v>
      </c>
      <c r="VFR230" s="508"/>
      <c r="VFS230" s="507" t="s">
        <v>1381</v>
      </c>
      <c r="VFT230" s="508"/>
      <c r="VFU230" s="507" t="s">
        <v>1381</v>
      </c>
      <c r="VFV230" s="508"/>
      <c r="VFW230" s="507" t="s">
        <v>1381</v>
      </c>
      <c r="VFX230" s="508"/>
      <c r="VFY230" s="507" t="s">
        <v>1381</v>
      </c>
      <c r="VFZ230" s="508"/>
      <c r="VGA230" s="507" t="s">
        <v>1381</v>
      </c>
      <c r="VGB230" s="508"/>
      <c r="VGC230" s="507" t="s">
        <v>1381</v>
      </c>
      <c r="VGD230" s="508"/>
      <c r="VGE230" s="507" t="s">
        <v>1381</v>
      </c>
      <c r="VGF230" s="508"/>
      <c r="VGG230" s="507" t="s">
        <v>1381</v>
      </c>
      <c r="VGH230" s="508"/>
      <c r="VGI230" s="507" t="s">
        <v>1381</v>
      </c>
      <c r="VGJ230" s="508"/>
      <c r="VGK230" s="507" t="s">
        <v>1381</v>
      </c>
      <c r="VGL230" s="508"/>
      <c r="VGM230" s="507" t="s">
        <v>1381</v>
      </c>
      <c r="VGN230" s="508"/>
      <c r="VGO230" s="507" t="s">
        <v>1381</v>
      </c>
      <c r="VGP230" s="508"/>
      <c r="VGQ230" s="507" t="s">
        <v>1381</v>
      </c>
      <c r="VGR230" s="508"/>
      <c r="VGS230" s="507" t="s">
        <v>1381</v>
      </c>
      <c r="VGT230" s="508"/>
      <c r="VGU230" s="507" t="s">
        <v>1381</v>
      </c>
      <c r="VGV230" s="508"/>
      <c r="VGW230" s="507" t="s">
        <v>1381</v>
      </c>
      <c r="VGX230" s="508"/>
      <c r="VGY230" s="507" t="s">
        <v>1381</v>
      </c>
      <c r="VGZ230" s="508"/>
      <c r="VHA230" s="507" t="s">
        <v>1381</v>
      </c>
      <c r="VHB230" s="508"/>
      <c r="VHC230" s="507" t="s">
        <v>1381</v>
      </c>
      <c r="VHD230" s="508"/>
      <c r="VHE230" s="507" t="s">
        <v>1381</v>
      </c>
      <c r="VHF230" s="508"/>
      <c r="VHG230" s="507" t="s">
        <v>1381</v>
      </c>
      <c r="VHH230" s="508"/>
      <c r="VHI230" s="507" t="s">
        <v>1381</v>
      </c>
      <c r="VHJ230" s="508"/>
      <c r="VHK230" s="507" t="s">
        <v>1381</v>
      </c>
      <c r="VHL230" s="508"/>
      <c r="VHM230" s="507" t="s">
        <v>1381</v>
      </c>
      <c r="VHN230" s="508"/>
      <c r="VHO230" s="507" t="s">
        <v>1381</v>
      </c>
      <c r="VHP230" s="508"/>
      <c r="VHQ230" s="507" t="s">
        <v>1381</v>
      </c>
      <c r="VHR230" s="508"/>
      <c r="VHS230" s="507" t="s">
        <v>1381</v>
      </c>
      <c r="VHT230" s="508"/>
      <c r="VHU230" s="507" t="s">
        <v>1381</v>
      </c>
      <c r="VHV230" s="508"/>
      <c r="VHW230" s="507" t="s">
        <v>1381</v>
      </c>
      <c r="VHX230" s="508"/>
      <c r="VHY230" s="507" t="s">
        <v>1381</v>
      </c>
      <c r="VHZ230" s="508"/>
      <c r="VIA230" s="507" t="s">
        <v>1381</v>
      </c>
      <c r="VIB230" s="508"/>
      <c r="VIC230" s="507" t="s">
        <v>1381</v>
      </c>
      <c r="VID230" s="508"/>
      <c r="VIE230" s="507" t="s">
        <v>1381</v>
      </c>
      <c r="VIF230" s="508"/>
      <c r="VIG230" s="507" t="s">
        <v>1381</v>
      </c>
      <c r="VIH230" s="508"/>
      <c r="VII230" s="507" t="s">
        <v>1381</v>
      </c>
      <c r="VIJ230" s="508"/>
      <c r="VIK230" s="507" t="s">
        <v>1381</v>
      </c>
      <c r="VIL230" s="508"/>
      <c r="VIM230" s="507" t="s">
        <v>1381</v>
      </c>
      <c r="VIN230" s="508"/>
      <c r="VIO230" s="507" t="s">
        <v>1381</v>
      </c>
      <c r="VIP230" s="508"/>
      <c r="VIQ230" s="507" t="s">
        <v>1381</v>
      </c>
      <c r="VIR230" s="508"/>
      <c r="VIS230" s="507" t="s">
        <v>1381</v>
      </c>
      <c r="VIT230" s="508"/>
      <c r="VIU230" s="507" t="s">
        <v>1381</v>
      </c>
      <c r="VIV230" s="508"/>
      <c r="VIW230" s="507" t="s">
        <v>1381</v>
      </c>
      <c r="VIX230" s="508"/>
      <c r="VIY230" s="507" t="s">
        <v>1381</v>
      </c>
      <c r="VIZ230" s="508"/>
      <c r="VJA230" s="507" t="s">
        <v>1381</v>
      </c>
      <c r="VJB230" s="508"/>
      <c r="VJC230" s="507" t="s">
        <v>1381</v>
      </c>
      <c r="VJD230" s="508"/>
      <c r="VJE230" s="507" t="s">
        <v>1381</v>
      </c>
      <c r="VJF230" s="508"/>
      <c r="VJG230" s="507" t="s">
        <v>1381</v>
      </c>
      <c r="VJH230" s="508"/>
      <c r="VJI230" s="507" t="s">
        <v>1381</v>
      </c>
      <c r="VJJ230" s="508"/>
      <c r="VJK230" s="507" t="s">
        <v>1381</v>
      </c>
      <c r="VJL230" s="508"/>
      <c r="VJM230" s="507" t="s">
        <v>1381</v>
      </c>
      <c r="VJN230" s="508"/>
      <c r="VJO230" s="507" t="s">
        <v>1381</v>
      </c>
      <c r="VJP230" s="508"/>
      <c r="VJQ230" s="507" t="s">
        <v>1381</v>
      </c>
      <c r="VJR230" s="508"/>
      <c r="VJS230" s="507" t="s">
        <v>1381</v>
      </c>
      <c r="VJT230" s="508"/>
      <c r="VJU230" s="507" t="s">
        <v>1381</v>
      </c>
      <c r="VJV230" s="508"/>
      <c r="VJW230" s="507" t="s">
        <v>1381</v>
      </c>
      <c r="VJX230" s="508"/>
      <c r="VJY230" s="507" t="s">
        <v>1381</v>
      </c>
      <c r="VJZ230" s="508"/>
      <c r="VKA230" s="507" t="s">
        <v>1381</v>
      </c>
      <c r="VKB230" s="508"/>
      <c r="VKC230" s="507" t="s">
        <v>1381</v>
      </c>
      <c r="VKD230" s="508"/>
      <c r="VKE230" s="507" t="s">
        <v>1381</v>
      </c>
      <c r="VKF230" s="508"/>
      <c r="VKG230" s="507" t="s">
        <v>1381</v>
      </c>
      <c r="VKH230" s="508"/>
      <c r="VKI230" s="507" t="s">
        <v>1381</v>
      </c>
      <c r="VKJ230" s="508"/>
      <c r="VKK230" s="507" t="s">
        <v>1381</v>
      </c>
      <c r="VKL230" s="508"/>
      <c r="VKM230" s="507" t="s">
        <v>1381</v>
      </c>
      <c r="VKN230" s="508"/>
      <c r="VKO230" s="507" t="s">
        <v>1381</v>
      </c>
      <c r="VKP230" s="508"/>
      <c r="VKQ230" s="507" t="s">
        <v>1381</v>
      </c>
      <c r="VKR230" s="508"/>
      <c r="VKS230" s="507" t="s">
        <v>1381</v>
      </c>
      <c r="VKT230" s="508"/>
      <c r="VKU230" s="507" t="s">
        <v>1381</v>
      </c>
      <c r="VKV230" s="508"/>
      <c r="VKW230" s="507" t="s">
        <v>1381</v>
      </c>
      <c r="VKX230" s="508"/>
      <c r="VKY230" s="507" t="s">
        <v>1381</v>
      </c>
      <c r="VKZ230" s="508"/>
      <c r="VLA230" s="507" t="s">
        <v>1381</v>
      </c>
      <c r="VLB230" s="508"/>
      <c r="VLC230" s="507" t="s">
        <v>1381</v>
      </c>
      <c r="VLD230" s="508"/>
      <c r="VLE230" s="507" t="s">
        <v>1381</v>
      </c>
      <c r="VLF230" s="508"/>
      <c r="VLG230" s="507" t="s">
        <v>1381</v>
      </c>
      <c r="VLH230" s="508"/>
      <c r="VLI230" s="507" t="s">
        <v>1381</v>
      </c>
      <c r="VLJ230" s="508"/>
      <c r="VLK230" s="507" t="s">
        <v>1381</v>
      </c>
      <c r="VLL230" s="508"/>
      <c r="VLM230" s="507" t="s">
        <v>1381</v>
      </c>
      <c r="VLN230" s="508"/>
      <c r="VLO230" s="507" t="s">
        <v>1381</v>
      </c>
      <c r="VLP230" s="508"/>
      <c r="VLQ230" s="507" t="s">
        <v>1381</v>
      </c>
      <c r="VLR230" s="508"/>
      <c r="VLS230" s="507" t="s">
        <v>1381</v>
      </c>
      <c r="VLT230" s="508"/>
      <c r="VLU230" s="507" t="s">
        <v>1381</v>
      </c>
      <c r="VLV230" s="508"/>
      <c r="VLW230" s="507" t="s">
        <v>1381</v>
      </c>
      <c r="VLX230" s="508"/>
      <c r="VLY230" s="507" t="s">
        <v>1381</v>
      </c>
      <c r="VLZ230" s="508"/>
      <c r="VMA230" s="507" t="s">
        <v>1381</v>
      </c>
      <c r="VMB230" s="508"/>
      <c r="VMC230" s="507" t="s">
        <v>1381</v>
      </c>
      <c r="VMD230" s="508"/>
      <c r="VME230" s="507" t="s">
        <v>1381</v>
      </c>
      <c r="VMF230" s="508"/>
      <c r="VMG230" s="507" t="s">
        <v>1381</v>
      </c>
      <c r="VMH230" s="508"/>
      <c r="VMI230" s="507" t="s">
        <v>1381</v>
      </c>
      <c r="VMJ230" s="508"/>
      <c r="VMK230" s="507" t="s">
        <v>1381</v>
      </c>
      <c r="VML230" s="508"/>
      <c r="VMM230" s="507" t="s">
        <v>1381</v>
      </c>
      <c r="VMN230" s="508"/>
      <c r="VMO230" s="507" t="s">
        <v>1381</v>
      </c>
      <c r="VMP230" s="508"/>
      <c r="VMQ230" s="507" t="s">
        <v>1381</v>
      </c>
      <c r="VMR230" s="508"/>
      <c r="VMS230" s="507" t="s">
        <v>1381</v>
      </c>
      <c r="VMT230" s="508"/>
      <c r="VMU230" s="507" t="s">
        <v>1381</v>
      </c>
      <c r="VMV230" s="508"/>
      <c r="VMW230" s="507" t="s">
        <v>1381</v>
      </c>
      <c r="VMX230" s="508"/>
      <c r="VMY230" s="507" t="s">
        <v>1381</v>
      </c>
      <c r="VMZ230" s="508"/>
      <c r="VNA230" s="507" t="s">
        <v>1381</v>
      </c>
      <c r="VNB230" s="508"/>
      <c r="VNC230" s="507" t="s">
        <v>1381</v>
      </c>
      <c r="VND230" s="508"/>
      <c r="VNE230" s="507" t="s">
        <v>1381</v>
      </c>
      <c r="VNF230" s="508"/>
      <c r="VNG230" s="507" t="s">
        <v>1381</v>
      </c>
      <c r="VNH230" s="508"/>
      <c r="VNI230" s="507" t="s">
        <v>1381</v>
      </c>
      <c r="VNJ230" s="508"/>
      <c r="VNK230" s="507" t="s">
        <v>1381</v>
      </c>
      <c r="VNL230" s="508"/>
      <c r="VNM230" s="507" t="s">
        <v>1381</v>
      </c>
      <c r="VNN230" s="508"/>
      <c r="VNO230" s="507" t="s">
        <v>1381</v>
      </c>
      <c r="VNP230" s="508"/>
      <c r="VNQ230" s="507" t="s">
        <v>1381</v>
      </c>
      <c r="VNR230" s="508"/>
      <c r="VNS230" s="507" t="s">
        <v>1381</v>
      </c>
      <c r="VNT230" s="508"/>
      <c r="VNU230" s="507" t="s">
        <v>1381</v>
      </c>
      <c r="VNV230" s="508"/>
      <c r="VNW230" s="507" t="s">
        <v>1381</v>
      </c>
      <c r="VNX230" s="508"/>
      <c r="VNY230" s="507" t="s">
        <v>1381</v>
      </c>
      <c r="VNZ230" s="508"/>
      <c r="VOA230" s="507" t="s">
        <v>1381</v>
      </c>
      <c r="VOB230" s="508"/>
      <c r="VOC230" s="507" t="s">
        <v>1381</v>
      </c>
      <c r="VOD230" s="508"/>
      <c r="VOE230" s="507" t="s">
        <v>1381</v>
      </c>
      <c r="VOF230" s="508"/>
      <c r="VOG230" s="507" t="s">
        <v>1381</v>
      </c>
      <c r="VOH230" s="508"/>
      <c r="VOI230" s="507" t="s">
        <v>1381</v>
      </c>
      <c r="VOJ230" s="508"/>
      <c r="VOK230" s="507" t="s">
        <v>1381</v>
      </c>
      <c r="VOL230" s="508"/>
      <c r="VOM230" s="507" t="s">
        <v>1381</v>
      </c>
      <c r="VON230" s="508"/>
      <c r="VOO230" s="507" t="s">
        <v>1381</v>
      </c>
      <c r="VOP230" s="508"/>
      <c r="VOQ230" s="507" t="s">
        <v>1381</v>
      </c>
      <c r="VOR230" s="508"/>
      <c r="VOS230" s="507" t="s">
        <v>1381</v>
      </c>
      <c r="VOT230" s="508"/>
      <c r="VOU230" s="507" t="s">
        <v>1381</v>
      </c>
      <c r="VOV230" s="508"/>
      <c r="VOW230" s="507" t="s">
        <v>1381</v>
      </c>
      <c r="VOX230" s="508"/>
      <c r="VOY230" s="507" t="s">
        <v>1381</v>
      </c>
      <c r="VOZ230" s="508"/>
      <c r="VPA230" s="507" t="s">
        <v>1381</v>
      </c>
      <c r="VPB230" s="508"/>
      <c r="VPC230" s="507" t="s">
        <v>1381</v>
      </c>
      <c r="VPD230" s="508"/>
      <c r="VPE230" s="507" t="s">
        <v>1381</v>
      </c>
      <c r="VPF230" s="508"/>
      <c r="VPG230" s="507" t="s">
        <v>1381</v>
      </c>
      <c r="VPH230" s="508"/>
      <c r="VPI230" s="507" t="s">
        <v>1381</v>
      </c>
      <c r="VPJ230" s="508"/>
      <c r="VPK230" s="507" t="s">
        <v>1381</v>
      </c>
      <c r="VPL230" s="508"/>
      <c r="VPM230" s="507" t="s">
        <v>1381</v>
      </c>
      <c r="VPN230" s="508"/>
      <c r="VPO230" s="507" t="s">
        <v>1381</v>
      </c>
      <c r="VPP230" s="508"/>
      <c r="VPQ230" s="507" t="s">
        <v>1381</v>
      </c>
      <c r="VPR230" s="508"/>
      <c r="VPS230" s="507" t="s">
        <v>1381</v>
      </c>
      <c r="VPT230" s="508"/>
      <c r="VPU230" s="507" t="s">
        <v>1381</v>
      </c>
      <c r="VPV230" s="508"/>
      <c r="VPW230" s="507" t="s">
        <v>1381</v>
      </c>
      <c r="VPX230" s="508"/>
      <c r="VPY230" s="507" t="s">
        <v>1381</v>
      </c>
      <c r="VPZ230" s="508"/>
      <c r="VQA230" s="507" t="s">
        <v>1381</v>
      </c>
      <c r="VQB230" s="508"/>
      <c r="VQC230" s="507" t="s">
        <v>1381</v>
      </c>
      <c r="VQD230" s="508"/>
      <c r="VQE230" s="507" t="s">
        <v>1381</v>
      </c>
      <c r="VQF230" s="508"/>
      <c r="VQG230" s="507" t="s">
        <v>1381</v>
      </c>
      <c r="VQH230" s="508"/>
      <c r="VQI230" s="507" t="s">
        <v>1381</v>
      </c>
      <c r="VQJ230" s="508"/>
      <c r="VQK230" s="507" t="s">
        <v>1381</v>
      </c>
      <c r="VQL230" s="508"/>
      <c r="VQM230" s="507" t="s">
        <v>1381</v>
      </c>
      <c r="VQN230" s="508"/>
      <c r="VQO230" s="507" t="s">
        <v>1381</v>
      </c>
      <c r="VQP230" s="508"/>
      <c r="VQQ230" s="507" t="s">
        <v>1381</v>
      </c>
      <c r="VQR230" s="508"/>
      <c r="VQS230" s="507" t="s">
        <v>1381</v>
      </c>
      <c r="VQT230" s="508"/>
      <c r="VQU230" s="507" t="s">
        <v>1381</v>
      </c>
      <c r="VQV230" s="508"/>
      <c r="VQW230" s="507" t="s">
        <v>1381</v>
      </c>
      <c r="VQX230" s="508"/>
      <c r="VQY230" s="507" t="s">
        <v>1381</v>
      </c>
      <c r="VQZ230" s="508"/>
      <c r="VRA230" s="507" t="s">
        <v>1381</v>
      </c>
      <c r="VRB230" s="508"/>
      <c r="VRC230" s="507" t="s">
        <v>1381</v>
      </c>
      <c r="VRD230" s="508"/>
      <c r="VRE230" s="507" t="s">
        <v>1381</v>
      </c>
      <c r="VRF230" s="508"/>
      <c r="VRG230" s="507" t="s">
        <v>1381</v>
      </c>
      <c r="VRH230" s="508"/>
      <c r="VRI230" s="507" t="s">
        <v>1381</v>
      </c>
      <c r="VRJ230" s="508"/>
      <c r="VRK230" s="507" t="s">
        <v>1381</v>
      </c>
      <c r="VRL230" s="508"/>
      <c r="VRM230" s="507" t="s">
        <v>1381</v>
      </c>
      <c r="VRN230" s="508"/>
      <c r="VRO230" s="507" t="s">
        <v>1381</v>
      </c>
      <c r="VRP230" s="508"/>
      <c r="VRQ230" s="507" t="s">
        <v>1381</v>
      </c>
      <c r="VRR230" s="508"/>
      <c r="VRS230" s="507" t="s">
        <v>1381</v>
      </c>
      <c r="VRT230" s="508"/>
      <c r="VRU230" s="507" t="s">
        <v>1381</v>
      </c>
      <c r="VRV230" s="508"/>
      <c r="VRW230" s="507" t="s">
        <v>1381</v>
      </c>
      <c r="VRX230" s="508"/>
      <c r="VRY230" s="507" t="s">
        <v>1381</v>
      </c>
      <c r="VRZ230" s="508"/>
      <c r="VSA230" s="507" t="s">
        <v>1381</v>
      </c>
      <c r="VSB230" s="508"/>
      <c r="VSC230" s="507" t="s">
        <v>1381</v>
      </c>
      <c r="VSD230" s="508"/>
      <c r="VSE230" s="507" t="s">
        <v>1381</v>
      </c>
      <c r="VSF230" s="508"/>
      <c r="VSG230" s="507" t="s">
        <v>1381</v>
      </c>
      <c r="VSH230" s="508"/>
      <c r="VSI230" s="507" t="s">
        <v>1381</v>
      </c>
      <c r="VSJ230" s="508"/>
      <c r="VSK230" s="507" t="s">
        <v>1381</v>
      </c>
      <c r="VSL230" s="508"/>
      <c r="VSM230" s="507" t="s">
        <v>1381</v>
      </c>
      <c r="VSN230" s="508"/>
      <c r="VSO230" s="507" t="s">
        <v>1381</v>
      </c>
      <c r="VSP230" s="508"/>
      <c r="VSQ230" s="507" t="s">
        <v>1381</v>
      </c>
      <c r="VSR230" s="508"/>
      <c r="VSS230" s="507" t="s">
        <v>1381</v>
      </c>
      <c r="VST230" s="508"/>
      <c r="VSU230" s="507" t="s">
        <v>1381</v>
      </c>
      <c r="VSV230" s="508"/>
      <c r="VSW230" s="507" t="s">
        <v>1381</v>
      </c>
      <c r="VSX230" s="508"/>
      <c r="VSY230" s="507" t="s">
        <v>1381</v>
      </c>
      <c r="VSZ230" s="508"/>
      <c r="VTA230" s="507" t="s">
        <v>1381</v>
      </c>
      <c r="VTB230" s="508"/>
      <c r="VTC230" s="507" t="s">
        <v>1381</v>
      </c>
      <c r="VTD230" s="508"/>
      <c r="VTE230" s="507" t="s">
        <v>1381</v>
      </c>
      <c r="VTF230" s="508"/>
      <c r="VTG230" s="507" t="s">
        <v>1381</v>
      </c>
      <c r="VTH230" s="508"/>
      <c r="VTI230" s="507" t="s">
        <v>1381</v>
      </c>
      <c r="VTJ230" s="508"/>
      <c r="VTK230" s="507" t="s">
        <v>1381</v>
      </c>
      <c r="VTL230" s="508"/>
      <c r="VTM230" s="507" t="s">
        <v>1381</v>
      </c>
      <c r="VTN230" s="508"/>
      <c r="VTO230" s="507" t="s">
        <v>1381</v>
      </c>
      <c r="VTP230" s="508"/>
      <c r="VTQ230" s="507" t="s">
        <v>1381</v>
      </c>
      <c r="VTR230" s="508"/>
      <c r="VTS230" s="507" t="s">
        <v>1381</v>
      </c>
      <c r="VTT230" s="508"/>
      <c r="VTU230" s="507" t="s">
        <v>1381</v>
      </c>
      <c r="VTV230" s="508"/>
      <c r="VTW230" s="507" t="s">
        <v>1381</v>
      </c>
      <c r="VTX230" s="508"/>
      <c r="VTY230" s="507" t="s">
        <v>1381</v>
      </c>
      <c r="VTZ230" s="508"/>
      <c r="VUA230" s="507" t="s">
        <v>1381</v>
      </c>
      <c r="VUB230" s="508"/>
      <c r="VUC230" s="507" t="s">
        <v>1381</v>
      </c>
      <c r="VUD230" s="508"/>
      <c r="VUE230" s="507" t="s">
        <v>1381</v>
      </c>
      <c r="VUF230" s="508"/>
      <c r="VUG230" s="507" t="s">
        <v>1381</v>
      </c>
      <c r="VUH230" s="508"/>
      <c r="VUI230" s="507" t="s">
        <v>1381</v>
      </c>
      <c r="VUJ230" s="508"/>
      <c r="VUK230" s="507" t="s">
        <v>1381</v>
      </c>
      <c r="VUL230" s="508"/>
      <c r="VUM230" s="507" t="s">
        <v>1381</v>
      </c>
      <c r="VUN230" s="508"/>
      <c r="VUO230" s="507" t="s">
        <v>1381</v>
      </c>
      <c r="VUP230" s="508"/>
      <c r="VUQ230" s="507" t="s">
        <v>1381</v>
      </c>
      <c r="VUR230" s="508"/>
      <c r="VUS230" s="507" t="s">
        <v>1381</v>
      </c>
      <c r="VUT230" s="508"/>
      <c r="VUU230" s="507" t="s">
        <v>1381</v>
      </c>
      <c r="VUV230" s="508"/>
      <c r="VUW230" s="507" t="s">
        <v>1381</v>
      </c>
      <c r="VUX230" s="508"/>
      <c r="VUY230" s="507" t="s">
        <v>1381</v>
      </c>
      <c r="VUZ230" s="508"/>
      <c r="VVA230" s="507" t="s">
        <v>1381</v>
      </c>
      <c r="VVB230" s="508"/>
      <c r="VVC230" s="507" t="s">
        <v>1381</v>
      </c>
      <c r="VVD230" s="508"/>
      <c r="VVE230" s="507" t="s">
        <v>1381</v>
      </c>
      <c r="VVF230" s="508"/>
      <c r="VVG230" s="507" t="s">
        <v>1381</v>
      </c>
      <c r="VVH230" s="508"/>
      <c r="VVI230" s="507" t="s">
        <v>1381</v>
      </c>
      <c r="VVJ230" s="508"/>
      <c r="VVK230" s="507" t="s">
        <v>1381</v>
      </c>
      <c r="VVL230" s="508"/>
      <c r="VVM230" s="507" t="s">
        <v>1381</v>
      </c>
      <c r="VVN230" s="508"/>
      <c r="VVO230" s="507" t="s">
        <v>1381</v>
      </c>
      <c r="VVP230" s="508"/>
      <c r="VVQ230" s="507" t="s">
        <v>1381</v>
      </c>
      <c r="VVR230" s="508"/>
      <c r="VVS230" s="507" t="s">
        <v>1381</v>
      </c>
      <c r="VVT230" s="508"/>
      <c r="VVU230" s="507" t="s">
        <v>1381</v>
      </c>
      <c r="VVV230" s="508"/>
      <c r="VVW230" s="507" t="s">
        <v>1381</v>
      </c>
      <c r="VVX230" s="508"/>
      <c r="VVY230" s="507" t="s">
        <v>1381</v>
      </c>
      <c r="VVZ230" s="508"/>
      <c r="VWA230" s="507" t="s">
        <v>1381</v>
      </c>
      <c r="VWB230" s="508"/>
      <c r="VWC230" s="507" t="s">
        <v>1381</v>
      </c>
      <c r="VWD230" s="508"/>
      <c r="VWE230" s="507" t="s">
        <v>1381</v>
      </c>
      <c r="VWF230" s="508"/>
      <c r="VWG230" s="507" t="s">
        <v>1381</v>
      </c>
      <c r="VWH230" s="508"/>
      <c r="VWI230" s="507" t="s">
        <v>1381</v>
      </c>
      <c r="VWJ230" s="508"/>
      <c r="VWK230" s="507" t="s">
        <v>1381</v>
      </c>
      <c r="VWL230" s="508"/>
      <c r="VWM230" s="507" t="s">
        <v>1381</v>
      </c>
      <c r="VWN230" s="508"/>
      <c r="VWO230" s="507" t="s">
        <v>1381</v>
      </c>
      <c r="VWP230" s="508"/>
      <c r="VWQ230" s="507" t="s">
        <v>1381</v>
      </c>
      <c r="VWR230" s="508"/>
      <c r="VWS230" s="507" t="s">
        <v>1381</v>
      </c>
      <c r="VWT230" s="508"/>
      <c r="VWU230" s="507" t="s">
        <v>1381</v>
      </c>
      <c r="VWV230" s="508"/>
      <c r="VWW230" s="507" t="s">
        <v>1381</v>
      </c>
      <c r="VWX230" s="508"/>
      <c r="VWY230" s="507" t="s">
        <v>1381</v>
      </c>
      <c r="VWZ230" s="508"/>
      <c r="VXA230" s="507" t="s">
        <v>1381</v>
      </c>
      <c r="VXB230" s="508"/>
      <c r="VXC230" s="507" t="s">
        <v>1381</v>
      </c>
      <c r="VXD230" s="508"/>
      <c r="VXE230" s="507" t="s">
        <v>1381</v>
      </c>
      <c r="VXF230" s="508"/>
      <c r="VXG230" s="507" t="s">
        <v>1381</v>
      </c>
      <c r="VXH230" s="508"/>
      <c r="VXI230" s="507" t="s">
        <v>1381</v>
      </c>
      <c r="VXJ230" s="508"/>
      <c r="VXK230" s="507" t="s">
        <v>1381</v>
      </c>
      <c r="VXL230" s="508"/>
      <c r="VXM230" s="507" t="s">
        <v>1381</v>
      </c>
      <c r="VXN230" s="508"/>
      <c r="VXO230" s="507" t="s">
        <v>1381</v>
      </c>
      <c r="VXP230" s="508"/>
      <c r="VXQ230" s="507" t="s">
        <v>1381</v>
      </c>
      <c r="VXR230" s="508"/>
      <c r="VXS230" s="507" t="s">
        <v>1381</v>
      </c>
      <c r="VXT230" s="508"/>
      <c r="VXU230" s="507" t="s">
        <v>1381</v>
      </c>
      <c r="VXV230" s="508"/>
      <c r="VXW230" s="507" t="s">
        <v>1381</v>
      </c>
      <c r="VXX230" s="508"/>
      <c r="VXY230" s="507" t="s">
        <v>1381</v>
      </c>
      <c r="VXZ230" s="508"/>
      <c r="VYA230" s="507" t="s">
        <v>1381</v>
      </c>
      <c r="VYB230" s="508"/>
      <c r="VYC230" s="507" t="s">
        <v>1381</v>
      </c>
      <c r="VYD230" s="508"/>
      <c r="VYE230" s="507" t="s">
        <v>1381</v>
      </c>
      <c r="VYF230" s="508"/>
      <c r="VYG230" s="507" t="s">
        <v>1381</v>
      </c>
      <c r="VYH230" s="508"/>
      <c r="VYI230" s="507" t="s">
        <v>1381</v>
      </c>
      <c r="VYJ230" s="508"/>
      <c r="VYK230" s="507" t="s">
        <v>1381</v>
      </c>
      <c r="VYL230" s="508"/>
      <c r="VYM230" s="507" t="s">
        <v>1381</v>
      </c>
      <c r="VYN230" s="508"/>
      <c r="VYO230" s="507" t="s">
        <v>1381</v>
      </c>
      <c r="VYP230" s="508"/>
      <c r="VYQ230" s="507" t="s">
        <v>1381</v>
      </c>
      <c r="VYR230" s="508"/>
      <c r="VYS230" s="507" t="s">
        <v>1381</v>
      </c>
      <c r="VYT230" s="508"/>
      <c r="VYU230" s="507" t="s">
        <v>1381</v>
      </c>
      <c r="VYV230" s="508"/>
      <c r="VYW230" s="507" t="s">
        <v>1381</v>
      </c>
      <c r="VYX230" s="508"/>
      <c r="VYY230" s="507" t="s">
        <v>1381</v>
      </c>
      <c r="VYZ230" s="508"/>
      <c r="VZA230" s="507" t="s">
        <v>1381</v>
      </c>
      <c r="VZB230" s="508"/>
      <c r="VZC230" s="507" t="s">
        <v>1381</v>
      </c>
      <c r="VZD230" s="508"/>
      <c r="VZE230" s="507" t="s">
        <v>1381</v>
      </c>
      <c r="VZF230" s="508"/>
      <c r="VZG230" s="507" t="s">
        <v>1381</v>
      </c>
      <c r="VZH230" s="508"/>
      <c r="VZI230" s="507" t="s">
        <v>1381</v>
      </c>
      <c r="VZJ230" s="508"/>
      <c r="VZK230" s="507" t="s">
        <v>1381</v>
      </c>
      <c r="VZL230" s="508"/>
      <c r="VZM230" s="507" t="s">
        <v>1381</v>
      </c>
      <c r="VZN230" s="508"/>
      <c r="VZO230" s="507" t="s">
        <v>1381</v>
      </c>
      <c r="VZP230" s="508"/>
      <c r="VZQ230" s="507" t="s">
        <v>1381</v>
      </c>
      <c r="VZR230" s="508"/>
      <c r="VZS230" s="507" t="s">
        <v>1381</v>
      </c>
      <c r="VZT230" s="508"/>
      <c r="VZU230" s="507" t="s">
        <v>1381</v>
      </c>
      <c r="VZV230" s="508"/>
      <c r="VZW230" s="507" t="s">
        <v>1381</v>
      </c>
      <c r="VZX230" s="508"/>
      <c r="VZY230" s="507" t="s">
        <v>1381</v>
      </c>
      <c r="VZZ230" s="508"/>
      <c r="WAA230" s="507" t="s">
        <v>1381</v>
      </c>
      <c r="WAB230" s="508"/>
      <c r="WAC230" s="507" t="s">
        <v>1381</v>
      </c>
      <c r="WAD230" s="508"/>
      <c r="WAE230" s="507" t="s">
        <v>1381</v>
      </c>
      <c r="WAF230" s="508"/>
      <c r="WAG230" s="507" t="s">
        <v>1381</v>
      </c>
      <c r="WAH230" s="508"/>
      <c r="WAI230" s="507" t="s">
        <v>1381</v>
      </c>
      <c r="WAJ230" s="508"/>
      <c r="WAK230" s="507" t="s">
        <v>1381</v>
      </c>
      <c r="WAL230" s="508"/>
      <c r="WAM230" s="507" t="s">
        <v>1381</v>
      </c>
      <c r="WAN230" s="508"/>
      <c r="WAO230" s="507" t="s">
        <v>1381</v>
      </c>
      <c r="WAP230" s="508"/>
      <c r="WAQ230" s="507" t="s">
        <v>1381</v>
      </c>
      <c r="WAR230" s="508"/>
      <c r="WAS230" s="507" t="s">
        <v>1381</v>
      </c>
      <c r="WAT230" s="508"/>
      <c r="WAU230" s="507" t="s">
        <v>1381</v>
      </c>
      <c r="WAV230" s="508"/>
      <c r="WAW230" s="507" t="s">
        <v>1381</v>
      </c>
      <c r="WAX230" s="508"/>
      <c r="WAY230" s="507" t="s">
        <v>1381</v>
      </c>
      <c r="WAZ230" s="508"/>
      <c r="WBA230" s="507" t="s">
        <v>1381</v>
      </c>
      <c r="WBB230" s="508"/>
      <c r="WBC230" s="507" t="s">
        <v>1381</v>
      </c>
      <c r="WBD230" s="508"/>
      <c r="WBE230" s="507" t="s">
        <v>1381</v>
      </c>
      <c r="WBF230" s="508"/>
      <c r="WBG230" s="507" t="s">
        <v>1381</v>
      </c>
      <c r="WBH230" s="508"/>
      <c r="WBI230" s="507" t="s">
        <v>1381</v>
      </c>
      <c r="WBJ230" s="508"/>
      <c r="WBK230" s="507" t="s">
        <v>1381</v>
      </c>
      <c r="WBL230" s="508"/>
      <c r="WBM230" s="507" t="s">
        <v>1381</v>
      </c>
      <c r="WBN230" s="508"/>
      <c r="WBO230" s="507" t="s">
        <v>1381</v>
      </c>
      <c r="WBP230" s="508"/>
      <c r="WBQ230" s="507" t="s">
        <v>1381</v>
      </c>
      <c r="WBR230" s="508"/>
      <c r="WBS230" s="507" t="s">
        <v>1381</v>
      </c>
      <c r="WBT230" s="508"/>
      <c r="WBU230" s="507" t="s">
        <v>1381</v>
      </c>
      <c r="WBV230" s="508"/>
      <c r="WBW230" s="507" t="s">
        <v>1381</v>
      </c>
      <c r="WBX230" s="508"/>
      <c r="WBY230" s="507" t="s">
        <v>1381</v>
      </c>
      <c r="WBZ230" s="508"/>
      <c r="WCA230" s="507" t="s">
        <v>1381</v>
      </c>
      <c r="WCB230" s="508"/>
      <c r="WCC230" s="507" t="s">
        <v>1381</v>
      </c>
      <c r="WCD230" s="508"/>
      <c r="WCE230" s="507" t="s">
        <v>1381</v>
      </c>
      <c r="WCF230" s="508"/>
      <c r="WCG230" s="507" t="s">
        <v>1381</v>
      </c>
      <c r="WCH230" s="508"/>
      <c r="WCI230" s="507" t="s">
        <v>1381</v>
      </c>
      <c r="WCJ230" s="508"/>
      <c r="WCK230" s="507" t="s">
        <v>1381</v>
      </c>
      <c r="WCL230" s="508"/>
      <c r="WCM230" s="507" t="s">
        <v>1381</v>
      </c>
      <c r="WCN230" s="508"/>
      <c r="WCO230" s="507" t="s">
        <v>1381</v>
      </c>
      <c r="WCP230" s="508"/>
      <c r="WCQ230" s="507" t="s">
        <v>1381</v>
      </c>
      <c r="WCR230" s="508"/>
      <c r="WCS230" s="507" t="s">
        <v>1381</v>
      </c>
      <c r="WCT230" s="508"/>
      <c r="WCU230" s="507" t="s">
        <v>1381</v>
      </c>
      <c r="WCV230" s="508"/>
      <c r="WCW230" s="507" t="s">
        <v>1381</v>
      </c>
      <c r="WCX230" s="508"/>
      <c r="WCY230" s="507" t="s">
        <v>1381</v>
      </c>
      <c r="WCZ230" s="508"/>
      <c r="WDA230" s="507" t="s">
        <v>1381</v>
      </c>
      <c r="WDB230" s="508"/>
      <c r="WDC230" s="507" t="s">
        <v>1381</v>
      </c>
      <c r="WDD230" s="508"/>
      <c r="WDE230" s="507" t="s">
        <v>1381</v>
      </c>
      <c r="WDF230" s="508"/>
      <c r="WDG230" s="507" t="s">
        <v>1381</v>
      </c>
      <c r="WDH230" s="508"/>
      <c r="WDI230" s="507" t="s">
        <v>1381</v>
      </c>
      <c r="WDJ230" s="508"/>
      <c r="WDK230" s="507" t="s">
        <v>1381</v>
      </c>
      <c r="WDL230" s="508"/>
      <c r="WDM230" s="507" t="s">
        <v>1381</v>
      </c>
      <c r="WDN230" s="508"/>
      <c r="WDO230" s="507" t="s">
        <v>1381</v>
      </c>
      <c r="WDP230" s="508"/>
      <c r="WDQ230" s="507" t="s">
        <v>1381</v>
      </c>
      <c r="WDR230" s="508"/>
      <c r="WDS230" s="507" t="s">
        <v>1381</v>
      </c>
      <c r="WDT230" s="508"/>
      <c r="WDU230" s="507" t="s">
        <v>1381</v>
      </c>
      <c r="WDV230" s="508"/>
      <c r="WDW230" s="507" t="s">
        <v>1381</v>
      </c>
      <c r="WDX230" s="508"/>
      <c r="WDY230" s="507" t="s">
        <v>1381</v>
      </c>
      <c r="WDZ230" s="508"/>
      <c r="WEA230" s="507" t="s">
        <v>1381</v>
      </c>
      <c r="WEB230" s="508"/>
      <c r="WEC230" s="507" t="s">
        <v>1381</v>
      </c>
      <c r="WED230" s="508"/>
      <c r="WEE230" s="507" t="s">
        <v>1381</v>
      </c>
      <c r="WEF230" s="508"/>
      <c r="WEG230" s="507" t="s">
        <v>1381</v>
      </c>
      <c r="WEH230" s="508"/>
      <c r="WEI230" s="507" t="s">
        <v>1381</v>
      </c>
      <c r="WEJ230" s="508"/>
      <c r="WEK230" s="507" t="s">
        <v>1381</v>
      </c>
      <c r="WEL230" s="508"/>
      <c r="WEM230" s="507" t="s">
        <v>1381</v>
      </c>
      <c r="WEN230" s="508"/>
      <c r="WEO230" s="507" t="s">
        <v>1381</v>
      </c>
      <c r="WEP230" s="508"/>
      <c r="WEQ230" s="507" t="s">
        <v>1381</v>
      </c>
      <c r="WER230" s="508"/>
      <c r="WES230" s="507" t="s">
        <v>1381</v>
      </c>
      <c r="WET230" s="508"/>
      <c r="WEU230" s="507" t="s">
        <v>1381</v>
      </c>
      <c r="WEV230" s="508"/>
      <c r="WEW230" s="507" t="s">
        <v>1381</v>
      </c>
      <c r="WEX230" s="508"/>
      <c r="WEY230" s="507" t="s">
        <v>1381</v>
      </c>
      <c r="WEZ230" s="508"/>
      <c r="WFA230" s="507" t="s">
        <v>1381</v>
      </c>
      <c r="WFB230" s="508"/>
      <c r="WFC230" s="507" t="s">
        <v>1381</v>
      </c>
      <c r="WFD230" s="508"/>
      <c r="WFE230" s="507" t="s">
        <v>1381</v>
      </c>
      <c r="WFF230" s="508"/>
      <c r="WFG230" s="507" t="s">
        <v>1381</v>
      </c>
      <c r="WFH230" s="508"/>
      <c r="WFI230" s="507" t="s">
        <v>1381</v>
      </c>
      <c r="WFJ230" s="508"/>
      <c r="WFK230" s="507" t="s">
        <v>1381</v>
      </c>
      <c r="WFL230" s="508"/>
      <c r="WFM230" s="507" t="s">
        <v>1381</v>
      </c>
      <c r="WFN230" s="508"/>
      <c r="WFO230" s="507" t="s">
        <v>1381</v>
      </c>
      <c r="WFP230" s="508"/>
      <c r="WFQ230" s="507" t="s">
        <v>1381</v>
      </c>
      <c r="WFR230" s="508"/>
      <c r="WFS230" s="507" t="s">
        <v>1381</v>
      </c>
      <c r="WFT230" s="508"/>
      <c r="WFU230" s="507" t="s">
        <v>1381</v>
      </c>
      <c r="WFV230" s="508"/>
      <c r="WFW230" s="507" t="s">
        <v>1381</v>
      </c>
      <c r="WFX230" s="508"/>
      <c r="WFY230" s="507" t="s">
        <v>1381</v>
      </c>
      <c r="WFZ230" s="508"/>
      <c r="WGA230" s="507" t="s">
        <v>1381</v>
      </c>
      <c r="WGB230" s="508"/>
      <c r="WGC230" s="507" t="s">
        <v>1381</v>
      </c>
      <c r="WGD230" s="508"/>
      <c r="WGE230" s="507" t="s">
        <v>1381</v>
      </c>
      <c r="WGF230" s="508"/>
      <c r="WGG230" s="507" t="s">
        <v>1381</v>
      </c>
      <c r="WGH230" s="508"/>
      <c r="WGI230" s="507" t="s">
        <v>1381</v>
      </c>
      <c r="WGJ230" s="508"/>
      <c r="WGK230" s="507" t="s">
        <v>1381</v>
      </c>
      <c r="WGL230" s="508"/>
      <c r="WGM230" s="507" t="s">
        <v>1381</v>
      </c>
      <c r="WGN230" s="508"/>
      <c r="WGO230" s="507" t="s">
        <v>1381</v>
      </c>
      <c r="WGP230" s="508"/>
      <c r="WGQ230" s="507" t="s">
        <v>1381</v>
      </c>
      <c r="WGR230" s="508"/>
      <c r="WGS230" s="507" t="s">
        <v>1381</v>
      </c>
      <c r="WGT230" s="508"/>
      <c r="WGU230" s="507" t="s">
        <v>1381</v>
      </c>
      <c r="WGV230" s="508"/>
      <c r="WGW230" s="507" t="s">
        <v>1381</v>
      </c>
      <c r="WGX230" s="508"/>
      <c r="WGY230" s="507" t="s">
        <v>1381</v>
      </c>
      <c r="WGZ230" s="508"/>
      <c r="WHA230" s="507" t="s">
        <v>1381</v>
      </c>
      <c r="WHB230" s="508"/>
      <c r="WHC230" s="507" t="s">
        <v>1381</v>
      </c>
      <c r="WHD230" s="508"/>
      <c r="WHE230" s="507" t="s">
        <v>1381</v>
      </c>
      <c r="WHF230" s="508"/>
      <c r="WHG230" s="507" t="s">
        <v>1381</v>
      </c>
      <c r="WHH230" s="508"/>
      <c r="WHI230" s="507" t="s">
        <v>1381</v>
      </c>
      <c r="WHJ230" s="508"/>
      <c r="WHK230" s="507" t="s">
        <v>1381</v>
      </c>
      <c r="WHL230" s="508"/>
      <c r="WHM230" s="507" t="s">
        <v>1381</v>
      </c>
      <c r="WHN230" s="508"/>
      <c r="WHO230" s="507" t="s">
        <v>1381</v>
      </c>
      <c r="WHP230" s="508"/>
      <c r="WHQ230" s="507" t="s">
        <v>1381</v>
      </c>
      <c r="WHR230" s="508"/>
      <c r="WHS230" s="507" t="s">
        <v>1381</v>
      </c>
      <c r="WHT230" s="508"/>
      <c r="WHU230" s="507" t="s">
        <v>1381</v>
      </c>
      <c r="WHV230" s="508"/>
      <c r="WHW230" s="507" t="s">
        <v>1381</v>
      </c>
      <c r="WHX230" s="508"/>
      <c r="WHY230" s="507" t="s">
        <v>1381</v>
      </c>
      <c r="WHZ230" s="508"/>
      <c r="WIA230" s="507" t="s">
        <v>1381</v>
      </c>
      <c r="WIB230" s="508"/>
      <c r="WIC230" s="507" t="s">
        <v>1381</v>
      </c>
      <c r="WID230" s="508"/>
      <c r="WIE230" s="507" t="s">
        <v>1381</v>
      </c>
      <c r="WIF230" s="508"/>
      <c r="WIG230" s="507" t="s">
        <v>1381</v>
      </c>
      <c r="WIH230" s="508"/>
      <c r="WII230" s="507" t="s">
        <v>1381</v>
      </c>
      <c r="WIJ230" s="508"/>
      <c r="WIK230" s="507" t="s">
        <v>1381</v>
      </c>
      <c r="WIL230" s="508"/>
      <c r="WIM230" s="507" t="s">
        <v>1381</v>
      </c>
      <c r="WIN230" s="508"/>
      <c r="WIO230" s="507" t="s">
        <v>1381</v>
      </c>
      <c r="WIP230" s="508"/>
      <c r="WIQ230" s="507" t="s">
        <v>1381</v>
      </c>
      <c r="WIR230" s="508"/>
      <c r="WIS230" s="507" t="s">
        <v>1381</v>
      </c>
      <c r="WIT230" s="508"/>
      <c r="WIU230" s="507" t="s">
        <v>1381</v>
      </c>
      <c r="WIV230" s="508"/>
      <c r="WIW230" s="507" t="s">
        <v>1381</v>
      </c>
      <c r="WIX230" s="508"/>
      <c r="WIY230" s="507" t="s">
        <v>1381</v>
      </c>
      <c r="WIZ230" s="508"/>
      <c r="WJA230" s="507" t="s">
        <v>1381</v>
      </c>
      <c r="WJB230" s="508"/>
      <c r="WJC230" s="507" t="s">
        <v>1381</v>
      </c>
      <c r="WJD230" s="508"/>
      <c r="WJE230" s="507" t="s">
        <v>1381</v>
      </c>
      <c r="WJF230" s="508"/>
      <c r="WJG230" s="507" t="s">
        <v>1381</v>
      </c>
      <c r="WJH230" s="508"/>
      <c r="WJI230" s="507" t="s">
        <v>1381</v>
      </c>
      <c r="WJJ230" s="508"/>
      <c r="WJK230" s="507" t="s">
        <v>1381</v>
      </c>
      <c r="WJL230" s="508"/>
      <c r="WJM230" s="507" t="s">
        <v>1381</v>
      </c>
      <c r="WJN230" s="508"/>
      <c r="WJO230" s="507" t="s">
        <v>1381</v>
      </c>
      <c r="WJP230" s="508"/>
      <c r="WJQ230" s="507" t="s">
        <v>1381</v>
      </c>
      <c r="WJR230" s="508"/>
      <c r="WJS230" s="507" t="s">
        <v>1381</v>
      </c>
      <c r="WJT230" s="508"/>
      <c r="WJU230" s="507" t="s">
        <v>1381</v>
      </c>
      <c r="WJV230" s="508"/>
      <c r="WJW230" s="507" t="s">
        <v>1381</v>
      </c>
      <c r="WJX230" s="508"/>
      <c r="WJY230" s="507" t="s">
        <v>1381</v>
      </c>
      <c r="WJZ230" s="508"/>
      <c r="WKA230" s="507" t="s">
        <v>1381</v>
      </c>
      <c r="WKB230" s="508"/>
      <c r="WKC230" s="507" t="s">
        <v>1381</v>
      </c>
      <c r="WKD230" s="508"/>
      <c r="WKE230" s="507" t="s">
        <v>1381</v>
      </c>
      <c r="WKF230" s="508"/>
      <c r="WKG230" s="507" t="s">
        <v>1381</v>
      </c>
      <c r="WKH230" s="508"/>
      <c r="WKI230" s="507" t="s">
        <v>1381</v>
      </c>
      <c r="WKJ230" s="508"/>
      <c r="WKK230" s="507" t="s">
        <v>1381</v>
      </c>
      <c r="WKL230" s="508"/>
      <c r="WKM230" s="507" t="s">
        <v>1381</v>
      </c>
      <c r="WKN230" s="508"/>
      <c r="WKO230" s="507" t="s">
        <v>1381</v>
      </c>
      <c r="WKP230" s="508"/>
      <c r="WKQ230" s="507" t="s">
        <v>1381</v>
      </c>
      <c r="WKR230" s="508"/>
      <c r="WKS230" s="507" t="s">
        <v>1381</v>
      </c>
      <c r="WKT230" s="508"/>
      <c r="WKU230" s="507" t="s">
        <v>1381</v>
      </c>
      <c r="WKV230" s="508"/>
      <c r="WKW230" s="507" t="s">
        <v>1381</v>
      </c>
      <c r="WKX230" s="508"/>
      <c r="WKY230" s="507" t="s">
        <v>1381</v>
      </c>
      <c r="WKZ230" s="508"/>
      <c r="WLA230" s="507" t="s">
        <v>1381</v>
      </c>
      <c r="WLB230" s="508"/>
      <c r="WLC230" s="507" t="s">
        <v>1381</v>
      </c>
      <c r="WLD230" s="508"/>
      <c r="WLE230" s="507" t="s">
        <v>1381</v>
      </c>
      <c r="WLF230" s="508"/>
      <c r="WLG230" s="507" t="s">
        <v>1381</v>
      </c>
      <c r="WLH230" s="508"/>
      <c r="WLI230" s="507" t="s">
        <v>1381</v>
      </c>
      <c r="WLJ230" s="508"/>
      <c r="WLK230" s="507" t="s">
        <v>1381</v>
      </c>
      <c r="WLL230" s="508"/>
      <c r="WLM230" s="507" t="s">
        <v>1381</v>
      </c>
      <c r="WLN230" s="508"/>
      <c r="WLO230" s="507" t="s">
        <v>1381</v>
      </c>
      <c r="WLP230" s="508"/>
      <c r="WLQ230" s="507" t="s">
        <v>1381</v>
      </c>
      <c r="WLR230" s="508"/>
      <c r="WLS230" s="507" t="s">
        <v>1381</v>
      </c>
      <c r="WLT230" s="508"/>
      <c r="WLU230" s="507" t="s">
        <v>1381</v>
      </c>
      <c r="WLV230" s="508"/>
      <c r="WLW230" s="507" t="s">
        <v>1381</v>
      </c>
      <c r="WLX230" s="508"/>
      <c r="WLY230" s="507" t="s">
        <v>1381</v>
      </c>
      <c r="WLZ230" s="508"/>
      <c r="WMA230" s="507" t="s">
        <v>1381</v>
      </c>
      <c r="WMB230" s="508"/>
      <c r="WMC230" s="507" t="s">
        <v>1381</v>
      </c>
      <c r="WMD230" s="508"/>
      <c r="WME230" s="507" t="s">
        <v>1381</v>
      </c>
      <c r="WMF230" s="508"/>
      <c r="WMG230" s="507" t="s">
        <v>1381</v>
      </c>
      <c r="WMH230" s="508"/>
      <c r="WMI230" s="507" t="s">
        <v>1381</v>
      </c>
      <c r="WMJ230" s="508"/>
      <c r="WMK230" s="507" t="s">
        <v>1381</v>
      </c>
      <c r="WML230" s="508"/>
      <c r="WMM230" s="507" t="s">
        <v>1381</v>
      </c>
      <c r="WMN230" s="508"/>
      <c r="WMO230" s="507" t="s">
        <v>1381</v>
      </c>
      <c r="WMP230" s="508"/>
      <c r="WMQ230" s="507" t="s">
        <v>1381</v>
      </c>
      <c r="WMR230" s="508"/>
      <c r="WMS230" s="507" t="s">
        <v>1381</v>
      </c>
      <c r="WMT230" s="508"/>
      <c r="WMU230" s="507" t="s">
        <v>1381</v>
      </c>
      <c r="WMV230" s="508"/>
      <c r="WMW230" s="507" t="s">
        <v>1381</v>
      </c>
      <c r="WMX230" s="508"/>
      <c r="WMY230" s="507" t="s">
        <v>1381</v>
      </c>
      <c r="WMZ230" s="508"/>
      <c r="WNA230" s="507" t="s">
        <v>1381</v>
      </c>
      <c r="WNB230" s="508"/>
      <c r="WNC230" s="507" t="s">
        <v>1381</v>
      </c>
      <c r="WND230" s="508"/>
      <c r="WNE230" s="507" t="s">
        <v>1381</v>
      </c>
      <c r="WNF230" s="508"/>
      <c r="WNG230" s="507" t="s">
        <v>1381</v>
      </c>
      <c r="WNH230" s="508"/>
      <c r="WNI230" s="507" t="s">
        <v>1381</v>
      </c>
      <c r="WNJ230" s="508"/>
      <c r="WNK230" s="507" t="s">
        <v>1381</v>
      </c>
      <c r="WNL230" s="508"/>
      <c r="WNM230" s="507" t="s">
        <v>1381</v>
      </c>
      <c r="WNN230" s="508"/>
      <c r="WNO230" s="507" t="s">
        <v>1381</v>
      </c>
      <c r="WNP230" s="508"/>
      <c r="WNQ230" s="507" t="s">
        <v>1381</v>
      </c>
      <c r="WNR230" s="508"/>
      <c r="WNS230" s="507" t="s">
        <v>1381</v>
      </c>
      <c r="WNT230" s="508"/>
      <c r="WNU230" s="507" t="s">
        <v>1381</v>
      </c>
      <c r="WNV230" s="508"/>
      <c r="WNW230" s="507" t="s">
        <v>1381</v>
      </c>
      <c r="WNX230" s="508"/>
      <c r="WNY230" s="507" t="s">
        <v>1381</v>
      </c>
      <c r="WNZ230" s="508"/>
      <c r="WOA230" s="507" t="s">
        <v>1381</v>
      </c>
      <c r="WOB230" s="508"/>
      <c r="WOC230" s="507" t="s">
        <v>1381</v>
      </c>
      <c r="WOD230" s="508"/>
      <c r="WOE230" s="507" t="s">
        <v>1381</v>
      </c>
      <c r="WOF230" s="508"/>
      <c r="WOG230" s="507" t="s">
        <v>1381</v>
      </c>
      <c r="WOH230" s="508"/>
      <c r="WOI230" s="507" t="s">
        <v>1381</v>
      </c>
      <c r="WOJ230" s="508"/>
      <c r="WOK230" s="507" t="s">
        <v>1381</v>
      </c>
      <c r="WOL230" s="508"/>
      <c r="WOM230" s="507" t="s">
        <v>1381</v>
      </c>
      <c r="WON230" s="508"/>
      <c r="WOO230" s="507" t="s">
        <v>1381</v>
      </c>
      <c r="WOP230" s="508"/>
      <c r="WOQ230" s="507" t="s">
        <v>1381</v>
      </c>
      <c r="WOR230" s="508"/>
      <c r="WOS230" s="507" t="s">
        <v>1381</v>
      </c>
      <c r="WOT230" s="508"/>
      <c r="WOU230" s="507" t="s">
        <v>1381</v>
      </c>
      <c r="WOV230" s="508"/>
      <c r="WOW230" s="507" t="s">
        <v>1381</v>
      </c>
      <c r="WOX230" s="508"/>
      <c r="WOY230" s="507" t="s">
        <v>1381</v>
      </c>
      <c r="WOZ230" s="508"/>
      <c r="WPA230" s="507" t="s">
        <v>1381</v>
      </c>
      <c r="WPB230" s="508"/>
      <c r="WPC230" s="507" t="s">
        <v>1381</v>
      </c>
      <c r="WPD230" s="508"/>
      <c r="WPE230" s="507" t="s">
        <v>1381</v>
      </c>
      <c r="WPF230" s="508"/>
      <c r="WPG230" s="507" t="s">
        <v>1381</v>
      </c>
      <c r="WPH230" s="508"/>
      <c r="WPI230" s="507" t="s">
        <v>1381</v>
      </c>
      <c r="WPJ230" s="508"/>
      <c r="WPK230" s="507" t="s">
        <v>1381</v>
      </c>
      <c r="WPL230" s="508"/>
      <c r="WPM230" s="507" t="s">
        <v>1381</v>
      </c>
      <c r="WPN230" s="508"/>
      <c r="WPO230" s="507" t="s">
        <v>1381</v>
      </c>
      <c r="WPP230" s="508"/>
      <c r="WPQ230" s="507" t="s">
        <v>1381</v>
      </c>
      <c r="WPR230" s="508"/>
      <c r="WPS230" s="507" t="s">
        <v>1381</v>
      </c>
      <c r="WPT230" s="508"/>
      <c r="WPU230" s="507" t="s">
        <v>1381</v>
      </c>
      <c r="WPV230" s="508"/>
      <c r="WPW230" s="507" t="s">
        <v>1381</v>
      </c>
      <c r="WPX230" s="508"/>
      <c r="WPY230" s="507" t="s">
        <v>1381</v>
      </c>
      <c r="WPZ230" s="508"/>
      <c r="WQA230" s="507" t="s">
        <v>1381</v>
      </c>
      <c r="WQB230" s="508"/>
      <c r="WQC230" s="507" t="s">
        <v>1381</v>
      </c>
      <c r="WQD230" s="508"/>
      <c r="WQE230" s="507" t="s">
        <v>1381</v>
      </c>
      <c r="WQF230" s="508"/>
      <c r="WQG230" s="507" t="s">
        <v>1381</v>
      </c>
      <c r="WQH230" s="508"/>
      <c r="WQI230" s="507" t="s">
        <v>1381</v>
      </c>
      <c r="WQJ230" s="508"/>
      <c r="WQK230" s="507" t="s">
        <v>1381</v>
      </c>
      <c r="WQL230" s="508"/>
      <c r="WQM230" s="507" t="s">
        <v>1381</v>
      </c>
      <c r="WQN230" s="508"/>
      <c r="WQO230" s="507" t="s">
        <v>1381</v>
      </c>
      <c r="WQP230" s="508"/>
      <c r="WQQ230" s="507" t="s">
        <v>1381</v>
      </c>
      <c r="WQR230" s="508"/>
      <c r="WQS230" s="507" t="s">
        <v>1381</v>
      </c>
      <c r="WQT230" s="508"/>
      <c r="WQU230" s="507" t="s">
        <v>1381</v>
      </c>
      <c r="WQV230" s="508"/>
      <c r="WQW230" s="507" t="s">
        <v>1381</v>
      </c>
      <c r="WQX230" s="508"/>
      <c r="WQY230" s="507" t="s">
        <v>1381</v>
      </c>
      <c r="WQZ230" s="508"/>
      <c r="WRA230" s="507" t="s">
        <v>1381</v>
      </c>
      <c r="WRB230" s="508"/>
      <c r="WRC230" s="507" t="s">
        <v>1381</v>
      </c>
      <c r="WRD230" s="508"/>
      <c r="WRE230" s="507" t="s">
        <v>1381</v>
      </c>
      <c r="WRF230" s="508"/>
      <c r="WRG230" s="507" t="s">
        <v>1381</v>
      </c>
      <c r="WRH230" s="508"/>
      <c r="WRI230" s="507" t="s">
        <v>1381</v>
      </c>
      <c r="WRJ230" s="508"/>
      <c r="WRK230" s="507" t="s">
        <v>1381</v>
      </c>
      <c r="WRL230" s="508"/>
      <c r="WRM230" s="507" t="s">
        <v>1381</v>
      </c>
      <c r="WRN230" s="508"/>
      <c r="WRO230" s="507" t="s">
        <v>1381</v>
      </c>
      <c r="WRP230" s="508"/>
      <c r="WRQ230" s="507" t="s">
        <v>1381</v>
      </c>
      <c r="WRR230" s="508"/>
      <c r="WRS230" s="507" t="s">
        <v>1381</v>
      </c>
      <c r="WRT230" s="508"/>
      <c r="WRU230" s="507" t="s">
        <v>1381</v>
      </c>
      <c r="WRV230" s="508"/>
      <c r="WRW230" s="507" t="s">
        <v>1381</v>
      </c>
      <c r="WRX230" s="508"/>
      <c r="WRY230" s="507" t="s">
        <v>1381</v>
      </c>
      <c r="WRZ230" s="508"/>
      <c r="WSA230" s="507" t="s">
        <v>1381</v>
      </c>
      <c r="WSB230" s="508"/>
      <c r="WSC230" s="507" t="s">
        <v>1381</v>
      </c>
      <c r="WSD230" s="508"/>
      <c r="WSE230" s="507" t="s">
        <v>1381</v>
      </c>
      <c r="WSF230" s="508"/>
      <c r="WSG230" s="507" t="s">
        <v>1381</v>
      </c>
      <c r="WSH230" s="508"/>
      <c r="WSI230" s="507" t="s">
        <v>1381</v>
      </c>
      <c r="WSJ230" s="508"/>
      <c r="WSK230" s="507" t="s">
        <v>1381</v>
      </c>
      <c r="WSL230" s="508"/>
      <c r="WSM230" s="507" t="s">
        <v>1381</v>
      </c>
      <c r="WSN230" s="508"/>
      <c r="WSO230" s="507" t="s">
        <v>1381</v>
      </c>
      <c r="WSP230" s="508"/>
      <c r="WSQ230" s="507" t="s">
        <v>1381</v>
      </c>
      <c r="WSR230" s="508"/>
      <c r="WSS230" s="507" t="s">
        <v>1381</v>
      </c>
      <c r="WST230" s="508"/>
      <c r="WSU230" s="507" t="s">
        <v>1381</v>
      </c>
      <c r="WSV230" s="508"/>
      <c r="WSW230" s="507" t="s">
        <v>1381</v>
      </c>
      <c r="WSX230" s="508"/>
      <c r="WSY230" s="507" t="s">
        <v>1381</v>
      </c>
      <c r="WSZ230" s="508"/>
      <c r="WTA230" s="507" t="s">
        <v>1381</v>
      </c>
      <c r="WTB230" s="508"/>
      <c r="WTC230" s="507" t="s">
        <v>1381</v>
      </c>
      <c r="WTD230" s="508"/>
      <c r="WTE230" s="507" t="s">
        <v>1381</v>
      </c>
      <c r="WTF230" s="508"/>
      <c r="WTG230" s="507" t="s">
        <v>1381</v>
      </c>
      <c r="WTH230" s="508"/>
      <c r="WTI230" s="507" t="s">
        <v>1381</v>
      </c>
      <c r="WTJ230" s="508"/>
      <c r="WTK230" s="507" t="s">
        <v>1381</v>
      </c>
      <c r="WTL230" s="508"/>
      <c r="WTM230" s="507" t="s">
        <v>1381</v>
      </c>
      <c r="WTN230" s="508"/>
      <c r="WTO230" s="507" t="s">
        <v>1381</v>
      </c>
      <c r="WTP230" s="508"/>
      <c r="WTQ230" s="507" t="s">
        <v>1381</v>
      </c>
      <c r="WTR230" s="508"/>
      <c r="WTS230" s="507" t="s">
        <v>1381</v>
      </c>
      <c r="WTT230" s="508"/>
      <c r="WTU230" s="507" t="s">
        <v>1381</v>
      </c>
      <c r="WTV230" s="508"/>
      <c r="WTW230" s="507" t="s">
        <v>1381</v>
      </c>
      <c r="WTX230" s="508"/>
      <c r="WTY230" s="507" t="s">
        <v>1381</v>
      </c>
      <c r="WTZ230" s="508"/>
      <c r="WUA230" s="507" t="s">
        <v>1381</v>
      </c>
      <c r="WUB230" s="508"/>
      <c r="WUC230" s="507" t="s">
        <v>1381</v>
      </c>
      <c r="WUD230" s="508"/>
      <c r="WUE230" s="507" t="s">
        <v>1381</v>
      </c>
      <c r="WUF230" s="508"/>
      <c r="WUG230" s="507" t="s">
        <v>1381</v>
      </c>
      <c r="WUH230" s="508"/>
      <c r="WUI230" s="507" t="s">
        <v>1381</v>
      </c>
      <c r="WUJ230" s="508"/>
      <c r="WUK230" s="507" t="s">
        <v>1381</v>
      </c>
      <c r="WUL230" s="508"/>
      <c r="WUM230" s="507" t="s">
        <v>1381</v>
      </c>
      <c r="WUN230" s="508"/>
      <c r="WUO230" s="507" t="s">
        <v>1381</v>
      </c>
      <c r="WUP230" s="508"/>
      <c r="WUQ230" s="507" t="s">
        <v>1381</v>
      </c>
      <c r="WUR230" s="508"/>
      <c r="WUS230" s="507" t="s">
        <v>1381</v>
      </c>
      <c r="WUT230" s="508"/>
      <c r="WUU230" s="507" t="s">
        <v>1381</v>
      </c>
      <c r="WUV230" s="508"/>
      <c r="WUW230" s="507" t="s">
        <v>1381</v>
      </c>
      <c r="WUX230" s="508"/>
      <c r="WUY230" s="507" t="s">
        <v>1381</v>
      </c>
      <c r="WUZ230" s="508"/>
      <c r="WVA230" s="507" t="s">
        <v>1381</v>
      </c>
      <c r="WVB230" s="508"/>
      <c r="WVC230" s="507" t="s">
        <v>1381</v>
      </c>
      <c r="WVD230" s="508"/>
      <c r="WVE230" s="507" t="s">
        <v>1381</v>
      </c>
      <c r="WVF230" s="508"/>
      <c r="WVG230" s="507" t="s">
        <v>1381</v>
      </c>
      <c r="WVH230" s="508"/>
      <c r="WVI230" s="507" t="s">
        <v>1381</v>
      </c>
      <c r="WVJ230" s="508"/>
      <c r="WVK230" s="507" t="s">
        <v>1381</v>
      </c>
      <c r="WVL230" s="508"/>
      <c r="WVM230" s="507" t="s">
        <v>1381</v>
      </c>
      <c r="WVN230" s="508"/>
      <c r="WVO230" s="507" t="s">
        <v>1381</v>
      </c>
      <c r="WVP230" s="508"/>
      <c r="WVQ230" s="507" t="s">
        <v>1381</v>
      </c>
      <c r="WVR230" s="508"/>
      <c r="WVS230" s="507" t="s">
        <v>1381</v>
      </c>
      <c r="WVT230" s="508"/>
      <c r="WVU230" s="507" t="s">
        <v>1381</v>
      </c>
      <c r="WVV230" s="508"/>
      <c r="WVW230" s="507" t="s">
        <v>1381</v>
      </c>
      <c r="WVX230" s="508"/>
      <c r="WVY230" s="507" t="s">
        <v>1381</v>
      </c>
      <c r="WVZ230" s="508"/>
      <c r="WWA230" s="507" t="s">
        <v>1381</v>
      </c>
      <c r="WWB230" s="508"/>
      <c r="WWC230" s="507" t="s">
        <v>1381</v>
      </c>
      <c r="WWD230" s="508"/>
      <c r="WWE230" s="507" t="s">
        <v>1381</v>
      </c>
      <c r="WWF230" s="508"/>
      <c r="WWG230" s="507" t="s">
        <v>1381</v>
      </c>
      <c r="WWH230" s="508"/>
      <c r="WWI230" s="507" t="s">
        <v>1381</v>
      </c>
      <c r="WWJ230" s="508"/>
      <c r="WWK230" s="507" t="s">
        <v>1381</v>
      </c>
      <c r="WWL230" s="508"/>
      <c r="WWM230" s="507" t="s">
        <v>1381</v>
      </c>
      <c r="WWN230" s="508"/>
      <c r="WWO230" s="507" t="s">
        <v>1381</v>
      </c>
      <c r="WWP230" s="508"/>
      <c r="WWQ230" s="507" t="s">
        <v>1381</v>
      </c>
      <c r="WWR230" s="508"/>
      <c r="WWS230" s="507" t="s">
        <v>1381</v>
      </c>
      <c r="WWT230" s="508"/>
      <c r="WWU230" s="507" t="s">
        <v>1381</v>
      </c>
      <c r="WWV230" s="508"/>
      <c r="WWW230" s="507" t="s">
        <v>1381</v>
      </c>
      <c r="WWX230" s="508"/>
      <c r="WWY230" s="507" t="s">
        <v>1381</v>
      </c>
      <c r="WWZ230" s="508"/>
      <c r="WXA230" s="507" t="s">
        <v>1381</v>
      </c>
      <c r="WXB230" s="508"/>
      <c r="WXC230" s="507" t="s">
        <v>1381</v>
      </c>
      <c r="WXD230" s="508"/>
      <c r="WXE230" s="507" t="s">
        <v>1381</v>
      </c>
      <c r="WXF230" s="508"/>
      <c r="WXG230" s="507" t="s">
        <v>1381</v>
      </c>
      <c r="WXH230" s="508"/>
      <c r="WXI230" s="507" t="s">
        <v>1381</v>
      </c>
      <c r="WXJ230" s="508"/>
      <c r="WXK230" s="507" t="s">
        <v>1381</v>
      </c>
      <c r="WXL230" s="508"/>
      <c r="WXM230" s="507" t="s">
        <v>1381</v>
      </c>
      <c r="WXN230" s="508"/>
      <c r="WXO230" s="507" t="s">
        <v>1381</v>
      </c>
      <c r="WXP230" s="508"/>
      <c r="WXQ230" s="507" t="s">
        <v>1381</v>
      </c>
      <c r="WXR230" s="508"/>
      <c r="WXS230" s="507" t="s">
        <v>1381</v>
      </c>
      <c r="WXT230" s="508"/>
      <c r="WXU230" s="507" t="s">
        <v>1381</v>
      </c>
      <c r="WXV230" s="508"/>
      <c r="WXW230" s="507" t="s">
        <v>1381</v>
      </c>
      <c r="WXX230" s="508"/>
      <c r="WXY230" s="507" t="s">
        <v>1381</v>
      </c>
      <c r="WXZ230" s="508"/>
      <c r="WYA230" s="507" t="s">
        <v>1381</v>
      </c>
      <c r="WYB230" s="508"/>
      <c r="WYC230" s="507" t="s">
        <v>1381</v>
      </c>
      <c r="WYD230" s="508"/>
      <c r="WYE230" s="507" t="s">
        <v>1381</v>
      </c>
      <c r="WYF230" s="508"/>
      <c r="WYG230" s="507" t="s">
        <v>1381</v>
      </c>
      <c r="WYH230" s="508"/>
      <c r="WYI230" s="507" t="s">
        <v>1381</v>
      </c>
      <c r="WYJ230" s="508"/>
      <c r="WYK230" s="507" t="s">
        <v>1381</v>
      </c>
      <c r="WYL230" s="508"/>
      <c r="WYM230" s="507" t="s">
        <v>1381</v>
      </c>
      <c r="WYN230" s="508"/>
      <c r="WYO230" s="507" t="s">
        <v>1381</v>
      </c>
      <c r="WYP230" s="508"/>
      <c r="WYQ230" s="507" t="s">
        <v>1381</v>
      </c>
      <c r="WYR230" s="508"/>
      <c r="WYS230" s="507" t="s">
        <v>1381</v>
      </c>
      <c r="WYT230" s="508"/>
      <c r="WYU230" s="507" t="s">
        <v>1381</v>
      </c>
      <c r="WYV230" s="508"/>
      <c r="WYW230" s="507" t="s">
        <v>1381</v>
      </c>
      <c r="WYX230" s="508"/>
      <c r="WYY230" s="507" t="s">
        <v>1381</v>
      </c>
      <c r="WYZ230" s="508"/>
      <c r="WZA230" s="507" t="s">
        <v>1381</v>
      </c>
      <c r="WZB230" s="508"/>
      <c r="WZC230" s="507" t="s">
        <v>1381</v>
      </c>
      <c r="WZD230" s="508"/>
      <c r="WZE230" s="507" t="s">
        <v>1381</v>
      </c>
      <c r="WZF230" s="508"/>
      <c r="WZG230" s="507" t="s">
        <v>1381</v>
      </c>
      <c r="WZH230" s="508"/>
      <c r="WZI230" s="507" t="s">
        <v>1381</v>
      </c>
      <c r="WZJ230" s="508"/>
      <c r="WZK230" s="507" t="s">
        <v>1381</v>
      </c>
      <c r="WZL230" s="508"/>
      <c r="WZM230" s="507" t="s">
        <v>1381</v>
      </c>
      <c r="WZN230" s="508"/>
      <c r="WZO230" s="507" t="s">
        <v>1381</v>
      </c>
      <c r="WZP230" s="508"/>
      <c r="WZQ230" s="507" t="s">
        <v>1381</v>
      </c>
      <c r="WZR230" s="508"/>
      <c r="WZS230" s="507" t="s">
        <v>1381</v>
      </c>
      <c r="WZT230" s="508"/>
      <c r="WZU230" s="507" t="s">
        <v>1381</v>
      </c>
      <c r="WZV230" s="508"/>
      <c r="WZW230" s="507" t="s">
        <v>1381</v>
      </c>
      <c r="WZX230" s="508"/>
      <c r="WZY230" s="507" t="s">
        <v>1381</v>
      </c>
      <c r="WZZ230" s="508"/>
      <c r="XAA230" s="507" t="s">
        <v>1381</v>
      </c>
      <c r="XAB230" s="508"/>
      <c r="XAC230" s="507" t="s">
        <v>1381</v>
      </c>
      <c r="XAD230" s="508"/>
      <c r="XAE230" s="507" t="s">
        <v>1381</v>
      </c>
      <c r="XAF230" s="508"/>
      <c r="XAG230" s="507" t="s">
        <v>1381</v>
      </c>
      <c r="XAH230" s="508"/>
      <c r="XAI230" s="507" t="s">
        <v>1381</v>
      </c>
      <c r="XAJ230" s="508"/>
      <c r="XAK230" s="507" t="s">
        <v>1381</v>
      </c>
      <c r="XAL230" s="508"/>
      <c r="XAM230" s="507" t="s">
        <v>1381</v>
      </c>
      <c r="XAN230" s="508"/>
      <c r="XAO230" s="507" t="s">
        <v>1381</v>
      </c>
      <c r="XAP230" s="508"/>
      <c r="XAQ230" s="507" t="s">
        <v>1381</v>
      </c>
      <c r="XAR230" s="508"/>
      <c r="XAS230" s="507" t="s">
        <v>1381</v>
      </c>
      <c r="XAT230" s="508"/>
      <c r="XAU230" s="507" t="s">
        <v>1381</v>
      </c>
      <c r="XAV230" s="508"/>
      <c r="XAW230" s="507" t="s">
        <v>1381</v>
      </c>
      <c r="XAX230" s="508"/>
      <c r="XAY230" s="507" t="s">
        <v>1381</v>
      </c>
      <c r="XAZ230" s="508"/>
      <c r="XBA230" s="507" t="s">
        <v>1381</v>
      </c>
      <c r="XBB230" s="508"/>
      <c r="XBC230" s="507" t="s">
        <v>1381</v>
      </c>
      <c r="XBD230" s="508"/>
      <c r="XBE230" s="507" t="s">
        <v>1381</v>
      </c>
      <c r="XBF230" s="508"/>
      <c r="XBG230" s="507" t="s">
        <v>1381</v>
      </c>
      <c r="XBH230" s="508"/>
      <c r="XBI230" s="507" t="s">
        <v>1381</v>
      </c>
      <c r="XBJ230" s="508"/>
      <c r="XBK230" s="507" t="s">
        <v>1381</v>
      </c>
      <c r="XBL230" s="508"/>
      <c r="XBM230" s="507" t="s">
        <v>1381</v>
      </c>
      <c r="XBN230" s="508"/>
      <c r="XBO230" s="507" t="s">
        <v>1381</v>
      </c>
      <c r="XBP230" s="508"/>
      <c r="XBQ230" s="507" t="s">
        <v>1381</v>
      </c>
      <c r="XBR230" s="508"/>
      <c r="XBS230" s="507" t="s">
        <v>1381</v>
      </c>
      <c r="XBT230" s="508"/>
      <c r="XBU230" s="507" t="s">
        <v>1381</v>
      </c>
      <c r="XBV230" s="508"/>
      <c r="XBW230" s="507" t="s">
        <v>1381</v>
      </c>
      <c r="XBX230" s="508"/>
      <c r="XBY230" s="507" t="s">
        <v>1381</v>
      </c>
      <c r="XBZ230" s="508"/>
      <c r="XCA230" s="507" t="s">
        <v>1381</v>
      </c>
      <c r="XCB230" s="508"/>
      <c r="XCC230" s="507" t="s">
        <v>1381</v>
      </c>
      <c r="XCD230" s="508"/>
      <c r="XCE230" s="507" t="s">
        <v>1381</v>
      </c>
      <c r="XCF230" s="508"/>
      <c r="XCG230" s="507" t="s">
        <v>1381</v>
      </c>
      <c r="XCH230" s="508"/>
      <c r="XCI230" s="507" t="s">
        <v>1381</v>
      </c>
      <c r="XCJ230" s="508"/>
      <c r="XCK230" s="507" t="s">
        <v>1381</v>
      </c>
      <c r="XCL230" s="508"/>
      <c r="XCM230" s="507" t="s">
        <v>1381</v>
      </c>
      <c r="XCN230" s="508"/>
      <c r="XCO230" s="507" t="s">
        <v>1381</v>
      </c>
      <c r="XCP230" s="508"/>
      <c r="XCQ230" s="507" t="s">
        <v>1381</v>
      </c>
      <c r="XCR230" s="508"/>
      <c r="XCS230" s="507" t="s">
        <v>1381</v>
      </c>
      <c r="XCT230" s="508"/>
      <c r="XCU230" s="507" t="s">
        <v>1381</v>
      </c>
      <c r="XCV230" s="508"/>
      <c r="XCW230" s="507" t="s">
        <v>1381</v>
      </c>
      <c r="XCX230" s="508"/>
      <c r="XCY230" s="507" t="s">
        <v>1381</v>
      </c>
      <c r="XCZ230" s="508"/>
      <c r="XDA230" s="507" t="s">
        <v>1381</v>
      </c>
      <c r="XDB230" s="508"/>
      <c r="XDC230" s="507" t="s">
        <v>1381</v>
      </c>
      <c r="XDD230" s="508"/>
      <c r="XDE230" s="507" t="s">
        <v>1381</v>
      </c>
      <c r="XDF230" s="508"/>
      <c r="XDG230" s="507" t="s">
        <v>1381</v>
      </c>
      <c r="XDH230" s="508"/>
      <c r="XDI230" s="507" t="s">
        <v>1381</v>
      </c>
      <c r="XDJ230" s="508"/>
      <c r="XDK230" s="507" t="s">
        <v>1381</v>
      </c>
      <c r="XDL230" s="508"/>
      <c r="XDM230" s="507" t="s">
        <v>1381</v>
      </c>
      <c r="XDN230" s="508"/>
      <c r="XDO230" s="507" t="s">
        <v>1381</v>
      </c>
      <c r="XDP230" s="508"/>
      <c r="XDQ230" s="507" t="s">
        <v>1381</v>
      </c>
      <c r="XDR230" s="508"/>
      <c r="XDS230" s="507" t="s">
        <v>1381</v>
      </c>
      <c r="XDT230" s="508"/>
      <c r="XDU230" s="507" t="s">
        <v>1381</v>
      </c>
      <c r="XDV230" s="508"/>
      <c r="XDW230" s="507" t="s">
        <v>1381</v>
      </c>
      <c r="XDX230" s="508"/>
      <c r="XDY230" s="507" t="s">
        <v>1381</v>
      </c>
      <c r="XDZ230" s="508"/>
      <c r="XEA230" s="507" t="s">
        <v>1381</v>
      </c>
      <c r="XEB230" s="508"/>
      <c r="XEC230" s="507" t="s">
        <v>1381</v>
      </c>
      <c r="XED230" s="508"/>
      <c r="XEE230" s="507" t="s">
        <v>1381</v>
      </c>
      <c r="XEF230" s="508"/>
      <c r="XEG230" s="507" t="s">
        <v>1381</v>
      </c>
      <c r="XEH230" s="508"/>
      <c r="XEI230" s="507" t="s">
        <v>1381</v>
      </c>
      <c r="XEJ230" s="508"/>
      <c r="XEK230" s="507" t="s">
        <v>1381</v>
      </c>
      <c r="XEL230" s="508"/>
      <c r="XEM230" s="507" t="s">
        <v>1381</v>
      </c>
      <c r="XEN230" s="508"/>
      <c r="XEO230" s="507" t="s">
        <v>1381</v>
      </c>
      <c r="XEP230" s="508"/>
      <c r="XEQ230" s="507" t="s">
        <v>1381</v>
      </c>
      <c r="XER230" s="508"/>
      <c r="XES230" s="507" t="s">
        <v>1381</v>
      </c>
      <c r="XET230" s="508"/>
      <c r="XEU230" s="507" t="s">
        <v>1381</v>
      </c>
      <c r="XEV230" s="508"/>
      <c r="XEW230" s="507" t="s">
        <v>1381</v>
      </c>
      <c r="XEX230" s="508"/>
      <c r="XEY230" s="507" t="s">
        <v>1381</v>
      </c>
      <c r="XEZ230" s="508"/>
      <c r="XFA230" s="507" t="s">
        <v>1381</v>
      </c>
      <c r="XFB230" s="508"/>
      <c r="XFC230" s="507" t="s">
        <v>1381</v>
      </c>
      <c r="XFD230" s="508"/>
    </row>
    <row r="231" spans="1:16384" ht="15.75" customHeight="1" x14ac:dyDescent="0.25">
      <c r="A231" s="309"/>
      <c r="B231" s="311" t="s">
        <v>1321</v>
      </c>
      <c r="C231" s="311"/>
      <c r="D231" s="311"/>
      <c r="E231" s="312"/>
      <c r="F231" s="311"/>
    </row>
    <row r="232" spans="1:16384" ht="15.75" x14ac:dyDescent="0.25">
      <c r="A232" s="309"/>
      <c r="B232" s="311" t="s">
        <v>1323</v>
      </c>
      <c r="C232" s="311" t="s">
        <v>1457</v>
      </c>
      <c r="D232" s="311"/>
      <c r="E232" s="312"/>
      <c r="F232" s="311"/>
    </row>
    <row r="233" spans="1:16384" ht="15.75" x14ac:dyDescent="0.25">
      <c r="A233" s="309"/>
      <c r="B233" s="311" t="s">
        <v>1324</v>
      </c>
      <c r="C233" s="311">
        <v>962</v>
      </c>
      <c r="D233" s="311"/>
      <c r="E233" s="312"/>
      <c r="F233" s="311"/>
    </row>
    <row r="234" spans="1:16384" ht="15.75" x14ac:dyDescent="0.25">
      <c r="A234" s="309"/>
      <c r="B234" s="326" t="s">
        <v>1403</v>
      </c>
      <c r="C234" s="311" t="s">
        <v>1458</v>
      </c>
      <c r="D234" s="311"/>
      <c r="E234" s="312"/>
      <c r="F234" s="311"/>
    </row>
    <row r="235" spans="1:16384" ht="15.75" x14ac:dyDescent="0.25">
      <c r="A235" s="309"/>
      <c r="B235" s="311" t="s">
        <v>1325</v>
      </c>
      <c r="C235" s="311" t="s">
        <v>1459</v>
      </c>
      <c r="D235" s="311"/>
      <c r="E235" s="312"/>
      <c r="F235" s="311"/>
    </row>
    <row r="236" spans="1:16384" ht="15.75" x14ac:dyDescent="0.25">
      <c r="A236" s="309"/>
      <c r="B236" s="311" t="s">
        <v>1326</v>
      </c>
      <c r="C236" s="311" t="s">
        <v>1446</v>
      </c>
      <c r="D236" s="311"/>
      <c r="E236" s="312"/>
      <c r="F236" s="311"/>
    </row>
    <row r="237" spans="1:16384" ht="15.75" x14ac:dyDescent="0.25">
      <c r="A237" s="309"/>
      <c r="B237" s="326" t="s">
        <v>1403</v>
      </c>
      <c r="C237" s="311" t="s">
        <v>1460</v>
      </c>
      <c r="D237" s="311"/>
      <c r="E237" s="312"/>
      <c r="F237" s="311"/>
    </row>
    <row r="238" spans="1:16384" ht="15.75" x14ac:dyDescent="0.25">
      <c r="A238" s="309"/>
      <c r="B238" s="311" t="s">
        <v>1325</v>
      </c>
      <c r="C238" s="311" t="s">
        <v>1459</v>
      </c>
      <c r="D238" s="311"/>
      <c r="E238" s="312"/>
      <c r="F238" s="311"/>
    </row>
    <row r="239" spans="1:16384" ht="15.75" x14ac:dyDescent="0.25">
      <c r="A239" s="309"/>
      <c r="B239" s="311" t="s">
        <v>1327</v>
      </c>
      <c r="C239" s="311" t="s">
        <v>1448</v>
      </c>
      <c r="D239" s="311"/>
      <c r="E239" s="312"/>
      <c r="F239" s="311"/>
    </row>
    <row r="240" spans="1:16384" ht="15.75" x14ac:dyDescent="0.25">
      <c r="A240" s="309"/>
      <c r="B240" s="326" t="s">
        <v>1403</v>
      </c>
      <c r="C240" s="311" t="s">
        <v>1461</v>
      </c>
      <c r="D240" s="311"/>
      <c r="E240" s="312"/>
      <c r="F240" s="311"/>
    </row>
    <row r="241" spans="1:6" ht="15.75" x14ac:dyDescent="0.25">
      <c r="A241" s="309"/>
      <c r="B241" s="311" t="s">
        <v>1328</v>
      </c>
      <c r="C241" s="311" t="s">
        <v>1462</v>
      </c>
      <c r="D241" s="311"/>
      <c r="E241" s="312"/>
      <c r="F241" s="311"/>
    </row>
    <row r="242" spans="1:6" ht="15.75" x14ac:dyDescent="0.25">
      <c r="A242" s="309"/>
      <c r="B242" s="311" t="s">
        <v>1319</v>
      </c>
      <c r="C242" s="311" t="s">
        <v>1451</v>
      </c>
      <c r="D242" s="311"/>
      <c r="E242" s="312"/>
      <c r="F242" s="311"/>
    </row>
    <row r="243" spans="1:6" ht="15.75" x14ac:dyDescent="0.25">
      <c r="A243" s="309"/>
      <c r="B243" s="326" t="s">
        <v>1403</v>
      </c>
      <c r="C243" s="311" t="s">
        <v>1463</v>
      </c>
      <c r="D243" s="311"/>
      <c r="E243" s="312"/>
      <c r="F243" s="311"/>
    </row>
    <row r="244" spans="1:6" ht="15.75" x14ac:dyDescent="0.25">
      <c r="A244" s="309"/>
      <c r="B244" s="311" t="s">
        <v>836</v>
      </c>
      <c r="C244" s="311"/>
      <c r="D244" s="311"/>
      <c r="E244" s="312"/>
      <c r="F244" s="311"/>
    </row>
    <row r="245" spans="1:6" ht="15.75" x14ac:dyDescent="0.25">
      <c r="A245" s="309"/>
      <c r="B245" s="311" t="s">
        <v>836</v>
      </c>
      <c r="C245" s="311"/>
      <c r="D245" s="311"/>
      <c r="E245" s="312"/>
      <c r="F245" s="311"/>
    </row>
    <row r="246" spans="1:6" ht="15.75" x14ac:dyDescent="0.25">
      <c r="A246" s="309"/>
      <c r="B246" s="311" t="s">
        <v>1329</v>
      </c>
      <c r="C246" s="311"/>
      <c r="D246" s="311"/>
      <c r="E246" s="312"/>
      <c r="F246" s="311"/>
    </row>
    <row r="247" spans="1:6" ht="15.75" x14ac:dyDescent="0.25">
      <c r="A247" s="309"/>
      <c r="B247" s="311" t="s">
        <v>1330</v>
      </c>
      <c r="C247" s="311"/>
      <c r="D247" s="311"/>
      <c r="E247" s="312"/>
      <c r="F247" s="311"/>
    </row>
    <row r="248" spans="1:6" ht="15.75" x14ac:dyDescent="0.25">
      <c r="A248" s="309"/>
      <c r="B248" s="311" t="s">
        <v>1328</v>
      </c>
      <c r="C248" s="311" t="s">
        <v>1462</v>
      </c>
      <c r="D248" s="311"/>
      <c r="E248" s="312"/>
      <c r="F248" s="311"/>
    </row>
    <row r="249" spans="1:6" ht="15.75" x14ac:dyDescent="0.25">
      <c r="A249" s="309"/>
      <c r="B249" s="311" t="s">
        <v>1320</v>
      </c>
      <c r="C249" s="311" t="s">
        <v>1453</v>
      </c>
      <c r="D249" s="311"/>
      <c r="E249" s="312"/>
      <c r="F249" s="311"/>
    </row>
    <row r="250" spans="1:6" ht="15.75" x14ac:dyDescent="0.25">
      <c r="A250" s="309"/>
      <c r="B250" s="311" t="s">
        <v>1403</v>
      </c>
      <c r="C250" s="311" t="s">
        <v>1464</v>
      </c>
      <c r="D250" s="311"/>
      <c r="E250" s="312"/>
      <c r="F250" s="311"/>
    </row>
    <row r="251" spans="1:6" ht="15.75" x14ac:dyDescent="0.25">
      <c r="A251" s="309"/>
      <c r="B251" s="311" t="s">
        <v>1328</v>
      </c>
      <c r="C251" s="311" t="s">
        <v>1462</v>
      </c>
      <c r="D251" s="311"/>
      <c r="E251" s="312"/>
      <c r="F251" s="311"/>
    </row>
    <row r="252" spans="1:6" ht="15.75" x14ac:dyDescent="0.25">
      <c r="A252" s="309"/>
      <c r="B252" s="311" t="s">
        <v>1321</v>
      </c>
      <c r="C252" s="311" t="s">
        <v>1455</v>
      </c>
      <c r="D252" s="311"/>
      <c r="E252" s="312"/>
      <c r="F252" s="311"/>
    </row>
    <row r="253" spans="1:6" ht="15.75" x14ac:dyDescent="0.25">
      <c r="A253" s="309"/>
      <c r="B253" s="311" t="s">
        <v>1403</v>
      </c>
      <c r="C253" s="311" t="s">
        <v>1465</v>
      </c>
      <c r="D253" s="311"/>
      <c r="E253" s="312"/>
      <c r="F253" s="311"/>
    </row>
    <row r="254" spans="1:6" ht="15.75" customHeight="1" x14ac:dyDescent="0.25">
      <c r="A254" s="512" t="s">
        <v>1331</v>
      </c>
      <c r="B254" s="514"/>
      <c r="C254" s="311"/>
      <c r="D254" s="311"/>
      <c r="E254" s="312"/>
      <c r="F254" s="311"/>
    </row>
    <row r="255" spans="1:6" ht="15.75" x14ac:dyDescent="0.25">
      <c r="A255" s="309"/>
      <c r="B255" s="311" t="s">
        <v>1332</v>
      </c>
      <c r="C255" s="311" t="s">
        <v>1466</v>
      </c>
      <c r="D255" s="311"/>
      <c r="E255" s="312"/>
      <c r="F255" s="311"/>
    </row>
    <row r="256" spans="1:6" ht="15.75" x14ac:dyDescent="0.25">
      <c r="A256" s="309"/>
      <c r="B256" s="311" t="s">
        <v>1333</v>
      </c>
      <c r="C256" s="311" t="s">
        <v>1467</v>
      </c>
      <c r="D256" s="311"/>
      <c r="E256" s="312"/>
      <c r="F256" s="311"/>
    </row>
    <row r="257" spans="1:6" ht="15.75" x14ac:dyDescent="0.25">
      <c r="A257" s="309"/>
      <c r="B257" s="311" t="s">
        <v>1334</v>
      </c>
      <c r="C257" s="311" t="s">
        <v>1468</v>
      </c>
      <c r="D257" s="311"/>
      <c r="E257" s="312"/>
      <c r="F257" s="311"/>
    </row>
    <row r="258" spans="1:6" ht="15.75" x14ac:dyDescent="0.25">
      <c r="A258" s="309"/>
      <c r="B258" s="311" t="s">
        <v>1335</v>
      </c>
      <c r="C258" s="311" t="s">
        <v>1469</v>
      </c>
      <c r="D258" s="311"/>
      <c r="E258" s="312"/>
      <c r="F258" s="311"/>
    </row>
    <row r="259" spans="1:6" ht="15.75" x14ac:dyDescent="0.25">
      <c r="A259" s="309"/>
      <c r="B259" s="311" t="s">
        <v>1336</v>
      </c>
      <c r="C259" s="311" t="s">
        <v>1470</v>
      </c>
      <c r="D259" s="311"/>
      <c r="E259" s="312"/>
      <c r="F259" s="311"/>
    </row>
    <row r="260" spans="1:6" ht="15.75" x14ac:dyDescent="0.25">
      <c r="A260" s="309"/>
      <c r="B260" s="311" t="s">
        <v>1337</v>
      </c>
      <c r="C260" s="311" t="s">
        <v>1471</v>
      </c>
      <c r="D260" s="311"/>
      <c r="E260" s="312"/>
      <c r="F260" s="311"/>
    </row>
    <row r="261" spans="1:6" ht="15.75" x14ac:dyDescent="0.25">
      <c r="A261" s="309"/>
      <c r="B261" s="311" t="s">
        <v>1338</v>
      </c>
      <c r="C261" s="311" t="s">
        <v>1472</v>
      </c>
      <c r="D261" s="311"/>
      <c r="E261" s="312"/>
      <c r="F261" s="311"/>
    </row>
    <row r="262" spans="1:6" ht="15.75" x14ac:dyDescent="0.25">
      <c r="A262" s="309"/>
      <c r="B262" s="311" t="s">
        <v>1339</v>
      </c>
      <c r="C262" s="311" t="s">
        <v>1473</v>
      </c>
      <c r="D262" s="311"/>
      <c r="E262" s="312"/>
      <c r="F262" s="311"/>
    </row>
    <row r="263" spans="1:6" ht="15.75" x14ac:dyDescent="0.25">
      <c r="A263" s="309"/>
      <c r="B263" s="311" t="s">
        <v>1340</v>
      </c>
      <c r="C263" s="311" t="s">
        <v>1474</v>
      </c>
      <c r="D263" s="311"/>
      <c r="E263" s="312"/>
      <c r="F263" s="311"/>
    </row>
    <row r="264" spans="1:6" ht="15.75" x14ac:dyDescent="0.25">
      <c r="A264" s="309"/>
      <c r="B264" s="311" t="s">
        <v>1341</v>
      </c>
      <c r="C264" s="311" t="s">
        <v>1475</v>
      </c>
      <c r="D264" s="311"/>
      <c r="E264" s="312"/>
      <c r="F264" s="311"/>
    </row>
    <row r="265" spans="1:6" ht="15.75" x14ac:dyDescent="0.25">
      <c r="A265" s="309"/>
      <c r="B265" s="311" t="s">
        <v>1342</v>
      </c>
      <c r="C265" s="311" t="s">
        <v>1476</v>
      </c>
      <c r="D265" s="311"/>
      <c r="E265" s="312"/>
      <c r="F265" s="311"/>
    </row>
    <row r="266" spans="1:6" ht="15.75" x14ac:dyDescent="0.25">
      <c r="A266" s="309"/>
      <c r="B266" s="311" t="s">
        <v>1343</v>
      </c>
      <c r="C266" s="311" t="s">
        <v>1477</v>
      </c>
      <c r="D266" s="311"/>
      <c r="E266" s="312"/>
      <c r="F266" s="311"/>
    </row>
    <row r="267" spans="1:6" ht="15.75" x14ac:dyDescent="0.25">
      <c r="A267" s="309"/>
      <c r="B267" s="311" t="s">
        <v>1344</v>
      </c>
      <c r="C267" s="311" t="s">
        <v>1478</v>
      </c>
      <c r="D267" s="311"/>
      <c r="E267" s="312"/>
      <c r="F267" s="311"/>
    </row>
    <row r="268" spans="1:6" ht="15.75" x14ac:dyDescent="0.25">
      <c r="A268" s="309"/>
      <c r="B268" s="311" t="s">
        <v>1345</v>
      </c>
      <c r="C268" s="311" t="s">
        <v>1479</v>
      </c>
      <c r="D268" s="311"/>
      <c r="E268" s="312"/>
      <c r="F268" s="311"/>
    </row>
    <row r="269" spans="1:6" ht="15.75" x14ac:dyDescent="0.25">
      <c r="A269" s="309"/>
      <c r="B269" s="311" t="s">
        <v>1346</v>
      </c>
      <c r="C269" s="311" t="s">
        <v>1480</v>
      </c>
      <c r="D269" s="311"/>
      <c r="E269" s="312"/>
      <c r="F269" s="311"/>
    </row>
    <row r="270" spans="1:6" ht="15.75" x14ac:dyDescent="0.25">
      <c r="A270" s="309"/>
      <c r="B270" s="311" t="s">
        <v>1347</v>
      </c>
      <c r="C270" s="311" t="s">
        <v>1481</v>
      </c>
      <c r="D270" s="311"/>
      <c r="E270" s="312"/>
      <c r="F270" s="311"/>
    </row>
    <row r="271" spans="1:6" ht="15.75" x14ac:dyDescent="0.25">
      <c r="A271" s="309"/>
      <c r="B271" s="311" t="s">
        <v>1348</v>
      </c>
      <c r="C271" s="311" t="s">
        <v>1482</v>
      </c>
      <c r="D271" s="311"/>
      <c r="E271" s="312"/>
      <c r="F271" s="311"/>
    </row>
    <row r="272" spans="1:6" ht="23.25" customHeight="1" x14ac:dyDescent="0.25">
      <c r="A272" s="309"/>
      <c r="B272" s="311" t="s">
        <v>1349</v>
      </c>
      <c r="C272" s="311" t="s">
        <v>1483</v>
      </c>
      <c r="D272" s="311"/>
      <c r="E272" s="312"/>
      <c r="F272" s="311"/>
    </row>
    <row r="273" spans="1:6" ht="15.75" customHeight="1" x14ac:dyDescent="0.25">
      <c r="A273" s="512" t="s">
        <v>1384</v>
      </c>
      <c r="B273" s="514"/>
      <c r="C273" s="311"/>
      <c r="D273" s="311"/>
      <c r="E273" s="312"/>
      <c r="F273" s="311"/>
    </row>
    <row r="274" spans="1:6" ht="15.75" x14ac:dyDescent="0.25">
      <c r="A274" s="309"/>
      <c r="B274" s="311" t="s">
        <v>1385</v>
      </c>
      <c r="C274" s="311" t="s">
        <v>1484</v>
      </c>
      <c r="D274" s="311"/>
      <c r="E274" s="312"/>
      <c r="F274" s="311"/>
    </row>
    <row r="275" spans="1:6" ht="15.75" x14ac:dyDescent="0.25">
      <c r="A275" s="309"/>
      <c r="B275" s="311" t="s">
        <v>1386</v>
      </c>
      <c r="C275" s="311" t="s">
        <v>1485</v>
      </c>
      <c r="D275" s="311"/>
      <c r="E275" s="312"/>
      <c r="F275" s="311"/>
    </row>
    <row r="276" spans="1:6" ht="15.75" x14ac:dyDescent="0.25">
      <c r="A276" s="309"/>
      <c r="B276" s="311" t="s">
        <v>1387</v>
      </c>
      <c r="C276" s="311" t="s">
        <v>1486</v>
      </c>
      <c r="D276" s="311"/>
      <c r="E276" s="312"/>
      <c r="F276" s="311"/>
    </row>
    <row r="277" spans="1:6" ht="15.75" x14ac:dyDescent="0.25">
      <c r="A277" s="309"/>
      <c r="B277" s="311" t="s">
        <v>1388</v>
      </c>
      <c r="C277" s="311" t="s">
        <v>1487</v>
      </c>
      <c r="D277" s="311"/>
      <c r="E277" s="312"/>
      <c r="F277" s="311"/>
    </row>
    <row r="278" spans="1:6" ht="15.75" x14ac:dyDescent="0.25">
      <c r="A278" s="309"/>
      <c r="B278" s="311" t="s">
        <v>1389</v>
      </c>
      <c r="C278" s="311"/>
      <c r="D278" s="311"/>
      <c r="E278" s="312"/>
      <c r="F278" s="311"/>
    </row>
    <row r="279" spans="1:6" ht="15.75" x14ac:dyDescent="0.25">
      <c r="A279" s="309"/>
      <c r="B279" s="311" t="s">
        <v>1390</v>
      </c>
      <c r="C279" s="311">
        <v>624</v>
      </c>
      <c r="D279" s="311"/>
      <c r="E279" s="312"/>
      <c r="F279" s="311"/>
    </row>
    <row r="280" spans="1:6" ht="15.75" x14ac:dyDescent="0.25">
      <c r="A280" s="309"/>
      <c r="B280" s="311" t="s">
        <v>1391</v>
      </c>
      <c r="C280" s="311">
        <v>678</v>
      </c>
      <c r="D280" s="311"/>
      <c r="E280" s="312"/>
      <c r="F280" s="311"/>
    </row>
    <row r="281" spans="1:6" ht="15.75" x14ac:dyDescent="0.25">
      <c r="A281" s="309"/>
      <c r="B281" s="311" t="s">
        <v>1403</v>
      </c>
      <c r="C281" s="311" t="s">
        <v>1488</v>
      </c>
      <c r="D281" s="311"/>
      <c r="E281" s="312"/>
      <c r="F281" s="311"/>
    </row>
    <row r="282" spans="1:6" ht="15.75" customHeight="1" x14ac:dyDescent="0.25">
      <c r="A282" s="512" t="s">
        <v>1392</v>
      </c>
      <c r="B282" s="514"/>
      <c r="C282" s="311"/>
      <c r="D282" s="311"/>
      <c r="E282" s="312"/>
      <c r="F282" s="311"/>
    </row>
    <row r="283" spans="1:6" ht="15.75" x14ac:dyDescent="0.25">
      <c r="A283" s="309"/>
      <c r="B283" s="311" t="s">
        <v>1393</v>
      </c>
      <c r="C283" s="311">
        <v>533</v>
      </c>
      <c r="D283" s="311"/>
      <c r="E283" s="312"/>
      <c r="F283" s="311"/>
    </row>
    <row r="284" spans="1:6" ht="15.75" x14ac:dyDescent="0.25">
      <c r="A284" s="309"/>
      <c r="B284" s="311" t="s">
        <v>1394</v>
      </c>
      <c r="C284" s="311">
        <v>676</v>
      </c>
      <c r="D284" s="311"/>
      <c r="E284" s="312"/>
      <c r="F284" s="311"/>
    </row>
    <row r="285" spans="1:6" ht="15.75" x14ac:dyDescent="0.25">
      <c r="A285" s="309"/>
      <c r="B285" s="311" t="s">
        <v>1395</v>
      </c>
      <c r="C285" s="311">
        <v>825</v>
      </c>
      <c r="D285" s="311"/>
      <c r="E285" s="312"/>
      <c r="F285" s="311"/>
    </row>
    <row r="286" spans="1:6" ht="15.75" x14ac:dyDescent="0.25">
      <c r="A286" s="309"/>
      <c r="B286" s="311" t="s">
        <v>1396</v>
      </c>
      <c r="C286" s="311" t="s">
        <v>1489</v>
      </c>
      <c r="D286" s="311"/>
      <c r="E286" s="312"/>
      <c r="F286" s="311"/>
    </row>
    <row r="287" spans="1:6" ht="15.75" x14ac:dyDescent="0.25">
      <c r="A287" s="309"/>
      <c r="B287" s="311" t="s">
        <v>1397</v>
      </c>
      <c r="C287" s="311">
        <v>724</v>
      </c>
      <c r="D287" s="311"/>
      <c r="E287" s="312"/>
      <c r="F287" s="311"/>
    </row>
    <row r="288" spans="1:6" ht="15.75" x14ac:dyDescent="0.25">
      <c r="A288" s="309"/>
      <c r="B288" s="311" t="s">
        <v>1398</v>
      </c>
      <c r="C288" s="311">
        <v>823</v>
      </c>
      <c r="D288" s="311"/>
      <c r="E288" s="312"/>
      <c r="F288" s="311"/>
    </row>
    <row r="289" spans="1:6" ht="15.75" x14ac:dyDescent="0.25">
      <c r="A289" s="309"/>
      <c r="B289" s="311" t="s">
        <v>1399</v>
      </c>
      <c r="C289" s="311" t="s">
        <v>1490</v>
      </c>
      <c r="D289" s="311"/>
      <c r="E289" s="312"/>
      <c r="F289" s="311"/>
    </row>
    <row r="290" spans="1:6" ht="15.75" x14ac:dyDescent="0.25">
      <c r="A290" s="309"/>
      <c r="B290" s="311" t="s">
        <v>1400</v>
      </c>
      <c r="C290" s="311" t="s">
        <v>1413</v>
      </c>
      <c r="D290" s="311"/>
      <c r="E290" s="312"/>
      <c r="F290" s="311"/>
    </row>
    <row r="291" spans="1:6" ht="15.75" x14ac:dyDescent="0.25">
      <c r="A291" s="309"/>
      <c r="B291" s="311" t="s">
        <v>1401</v>
      </c>
      <c r="C291" s="311">
        <v>251</v>
      </c>
      <c r="D291" s="311"/>
      <c r="E291" s="312"/>
      <c r="F291" s="311"/>
    </row>
    <row r="292" spans="1:6" ht="15.75" x14ac:dyDescent="0.25">
      <c r="A292" s="309"/>
      <c r="B292" s="311" t="s">
        <v>1402</v>
      </c>
      <c r="C292" s="311">
        <v>232</v>
      </c>
      <c r="D292" s="311"/>
      <c r="E292" s="312"/>
      <c r="F292" s="311"/>
    </row>
  </sheetData>
  <mergeCells count="8205">
    <mergeCell ref="A111:C111"/>
    <mergeCell ref="A119:C119"/>
    <mergeCell ref="A123:C123"/>
    <mergeCell ref="A128:C128"/>
    <mergeCell ref="A132:C132"/>
    <mergeCell ref="Q50:Q51"/>
    <mergeCell ref="O230:P230"/>
    <mergeCell ref="Q230:R230"/>
    <mergeCell ref="S230:T230"/>
    <mergeCell ref="U230:V230"/>
    <mergeCell ref="W230:X230"/>
    <mergeCell ref="E230:F230"/>
    <mergeCell ref="G230:H230"/>
    <mergeCell ref="I230:J230"/>
    <mergeCell ref="K230:L230"/>
    <mergeCell ref="M230:N230"/>
    <mergeCell ref="A282:B282"/>
    <mergeCell ref="C230:D230"/>
    <mergeCell ref="A254:B254"/>
    <mergeCell ref="A273:B273"/>
    <mergeCell ref="A230:B230"/>
    <mergeCell ref="A154:B154"/>
    <mergeCell ref="A174:B174"/>
    <mergeCell ref="A202:B202"/>
    <mergeCell ref="A211:B211"/>
    <mergeCell ref="BC230:BD230"/>
    <mergeCell ref="BE230:BF230"/>
    <mergeCell ref="BG230:BH230"/>
    <mergeCell ref="BI230:BJ230"/>
    <mergeCell ref="BK230:BL230"/>
    <mergeCell ref="AS230:AT230"/>
    <mergeCell ref="AU230:AV230"/>
    <mergeCell ref="AW230:AX230"/>
    <mergeCell ref="AY230:AZ230"/>
    <mergeCell ref="BA230:BB230"/>
    <mergeCell ref="AI230:AJ230"/>
    <mergeCell ref="AK230:AL230"/>
    <mergeCell ref="AM230:AN230"/>
    <mergeCell ref="AO230:AP230"/>
    <mergeCell ref="AQ230:AR230"/>
    <mergeCell ref="Y230:Z230"/>
    <mergeCell ref="AA230:AB230"/>
    <mergeCell ref="AC230:AD230"/>
    <mergeCell ref="AE230:AF230"/>
    <mergeCell ref="AG230:AH230"/>
    <mergeCell ref="CQ230:CR230"/>
    <mergeCell ref="CS230:CT230"/>
    <mergeCell ref="CU230:CV230"/>
    <mergeCell ref="CW230:CX230"/>
    <mergeCell ref="CY230:CZ230"/>
    <mergeCell ref="CG230:CH230"/>
    <mergeCell ref="CI230:CJ230"/>
    <mergeCell ref="CK230:CL230"/>
    <mergeCell ref="CM230:CN230"/>
    <mergeCell ref="CO230:CP230"/>
    <mergeCell ref="BW230:BX230"/>
    <mergeCell ref="BY230:BZ230"/>
    <mergeCell ref="CA230:CB230"/>
    <mergeCell ref="CC230:CD230"/>
    <mergeCell ref="CE230:CF230"/>
    <mergeCell ref="BM230:BN230"/>
    <mergeCell ref="BO230:BP230"/>
    <mergeCell ref="BQ230:BR230"/>
    <mergeCell ref="BS230:BT230"/>
    <mergeCell ref="BU230:BV230"/>
    <mergeCell ref="EE230:EF230"/>
    <mergeCell ref="EG230:EH230"/>
    <mergeCell ref="EI230:EJ230"/>
    <mergeCell ref="EK230:EL230"/>
    <mergeCell ref="EM230:EN230"/>
    <mergeCell ref="DU230:DV230"/>
    <mergeCell ref="DW230:DX230"/>
    <mergeCell ref="DY230:DZ230"/>
    <mergeCell ref="EA230:EB230"/>
    <mergeCell ref="EC230:ED230"/>
    <mergeCell ref="DK230:DL230"/>
    <mergeCell ref="DM230:DN230"/>
    <mergeCell ref="DO230:DP230"/>
    <mergeCell ref="DQ230:DR230"/>
    <mergeCell ref="DS230:DT230"/>
    <mergeCell ref="DA230:DB230"/>
    <mergeCell ref="DC230:DD230"/>
    <mergeCell ref="DE230:DF230"/>
    <mergeCell ref="DG230:DH230"/>
    <mergeCell ref="DI230:DJ230"/>
    <mergeCell ref="FS230:FT230"/>
    <mergeCell ref="FU230:FV230"/>
    <mergeCell ref="FW230:FX230"/>
    <mergeCell ref="FY230:FZ230"/>
    <mergeCell ref="GA230:GB230"/>
    <mergeCell ref="FI230:FJ230"/>
    <mergeCell ref="FK230:FL230"/>
    <mergeCell ref="FM230:FN230"/>
    <mergeCell ref="FO230:FP230"/>
    <mergeCell ref="FQ230:FR230"/>
    <mergeCell ref="EY230:EZ230"/>
    <mergeCell ref="FA230:FB230"/>
    <mergeCell ref="FC230:FD230"/>
    <mergeCell ref="FE230:FF230"/>
    <mergeCell ref="FG230:FH230"/>
    <mergeCell ref="EO230:EP230"/>
    <mergeCell ref="EQ230:ER230"/>
    <mergeCell ref="ES230:ET230"/>
    <mergeCell ref="EU230:EV230"/>
    <mergeCell ref="EW230:EX230"/>
    <mergeCell ref="HG230:HH230"/>
    <mergeCell ref="HI230:HJ230"/>
    <mergeCell ref="HK230:HL230"/>
    <mergeCell ref="HM230:HN230"/>
    <mergeCell ref="HO230:HP230"/>
    <mergeCell ref="GW230:GX230"/>
    <mergeCell ref="GY230:GZ230"/>
    <mergeCell ref="HA230:HB230"/>
    <mergeCell ref="HC230:HD230"/>
    <mergeCell ref="HE230:HF230"/>
    <mergeCell ref="GM230:GN230"/>
    <mergeCell ref="GO230:GP230"/>
    <mergeCell ref="GQ230:GR230"/>
    <mergeCell ref="GS230:GT230"/>
    <mergeCell ref="GU230:GV230"/>
    <mergeCell ref="GC230:GD230"/>
    <mergeCell ref="GE230:GF230"/>
    <mergeCell ref="GG230:GH230"/>
    <mergeCell ref="GI230:GJ230"/>
    <mergeCell ref="GK230:GL230"/>
    <mergeCell ref="IU230:IV230"/>
    <mergeCell ref="IW230:IX230"/>
    <mergeCell ref="IY230:IZ230"/>
    <mergeCell ref="JA230:JB230"/>
    <mergeCell ref="JC230:JD230"/>
    <mergeCell ref="IK230:IL230"/>
    <mergeCell ref="IM230:IN230"/>
    <mergeCell ref="IO230:IP230"/>
    <mergeCell ref="IQ230:IR230"/>
    <mergeCell ref="IS230:IT230"/>
    <mergeCell ref="IA230:IB230"/>
    <mergeCell ref="IC230:ID230"/>
    <mergeCell ref="IE230:IF230"/>
    <mergeCell ref="IG230:IH230"/>
    <mergeCell ref="II230:IJ230"/>
    <mergeCell ref="HQ230:HR230"/>
    <mergeCell ref="HS230:HT230"/>
    <mergeCell ref="HU230:HV230"/>
    <mergeCell ref="HW230:HX230"/>
    <mergeCell ref="HY230:HZ230"/>
    <mergeCell ref="KI230:KJ230"/>
    <mergeCell ref="KK230:KL230"/>
    <mergeCell ref="KM230:KN230"/>
    <mergeCell ref="KO230:KP230"/>
    <mergeCell ref="KQ230:KR230"/>
    <mergeCell ref="JY230:JZ230"/>
    <mergeCell ref="KA230:KB230"/>
    <mergeCell ref="KC230:KD230"/>
    <mergeCell ref="KE230:KF230"/>
    <mergeCell ref="KG230:KH230"/>
    <mergeCell ref="JO230:JP230"/>
    <mergeCell ref="JQ230:JR230"/>
    <mergeCell ref="JS230:JT230"/>
    <mergeCell ref="JU230:JV230"/>
    <mergeCell ref="JW230:JX230"/>
    <mergeCell ref="JE230:JF230"/>
    <mergeCell ref="JG230:JH230"/>
    <mergeCell ref="JI230:JJ230"/>
    <mergeCell ref="JK230:JL230"/>
    <mergeCell ref="JM230:JN230"/>
    <mergeCell ref="LW230:LX230"/>
    <mergeCell ref="LY230:LZ230"/>
    <mergeCell ref="MA230:MB230"/>
    <mergeCell ref="MC230:MD230"/>
    <mergeCell ref="ME230:MF230"/>
    <mergeCell ref="LM230:LN230"/>
    <mergeCell ref="LO230:LP230"/>
    <mergeCell ref="LQ230:LR230"/>
    <mergeCell ref="LS230:LT230"/>
    <mergeCell ref="LU230:LV230"/>
    <mergeCell ref="LC230:LD230"/>
    <mergeCell ref="LE230:LF230"/>
    <mergeCell ref="LG230:LH230"/>
    <mergeCell ref="LI230:LJ230"/>
    <mergeCell ref="LK230:LL230"/>
    <mergeCell ref="KS230:KT230"/>
    <mergeCell ref="KU230:KV230"/>
    <mergeCell ref="KW230:KX230"/>
    <mergeCell ref="KY230:KZ230"/>
    <mergeCell ref="LA230:LB230"/>
    <mergeCell ref="NK230:NL230"/>
    <mergeCell ref="NM230:NN230"/>
    <mergeCell ref="NO230:NP230"/>
    <mergeCell ref="NQ230:NR230"/>
    <mergeCell ref="NS230:NT230"/>
    <mergeCell ref="NA230:NB230"/>
    <mergeCell ref="NC230:ND230"/>
    <mergeCell ref="NE230:NF230"/>
    <mergeCell ref="NG230:NH230"/>
    <mergeCell ref="NI230:NJ230"/>
    <mergeCell ref="MQ230:MR230"/>
    <mergeCell ref="MS230:MT230"/>
    <mergeCell ref="MU230:MV230"/>
    <mergeCell ref="MW230:MX230"/>
    <mergeCell ref="MY230:MZ230"/>
    <mergeCell ref="MG230:MH230"/>
    <mergeCell ref="MI230:MJ230"/>
    <mergeCell ref="MK230:ML230"/>
    <mergeCell ref="MM230:MN230"/>
    <mergeCell ref="MO230:MP230"/>
    <mergeCell ref="OY230:OZ230"/>
    <mergeCell ref="PA230:PB230"/>
    <mergeCell ref="PC230:PD230"/>
    <mergeCell ref="PE230:PF230"/>
    <mergeCell ref="PG230:PH230"/>
    <mergeCell ref="OO230:OP230"/>
    <mergeCell ref="OQ230:OR230"/>
    <mergeCell ref="OS230:OT230"/>
    <mergeCell ref="OU230:OV230"/>
    <mergeCell ref="OW230:OX230"/>
    <mergeCell ref="OE230:OF230"/>
    <mergeCell ref="OG230:OH230"/>
    <mergeCell ref="OI230:OJ230"/>
    <mergeCell ref="OK230:OL230"/>
    <mergeCell ref="OM230:ON230"/>
    <mergeCell ref="NU230:NV230"/>
    <mergeCell ref="NW230:NX230"/>
    <mergeCell ref="NY230:NZ230"/>
    <mergeCell ref="OA230:OB230"/>
    <mergeCell ref="OC230:OD230"/>
    <mergeCell ref="QM230:QN230"/>
    <mergeCell ref="QO230:QP230"/>
    <mergeCell ref="QQ230:QR230"/>
    <mergeCell ref="QS230:QT230"/>
    <mergeCell ref="QU230:QV230"/>
    <mergeCell ref="QC230:QD230"/>
    <mergeCell ref="QE230:QF230"/>
    <mergeCell ref="QG230:QH230"/>
    <mergeCell ref="QI230:QJ230"/>
    <mergeCell ref="QK230:QL230"/>
    <mergeCell ref="PS230:PT230"/>
    <mergeCell ref="PU230:PV230"/>
    <mergeCell ref="PW230:PX230"/>
    <mergeCell ref="PY230:PZ230"/>
    <mergeCell ref="QA230:QB230"/>
    <mergeCell ref="PI230:PJ230"/>
    <mergeCell ref="PK230:PL230"/>
    <mergeCell ref="PM230:PN230"/>
    <mergeCell ref="PO230:PP230"/>
    <mergeCell ref="PQ230:PR230"/>
    <mergeCell ref="SA230:SB230"/>
    <mergeCell ref="SC230:SD230"/>
    <mergeCell ref="SE230:SF230"/>
    <mergeCell ref="SG230:SH230"/>
    <mergeCell ref="SI230:SJ230"/>
    <mergeCell ref="RQ230:RR230"/>
    <mergeCell ref="RS230:RT230"/>
    <mergeCell ref="RU230:RV230"/>
    <mergeCell ref="RW230:RX230"/>
    <mergeCell ref="RY230:RZ230"/>
    <mergeCell ref="RG230:RH230"/>
    <mergeCell ref="RI230:RJ230"/>
    <mergeCell ref="RK230:RL230"/>
    <mergeCell ref="RM230:RN230"/>
    <mergeCell ref="RO230:RP230"/>
    <mergeCell ref="QW230:QX230"/>
    <mergeCell ref="QY230:QZ230"/>
    <mergeCell ref="RA230:RB230"/>
    <mergeCell ref="RC230:RD230"/>
    <mergeCell ref="RE230:RF230"/>
    <mergeCell ref="TO230:TP230"/>
    <mergeCell ref="TQ230:TR230"/>
    <mergeCell ref="TS230:TT230"/>
    <mergeCell ref="TU230:TV230"/>
    <mergeCell ref="TW230:TX230"/>
    <mergeCell ref="TE230:TF230"/>
    <mergeCell ref="TG230:TH230"/>
    <mergeCell ref="TI230:TJ230"/>
    <mergeCell ref="TK230:TL230"/>
    <mergeCell ref="TM230:TN230"/>
    <mergeCell ref="SU230:SV230"/>
    <mergeCell ref="SW230:SX230"/>
    <mergeCell ref="SY230:SZ230"/>
    <mergeCell ref="TA230:TB230"/>
    <mergeCell ref="TC230:TD230"/>
    <mergeCell ref="SK230:SL230"/>
    <mergeCell ref="SM230:SN230"/>
    <mergeCell ref="SO230:SP230"/>
    <mergeCell ref="SQ230:SR230"/>
    <mergeCell ref="SS230:ST230"/>
    <mergeCell ref="VC230:VD230"/>
    <mergeCell ref="VE230:VF230"/>
    <mergeCell ref="VG230:VH230"/>
    <mergeCell ref="VI230:VJ230"/>
    <mergeCell ref="VK230:VL230"/>
    <mergeCell ref="US230:UT230"/>
    <mergeCell ref="UU230:UV230"/>
    <mergeCell ref="UW230:UX230"/>
    <mergeCell ref="UY230:UZ230"/>
    <mergeCell ref="VA230:VB230"/>
    <mergeCell ref="UI230:UJ230"/>
    <mergeCell ref="UK230:UL230"/>
    <mergeCell ref="UM230:UN230"/>
    <mergeCell ref="UO230:UP230"/>
    <mergeCell ref="UQ230:UR230"/>
    <mergeCell ref="TY230:TZ230"/>
    <mergeCell ref="UA230:UB230"/>
    <mergeCell ref="UC230:UD230"/>
    <mergeCell ref="UE230:UF230"/>
    <mergeCell ref="UG230:UH230"/>
    <mergeCell ref="WQ230:WR230"/>
    <mergeCell ref="WS230:WT230"/>
    <mergeCell ref="WU230:WV230"/>
    <mergeCell ref="WW230:WX230"/>
    <mergeCell ref="WY230:WZ230"/>
    <mergeCell ref="WG230:WH230"/>
    <mergeCell ref="WI230:WJ230"/>
    <mergeCell ref="WK230:WL230"/>
    <mergeCell ref="WM230:WN230"/>
    <mergeCell ref="WO230:WP230"/>
    <mergeCell ref="VW230:VX230"/>
    <mergeCell ref="VY230:VZ230"/>
    <mergeCell ref="WA230:WB230"/>
    <mergeCell ref="WC230:WD230"/>
    <mergeCell ref="WE230:WF230"/>
    <mergeCell ref="VM230:VN230"/>
    <mergeCell ref="VO230:VP230"/>
    <mergeCell ref="VQ230:VR230"/>
    <mergeCell ref="VS230:VT230"/>
    <mergeCell ref="VU230:VV230"/>
    <mergeCell ref="YE230:YF230"/>
    <mergeCell ref="YG230:YH230"/>
    <mergeCell ref="YI230:YJ230"/>
    <mergeCell ref="YK230:YL230"/>
    <mergeCell ref="YM230:YN230"/>
    <mergeCell ref="XU230:XV230"/>
    <mergeCell ref="XW230:XX230"/>
    <mergeCell ref="XY230:XZ230"/>
    <mergeCell ref="YA230:YB230"/>
    <mergeCell ref="YC230:YD230"/>
    <mergeCell ref="XK230:XL230"/>
    <mergeCell ref="XM230:XN230"/>
    <mergeCell ref="XO230:XP230"/>
    <mergeCell ref="XQ230:XR230"/>
    <mergeCell ref="XS230:XT230"/>
    <mergeCell ref="XA230:XB230"/>
    <mergeCell ref="XC230:XD230"/>
    <mergeCell ref="XE230:XF230"/>
    <mergeCell ref="XG230:XH230"/>
    <mergeCell ref="XI230:XJ230"/>
    <mergeCell ref="ZS230:ZT230"/>
    <mergeCell ref="ZU230:ZV230"/>
    <mergeCell ref="ZW230:ZX230"/>
    <mergeCell ref="ZY230:ZZ230"/>
    <mergeCell ref="AAA230:AAB230"/>
    <mergeCell ref="ZI230:ZJ230"/>
    <mergeCell ref="ZK230:ZL230"/>
    <mergeCell ref="ZM230:ZN230"/>
    <mergeCell ref="ZO230:ZP230"/>
    <mergeCell ref="ZQ230:ZR230"/>
    <mergeCell ref="YY230:YZ230"/>
    <mergeCell ref="ZA230:ZB230"/>
    <mergeCell ref="ZC230:ZD230"/>
    <mergeCell ref="ZE230:ZF230"/>
    <mergeCell ref="ZG230:ZH230"/>
    <mergeCell ref="YO230:YP230"/>
    <mergeCell ref="YQ230:YR230"/>
    <mergeCell ref="YS230:YT230"/>
    <mergeCell ref="YU230:YV230"/>
    <mergeCell ref="YW230:YX230"/>
    <mergeCell ref="ABG230:ABH230"/>
    <mergeCell ref="ABI230:ABJ230"/>
    <mergeCell ref="ABK230:ABL230"/>
    <mergeCell ref="ABM230:ABN230"/>
    <mergeCell ref="ABO230:ABP230"/>
    <mergeCell ref="AAW230:AAX230"/>
    <mergeCell ref="AAY230:AAZ230"/>
    <mergeCell ref="ABA230:ABB230"/>
    <mergeCell ref="ABC230:ABD230"/>
    <mergeCell ref="ABE230:ABF230"/>
    <mergeCell ref="AAM230:AAN230"/>
    <mergeCell ref="AAO230:AAP230"/>
    <mergeCell ref="AAQ230:AAR230"/>
    <mergeCell ref="AAS230:AAT230"/>
    <mergeCell ref="AAU230:AAV230"/>
    <mergeCell ref="AAC230:AAD230"/>
    <mergeCell ref="AAE230:AAF230"/>
    <mergeCell ref="AAG230:AAH230"/>
    <mergeCell ref="AAI230:AAJ230"/>
    <mergeCell ref="AAK230:AAL230"/>
    <mergeCell ref="ACU230:ACV230"/>
    <mergeCell ref="ACW230:ACX230"/>
    <mergeCell ref="ACY230:ACZ230"/>
    <mergeCell ref="ADA230:ADB230"/>
    <mergeCell ref="ADC230:ADD230"/>
    <mergeCell ref="ACK230:ACL230"/>
    <mergeCell ref="ACM230:ACN230"/>
    <mergeCell ref="ACO230:ACP230"/>
    <mergeCell ref="ACQ230:ACR230"/>
    <mergeCell ref="ACS230:ACT230"/>
    <mergeCell ref="ACA230:ACB230"/>
    <mergeCell ref="ACC230:ACD230"/>
    <mergeCell ref="ACE230:ACF230"/>
    <mergeCell ref="ACG230:ACH230"/>
    <mergeCell ref="ACI230:ACJ230"/>
    <mergeCell ref="ABQ230:ABR230"/>
    <mergeCell ref="ABS230:ABT230"/>
    <mergeCell ref="ABU230:ABV230"/>
    <mergeCell ref="ABW230:ABX230"/>
    <mergeCell ref="ABY230:ABZ230"/>
    <mergeCell ref="AEI230:AEJ230"/>
    <mergeCell ref="AEK230:AEL230"/>
    <mergeCell ref="AEM230:AEN230"/>
    <mergeCell ref="AEO230:AEP230"/>
    <mergeCell ref="AEQ230:AER230"/>
    <mergeCell ref="ADY230:ADZ230"/>
    <mergeCell ref="AEA230:AEB230"/>
    <mergeCell ref="AEC230:AED230"/>
    <mergeCell ref="AEE230:AEF230"/>
    <mergeCell ref="AEG230:AEH230"/>
    <mergeCell ref="ADO230:ADP230"/>
    <mergeCell ref="ADQ230:ADR230"/>
    <mergeCell ref="ADS230:ADT230"/>
    <mergeCell ref="ADU230:ADV230"/>
    <mergeCell ref="ADW230:ADX230"/>
    <mergeCell ref="ADE230:ADF230"/>
    <mergeCell ref="ADG230:ADH230"/>
    <mergeCell ref="ADI230:ADJ230"/>
    <mergeCell ref="ADK230:ADL230"/>
    <mergeCell ref="ADM230:ADN230"/>
    <mergeCell ref="AFW230:AFX230"/>
    <mergeCell ref="AFY230:AFZ230"/>
    <mergeCell ref="AGA230:AGB230"/>
    <mergeCell ref="AGC230:AGD230"/>
    <mergeCell ref="AGE230:AGF230"/>
    <mergeCell ref="AFM230:AFN230"/>
    <mergeCell ref="AFO230:AFP230"/>
    <mergeCell ref="AFQ230:AFR230"/>
    <mergeCell ref="AFS230:AFT230"/>
    <mergeCell ref="AFU230:AFV230"/>
    <mergeCell ref="AFC230:AFD230"/>
    <mergeCell ref="AFE230:AFF230"/>
    <mergeCell ref="AFG230:AFH230"/>
    <mergeCell ref="AFI230:AFJ230"/>
    <mergeCell ref="AFK230:AFL230"/>
    <mergeCell ref="AES230:AET230"/>
    <mergeCell ref="AEU230:AEV230"/>
    <mergeCell ref="AEW230:AEX230"/>
    <mergeCell ref="AEY230:AEZ230"/>
    <mergeCell ref="AFA230:AFB230"/>
    <mergeCell ref="AHK230:AHL230"/>
    <mergeCell ref="AHM230:AHN230"/>
    <mergeCell ref="AHO230:AHP230"/>
    <mergeCell ref="AHQ230:AHR230"/>
    <mergeCell ref="AHS230:AHT230"/>
    <mergeCell ref="AHA230:AHB230"/>
    <mergeCell ref="AHC230:AHD230"/>
    <mergeCell ref="AHE230:AHF230"/>
    <mergeCell ref="AHG230:AHH230"/>
    <mergeCell ref="AHI230:AHJ230"/>
    <mergeCell ref="AGQ230:AGR230"/>
    <mergeCell ref="AGS230:AGT230"/>
    <mergeCell ref="AGU230:AGV230"/>
    <mergeCell ref="AGW230:AGX230"/>
    <mergeCell ref="AGY230:AGZ230"/>
    <mergeCell ref="AGG230:AGH230"/>
    <mergeCell ref="AGI230:AGJ230"/>
    <mergeCell ref="AGK230:AGL230"/>
    <mergeCell ref="AGM230:AGN230"/>
    <mergeCell ref="AGO230:AGP230"/>
    <mergeCell ref="AIY230:AIZ230"/>
    <mergeCell ref="AJA230:AJB230"/>
    <mergeCell ref="AJC230:AJD230"/>
    <mergeCell ref="AJE230:AJF230"/>
    <mergeCell ref="AJG230:AJH230"/>
    <mergeCell ref="AIO230:AIP230"/>
    <mergeCell ref="AIQ230:AIR230"/>
    <mergeCell ref="AIS230:AIT230"/>
    <mergeCell ref="AIU230:AIV230"/>
    <mergeCell ref="AIW230:AIX230"/>
    <mergeCell ref="AIE230:AIF230"/>
    <mergeCell ref="AIG230:AIH230"/>
    <mergeCell ref="AII230:AIJ230"/>
    <mergeCell ref="AIK230:AIL230"/>
    <mergeCell ref="AIM230:AIN230"/>
    <mergeCell ref="AHU230:AHV230"/>
    <mergeCell ref="AHW230:AHX230"/>
    <mergeCell ref="AHY230:AHZ230"/>
    <mergeCell ref="AIA230:AIB230"/>
    <mergeCell ref="AIC230:AID230"/>
    <mergeCell ref="AKM230:AKN230"/>
    <mergeCell ref="AKO230:AKP230"/>
    <mergeCell ref="AKQ230:AKR230"/>
    <mergeCell ref="AKS230:AKT230"/>
    <mergeCell ref="AKU230:AKV230"/>
    <mergeCell ref="AKC230:AKD230"/>
    <mergeCell ref="AKE230:AKF230"/>
    <mergeCell ref="AKG230:AKH230"/>
    <mergeCell ref="AKI230:AKJ230"/>
    <mergeCell ref="AKK230:AKL230"/>
    <mergeCell ref="AJS230:AJT230"/>
    <mergeCell ref="AJU230:AJV230"/>
    <mergeCell ref="AJW230:AJX230"/>
    <mergeCell ref="AJY230:AJZ230"/>
    <mergeCell ref="AKA230:AKB230"/>
    <mergeCell ref="AJI230:AJJ230"/>
    <mergeCell ref="AJK230:AJL230"/>
    <mergeCell ref="AJM230:AJN230"/>
    <mergeCell ref="AJO230:AJP230"/>
    <mergeCell ref="AJQ230:AJR230"/>
    <mergeCell ref="AMA230:AMB230"/>
    <mergeCell ref="AMC230:AMD230"/>
    <mergeCell ref="AME230:AMF230"/>
    <mergeCell ref="AMG230:AMH230"/>
    <mergeCell ref="AMI230:AMJ230"/>
    <mergeCell ref="ALQ230:ALR230"/>
    <mergeCell ref="ALS230:ALT230"/>
    <mergeCell ref="ALU230:ALV230"/>
    <mergeCell ref="ALW230:ALX230"/>
    <mergeCell ref="ALY230:ALZ230"/>
    <mergeCell ref="ALG230:ALH230"/>
    <mergeCell ref="ALI230:ALJ230"/>
    <mergeCell ref="ALK230:ALL230"/>
    <mergeCell ref="ALM230:ALN230"/>
    <mergeCell ref="ALO230:ALP230"/>
    <mergeCell ref="AKW230:AKX230"/>
    <mergeCell ref="AKY230:AKZ230"/>
    <mergeCell ref="ALA230:ALB230"/>
    <mergeCell ref="ALC230:ALD230"/>
    <mergeCell ref="ALE230:ALF230"/>
    <mergeCell ref="ANO230:ANP230"/>
    <mergeCell ref="ANQ230:ANR230"/>
    <mergeCell ref="ANS230:ANT230"/>
    <mergeCell ref="ANU230:ANV230"/>
    <mergeCell ref="ANW230:ANX230"/>
    <mergeCell ref="ANE230:ANF230"/>
    <mergeCell ref="ANG230:ANH230"/>
    <mergeCell ref="ANI230:ANJ230"/>
    <mergeCell ref="ANK230:ANL230"/>
    <mergeCell ref="ANM230:ANN230"/>
    <mergeCell ref="AMU230:AMV230"/>
    <mergeCell ref="AMW230:AMX230"/>
    <mergeCell ref="AMY230:AMZ230"/>
    <mergeCell ref="ANA230:ANB230"/>
    <mergeCell ref="ANC230:AND230"/>
    <mergeCell ref="AMK230:AML230"/>
    <mergeCell ref="AMM230:AMN230"/>
    <mergeCell ref="AMO230:AMP230"/>
    <mergeCell ref="AMQ230:AMR230"/>
    <mergeCell ref="AMS230:AMT230"/>
    <mergeCell ref="APC230:APD230"/>
    <mergeCell ref="APE230:APF230"/>
    <mergeCell ref="APG230:APH230"/>
    <mergeCell ref="API230:APJ230"/>
    <mergeCell ref="APK230:APL230"/>
    <mergeCell ref="AOS230:AOT230"/>
    <mergeCell ref="AOU230:AOV230"/>
    <mergeCell ref="AOW230:AOX230"/>
    <mergeCell ref="AOY230:AOZ230"/>
    <mergeCell ref="APA230:APB230"/>
    <mergeCell ref="AOI230:AOJ230"/>
    <mergeCell ref="AOK230:AOL230"/>
    <mergeCell ref="AOM230:AON230"/>
    <mergeCell ref="AOO230:AOP230"/>
    <mergeCell ref="AOQ230:AOR230"/>
    <mergeCell ref="ANY230:ANZ230"/>
    <mergeCell ref="AOA230:AOB230"/>
    <mergeCell ref="AOC230:AOD230"/>
    <mergeCell ref="AOE230:AOF230"/>
    <mergeCell ref="AOG230:AOH230"/>
    <mergeCell ref="AQQ230:AQR230"/>
    <mergeCell ref="AQS230:AQT230"/>
    <mergeCell ref="AQU230:AQV230"/>
    <mergeCell ref="AQW230:AQX230"/>
    <mergeCell ref="AQY230:AQZ230"/>
    <mergeCell ref="AQG230:AQH230"/>
    <mergeCell ref="AQI230:AQJ230"/>
    <mergeCell ref="AQK230:AQL230"/>
    <mergeCell ref="AQM230:AQN230"/>
    <mergeCell ref="AQO230:AQP230"/>
    <mergeCell ref="APW230:APX230"/>
    <mergeCell ref="APY230:APZ230"/>
    <mergeCell ref="AQA230:AQB230"/>
    <mergeCell ref="AQC230:AQD230"/>
    <mergeCell ref="AQE230:AQF230"/>
    <mergeCell ref="APM230:APN230"/>
    <mergeCell ref="APO230:APP230"/>
    <mergeCell ref="APQ230:APR230"/>
    <mergeCell ref="APS230:APT230"/>
    <mergeCell ref="APU230:APV230"/>
    <mergeCell ref="ASE230:ASF230"/>
    <mergeCell ref="ASG230:ASH230"/>
    <mergeCell ref="ASI230:ASJ230"/>
    <mergeCell ref="ASK230:ASL230"/>
    <mergeCell ref="ASM230:ASN230"/>
    <mergeCell ref="ARU230:ARV230"/>
    <mergeCell ref="ARW230:ARX230"/>
    <mergeCell ref="ARY230:ARZ230"/>
    <mergeCell ref="ASA230:ASB230"/>
    <mergeCell ref="ASC230:ASD230"/>
    <mergeCell ref="ARK230:ARL230"/>
    <mergeCell ref="ARM230:ARN230"/>
    <mergeCell ref="ARO230:ARP230"/>
    <mergeCell ref="ARQ230:ARR230"/>
    <mergeCell ref="ARS230:ART230"/>
    <mergeCell ref="ARA230:ARB230"/>
    <mergeCell ref="ARC230:ARD230"/>
    <mergeCell ref="ARE230:ARF230"/>
    <mergeCell ref="ARG230:ARH230"/>
    <mergeCell ref="ARI230:ARJ230"/>
    <mergeCell ref="ATS230:ATT230"/>
    <mergeCell ref="ATU230:ATV230"/>
    <mergeCell ref="ATW230:ATX230"/>
    <mergeCell ref="ATY230:ATZ230"/>
    <mergeCell ref="AUA230:AUB230"/>
    <mergeCell ref="ATI230:ATJ230"/>
    <mergeCell ref="ATK230:ATL230"/>
    <mergeCell ref="ATM230:ATN230"/>
    <mergeCell ref="ATO230:ATP230"/>
    <mergeCell ref="ATQ230:ATR230"/>
    <mergeCell ref="ASY230:ASZ230"/>
    <mergeCell ref="ATA230:ATB230"/>
    <mergeCell ref="ATC230:ATD230"/>
    <mergeCell ref="ATE230:ATF230"/>
    <mergeCell ref="ATG230:ATH230"/>
    <mergeCell ref="ASO230:ASP230"/>
    <mergeCell ref="ASQ230:ASR230"/>
    <mergeCell ref="ASS230:AST230"/>
    <mergeCell ref="ASU230:ASV230"/>
    <mergeCell ref="ASW230:ASX230"/>
    <mergeCell ref="AVG230:AVH230"/>
    <mergeCell ref="AVI230:AVJ230"/>
    <mergeCell ref="AVK230:AVL230"/>
    <mergeCell ref="AVM230:AVN230"/>
    <mergeCell ref="AVO230:AVP230"/>
    <mergeCell ref="AUW230:AUX230"/>
    <mergeCell ref="AUY230:AUZ230"/>
    <mergeCell ref="AVA230:AVB230"/>
    <mergeCell ref="AVC230:AVD230"/>
    <mergeCell ref="AVE230:AVF230"/>
    <mergeCell ref="AUM230:AUN230"/>
    <mergeCell ref="AUO230:AUP230"/>
    <mergeCell ref="AUQ230:AUR230"/>
    <mergeCell ref="AUS230:AUT230"/>
    <mergeCell ref="AUU230:AUV230"/>
    <mergeCell ref="AUC230:AUD230"/>
    <mergeCell ref="AUE230:AUF230"/>
    <mergeCell ref="AUG230:AUH230"/>
    <mergeCell ref="AUI230:AUJ230"/>
    <mergeCell ref="AUK230:AUL230"/>
    <mergeCell ref="AWU230:AWV230"/>
    <mergeCell ref="AWW230:AWX230"/>
    <mergeCell ref="AWY230:AWZ230"/>
    <mergeCell ref="AXA230:AXB230"/>
    <mergeCell ref="AXC230:AXD230"/>
    <mergeCell ref="AWK230:AWL230"/>
    <mergeCell ref="AWM230:AWN230"/>
    <mergeCell ref="AWO230:AWP230"/>
    <mergeCell ref="AWQ230:AWR230"/>
    <mergeCell ref="AWS230:AWT230"/>
    <mergeCell ref="AWA230:AWB230"/>
    <mergeCell ref="AWC230:AWD230"/>
    <mergeCell ref="AWE230:AWF230"/>
    <mergeCell ref="AWG230:AWH230"/>
    <mergeCell ref="AWI230:AWJ230"/>
    <mergeCell ref="AVQ230:AVR230"/>
    <mergeCell ref="AVS230:AVT230"/>
    <mergeCell ref="AVU230:AVV230"/>
    <mergeCell ref="AVW230:AVX230"/>
    <mergeCell ref="AVY230:AVZ230"/>
    <mergeCell ref="AYI230:AYJ230"/>
    <mergeCell ref="AYK230:AYL230"/>
    <mergeCell ref="AYM230:AYN230"/>
    <mergeCell ref="AYO230:AYP230"/>
    <mergeCell ref="AYQ230:AYR230"/>
    <mergeCell ref="AXY230:AXZ230"/>
    <mergeCell ref="AYA230:AYB230"/>
    <mergeCell ref="AYC230:AYD230"/>
    <mergeCell ref="AYE230:AYF230"/>
    <mergeCell ref="AYG230:AYH230"/>
    <mergeCell ref="AXO230:AXP230"/>
    <mergeCell ref="AXQ230:AXR230"/>
    <mergeCell ref="AXS230:AXT230"/>
    <mergeCell ref="AXU230:AXV230"/>
    <mergeCell ref="AXW230:AXX230"/>
    <mergeCell ref="AXE230:AXF230"/>
    <mergeCell ref="AXG230:AXH230"/>
    <mergeCell ref="AXI230:AXJ230"/>
    <mergeCell ref="AXK230:AXL230"/>
    <mergeCell ref="AXM230:AXN230"/>
    <mergeCell ref="AZW230:AZX230"/>
    <mergeCell ref="AZY230:AZZ230"/>
    <mergeCell ref="BAA230:BAB230"/>
    <mergeCell ref="BAC230:BAD230"/>
    <mergeCell ref="BAE230:BAF230"/>
    <mergeCell ref="AZM230:AZN230"/>
    <mergeCell ref="AZO230:AZP230"/>
    <mergeCell ref="AZQ230:AZR230"/>
    <mergeCell ref="AZS230:AZT230"/>
    <mergeCell ref="AZU230:AZV230"/>
    <mergeCell ref="AZC230:AZD230"/>
    <mergeCell ref="AZE230:AZF230"/>
    <mergeCell ref="AZG230:AZH230"/>
    <mergeCell ref="AZI230:AZJ230"/>
    <mergeCell ref="AZK230:AZL230"/>
    <mergeCell ref="AYS230:AYT230"/>
    <mergeCell ref="AYU230:AYV230"/>
    <mergeCell ref="AYW230:AYX230"/>
    <mergeCell ref="AYY230:AYZ230"/>
    <mergeCell ref="AZA230:AZB230"/>
    <mergeCell ref="BBK230:BBL230"/>
    <mergeCell ref="BBM230:BBN230"/>
    <mergeCell ref="BBO230:BBP230"/>
    <mergeCell ref="BBQ230:BBR230"/>
    <mergeCell ref="BBS230:BBT230"/>
    <mergeCell ref="BBA230:BBB230"/>
    <mergeCell ref="BBC230:BBD230"/>
    <mergeCell ref="BBE230:BBF230"/>
    <mergeCell ref="BBG230:BBH230"/>
    <mergeCell ref="BBI230:BBJ230"/>
    <mergeCell ref="BAQ230:BAR230"/>
    <mergeCell ref="BAS230:BAT230"/>
    <mergeCell ref="BAU230:BAV230"/>
    <mergeCell ref="BAW230:BAX230"/>
    <mergeCell ref="BAY230:BAZ230"/>
    <mergeCell ref="BAG230:BAH230"/>
    <mergeCell ref="BAI230:BAJ230"/>
    <mergeCell ref="BAK230:BAL230"/>
    <mergeCell ref="BAM230:BAN230"/>
    <mergeCell ref="BAO230:BAP230"/>
    <mergeCell ref="BCY230:BCZ230"/>
    <mergeCell ref="BDA230:BDB230"/>
    <mergeCell ref="BDC230:BDD230"/>
    <mergeCell ref="BDE230:BDF230"/>
    <mergeCell ref="BDG230:BDH230"/>
    <mergeCell ref="BCO230:BCP230"/>
    <mergeCell ref="BCQ230:BCR230"/>
    <mergeCell ref="BCS230:BCT230"/>
    <mergeCell ref="BCU230:BCV230"/>
    <mergeCell ref="BCW230:BCX230"/>
    <mergeCell ref="BCE230:BCF230"/>
    <mergeCell ref="BCG230:BCH230"/>
    <mergeCell ref="BCI230:BCJ230"/>
    <mergeCell ref="BCK230:BCL230"/>
    <mergeCell ref="BCM230:BCN230"/>
    <mergeCell ref="BBU230:BBV230"/>
    <mergeCell ref="BBW230:BBX230"/>
    <mergeCell ref="BBY230:BBZ230"/>
    <mergeCell ref="BCA230:BCB230"/>
    <mergeCell ref="BCC230:BCD230"/>
    <mergeCell ref="BEM230:BEN230"/>
    <mergeCell ref="BEO230:BEP230"/>
    <mergeCell ref="BEQ230:BER230"/>
    <mergeCell ref="BES230:BET230"/>
    <mergeCell ref="BEU230:BEV230"/>
    <mergeCell ref="BEC230:BED230"/>
    <mergeCell ref="BEE230:BEF230"/>
    <mergeCell ref="BEG230:BEH230"/>
    <mergeCell ref="BEI230:BEJ230"/>
    <mergeCell ref="BEK230:BEL230"/>
    <mergeCell ref="BDS230:BDT230"/>
    <mergeCell ref="BDU230:BDV230"/>
    <mergeCell ref="BDW230:BDX230"/>
    <mergeCell ref="BDY230:BDZ230"/>
    <mergeCell ref="BEA230:BEB230"/>
    <mergeCell ref="BDI230:BDJ230"/>
    <mergeCell ref="BDK230:BDL230"/>
    <mergeCell ref="BDM230:BDN230"/>
    <mergeCell ref="BDO230:BDP230"/>
    <mergeCell ref="BDQ230:BDR230"/>
    <mergeCell ref="BGA230:BGB230"/>
    <mergeCell ref="BGC230:BGD230"/>
    <mergeCell ref="BGE230:BGF230"/>
    <mergeCell ref="BGG230:BGH230"/>
    <mergeCell ref="BGI230:BGJ230"/>
    <mergeCell ref="BFQ230:BFR230"/>
    <mergeCell ref="BFS230:BFT230"/>
    <mergeCell ref="BFU230:BFV230"/>
    <mergeCell ref="BFW230:BFX230"/>
    <mergeCell ref="BFY230:BFZ230"/>
    <mergeCell ref="BFG230:BFH230"/>
    <mergeCell ref="BFI230:BFJ230"/>
    <mergeCell ref="BFK230:BFL230"/>
    <mergeCell ref="BFM230:BFN230"/>
    <mergeCell ref="BFO230:BFP230"/>
    <mergeCell ref="BEW230:BEX230"/>
    <mergeCell ref="BEY230:BEZ230"/>
    <mergeCell ref="BFA230:BFB230"/>
    <mergeCell ref="BFC230:BFD230"/>
    <mergeCell ref="BFE230:BFF230"/>
    <mergeCell ref="BHO230:BHP230"/>
    <mergeCell ref="BHQ230:BHR230"/>
    <mergeCell ref="BHS230:BHT230"/>
    <mergeCell ref="BHU230:BHV230"/>
    <mergeCell ref="BHW230:BHX230"/>
    <mergeCell ref="BHE230:BHF230"/>
    <mergeCell ref="BHG230:BHH230"/>
    <mergeCell ref="BHI230:BHJ230"/>
    <mergeCell ref="BHK230:BHL230"/>
    <mergeCell ref="BHM230:BHN230"/>
    <mergeCell ref="BGU230:BGV230"/>
    <mergeCell ref="BGW230:BGX230"/>
    <mergeCell ref="BGY230:BGZ230"/>
    <mergeCell ref="BHA230:BHB230"/>
    <mergeCell ref="BHC230:BHD230"/>
    <mergeCell ref="BGK230:BGL230"/>
    <mergeCell ref="BGM230:BGN230"/>
    <mergeCell ref="BGO230:BGP230"/>
    <mergeCell ref="BGQ230:BGR230"/>
    <mergeCell ref="BGS230:BGT230"/>
    <mergeCell ref="BJC230:BJD230"/>
    <mergeCell ref="BJE230:BJF230"/>
    <mergeCell ref="BJG230:BJH230"/>
    <mergeCell ref="BJI230:BJJ230"/>
    <mergeCell ref="BJK230:BJL230"/>
    <mergeCell ref="BIS230:BIT230"/>
    <mergeCell ref="BIU230:BIV230"/>
    <mergeCell ref="BIW230:BIX230"/>
    <mergeCell ref="BIY230:BIZ230"/>
    <mergeCell ref="BJA230:BJB230"/>
    <mergeCell ref="BII230:BIJ230"/>
    <mergeCell ref="BIK230:BIL230"/>
    <mergeCell ref="BIM230:BIN230"/>
    <mergeCell ref="BIO230:BIP230"/>
    <mergeCell ref="BIQ230:BIR230"/>
    <mergeCell ref="BHY230:BHZ230"/>
    <mergeCell ref="BIA230:BIB230"/>
    <mergeCell ref="BIC230:BID230"/>
    <mergeCell ref="BIE230:BIF230"/>
    <mergeCell ref="BIG230:BIH230"/>
    <mergeCell ref="BKQ230:BKR230"/>
    <mergeCell ref="BKS230:BKT230"/>
    <mergeCell ref="BKU230:BKV230"/>
    <mergeCell ref="BKW230:BKX230"/>
    <mergeCell ref="BKY230:BKZ230"/>
    <mergeCell ref="BKG230:BKH230"/>
    <mergeCell ref="BKI230:BKJ230"/>
    <mergeCell ref="BKK230:BKL230"/>
    <mergeCell ref="BKM230:BKN230"/>
    <mergeCell ref="BKO230:BKP230"/>
    <mergeCell ref="BJW230:BJX230"/>
    <mergeCell ref="BJY230:BJZ230"/>
    <mergeCell ref="BKA230:BKB230"/>
    <mergeCell ref="BKC230:BKD230"/>
    <mergeCell ref="BKE230:BKF230"/>
    <mergeCell ref="BJM230:BJN230"/>
    <mergeCell ref="BJO230:BJP230"/>
    <mergeCell ref="BJQ230:BJR230"/>
    <mergeCell ref="BJS230:BJT230"/>
    <mergeCell ref="BJU230:BJV230"/>
    <mergeCell ref="BME230:BMF230"/>
    <mergeCell ref="BMG230:BMH230"/>
    <mergeCell ref="BMI230:BMJ230"/>
    <mergeCell ref="BMK230:BML230"/>
    <mergeCell ref="BMM230:BMN230"/>
    <mergeCell ref="BLU230:BLV230"/>
    <mergeCell ref="BLW230:BLX230"/>
    <mergeCell ref="BLY230:BLZ230"/>
    <mergeCell ref="BMA230:BMB230"/>
    <mergeCell ref="BMC230:BMD230"/>
    <mergeCell ref="BLK230:BLL230"/>
    <mergeCell ref="BLM230:BLN230"/>
    <mergeCell ref="BLO230:BLP230"/>
    <mergeCell ref="BLQ230:BLR230"/>
    <mergeCell ref="BLS230:BLT230"/>
    <mergeCell ref="BLA230:BLB230"/>
    <mergeCell ref="BLC230:BLD230"/>
    <mergeCell ref="BLE230:BLF230"/>
    <mergeCell ref="BLG230:BLH230"/>
    <mergeCell ref="BLI230:BLJ230"/>
    <mergeCell ref="BNS230:BNT230"/>
    <mergeCell ref="BNU230:BNV230"/>
    <mergeCell ref="BNW230:BNX230"/>
    <mergeCell ref="BNY230:BNZ230"/>
    <mergeCell ref="BOA230:BOB230"/>
    <mergeCell ref="BNI230:BNJ230"/>
    <mergeCell ref="BNK230:BNL230"/>
    <mergeCell ref="BNM230:BNN230"/>
    <mergeCell ref="BNO230:BNP230"/>
    <mergeCell ref="BNQ230:BNR230"/>
    <mergeCell ref="BMY230:BMZ230"/>
    <mergeCell ref="BNA230:BNB230"/>
    <mergeCell ref="BNC230:BND230"/>
    <mergeCell ref="BNE230:BNF230"/>
    <mergeCell ref="BNG230:BNH230"/>
    <mergeCell ref="BMO230:BMP230"/>
    <mergeCell ref="BMQ230:BMR230"/>
    <mergeCell ref="BMS230:BMT230"/>
    <mergeCell ref="BMU230:BMV230"/>
    <mergeCell ref="BMW230:BMX230"/>
    <mergeCell ref="BPG230:BPH230"/>
    <mergeCell ref="BPI230:BPJ230"/>
    <mergeCell ref="BPK230:BPL230"/>
    <mergeCell ref="BPM230:BPN230"/>
    <mergeCell ref="BPO230:BPP230"/>
    <mergeCell ref="BOW230:BOX230"/>
    <mergeCell ref="BOY230:BOZ230"/>
    <mergeCell ref="BPA230:BPB230"/>
    <mergeCell ref="BPC230:BPD230"/>
    <mergeCell ref="BPE230:BPF230"/>
    <mergeCell ref="BOM230:BON230"/>
    <mergeCell ref="BOO230:BOP230"/>
    <mergeCell ref="BOQ230:BOR230"/>
    <mergeCell ref="BOS230:BOT230"/>
    <mergeCell ref="BOU230:BOV230"/>
    <mergeCell ref="BOC230:BOD230"/>
    <mergeCell ref="BOE230:BOF230"/>
    <mergeCell ref="BOG230:BOH230"/>
    <mergeCell ref="BOI230:BOJ230"/>
    <mergeCell ref="BOK230:BOL230"/>
    <mergeCell ref="BQU230:BQV230"/>
    <mergeCell ref="BQW230:BQX230"/>
    <mergeCell ref="BQY230:BQZ230"/>
    <mergeCell ref="BRA230:BRB230"/>
    <mergeCell ref="BRC230:BRD230"/>
    <mergeCell ref="BQK230:BQL230"/>
    <mergeCell ref="BQM230:BQN230"/>
    <mergeCell ref="BQO230:BQP230"/>
    <mergeCell ref="BQQ230:BQR230"/>
    <mergeCell ref="BQS230:BQT230"/>
    <mergeCell ref="BQA230:BQB230"/>
    <mergeCell ref="BQC230:BQD230"/>
    <mergeCell ref="BQE230:BQF230"/>
    <mergeCell ref="BQG230:BQH230"/>
    <mergeCell ref="BQI230:BQJ230"/>
    <mergeCell ref="BPQ230:BPR230"/>
    <mergeCell ref="BPS230:BPT230"/>
    <mergeCell ref="BPU230:BPV230"/>
    <mergeCell ref="BPW230:BPX230"/>
    <mergeCell ref="BPY230:BPZ230"/>
    <mergeCell ref="BSI230:BSJ230"/>
    <mergeCell ref="BSK230:BSL230"/>
    <mergeCell ref="BSM230:BSN230"/>
    <mergeCell ref="BSO230:BSP230"/>
    <mergeCell ref="BSQ230:BSR230"/>
    <mergeCell ref="BRY230:BRZ230"/>
    <mergeCell ref="BSA230:BSB230"/>
    <mergeCell ref="BSC230:BSD230"/>
    <mergeCell ref="BSE230:BSF230"/>
    <mergeCell ref="BSG230:BSH230"/>
    <mergeCell ref="BRO230:BRP230"/>
    <mergeCell ref="BRQ230:BRR230"/>
    <mergeCell ref="BRS230:BRT230"/>
    <mergeCell ref="BRU230:BRV230"/>
    <mergeCell ref="BRW230:BRX230"/>
    <mergeCell ref="BRE230:BRF230"/>
    <mergeCell ref="BRG230:BRH230"/>
    <mergeCell ref="BRI230:BRJ230"/>
    <mergeCell ref="BRK230:BRL230"/>
    <mergeCell ref="BRM230:BRN230"/>
    <mergeCell ref="BTW230:BTX230"/>
    <mergeCell ref="BTY230:BTZ230"/>
    <mergeCell ref="BUA230:BUB230"/>
    <mergeCell ref="BUC230:BUD230"/>
    <mergeCell ref="BUE230:BUF230"/>
    <mergeCell ref="BTM230:BTN230"/>
    <mergeCell ref="BTO230:BTP230"/>
    <mergeCell ref="BTQ230:BTR230"/>
    <mergeCell ref="BTS230:BTT230"/>
    <mergeCell ref="BTU230:BTV230"/>
    <mergeCell ref="BTC230:BTD230"/>
    <mergeCell ref="BTE230:BTF230"/>
    <mergeCell ref="BTG230:BTH230"/>
    <mergeCell ref="BTI230:BTJ230"/>
    <mergeCell ref="BTK230:BTL230"/>
    <mergeCell ref="BSS230:BST230"/>
    <mergeCell ref="BSU230:BSV230"/>
    <mergeCell ref="BSW230:BSX230"/>
    <mergeCell ref="BSY230:BSZ230"/>
    <mergeCell ref="BTA230:BTB230"/>
    <mergeCell ref="BVK230:BVL230"/>
    <mergeCell ref="BVM230:BVN230"/>
    <mergeCell ref="BVO230:BVP230"/>
    <mergeCell ref="BVQ230:BVR230"/>
    <mergeCell ref="BVS230:BVT230"/>
    <mergeCell ref="BVA230:BVB230"/>
    <mergeCell ref="BVC230:BVD230"/>
    <mergeCell ref="BVE230:BVF230"/>
    <mergeCell ref="BVG230:BVH230"/>
    <mergeCell ref="BVI230:BVJ230"/>
    <mergeCell ref="BUQ230:BUR230"/>
    <mergeCell ref="BUS230:BUT230"/>
    <mergeCell ref="BUU230:BUV230"/>
    <mergeCell ref="BUW230:BUX230"/>
    <mergeCell ref="BUY230:BUZ230"/>
    <mergeCell ref="BUG230:BUH230"/>
    <mergeCell ref="BUI230:BUJ230"/>
    <mergeCell ref="BUK230:BUL230"/>
    <mergeCell ref="BUM230:BUN230"/>
    <mergeCell ref="BUO230:BUP230"/>
    <mergeCell ref="BWY230:BWZ230"/>
    <mergeCell ref="BXA230:BXB230"/>
    <mergeCell ref="BXC230:BXD230"/>
    <mergeCell ref="BXE230:BXF230"/>
    <mergeCell ref="BXG230:BXH230"/>
    <mergeCell ref="BWO230:BWP230"/>
    <mergeCell ref="BWQ230:BWR230"/>
    <mergeCell ref="BWS230:BWT230"/>
    <mergeCell ref="BWU230:BWV230"/>
    <mergeCell ref="BWW230:BWX230"/>
    <mergeCell ref="BWE230:BWF230"/>
    <mergeCell ref="BWG230:BWH230"/>
    <mergeCell ref="BWI230:BWJ230"/>
    <mergeCell ref="BWK230:BWL230"/>
    <mergeCell ref="BWM230:BWN230"/>
    <mergeCell ref="BVU230:BVV230"/>
    <mergeCell ref="BVW230:BVX230"/>
    <mergeCell ref="BVY230:BVZ230"/>
    <mergeCell ref="BWA230:BWB230"/>
    <mergeCell ref="BWC230:BWD230"/>
    <mergeCell ref="BYM230:BYN230"/>
    <mergeCell ref="BYO230:BYP230"/>
    <mergeCell ref="BYQ230:BYR230"/>
    <mergeCell ref="BYS230:BYT230"/>
    <mergeCell ref="BYU230:BYV230"/>
    <mergeCell ref="BYC230:BYD230"/>
    <mergeCell ref="BYE230:BYF230"/>
    <mergeCell ref="BYG230:BYH230"/>
    <mergeCell ref="BYI230:BYJ230"/>
    <mergeCell ref="BYK230:BYL230"/>
    <mergeCell ref="BXS230:BXT230"/>
    <mergeCell ref="BXU230:BXV230"/>
    <mergeCell ref="BXW230:BXX230"/>
    <mergeCell ref="BXY230:BXZ230"/>
    <mergeCell ref="BYA230:BYB230"/>
    <mergeCell ref="BXI230:BXJ230"/>
    <mergeCell ref="BXK230:BXL230"/>
    <mergeCell ref="BXM230:BXN230"/>
    <mergeCell ref="BXO230:BXP230"/>
    <mergeCell ref="BXQ230:BXR230"/>
    <mergeCell ref="CAA230:CAB230"/>
    <mergeCell ref="CAC230:CAD230"/>
    <mergeCell ref="CAE230:CAF230"/>
    <mergeCell ref="CAG230:CAH230"/>
    <mergeCell ref="CAI230:CAJ230"/>
    <mergeCell ref="BZQ230:BZR230"/>
    <mergeCell ref="BZS230:BZT230"/>
    <mergeCell ref="BZU230:BZV230"/>
    <mergeCell ref="BZW230:BZX230"/>
    <mergeCell ref="BZY230:BZZ230"/>
    <mergeCell ref="BZG230:BZH230"/>
    <mergeCell ref="BZI230:BZJ230"/>
    <mergeCell ref="BZK230:BZL230"/>
    <mergeCell ref="BZM230:BZN230"/>
    <mergeCell ref="BZO230:BZP230"/>
    <mergeCell ref="BYW230:BYX230"/>
    <mergeCell ref="BYY230:BYZ230"/>
    <mergeCell ref="BZA230:BZB230"/>
    <mergeCell ref="BZC230:BZD230"/>
    <mergeCell ref="BZE230:BZF230"/>
    <mergeCell ref="CBO230:CBP230"/>
    <mergeCell ref="CBQ230:CBR230"/>
    <mergeCell ref="CBS230:CBT230"/>
    <mergeCell ref="CBU230:CBV230"/>
    <mergeCell ref="CBW230:CBX230"/>
    <mergeCell ref="CBE230:CBF230"/>
    <mergeCell ref="CBG230:CBH230"/>
    <mergeCell ref="CBI230:CBJ230"/>
    <mergeCell ref="CBK230:CBL230"/>
    <mergeCell ref="CBM230:CBN230"/>
    <mergeCell ref="CAU230:CAV230"/>
    <mergeCell ref="CAW230:CAX230"/>
    <mergeCell ref="CAY230:CAZ230"/>
    <mergeCell ref="CBA230:CBB230"/>
    <mergeCell ref="CBC230:CBD230"/>
    <mergeCell ref="CAK230:CAL230"/>
    <mergeCell ref="CAM230:CAN230"/>
    <mergeCell ref="CAO230:CAP230"/>
    <mergeCell ref="CAQ230:CAR230"/>
    <mergeCell ref="CAS230:CAT230"/>
    <mergeCell ref="CDC230:CDD230"/>
    <mergeCell ref="CDE230:CDF230"/>
    <mergeCell ref="CDG230:CDH230"/>
    <mergeCell ref="CDI230:CDJ230"/>
    <mergeCell ref="CDK230:CDL230"/>
    <mergeCell ref="CCS230:CCT230"/>
    <mergeCell ref="CCU230:CCV230"/>
    <mergeCell ref="CCW230:CCX230"/>
    <mergeCell ref="CCY230:CCZ230"/>
    <mergeCell ref="CDA230:CDB230"/>
    <mergeCell ref="CCI230:CCJ230"/>
    <mergeCell ref="CCK230:CCL230"/>
    <mergeCell ref="CCM230:CCN230"/>
    <mergeCell ref="CCO230:CCP230"/>
    <mergeCell ref="CCQ230:CCR230"/>
    <mergeCell ref="CBY230:CBZ230"/>
    <mergeCell ref="CCA230:CCB230"/>
    <mergeCell ref="CCC230:CCD230"/>
    <mergeCell ref="CCE230:CCF230"/>
    <mergeCell ref="CCG230:CCH230"/>
    <mergeCell ref="CEQ230:CER230"/>
    <mergeCell ref="CES230:CET230"/>
    <mergeCell ref="CEU230:CEV230"/>
    <mergeCell ref="CEW230:CEX230"/>
    <mergeCell ref="CEY230:CEZ230"/>
    <mergeCell ref="CEG230:CEH230"/>
    <mergeCell ref="CEI230:CEJ230"/>
    <mergeCell ref="CEK230:CEL230"/>
    <mergeCell ref="CEM230:CEN230"/>
    <mergeCell ref="CEO230:CEP230"/>
    <mergeCell ref="CDW230:CDX230"/>
    <mergeCell ref="CDY230:CDZ230"/>
    <mergeCell ref="CEA230:CEB230"/>
    <mergeCell ref="CEC230:CED230"/>
    <mergeCell ref="CEE230:CEF230"/>
    <mergeCell ref="CDM230:CDN230"/>
    <mergeCell ref="CDO230:CDP230"/>
    <mergeCell ref="CDQ230:CDR230"/>
    <mergeCell ref="CDS230:CDT230"/>
    <mergeCell ref="CDU230:CDV230"/>
    <mergeCell ref="CGE230:CGF230"/>
    <mergeCell ref="CGG230:CGH230"/>
    <mergeCell ref="CGI230:CGJ230"/>
    <mergeCell ref="CGK230:CGL230"/>
    <mergeCell ref="CGM230:CGN230"/>
    <mergeCell ref="CFU230:CFV230"/>
    <mergeCell ref="CFW230:CFX230"/>
    <mergeCell ref="CFY230:CFZ230"/>
    <mergeCell ref="CGA230:CGB230"/>
    <mergeCell ref="CGC230:CGD230"/>
    <mergeCell ref="CFK230:CFL230"/>
    <mergeCell ref="CFM230:CFN230"/>
    <mergeCell ref="CFO230:CFP230"/>
    <mergeCell ref="CFQ230:CFR230"/>
    <mergeCell ref="CFS230:CFT230"/>
    <mergeCell ref="CFA230:CFB230"/>
    <mergeCell ref="CFC230:CFD230"/>
    <mergeCell ref="CFE230:CFF230"/>
    <mergeCell ref="CFG230:CFH230"/>
    <mergeCell ref="CFI230:CFJ230"/>
    <mergeCell ref="CHS230:CHT230"/>
    <mergeCell ref="CHU230:CHV230"/>
    <mergeCell ref="CHW230:CHX230"/>
    <mergeCell ref="CHY230:CHZ230"/>
    <mergeCell ref="CIA230:CIB230"/>
    <mergeCell ref="CHI230:CHJ230"/>
    <mergeCell ref="CHK230:CHL230"/>
    <mergeCell ref="CHM230:CHN230"/>
    <mergeCell ref="CHO230:CHP230"/>
    <mergeCell ref="CHQ230:CHR230"/>
    <mergeCell ref="CGY230:CGZ230"/>
    <mergeCell ref="CHA230:CHB230"/>
    <mergeCell ref="CHC230:CHD230"/>
    <mergeCell ref="CHE230:CHF230"/>
    <mergeCell ref="CHG230:CHH230"/>
    <mergeCell ref="CGO230:CGP230"/>
    <mergeCell ref="CGQ230:CGR230"/>
    <mergeCell ref="CGS230:CGT230"/>
    <mergeCell ref="CGU230:CGV230"/>
    <mergeCell ref="CGW230:CGX230"/>
    <mergeCell ref="CJG230:CJH230"/>
    <mergeCell ref="CJI230:CJJ230"/>
    <mergeCell ref="CJK230:CJL230"/>
    <mergeCell ref="CJM230:CJN230"/>
    <mergeCell ref="CJO230:CJP230"/>
    <mergeCell ref="CIW230:CIX230"/>
    <mergeCell ref="CIY230:CIZ230"/>
    <mergeCell ref="CJA230:CJB230"/>
    <mergeCell ref="CJC230:CJD230"/>
    <mergeCell ref="CJE230:CJF230"/>
    <mergeCell ref="CIM230:CIN230"/>
    <mergeCell ref="CIO230:CIP230"/>
    <mergeCell ref="CIQ230:CIR230"/>
    <mergeCell ref="CIS230:CIT230"/>
    <mergeCell ref="CIU230:CIV230"/>
    <mergeCell ref="CIC230:CID230"/>
    <mergeCell ref="CIE230:CIF230"/>
    <mergeCell ref="CIG230:CIH230"/>
    <mergeCell ref="CII230:CIJ230"/>
    <mergeCell ref="CIK230:CIL230"/>
    <mergeCell ref="CKU230:CKV230"/>
    <mergeCell ref="CKW230:CKX230"/>
    <mergeCell ref="CKY230:CKZ230"/>
    <mergeCell ref="CLA230:CLB230"/>
    <mergeCell ref="CLC230:CLD230"/>
    <mergeCell ref="CKK230:CKL230"/>
    <mergeCell ref="CKM230:CKN230"/>
    <mergeCell ref="CKO230:CKP230"/>
    <mergeCell ref="CKQ230:CKR230"/>
    <mergeCell ref="CKS230:CKT230"/>
    <mergeCell ref="CKA230:CKB230"/>
    <mergeCell ref="CKC230:CKD230"/>
    <mergeCell ref="CKE230:CKF230"/>
    <mergeCell ref="CKG230:CKH230"/>
    <mergeCell ref="CKI230:CKJ230"/>
    <mergeCell ref="CJQ230:CJR230"/>
    <mergeCell ref="CJS230:CJT230"/>
    <mergeCell ref="CJU230:CJV230"/>
    <mergeCell ref="CJW230:CJX230"/>
    <mergeCell ref="CJY230:CJZ230"/>
    <mergeCell ref="CMI230:CMJ230"/>
    <mergeCell ref="CMK230:CML230"/>
    <mergeCell ref="CMM230:CMN230"/>
    <mergeCell ref="CMO230:CMP230"/>
    <mergeCell ref="CMQ230:CMR230"/>
    <mergeCell ref="CLY230:CLZ230"/>
    <mergeCell ref="CMA230:CMB230"/>
    <mergeCell ref="CMC230:CMD230"/>
    <mergeCell ref="CME230:CMF230"/>
    <mergeCell ref="CMG230:CMH230"/>
    <mergeCell ref="CLO230:CLP230"/>
    <mergeCell ref="CLQ230:CLR230"/>
    <mergeCell ref="CLS230:CLT230"/>
    <mergeCell ref="CLU230:CLV230"/>
    <mergeCell ref="CLW230:CLX230"/>
    <mergeCell ref="CLE230:CLF230"/>
    <mergeCell ref="CLG230:CLH230"/>
    <mergeCell ref="CLI230:CLJ230"/>
    <mergeCell ref="CLK230:CLL230"/>
    <mergeCell ref="CLM230:CLN230"/>
    <mergeCell ref="CNW230:CNX230"/>
    <mergeCell ref="CNY230:CNZ230"/>
    <mergeCell ref="COA230:COB230"/>
    <mergeCell ref="COC230:COD230"/>
    <mergeCell ref="COE230:COF230"/>
    <mergeCell ref="CNM230:CNN230"/>
    <mergeCell ref="CNO230:CNP230"/>
    <mergeCell ref="CNQ230:CNR230"/>
    <mergeCell ref="CNS230:CNT230"/>
    <mergeCell ref="CNU230:CNV230"/>
    <mergeCell ref="CNC230:CND230"/>
    <mergeCell ref="CNE230:CNF230"/>
    <mergeCell ref="CNG230:CNH230"/>
    <mergeCell ref="CNI230:CNJ230"/>
    <mergeCell ref="CNK230:CNL230"/>
    <mergeCell ref="CMS230:CMT230"/>
    <mergeCell ref="CMU230:CMV230"/>
    <mergeCell ref="CMW230:CMX230"/>
    <mergeCell ref="CMY230:CMZ230"/>
    <mergeCell ref="CNA230:CNB230"/>
    <mergeCell ref="CPK230:CPL230"/>
    <mergeCell ref="CPM230:CPN230"/>
    <mergeCell ref="CPO230:CPP230"/>
    <mergeCell ref="CPQ230:CPR230"/>
    <mergeCell ref="CPS230:CPT230"/>
    <mergeCell ref="CPA230:CPB230"/>
    <mergeCell ref="CPC230:CPD230"/>
    <mergeCell ref="CPE230:CPF230"/>
    <mergeCell ref="CPG230:CPH230"/>
    <mergeCell ref="CPI230:CPJ230"/>
    <mergeCell ref="COQ230:COR230"/>
    <mergeCell ref="COS230:COT230"/>
    <mergeCell ref="COU230:COV230"/>
    <mergeCell ref="COW230:COX230"/>
    <mergeCell ref="COY230:COZ230"/>
    <mergeCell ref="COG230:COH230"/>
    <mergeCell ref="COI230:COJ230"/>
    <mergeCell ref="COK230:COL230"/>
    <mergeCell ref="COM230:CON230"/>
    <mergeCell ref="COO230:COP230"/>
    <mergeCell ref="CQY230:CQZ230"/>
    <mergeCell ref="CRA230:CRB230"/>
    <mergeCell ref="CRC230:CRD230"/>
    <mergeCell ref="CRE230:CRF230"/>
    <mergeCell ref="CRG230:CRH230"/>
    <mergeCell ref="CQO230:CQP230"/>
    <mergeCell ref="CQQ230:CQR230"/>
    <mergeCell ref="CQS230:CQT230"/>
    <mergeCell ref="CQU230:CQV230"/>
    <mergeCell ref="CQW230:CQX230"/>
    <mergeCell ref="CQE230:CQF230"/>
    <mergeCell ref="CQG230:CQH230"/>
    <mergeCell ref="CQI230:CQJ230"/>
    <mergeCell ref="CQK230:CQL230"/>
    <mergeCell ref="CQM230:CQN230"/>
    <mergeCell ref="CPU230:CPV230"/>
    <mergeCell ref="CPW230:CPX230"/>
    <mergeCell ref="CPY230:CPZ230"/>
    <mergeCell ref="CQA230:CQB230"/>
    <mergeCell ref="CQC230:CQD230"/>
    <mergeCell ref="CSM230:CSN230"/>
    <mergeCell ref="CSO230:CSP230"/>
    <mergeCell ref="CSQ230:CSR230"/>
    <mergeCell ref="CSS230:CST230"/>
    <mergeCell ref="CSU230:CSV230"/>
    <mergeCell ref="CSC230:CSD230"/>
    <mergeCell ref="CSE230:CSF230"/>
    <mergeCell ref="CSG230:CSH230"/>
    <mergeCell ref="CSI230:CSJ230"/>
    <mergeCell ref="CSK230:CSL230"/>
    <mergeCell ref="CRS230:CRT230"/>
    <mergeCell ref="CRU230:CRV230"/>
    <mergeCell ref="CRW230:CRX230"/>
    <mergeCell ref="CRY230:CRZ230"/>
    <mergeCell ref="CSA230:CSB230"/>
    <mergeCell ref="CRI230:CRJ230"/>
    <mergeCell ref="CRK230:CRL230"/>
    <mergeCell ref="CRM230:CRN230"/>
    <mergeCell ref="CRO230:CRP230"/>
    <mergeCell ref="CRQ230:CRR230"/>
    <mergeCell ref="CUA230:CUB230"/>
    <mergeCell ref="CUC230:CUD230"/>
    <mergeCell ref="CUE230:CUF230"/>
    <mergeCell ref="CUG230:CUH230"/>
    <mergeCell ref="CUI230:CUJ230"/>
    <mergeCell ref="CTQ230:CTR230"/>
    <mergeCell ref="CTS230:CTT230"/>
    <mergeCell ref="CTU230:CTV230"/>
    <mergeCell ref="CTW230:CTX230"/>
    <mergeCell ref="CTY230:CTZ230"/>
    <mergeCell ref="CTG230:CTH230"/>
    <mergeCell ref="CTI230:CTJ230"/>
    <mergeCell ref="CTK230:CTL230"/>
    <mergeCell ref="CTM230:CTN230"/>
    <mergeCell ref="CTO230:CTP230"/>
    <mergeCell ref="CSW230:CSX230"/>
    <mergeCell ref="CSY230:CSZ230"/>
    <mergeCell ref="CTA230:CTB230"/>
    <mergeCell ref="CTC230:CTD230"/>
    <mergeCell ref="CTE230:CTF230"/>
    <mergeCell ref="CVO230:CVP230"/>
    <mergeCell ref="CVQ230:CVR230"/>
    <mergeCell ref="CVS230:CVT230"/>
    <mergeCell ref="CVU230:CVV230"/>
    <mergeCell ref="CVW230:CVX230"/>
    <mergeCell ref="CVE230:CVF230"/>
    <mergeCell ref="CVG230:CVH230"/>
    <mergeCell ref="CVI230:CVJ230"/>
    <mergeCell ref="CVK230:CVL230"/>
    <mergeCell ref="CVM230:CVN230"/>
    <mergeCell ref="CUU230:CUV230"/>
    <mergeCell ref="CUW230:CUX230"/>
    <mergeCell ref="CUY230:CUZ230"/>
    <mergeCell ref="CVA230:CVB230"/>
    <mergeCell ref="CVC230:CVD230"/>
    <mergeCell ref="CUK230:CUL230"/>
    <mergeCell ref="CUM230:CUN230"/>
    <mergeCell ref="CUO230:CUP230"/>
    <mergeCell ref="CUQ230:CUR230"/>
    <mergeCell ref="CUS230:CUT230"/>
    <mergeCell ref="CXC230:CXD230"/>
    <mergeCell ref="CXE230:CXF230"/>
    <mergeCell ref="CXG230:CXH230"/>
    <mergeCell ref="CXI230:CXJ230"/>
    <mergeCell ref="CXK230:CXL230"/>
    <mergeCell ref="CWS230:CWT230"/>
    <mergeCell ref="CWU230:CWV230"/>
    <mergeCell ref="CWW230:CWX230"/>
    <mergeCell ref="CWY230:CWZ230"/>
    <mergeCell ref="CXA230:CXB230"/>
    <mergeCell ref="CWI230:CWJ230"/>
    <mergeCell ref="CWK230:CWL230"/>
    <mergeCell ref="CWM230:CWN230"/>
    <mergeCell ref="CWO230:CWP230"/>
    <mergeCell ref="CWQ230:CWR230"/>
    <mergeCell ref="CVY230:CVZ230"/>
    <mergeCell ref="CWA230:CWB230"/>
    <mergeCell ref="CWC230:CWD230"/>
    <mergeCell ref="CWE230:CWF230"/>
    <mergeCell ref="CWG230:CWH230"/>
    <mergeCell ref="CYQ230:CYR230"/>
    <mergeCell ref="CYS230:CYT230"/>
    <mergeCell ref="CYU230:CYV230"/>
    <mergeCell ref="CYW230:CYX230"/>
    <mergeCell ref="CYY230:CYZ230"/>
    <mergeCell ref="CYG230:CYH230"/>
    <mergeCell ref="CYI230:CYJ230"/>
    <mergeCell ref="CYK230:CYL230"/>
    <mergeCell ref="CYM230:CYN230"/>
    <mergeCell ref="CYO230:CYP230"/>
    <mergeCell ref="CXW230:CXX230"/>
    <mergeCell ref="CXY230:CXZ230"/>
    <mergeCell ref="CYA230:CYB230"/>
    <mergeCell ref="CYC230:CYD230"/>
    <mergeCell ref="CYE230:CYF230"/>
    <mergeCell ref="CXM230:CXN230"/>
    <mergeCell ref="CXO230:CXP230"/>
    <mergeCell ref="CXQ230:CXR230"/>
    <mergeCell ref="CXS230:CXT230"/>
    <mergeCell ref="CXU230:CXV230"/>
    <mergeCell ref="DAE230:DAF230"/>
    <mergeCell ref="DAG230:DAH230"/>
    <mergeCell ref="DAI230:DAJ230"/>
    <mergeCell ref="DAK230:DAL230"/>
    <mergeCell ref="DAM230:DAN230"/>
    <mergeCell ref="CZU230:CZV230"/>
    <mergeCell ref="CZW230:CZX230"/>
    <mergeCell ref="CZY230:CZZ230"/>
    <mergeCell ref="DAA230:DAB230"/>
    <mergeCell ref="DAC230:DAD230"/>
    <mergeCell ref="CZK230:CZL230"/>
    <mergeCell ref="CZM230:CZN230"/>
    <mergeCell ref="CZO230:CZP230"/>
    <mergeCell ref="CZQ230:CZR230"/>
    <mergeCell ref="CZS230:CZT230"/>
    <mergeCell ref="CZA230:CZB230"/>
    <mergeCell ref="CZC230:CZD230"/>
    <mergeCell ref="CZE230:CZF230"/>
    <mergeCell ref="CZG230:CZH230"/>
    <mergeCell ref="CZI230:CZJ230"/>
    <mergeCell ref="DBS230:DBT230"/>
    <mergeCell ref="DBU230:DBV230"/>
    <mergeCell ref="DBW230:DBX230"/>
    <mergeCell ref="DBY230:DBZ230"/>
    <mergeCell ref="DCA230:DCB230"/>
    <mergeCell ref="DBI230:DBJ230"/>
    <mergeCell ref="DBK230:DBL230"/>
    <mergeCell ref="DBM230:DBN230"/>
    <mergeCell ref="DBO230:DBP230"/>
    <mergeCell ref="DBQ230:DBR230"/>
    <mergeCell ref="DAY230:DAZ230"/>
    <mergeCell ref="DBA230:DBB230"/>
    <mergeCell ref="DBC230:DBD230"/>
    <mergeCell ref="DBE230:DBF230"/>
    <mergeCell ref="DBG230:DBH230"/>
    <mergeCell ref="DAO230:DAP230"/>
    <mergeCell ref="DAQ230:DAR230"/>
    <mergeCell ref="DAS230:DAT230"/>
    <mergeCell ref="DAU230:DAV230"/>
    <mergeCell ref="DAW230:DAX230"/>
    <mergeCell ref="DDG230:DDH230"/>
    <mergeCell ref="DDI230:DDJ230"/>
    <mergeCell ref="DDK230:DDL230"/>
    <mergeCell ref="DDM230:DDN230"/>
    <mergeCell ref="DDO230:DDP230"/>
    <mergeCell ref="DCW230:DCX230"/>
    <mergeCell ref="DCY230:DCZ230"/>
    <mergeCell ref="DDA230:DDB230"/>
    <mergeCell ref="DDC230:DDD230"/>
    <mergeCell ref="DDE230:DDF230"/>
    <mergeCell ref="DCM230:DCN230"/>
    <mergeCell ref="DCO230:DCP230"/>
    <mergeCell ref="DCQ230:DCR230"/>
    <mergeCell ref="DCS230:DCT230"/>
    <mergeCell ref="DCU230:DCV230"/>
    <mergeCell ref="DCC230:DCD230"/>
    <mergeCell ref="DCE230:DCF230"/>
    <mergeCell ref="DCG230:DCH230"/>
    <mergeCell ref="DCI230:DCJ230"/>
    <mergeCell ref="DCK230:DCL230"/>
    <mergeCell ref="DEU230:DEV230"/>
    <mergeCell ref="DEW230:DEX230"/>
    <mergeCell ref="DEY230:DEZ230"/>
    <mergeCell ref="DFA230:DFB230"/>
    <mergeCell ref="DFC230:DFD230"/>
    <mergeCell ref="DEK230:DEL230"/>
    <mergeCell ref="DEM230:DEN230"/>
    <mergeCell ref="DEO230:DEP230"/>
    <mergeCell ref="DEQ230:DER230"/>
    <mergeCell ref="DES230:DET230"/>
    <mergeCell ref="DEA230:DEB230"/>
    <mergeCell ref="DEC230:DED230"/>
    <mergeCell ref="DEE230:DEF230"/>
    <mergeCell ref="DEG230:DEH230"/>
    <mergeCell ref="DEI230:DEJ230"/>
    <mergeCell ref="DDQ230:DDR230"/>
    <mergeCell ref="DDS230:DDT230"/>
    <mergeCell ref="DDU230:DDV230"/>
    <mergeCell ref="DDW230:DDX230"/>
    <mergeCell ref="DDY230:DDZ230"/>
    <mergeCell ref="DGI230:DGJ230"/>
    <mergeCell ref="DGK230:DGL230"/>
    <mergeCell ref="DGM230:DGN230"/>
    <mergeCell ref="DGO230:DGP230"/>
    <mergeCell ref="DGQ230:DGR230"/>
    <mergeCell ref="DFY230:DFZ230"/>
    <mergeCell ref="DGA230:DGB230"/>
    <mergeCell ref="DGC230:DGD230"/>
    <mergeCell ref="DGE230:DGF230"/>
    <mergeCell ref="DGG230:DGH230"/>
    <mergeCell ref="DFO230:DFP230"/>
    <mergeCell ref="DFQ230:DFR230"/>
    <mergeCell ref="DFS230:DFT230"/>
    <mergeCell ref="DFU230:DFV230"/>
    <mergeCell ref="DFW230:DFX230"/>
    <mergeCell ref="DFE230:DFF230"/>
    <mergeCell ref="DFG230:DFH230"/>
    <mergeCell ref="DFI230:DFJ230"/>
    <mergeCell ref="DFK230:DFL230"/>
    <mergeCell ref="DFM230:DFN230"/>
    <mergeCell ref="DHW230:DHX230"/>
    <mergeCell ref="DHY230:DHZ230"/>
    <mergeCell ref="DIA230:DIB230"/>
    <mergeCell ref="DIC230:DID230"/>
    <mergeCell ref="DIE230:DIF230"/>
    <mergeCell ref="DHM230:DHN230"/>
    <mergeCell ref="DHO230:DHP230"/>
    <mergeCell ref="DHQ230:DHR230"/>
    <mergeCell ref="DHS230:DHT230"/>
    <mergeCell ref="DHU230:DHV230"/>
    <mergeCell ref="DHC230:DHD230"/>
    <mergeCell ref="DHE230:DHF230"/>
    <mergeCell ref="DHG230:DHH230"/>
    <mergeCell ref="DHI230:DHJ230"/>
    <mergeCell ref="DHK230:DHL230"/>
    <mergeCell ref="DGS230:DGT230"/>
    <mergeCell ref="DGU230:DGV230"/>
    <mergeCell ref="DGW230:DGX230"/>
    <mergeCell ref="DGY230:DGZ230"/>
    <mergeCell ref="DHA230:DHB230"/>
    <mergeCell ref="DJK230:DJL230"/>
    <mergeCell ref="DJM230:DJN230"/>
    <mergeCell ref="DJO230:DJP230"/>
    <mergeCell ref="DJQ230:DJR230"/>
    <mergeCell ref="DJS230:DJT230"/>
    <mergeCell ref="DJA230:DJB230"/>
    <mergeCell ref="DJC230:DJD230"/>
    <mergeCell ref="DJE230:DJF230"/>
    <mergeCell ref="DJG230:DJH230"/>
    <mergeCell ref="DJI230:DJJ230"/>
    <mergeCell ref="DIQ230:DIR230"/>
    <mergeCell ref="DIS230:DIT230"/>
    <mergeCell ref="DIU230:DIV230"/>
    <mergeCell ref="DIW230:DIX230"/>
    <mergeCell ref="DIY230:DIZ230"/>
    <mergeCell ref="DIG230:DIH230"/>
    <mergeCell ref="DII230:DIJ230"/>
    <mergeCell ref="DIK230:DIL230"/>
    <mergeCell ref="DIM230:DIN230"/>
    <mergeCell ref="DIO230:DIP230"/>
    <mergeCell ref="DKY230:DKZ230"/>
    <mergeCell ref="DLA230:DLB230"/>
    <mergeCell ref="DLC230:DLD230"/>
    <mergeCell ref="DLE230:DLF230"/>
    <mergeCell ref="DLG230:DLH230"/>
    <mergeCell ref="DKO230:DKP230"/>
    <mergeCell ref="DKQ230:DKR230"/>
    <mergeCell ref="DKS230:DKT230"/>
    <mergeCell ref="DKU230:DKV230"/>
    <mergeCell ref="DKW230:DKX230"/>
    <mergeCell ref="DKE230:DKF230"/>
    <mergeCell ref="DKG230:DKH230"/>
    <mergeCell ref="DKI230:DKJ230"/>
    <mergeCell ref="DKK230:DKL230"/>
    <mergeCell ref="DKM230:DKN230"/>
    <mergeCell ref="DJU230:DJV230"/>
    <mergeCell ref="DJW230:DJX230"/>
    <mergeCell ref="DJY230:DJZ230"/>
    <mergeCell ref="DKA230:DKB230"/>
    <mergeCell ref="DKC230:DKD230"/>
    <mergeCell ref="DMM230:DMN230"/>
    <mergeCell ref="DMO230:DMP230"/>
    <mergeCell ref="DMQ230:DMR230"/>
    <mergeCell ref="DMS230:DMT230"/>
    <mergeCell ref="DMU230:DMV230"/>
    <mergeCell ref="DMC230:DMD230"/>
    <mergeCell ref="DME230:DMF230"/>
    <mergeCell ref="DMG230:DMH230"/>
    <mergeCell ref="DMI230:DMJ230"/>
    <mergeCell ref="DMK230:DML230"/>
    <mergeCell ref="DLS230:DLT230"/>
    <mergeCell ref="DLU230:DLV230"/>
    <mergeCell ref="DLW230:DLX230"/>
    <mergeCell ref="DLY230:DLZ230"/>
    <mergeCell ref="DMA230:DMB230"/>
    <mergeCell ref="DLI230:DLJ230"/>
    <mergeCell ref="DLK230:DLL230"/>
    <mergeCell ref="DLM230:DLN230"/>
    <mergeCell ref="DLO230:DLP230"/>
    <mergeCell ref="DLQ230:DLR230"/>
    <mergeCell ref="DOA230:DOB230"/>
    <mergeCell ref="DOC230:DOD230"/>
    <mergeCell ref="DOE230:DOF230"/>
    <mergeCell ref="DOG230:DOH230"/>
    <mergeCell ref="DOI230:DOJ230"/>
    <mergeCell ref="DNQ230:DNR230"/>
    <mergeCell ref="DNS230:DNT230"/>
    <mergeCell ref="DNU230:DNV230"/>
    <mergeCell ref="DNW230:DNX230"/>
    <mergeCell ref="DNY230:DNZ230"/>
    <mergeCell ref="DNG230:DNH230"/>
    <mergeCell ref="DNI230:DNJ230"/>
    <mergeCell ref="DNK230:DNL230"/>
    <mergeCell ref="DNM230:DNN230"/>
    <mergeCell ref="DNO230:DNP230"/>
    <mergeCell ref="DMW230:DMX230"/>
    <mergeCell ref="DMY230:DMZ230"/>
    <mergeCell ref="DNA230:DNB230"/>
    <mergeCell ref="DNC230:DND230"/>
    <mergeCell ref="DNE230:DNF230"/>
    <mergeCell ref="DPO230:DPP230"/>
    <mergeCell ref="DPQ230:DPR230"/>
    <mergeCell ref="DPS230:DPT230"/>
    <mergeCell ref="DPU230:DPV230"/>
    <mergeCell ref="DPW230:DPX230"/>
    <mergeCell ref="DPE230:DPF230"/>
    <mergeCell ref="DPG230:DPH230"/>
    <mergeCell ref="DPI230:DPJ230"/>
    <mergeCell ref="DPK230:DPL230"/>
    <mergeCell ref="DPM230:DPN230"/>
    <mergeCell ref="DOU230:DOV230"/>
    <mergeCell ref="DOW230:DOX230"/>
    <mergeCell ref="DOY230:DOZ230"/>
    <mergeCell ref="DPA230:DPB230"/>
    <mergeCell ref="DPC230:DPD230"/>
    <mergeCell ref="DOK230:DOL230"/>
    <mergeCell ref="DOM230:DON230"/>
    <mergeCell ref="DOO230:DOP230"/>
    <mergeCell ref="DOQ230:DOR230"/>
    <mergeCell ref="DOS230:DOT230"/>
    <mergeCell ref="DRC230:DRD230"/>
    <mergeCell ref="DRE230:DRF230"/>
    <mergeCell ref="DRG230:DRH230"/>
    <mergeCell ref="DRI230:DRJ230"/>
    <mergeCell ref="DRK230:DRL230"/>
    <mergeCell ref="DQS230:DQT230"/>
    <mergeCell ref="DQU230:DQV230"/>
    <mergeCell ref="DQW230:DQX230"/>
    <mergeCell ref="DQY230:DQZ230"/>
    <mergeCell ref="DRA230:DRB230"/>
    <mergeCell ref="DQI230:DQJ230"/>
    <mergeCell ref="DQK230:DQL230"/>
    <mergeCell ref="DQM230:DQN230"/>
    <mergeCell ref="DQO230:DQP230"/>
    <mergeCell ref="DQQ230:DQR230"/>
    <mergeCell ref="DPY230:DPZ230"/>
    <mergeCell ref="DQA230:DQB230"/>
    <mergeCell ref="DQC230:DQD230"/>
    <mergeCell ref="DQE230:DQF230"/>
    <mergeCell ref="DQG230:DQH230"/>
    <mergeCell ref="DSQ230:DSR230"/>
    <mergeCell ref="DSS230:DST230"/>
    <mergeCell ref="DSU230:DSV230"/>
    <mergeCell ref="DSW230:DSX230"/>
    <mergeCell ref="DSY230:DSZ230"/>
    <mergeCell ref="DSG230:DSH230"/>
    <mergeCell ref="DSI230:DSJ230"/>
    <mergeCell ref="DSK230:DSL230"/>
    <mergeCell ref="DSM230:DSN230"/>
    <mergeCell ref="DSO230:DSP230"/>
    <mergeCell ref="DRW230:DRX230"/>
    <mergeCell ref="DRY230:DRZ230"/>
    <mergeCell ref="DSA230:DSB230"/>
    <mergeCell ref="DSC230:DSD230"/>
    <mergeCell ref="DSE230:DSF230"/>
    <mergeCell ref="DRM230:DRN230"/>
    <mergeCell ref="DRO230:DRP230"/>
    <mergeCell ref="DRQ230:DRR230"/>
    <mergeCell ref="DRS230:DRT230"/>
    <mergeCell ref="DRU230:DRV230"/>
    <mergeCell ref="DUE230:DUF230"/>
    <mergeCell ref="DUG230:DUH230"/>
    <mergeCell ref="DUI230:DUJ230"/>
    <mergeCell ref="DUK230:DUL230"/>
    <mergeCell ref="DUM230:DUN230"/>
    <mergeCell ref="DTU230:DTV230"/>
    <mergeCell ref="DTW230:DTX230"/>
    <mergeCell ref="DTY230:DTZ230"/>
    <mergeCell ref="DUA230:DUB230"/>
    <mergeCell ref="DUC230:DUD230"/>
    <mergeCell ref="DTK230:DTL230"/>
    <mergeCell ref="DTM230:DTN230"/>
    <mergeCell ref="DTO230:DTP230"/>
    <mergeCell ref="DTQ230:DTR230"/>
    <mergeCell ref="DTS230:DTT230"/>
    <mergeCell ref="DTA230:DTB230"/>
    <mergeCell ref="DTC230:DTD230"/>
    <mergeCell ref="DTE230:DTF230"/>
    <mergeCell ref="DTG230:DTH230"/>
    <mergeCell ref="DTI230:DTJ230"/>
    <mergeCell ref="DVS230:DVT230"/>
    <mergeCell ref="DVU230:DVV230"/>
    <mergeCell ref="DVW230:DVX230"/>
    <mergeCell ref="DVY230:DVZ230"/>
    <mergeCell ref="DWA230:DWB230"/>
    <mergeCell ref="DVI230:DVJ230"/>
    <mergeCell ref="DVK230:DVL230"/>
    <mergeCell ref="DVM230:DVN230"/>
    <mergeCell ref="DVO230:DVP230"/>
    <mergeCell ref="DVQ230:DVR230"/>
    <mergeCell ref="DUY230:DUZ230"/>
    <mergeCell ref="DVA230:DVB230"/>
    <mergeCell ref="DVC230:DVD230"/>
    <mergeCell ref="DVE230:DVF230"/>
    <mergeCell ref="DVG230:DVH230"/>
    <mergeCell ref="DUO230:DUP230"/>
    <mergeCell ref="DUQ230:DUR230"/>
    <mergeCell ref="DUS230:DUT230"/>
    <mergeCell ref="DUU230:DUV230"/>
    <mergeCell ref="DUW230:DUX230"/>
    <mergeCell ref="DXG230:DXH230"/>
    <mergeCell ref="DXI230:DXJ230"/>
    <mergeCell ref="DXK230:DXL230"/>
    <mergeCell ref="DXM230:DXN230"/>
    <mergeCell ref="DXO230:DXP230"/>
    <mergeCell ref="DWW230:DWX230"/>
    <mergeCell ref="DWY230:DWZ230"/>
    <mergeCell ref="DXA230:DXB230"/>
    <mergeCell ref="DXC230:DXD230"/>
    <mergeCell ref="DXE230:DXF230"/>
    <mergeCell ref="DWM230:DWN230"/>
    <mergeCell ref="DWO230:DWP230"/>
    <mergeCell ref="DWQ230:DWR230"/>
    <mergeCell ref="DWS230:DWT230"/>
    <mergeCell ref="DWU230:DWV230"/>
    <mergeCell ref="DWC230:DWD230"/>
    <mergeCell ref="DWE230:DWF230"/>
    <mergeCell ref="DWG230:DWH230"/>
    <mergeCell ref="DWI230:DWJ230"/>
    <mergeCell ref="DWK230:DWL230"/>
    <mergeCell ref="DYU230:DYV230"/>
    <mergeCell ref="DYW230:DYX230"/>
    <mergeCell ref="DYY230:DYZ230"/>
    <mergeCell ref="DZA230:DZB230"/>
    <mergeCell ref="DZC230:DZD230"/>
    <mergeCell ref="DYK230:DYL230"/>
    <mergeCell ref="DYM230:DYN230"/>
    <mergeCell ref="DYO230:DYP230"/>
    <mergeCell ref="DYQ230:DYR230"/>
    <mergeCell ref="DYS230:DYT230"/>
    <mergeCell ref="DYA230:DYB230"/>
    <mergeCell ref="DYC230:DYD230"/>
    <mergeCell ref="DYE230:DYF230"/>
    <mergeCell ref="DYG230:DYH230"/>
    <mergeCell ref="DYI230:DYJ230"/>
    <mergeCell ref="DXQ230:DXR230"/>
    <mergeCell ref="DXS230:DXT230"/>
    <mergeCell ref="DXU230:DXV230"/>
    <mergeCell ref="DXW230:DXX230"/>
    <mergeCell ref="DXY230:DXZ230"/>
    <mergeCell ref="EAI230:EAJ230"/>
    <mergeCell ref="EAK230:EAL230"/>
    <mergeCell ref="EAM230:EAN230"/>
    <mergeCell ref="EAO230:EAP230"/>
    <mergeCell ref="EAQ230:EAR230"/>
    <mergeCell ref="DZY230:DZZ230"/>
    <mergeCell ref="EAA230:EAB230"/>
    <mergeCell ref="EAC230:EAD230"/>
    <mergeCell ref="EAE230:EAF230"/>
    <mergeCell ref="EAG230:EAH230"/>
    <mergeCell ref="DZO230:DZP230"/>
    <mergeCell ref="DZQ230:DZR230"/>
    <mergeCell ref="DZS230:DZT230"/>
    <mergeCell ref="DZU230:DZV230"/>
    <mergeCell ref="DZW230:DZX230"/>
    <mergeCell ref="DZE230:DZF230"/>
    <mergeCell ref="DZG230:DZH230"/>
    <mergeCell ref="DZI230:DZJ230"/>
    <mergeCell ref="DZK230:DZL230"/>
    <mergeCell ref="DZM230:DZN230"/>
    <mergeCell ref="EBW230:EBX230"/>
    <mergeCell ref="EBY230:EBZ230"/>
    <mergeCell ref="ECA230:ECB230"/>
    <mergeCell ref="ECC230:ECD230"/>
    <mergeCell ref="ECE230:ECF230"/>
    <mergeCell ref="EBM230:EBN230"/>
    <mergeCell ref="EBO230:EBP230"/>
    <mergeCell ref="EBQ230:EBR230"/>
    <mergeCell ref="EBS230:EBT230"/>
    <mergeCell ref="EBU230:EBV230"/>
    <mergeCell ref="EBC230:EBD230"/>
    <mergeCell ref="EBE230:EBF230"/>
    <mergeCell ref="EBG230:EBH230"/>
    <mergeCell ref="EBI230:EBJ230"/>
    <mergeCell ref="EBK230:EBL230"/>
    <mergeCell ref="EAS230:EAT230"/>
    <mergeCell ref="EAU230:EAV230"/>
    <mergeCell ref="EAW230:EAX230"/>
    <mergeCell ref="EAY230:EAZ230"/>
    <mergeCell ref="EBA230:EBB230"/>
    <mergeCell ref="EDK230:EDL230"/>
    <mergeCell ref="EDM230:EDN230"/>
    <mergeCell ref="EDO230:EDP230"/>
    <mergeCell ref="EDQ230:EDR230"/>
    <mergeCell ref="EDS230:EDT230"/>
    <mergeCell ref="EDA230:EDB230"/>
    <mergeCell ref="EDC230:EDD230"/>
    <mergeCell ref="EDE230:EDF230"/>
    <mergeCell ref="EDG230:EDH230"/>
    <mergeCell ref="EDI230:EDJ230"/>
    <mergeCell ref="ECQ230:ECR230"/>
    <mergeCell ref="ECS230:ECT230"/>
    <mergeCell ref="ECU230:ECV230"/>
    <mergeCell ref="ECW230:ECX230"/>
    <mergeCell ref="ECY230:ECZ230"/>
    <mergeCell ref="ECG230:ECH230"/>
    <mergeCell ref="ECI230:ECJ230"/>
    <mergeCell ref="ECK230:ECL230"/>
    <mergeCell ref="ECM230:ECN230"/>
    <mergeCell ref="ECO230:ECP230"/>
    <mergeCell ref="EEY230:EEZ230"/>
    <mergeCell ref="EFA230:EFB230"/>
    <mergeCell ref="EFC230:EFD230"/>
    <mergeCell ref="EFE230:EFF230"/>
    <mergeCell ref="EFG230:EFH230"/>
    <mergeCell ref="EEO230:EEP230"/>
    <mergeCell ref="EEQ230:EER230"/>
    <mergeCell ref="EES230:EET230"/>
    <mergeCell ref="EEU230:EEV230"/>
    <mergeCell ref="EEW230:EEX230"/>
    <mergeCell ref="EEE230:EEF230"/>
    <mergeCell ref="EEG230:EEH230"/>
    <mergeCell ref="EEI230:EEJ230"/>
    <mergeCell ref="EEK230:EEL230"/>
    <mergeCell ref="EEM230:EEN230"/>
    <mergeCell ref="EDU230:EDV230"/>
    <mergeCell ref="EDW230:EDX230"/>
    <mergeCell ref="EDY230:EDZ230"/>
    <mergeCell ref="EEA230:EEB230"/>
    <mergeCell ref="EEC230:EED230"/>
    <mergeCell ref="EGM230:EGN230"/>
    <mergeCell ref="EGO230:EGP230"/>
    <mergeCell ref="EGQ230:EGR230"/>
    <mergeCell ref="EGS230:EGT230"/>
    <mergeCell ref="EGU230:EGV230"/>
    <mergeCell ref="EGC230:EGD230"/>
    <mergeCell ref="EGE230:EGF230"/>
    <mergeCell ref="EGG230:EGH230"/>
    <mergeCell ref="EGI230:EGJ230"/>
    <mergeCell ref="EGK230:EGL230"/>
    <mergeCell ref="EFS230:EFT230"/>
    <mergeCell ref="EFU230:EFV230"/>
    <mergeCell ref="EFW230:EFX230"/>
    <mergeCell ref="EFY230:EFZ230"/>
    <mergeCell ref="EGA230:EGB230"/>
    <mergeCell ref="EFI230:EFJ230"/>
    <mergeCell ref="EFK230:EFL230"/>
    <mergeCell ref="EFM230:EFN230"/>
    <mergeCell ref="EFO230:EFP230"/>
    <mergeCell ref="EFQ230:EFR230"/>
    <mergeCell ref="EIA230:EIB230"/>
    <mergeCell ref="EIC230:EID230"/>
    <mergeCell ref="EIE230:EIF230"/>
    <mergeCell ref="EIG230:EIH230"/>
    <mergeCell ref="EII230:EIJ230"/>
    <mergeCell ref="EHQ230:EHR230"/>
    <mergeCell ref="EHS230:EHT230"/>
    <mergeCell ref="EHU230:EHV230"/>
    <mergeCell ref="EHW230:EHX230"/>
    <mergeCell ref="EHY230:EHZ230"/>
    <mergeCell ref="EHG230:EHH230"/>
    <mergeCell ref="EHI230:EHJ230"/>
    <mergeCell ref="EHK230:EHL230"/>
    <mergeCell ref="EHM230:EHN230"/>
    <mergeCell ref="EHO230:EHP230"/>
    <mergeCell ref="EGW230:EGX230"/>
    <mergeCell ref="EGY230:EGZ230"/>
    <mergeCell ref="EHA230:EHB230"/>
    <mergeCell ref="EHC230:EHD230"/>
    <mergeCell ref="EHE230:EHF230"/>
    <mergeCell ref="EJO230:EJP230"/>
    <mergeCell ref="EJQ230:EJR230"/>
    <mergeCell ref="EJS230:EJT230"/>
    <mergeCell ref="EJU230:EJV230"/>
    <mergeCell ref="EJW230:EJX230"/>
    <mergeCell ref="EJE230:EJF230"/>
    <mergeCell ref="EJG230:EJH230"/>
    <mergeCell ref="EJI230:EJJ230"/>
    <mergeCell ref="EJK230:EJL230"/>
    <mergeCell ref="EJM230:EJN230"/>
    <mergeCell ref="EIU230:EIV230"/>
    <mergeCell ref="EIW230:EIX230"/>
    <mergeCell ref="EIY230:EIZ230"/>
    <mergeCell ref="EJA230:EJB230"/>
    <mergeCell ref="EJC230:EJD230"/>
    <mergeCell ref="EIK230:EIL230"/>
    <mergeCell ref="EIM230:EIN230"/>
    <mergeCell ref="EIO230:EIP230"/>
    <mergeCell ref="EIQ230:EIR230"/>
    <mergeCell ref="EIS230:EIT230"/>
    <mergeCell ref="ELC230:ELD230"/>
    <mergeCell ref="ELE230:ELF230"/>
    <mergeCell ref="ELG230:ELH230"/>
    <mergeCell ref="ELI230:ELJ230"/>
    <mergeCell ref="ELK230:ELL230"/>
    <mergeCell ref="EKS230:EKT230"/>
    <mergeCell ref="EKU230:EKV230"/>
    <mergeCell ref="EKW230:EKX230"/>
    <mergeCell ref="EKY230:EKZ230"/>
    <mergeCell ref="ELA230:ELB230"/>
    <mergeCell ref="EKI230:EKJ230"/>
    <mergeCell ref="EKK230:EKL230"/>
    <mergeCell ref="EKM230:EKN230"/>
    <mergeCell ref="EKO230:EKP230"/>
    <mergeCell ref="EKQ230:EKR230"/>
    <mergeCell ref="EJY230:EJZ230"/>
    <mergeCell ref="EKA230:EKB230"/>
    <mergeCell ref="EKC230:EKD230"/>
    <mergeCell ref="EKE230:EKF230"/>
    <mergeCell ref="EKG230:EKH230"/>
    <mergeCell ref="EMQ230:EMR230"/>
    <mergeCell ref="EMS230:EMT230"/>
    <mergeCell ref="EMU230:EMV230"/>
    <mergeCell ref="EMW230:EMX230"/>
    <mergeCell ref="EMY230:EMZ230"/>
    <mergeCell ref="EMG230:EMH230"/>
    <mergeCell ref="EMI230:EMJ230"/>
    <mergeCell ref="EMK230:EML230"/>
    <mergeCell ref="EMM230:EMN230"/>
    <mergeCell ref="EMO230:EMP230"/>
    <mergeCell ref="ELW230:ELX230"/>
    <mergeCell ref="ELY230:ELZ230"/>
    <mergeCell ref="EMA230:EMB230"/>
    <mergeCell ref="EMC230:EMD230"/>
    <mergeCell ref="EME230:EMF230"/>
    <mergeCell ref="ELM230:ELN230"/>
    <mergeCell ref="ELO230:ELP230"/>
    <mergeCell ref="ELQ230:ELR230"/>
    <mergeCell ref="ELS230:ELT230"/>
    <mergeCell ref="ELU230:ELV230"/>
    <mergeCell ref="EOE230:EOF230"/>
    <mergeCell ref="EOG230:EOH230"/>
    <mergeCell ref="EOI230:EOJ230"/>
    <mergeCell ref="EOK230:EOL230"/>
    <mergeCell ref="EOM230:EON230"/>
    <mergeCell ref="ENU230:ENV230"/>
    <mergeCell ref="ENW230:ENX230"/>
    <mergeCell ref="ENY230:ENZ230"/>
    <mergeCell ref="EOA230:EOB230"/>
    <mergeCell ref="EOC230:EOD230"/>
    <mergeCell ref="ENK230:ENL230"/>
    <mergeCell ref="ENM230:ENN230"/>
    <mergeCell ref="ENO230:ENP230"/>
    <mergeCell ref="ENQ230:ENR230"/>
    <mergeCell ref="ENS230:ENT230"/>
    <mergeCell ref="ENA230:ENB230"/>
    <mergeCell ref="ENC230:END230"/>
    <mergeCell ref="ENE230:ENF230"/>
    <mergeCell ref="ENG230:ENH230"/>
    <mergeCell ref="ENI230:ENJ230"/>
    <mergeCell ref="EPS230:EPT230"/>
    <mergeCell ref="EPU230:EPV230"/>
    <mergeCell ref="EPW230:EPX230"/>
    <mergeCell ref="EPY230:EPZ230"/>
    <mergeCell ref="EQA230:EQB230"/>
    <mergeCell ref="EPI230:EPJ230"/>
    <mergeCell ref="EPK230:EPL230"/>
    <mergeCell ref="EPM230:EPN230"/>
    <mergeCell ref="EPO230:EPP230"/>
    <mergeCell ref="EPQ230:EPR230"/>
    <mergeCell ref="EOY230:EOZ230"/>
    <mergeCell ref="EPA230:EPB230"/>
    <mergeCell ref="EPC230:EPD230"/>
    <mergeCell ref="EPE230:EPF230"/>
    <mergeCell ref="EPG230:EPH230"/>
    <mergeCell ref="EOO230:EOP230"/>
    <mergeCell ref="EOQ230:EOR230"/>
    <mergeCell ref="EOS230:EOT230"/>
    <mergeCell ref="EOU230:EOV230"/>
    <mergeCell ref="EOW230:EOX230"/>
    <mergeCell ref="ERG230:ERH230"/>
    <mergeCell ref="ERI230:ERJ230"/>
    <mergeCell ref="ERK230:ERL230"/>
    <mergeCell ref="ERM230:ERN230"/>
    <mergeCell ref="ERO230:ERP230"/>
    <mergeCell ref="EQW230:EQX230"/>
    <mergeCell ref="EQY230:EQZ230"/>
    <mergeCell ref="ERA230:ERB230"/>
    <mergeCell ref="ERC230:ERD230"/>
    <mergeCell ref="ERE230:ERF230"/>
    <mergeCell ref="EQM230:EQN230"/>
    <mergeCell ref="EQO230:EQP230"/>
    <mergeCell ref="EQQ230:EQR230"/>
    <mergeCell ref="EQS230:EQT230"/>
    <mergeCell ref="EQU230:EQV230"/>
    <mergeCell ref="EQC230:EQD230"/>
    <mergeCell ref="EQE230:EQF230"/>
    <mergeCell ref="EQG230:EQH230"/>
    <mergeCell ref="EQI230:EQJ230"/>
    <mergeCell ref="EQK230:EQL230"/>
    <mergeCell ref="ESU230:ESV230"/>
    <mergeCell ref="ESW230:ESX230"/>
    <mergeCell ref="ESY230:ESZ230"/>
    <mergeCell ref="ETA230:ETB230"/>
    <mergeCell ref="ETC230:ETD230"/>
    <mergeCell ref="ESK230:ESL230"/>
    <mergeCell ref="ESM230:ESN230"/>
    <mergeCell ref="ESO230:ESP230"/>
    <mergeCell ref="ESQ230:ESR230"/>
    <mergeCell ref="ESS230:EST230"/>
    <mergeCell ref="ESA230:ESB230"/>
    <mergeCell ref="ESC230:ESD230"/>
    <mergeCell ref="ESE230:ESF230"/>
    <mergeCell ref="ESG230:ESH230"/>
    <mergeCell ref="ESI230:ESJ230"/>
    <mergeCell ref="ERQ230:ERR230"/>
    <mergeCell ref="ERS230:ERT230"/>
    <mergeCell ref="ERU230:ERV230"/>
    <mergeCell ref="ERW230:ERX230"/>
    <mergeCell ref="ERY230:ERZ230"/>
    <mergeCell ref="EUI230:EUJ230"/>
    <mergeCell ref="EUK230:EUL230"/>
    <mergeCell ref="EUM230:EUN230"/>
    <mergeCell ref="EUO230:EUP230"/>
    <mergeCell ref="EUQ230:EUR230"/>
    <mergeCell ref="ETY230:ETZ230"/>
    <mergeCell ref="EUA230:EUB230"/>
    <mergeCell ref="EUC230:EUD230"/>
    <mergeCell ref="EUE230:EUF230"/>
    <mergeCell ref="EUG230:EUH230"/>
    <mergeCell ref="ETO230:ETP230"/>
    <mergeCell ref="ETQ230:ETR230"/>
    <mergeCell ref="ETS230:ETT230"/>
    <mergeCell ref="ETU230:ETV230"/>
    <mergeCell ref="ETW230:ETX230"/>
    <mergeCell ref="ETE230:ETF230"/>
    <mergeCell ref="ETG230:ETH230"/>
    <mergeCell ref="ETI230:ETJ230"/>
    <mergeCell ref="ETK230:ETL230"/>
    <mergeCell ref="ETM230:ETN230"/>
    <mergeCell ref="EVW230:EVX230"/>
    <mergeCell ref="EVY230:EVZ230"/>
    <mergeCell ref="EWA230:EWB230"/>
    <mergeCell ref="EWC230:EWD230"/>
    <mergeCell ref="EWE230:EWF230"/>
    <mergeCell ref="EVM230:EVN230"/>
    <mergeCell ref="EVO230:EVP230"/>
    <mergeCell ref="EVQ230:EVR230"/>
    <mergeCell ref="EVS230:EVT230"/>
    <mergeCell ref="EVU230:EVV230"/>
    <mergeCell ref="EVC230:EVD230"/>
    <mergeCell ref="EVE230:EVF230"/>
    <mergeCell ref="EVG230:EVH230"/>
    <mergeCell ref="EVI230:EVJ230"/>
    <mergeCell ref="EVK230:EVL230"/>
    <mergeCell ref="EUS230:EUT230"/>
    <mergeCell ref="EUU230:EUV230"/>
    <mergeCell ref="EUW230:EUX230"/>
    <mergeCell ref="EUY230:EUZ230"/>
    <mergeCell ref="EVA230:EVB230"/>
    <mergeCell ref="EXK230:EXL230"/>
    <mergeCell ref="EXM230:EXN230"/>
    <mergeCell ref="EXO230:EXP230"/>
    <mergeCell ref="EXQ230:EXR230"/>
    <mergeCell ref="EXS230:EXT230"/>
    <mergeCell ref="EXA230:EXB230"/>
    <mergeCell ref="EXC230:EXD230"/>
    <mergeCell ref="EXE230:EXF230"/>
    <mergeCell ref="EXG230:EXH230"/>
    <mergeCell ref="EXI230:EXJ230"/>
    <mergeCell ref="EWQ230:EWR230"/>
    <mergeCell ref="EWS230:EWT230"/>
    <mergeCell ref="EWU230:EWV230"/>
    <mergeCell ref="EWW230:EWX230"/>
    <mergeCell ref="EWY230:EWZ230"/>
    <mergeCell ref="EWG230:EWH230"/>
    <mergeCell ref="EWI230:EWJ230"/>
    <mergeCell ref="EWK230:EWL230"/>
    <mergeCell ref="EWM230:EWN230"/>
    <mergeCell ref="EWO230:EWP230"/>
    <mergeCell ref="EYY230:EYZ230"/>
    <mergeCell ref="EZA230:EZB230"/>
    <mergeCell ref="EZC230:EZD230"/>
    <mergeCell ref="EZE230:EZF230"/>
    <mergeCell ref="EZG230:EZH230"/>
    <mergeCell ref="EYO230:EYP230"/>
    <mergeCell ref="EYQ230:EYR230"/>
    <mergeCell ref="EYS230:EYT230"/>
    <mergeCell ref="EYU230:EYV230"/>
    <mergeCell ref="EYW230:EYX230"/>
    <mergeCell ref="EYE230:EYF230"/>
    <mergeCell ref="EYG230:EYH230"/>
    <mergeCell ref="EYI230:EYJ230"/>
    <mergeCell ref="EYK230:EYL230"/>
    <mergeCell ref="EYM230:EYN230"/>
    <mergeCell ref="EXU230:EXV230"/>
    <mergeCell ref="EXW230:EXX230"/>
    <mergeCell ref="EXY230:EXZ230"/>
    <mergeCell ref="EYA230:EYB230"/>
    <mergeCell ref="EYC230:EYD230"/>
    <mergeCell ref="FAM230:FAN230"/>
    <mergeCell ref="FAO230:FAP230"/>
    <mergeCell ref="FAQ230:FAR230"/>
    <mergeCell ref="FAS230:FAT230"/>
    <mergeCell ref="FAU230:FAV230"/>
    <mergeCell ref="FAC230:FAD230"/>
    <mergeCell ref="FAE230:FAF230"/>
    <mergeCell ref="FAG230:FAH230"/>
    <mergeCell ref="FAI230:FAJ230"/>
    <mergeCell ref="FAK230:FAL230"/>
    <mergeCell ref="EZS230:EZT230"/>
    <mergeCell ref="EZU230:EZV230"/>
    <mergeCell ref="EZW230:EZX230"/>
    <mergeCell ref="EZY230:EZZ230"/>
    <mergeCell ref="FAA230:FAB230"/>
    <mergeCell ref="EZI230:EZJ230"/>
    <mergeCell ref="EZK230:EZL230"/>
    <mergeCell ref="EZM230:EZN230"/>
    <mergeCell ref="EZO230:EZP230"/>
    <mergeCell ref="EZQ230:EZR230"/>
    <mergeCell ref="FCA230:FCB230"/>
    <mergeCell ref="FCC230:FCD230"/>
    <mergeCell ref="FCE230:FCF230"/>
    <mergeCell ref="FCG230:FCH230"/>
    <mergeCell ref="FCI230:FCJ230"/>
    <mergeCell ref="FBQ230:FBR230"/>
    <mergeCell ref="FBS230:FBT230"/>
    <mergeCell ref="FBU230:FBV230"/>
    <mergeCell ref="FBW230:FBX230"/>
    <mergeCell ref="FBY230:FBZ230"/>
    <mergeCell ref="FBG230:FBH230"/>
    <mergeCell ref="FBI230:FBJ230"/>
    <mergeCell ref="FBK230:FBL230"/>
    <mergeCell ref="FBM230:FBN230"/>
    <mergeCell ref="FBO230:FBP230"/>
    <mergeCell ref="FAW230:FAX230"/>
    <mergeCell ref="FAY230:FAZ230"/>
    <mergeCell ref="FBA230:FBB230"/>
    <mergeCell ref="FBC230:FBD230"/>
    <mergeCell ref="FBE230:FBF230"/>
    <mergeCell ref="FDO230:FDP230"/>
    <mergeCell ref="FDQ230:FDR230"/>
    <mergeCell ref="FDS230:FDT230"/>
    <mergeCell ref="FDU230:FDV230"/>
    <mergeCell ref="FDW230:FDX230"/>
    <mergeCell ref="FDE230:FDF230"/>
    <mergeCell ref="FDG230:FDH230"/>
    <mergeCell ref="FDI230:FDJ230"/>
    <mergeCell ref="FDK230:FDL230"/>
    <mergeCell ref="FDM230:FDN230"/>
    <mergeCell ref="FCU230:FCV230"/>
    <mergeCell ref="FCW230:FCX230"/>
    <mergeCell ref="FCY230:FCZ230"/>
    <mergeCell ref="FDA230:FDB230"/>
    <mergeCell ref="FDC230:FDD230"/>
    <mergeCell ref="FCK230:FCL230"/>
    <mergeCell ref="FCM230:FCN230"/>
    <mergeCell ref="FCO230:FCP230"/>
    <mergeCell ref="FCQ230:FCR230"/>
    <mergeCell ref="FCS230:FCT230"/>
    <mergeCell ref="FFC230:FFD230"/>
    <mergeCell ref="FFE230:FFF230"/>
    <mergeCell ref="FFG230:FFH230"/>
    <mergeCell ref="FFI230:FFJ230"/>
    <mergeCell ref="FFK230:FFL230"/>
    <mergeCell ref="FES230:FET230"/>
    <mergeCell ref="FEU230:FEV230"/>
    <mergeCell ref="FEW230:FEX230"/>
    <mergeCell ref="FEY230:FEZ230"/>
    <mergeCell ref="FFA230:FFB230"/>
    <mergeCell ref="FEI230:FEJ230"/>
    <mergeCell ref="FEK230:FEL230"/>
    <mergeCell ref="FEM230:FEN230"/>
    <mergeCell ref="FEO230:FEP230"/>
    <mergeCell ref="FEQ230:FER230"/>
    <mergeCell ref="FDY230:FDZ230"/>
    <mergeCell ref="FEA230:FEB230"/>
    <mergeCell ref="FEC230:FED230"/>
    <mergeCell ref="FEE230:FEF230"/>
    <mergeCell ref="FEG230:FEH230"/>
    <mergeCell ref="FGQ230:FGR230"/>
    <mergeCell ref="FGS230:FGT230"/>
    <mergeCell ref="FGU230:FGV230"/>
    <mergeCell ref="FGW230:FGX230"/>
    <mergeCell ref="FGY230:FGZ230"/>
    <mergeCell ref="FGG230:FGH230"/>
    <mergeCell ref="FGI230:FGJ230"/>
    <mergeCell ref="FGK230:FGL230"/>
    <mergeCell ref="FGM230:FGN230"/>
    <mergeCell ref="FGO230:FGP230"/>
    <mergeCell ref="FFW230:FFX230"/>
    <mergeCell ref="FFY230:FFZ230"/>
    <mergeCell ref="FGA230:FGB230"/>
    <mergeCell ref="FGC230:FGD230"/>
    <mergeCell ref="FGE230:FGF230"/>
    <mergeCell ref="FFM230:FFN230"/>
    <mergeCell ref="FFO230:FFP230"/>
    <mergeCell ref="FFQ230:FFR230"/>
    <mergeCell ref="FFS230:FFT230"/>
    <mergeCell ref="FFU230:FFV230"/>
    <mergeCell ref="FIE230:FIF230"/>
    <mergeCell ref="FIG230:FIH230"/>
    <mergeCell ref="FII230:FIJ230"/>
    <mergeCell ref="FIK230:FIL230"/>
    <mergeCell ref="FIM230:FIN230"/>
    <mergeCell ref="FHU230:FHV230"/>
    <mergeCell ref="FHW230:FHX230"/>
    <mergeCell ref="FHY230:FHZ230"/>
    <mergeCell ref="FIA230:FIB230"/>
    <mergeCell ref="FIC230:FID230"/>
    <mergeCell ref="FHK230:FHL230"/>
    <mergeCell ref="FHM230:FHN230"/>
    <mergeCell ref="FHO230:FHP230"/>
    <mergeCell ref="FHQ230:FHR230"/>
    <mergeCell ref="FHS230:FHT230"/>
    <mergeCell ref="FHA230:FHB230"/>
    <mergeCell ref="FHC230:FHD230"/>
    <mergeCell ref="FHE230:FHF230"/>
    <mergeCell ref="FHG230:FHH230"/>
    <mergeCell ref="FHI230:FHJ230"/>
    <mergeCell ref="FJS230:FJT230"/>
    <mergeCell ref="FJU230:FJV230"/>
    <mergeCell ref="FJW230:FJX230"/>
    <mergeCell ref="FJY230:FJZ230"/>
    <mergeCell ref="FKA230:FKB230"/>
    <mergeCell ref="FJI230:FJJ230"/>
    <mergeCell ref="FJK230:FJL230"/>
    <mergeCell ref="FJM230:FJN230"/>
    <mergeCell ref="FJO230:FJP230"/>
    <mergeCell ref="FJQ230:FJR230"/>
    <mergeCell ref="FIY230:FIZ230"/>
    <mergeCell ref="FJA230:FJB230"/>
    <mergeCell ref="FJC230:FJD230"/>
    <mergeCell ref="FJE230:FJF230"/>
    <mergeCell ref="FJG230:FJH230"/>
    <mergeCell ref="FIO230:FIP230"/>
    <mergeCell ref="FIQ230:FIR230"/>
    <mergeCell ref="FIS230:FIT230"/>
    <mergeCell ref="FIU230:FIV230"/>
    <mergeCell ref="FIW230:FIX230"/>
    <mergeCell ref="FLG230:FLH230"/>
    <mergeCell ref="FLI230:FLJ230"/>
    <mergeCell ref="FLK230:FLL230"/>
    <mergeCell ref="FLM230:FLN230"/>
    <mergeCell ref="FLO230:FLP230"/>
    <mergeCell ref="FKW230:FKX230"/>
    <mergeCell ref="FKY230:FKZ230"/>
    <mergeCell ref="FLA230:FLB230"/>
    <mergeCell ref="FLC230:FLD230"/>
    <mergeCell ref="FLE230:FLF230"/>
    <mergeCell ref="FKM230:FKN230"/>
    <mergeCell ref="FKO230:FKP230"/>
    <mergeCell ref="FKQ230:FKR230"/>
    <mergeCell ref="FKS230:FKT230"/>
    <mergeCell ref="FKU230:FKV230"/>
    <mergeCell ref="FKC230:FKD230"/>
    <mergeCell ref="FKE230:FKF230"/>
    <mergeCell ref="FKG230:FKH230"/>
    <mergeCell ref="FKI230:FKJ230"/>
    <mergeCell ref="FKK230:FKL230"/>
    <mergeCell ref="FMU230:FMV230"/>
    <mergeCell ref="FMW230:FMX230"/>
    <mergeCell ref="FMY230:FMZ230"/>
    <mergeCell ref="FNA230:FNB230"/>
    <mergeCell ref="FNC230:FND230"/>
    <mergeCell ref="FMK230:FML230"/>
    <mergeCell ref="FMM230:FMN230"/>
    <mergeCell ref="FMO230:FMP230"/>
    <mergeCell ref="FMQ230:FMR230"/>
    <mergeCell ref="FMS230:FMT230"/>
    <mergeCell ref="FMA230:FMB230"/>
    <mergeCell ref="FMC230:FMD230"/>
    <mergeCell ref="FME230:FMF230"/>
    <mergeCell ref="FMG230:FMH230"/>
    <mergeCell ref="FMI230:FMJ230"/>
    <mergeCell ref="FLQ230:FLR230"/>
    <mergeCell ref="FLS230:FLT230"/>
    <mergeCell ref="FLU230:FLV230"/>
    <mergeCell ref="FLW230:FLX230"/>
    <mergeCell ref="FLY230:FLZ230"/>
    <mergeCell ref="FOI230:FOJ230"/>
    <mergeCell ref="FOK230:FOL230"/>
    <mergeCell ref="FOM230:FON230"/>
    <mergeCell ref="FOO230:FOP230"/>
    <mergeCell ref="FOQ230:FOR230"/>
    <mergeCell ref="FNY230:FNZ230"/>
    <mergeCell ref="FOA230:FOB230"/>
    <mergeCell ref="FOC230:FOD230"/>
    <mergeCell ref="FOE230:FOF230"/>
    <mergeCell ref="FOG230:FOH230"/>
    <mergeCell ref="FNO230:FNP230"/>
    <mergeCell ref="FNQ230:FNR230"/>
    <mergeCell ref="FNS230:FNT230"/>
    <mergeCell ref="FNU230:FNV230"/>
    <mergeCell ref="FNW230:FNX230"/>
    <mergeCell ref="FNE230:FNF230"/>
    <mergeCell ref="FNG230:FNH230"/>
    <mergeCell ref="FNI230:FNJ230"/>
    <mergeCell ref="FNK230:FNL230"/>
    <mergeCell ref="FNM230:FNN230"/>
    <mergeCell ref="FPW230:FPX230"/>
    <mergeCell ref="FPY230:FPZ230"/>
    <mergeCell ref="FQA230:FQB230"/>
    <mergeCell ref="FQC230:FQD230"/>
    <mergeCell ref="FQE230:FQF230"/>
    <mergeCell ref="FPM230:FPN230"/>
    <mergeCell ref="FPO230:FPP230"/>
    <mergeCell ref="FPQ230:FPR230"/>
    <mergeCell ref="FPS230:FPT230"/>
    <mergeCell ref="FPU230:FPV230"/>
    <mergeCell ref="FPC230:FPD230"/>
    <mergeCell ref="FPE230:FPF230"/>
    <mergeCell ref="FPG230:FPH230"/>
    <mergeCell ref="FPI230:FPJ230"/>
    <mergeCell ref="FPK230:FPL230"/>
    <mergeCell ref="FOS230:FOT230"/>
    <mergeCell ref="FOU230:FOV230"/>
    <mergeCell ref="FOW230:FOX230"/>
    <mergeCell ref="FOY230:FOZ230"/>
    <mergeCell ref="FPA230:FPB230"/>
    <mergeCell ref="FRK230:FRL230"/>
    <mergeCell ref="FRM230:FRN230"/>
    <mergeCell ref="FRO230:FRP230"/>
    <mergeCell ref="FRQ230:FRR230"/>
    <mergeCell ref="FRS230:FRT230"/>
    <mergeCell ref="FRA230:FRB230"/>
    <mergeCell ref="FRC230:FRD230"/>
    <mergeCell ref="FRE230:FRF230"/>
    <mergeCell ref="FRG230:FRH230"/>
    <mergeCell ref="FRI230:FRJ230"/>
    <mergeCell ref="FQQ230:FQR230"/>
    <mergeCell ref="FQS230:FQT230"/>
    <mergeCell ref="FQU230:FQV230"/>
    <mergeCell ref="FQW230:FQX230"/>
    <mergeCell ref="FQY230:FQZ230"/>
    <mergeCell ref="FQG230:FQH230"/>
    <mergeCell ref="FQI230:FQJ230"/>
    <mergeCell ref="FQK230:FQL230"/>
    <mergeCell ref="FQM230:FQN230"/>
    <mergeCell ref="FQO230:FQP230"/>
    <mergeCell ref="FSY230:FSZ230"/>
    <mergeCell ref="FTA230:FTB230"/>
    <mergeCell ref="FTC230:FTD230"/>
    <mergeCell ref="FTE230:FTF230"/>
    <mergeCell ref="FTG230:FTH230"/>
    <mergeCell ref="FSO230:FSP230"/>
    <mergeCell ref="FSQ230:FSR230"/>
    <mergeCell ref="FSS230:FST230"/>
    <mergeCell ref="FSU230:FSV230"/>
    <mergeCell ref="FSW230:FSX230"/>
    <mergeCell ref="FSE230:FSF230"/>
    <mergeCell ref="FSG230:FSH230"/>
    <mergeCell ref="FSI230:FSJ230"/>
    <mergeCell ref="FSK230:FSL230"/>
    <mergeCell ref="FSM230:FSN230"/>
    <mergeCell ref="FRU230:FRV230"/>
    <mergeCell ref="FRW230:FRX230"/>
    <mergeCell ref="FRY230:FRZ230"/>
    <mergeCell ref="FSA230:FSB230"/>
    <mergeCell ref="FSC230:FSD230"/>
    <mergeCell ref="FUM230:FUN230"/>
    <mergeCell ref="FUO230:FUP230"/>
    <mergeCell ref="FUQ230:FUR230"/>
    <mergeCell ref="FUS230:FUT230"/>
    <mergeCell ref="FUU230:FUV230"/>
    <mergeCell ref="FUC230:FUD230"/>
    <mergeCell ref="FUE230:FUF230"/>
    <mergeCell ref="FUG230:FUH230"/>
    <mergeCell ref="FUI230:FUJ230"/>
    <mergeCell ref="FUK230:FUL230"/>
    <mergeCell ref="FTS230:FTT230"/>
    <mergeCell ref="FTU230:FTV230"/>
    <mergeCell ref="FTW230:FTX230"/>
    <mergeCell ref="FTY230:FTZ230"/>
    <mergeCell ref="FUA230:FUB230"/>
    <mergeCell ref="FTI230:FTJ230"/>
    <mergeCell ref="FTK230:FTL230"/>
    <mergeCell ref="FTM230:FTN230"/>
    <mergeCell ref="FTO230:FTP230"/>
    <mergeCell ref="FTQ230:FTR230"/>
    <mergeCell ref="FWA230:FWB230"/>
    <mergeCell ref="FWC230:FWD230"/>
    <mergeCell ref="FWE230:FWF230"/>
    <mergeCell ref="FWG230:FWH230"/>
    <mergeCell ref="FWI230:FWJ230"/>
    <mergeCell ref="FVQ230:FVR230"/>
    <mergeCell ref="FVS230:FVT230"/>
    <mergeCell ref="FVU230:FVV230"/>
    <mergeCell ref="FVW230:FVX230"/>
    <mergeCell ref="FVY230:FVZ230"/>
    <mergeCell ref="FVG230:FVH230"/>
    <mergeCell ref="FVI230:FVJ230"/>
    <mergeCell ref="FVK230:FVL230"/>
    <mergeCell ref="FVM230:FVN230"/>
    <mergeCell ref="FVO230:FVP230"/>
    <mergeCell ref="FUW230:FUX230"/>
    <mergeCell ref="FUY230:FUZ230"/>
    <mergeCell ref="FVA230:FVB230"/>
    <mergeCell ref="FVC230:FVD230"/>
    <mergeCell ref="FVE230:FVF230"/>
    <mergeCell ref="FXO230:FXP230"/>
    <mergeCell ref="FXQ230:FXR230"/>
    <mergeCell ref="FXS230:FXT230"/>
    <mergeCell ref="FXU230:FXV230"/>
    <mergeCell ref="FXW230:FXX230"/>
    <mergeCell ref="FXE230:FXF230"/>
    <mergeCell ref="FXG230:FXH230"/>
    <mergeCell ref="FXI230:FXJ230"/>
    <mergeCell ref="FXK230:FXL230"/>
    <mergeCell ref="FXM230:FXN230"/>
    <mergeCell ref="FWU230:FWV230"/>
    <mergeCell ref="FWW230:FWX230"/>
    <mergeCell ref="FWY230:FWZ230"/>
    <mergeCell ref="FXA230:FXB230"/>
    <mergeCell ref="FXC230:FXD230"/>
    <mergeCell ref="FWK230:FWL230"/>
    <mergeCell ref="FWM230:FWN230"/>
    <mergeCell ref="FWO230:FWP230"/>
    <mergeCell ref="FWQ230:FWR230"/>
    <mergeCell ref="FWS230:FWT230"/>
    <mergeCell ref="FZC230:FZD230"/>
    <mergeCell ref="FZE230:FZF230"/>
    <mergeCell ref="FZG230:FZH230"/>
    <mergeCell ref="FZI230:FZJ230"/>
    <mergeCell ref="FZK230:FZL230"/>
    <mergeCell ref="FYS230:FYT230"/>
    <mergeCell ref="FYU230:FYV230"/>
    <mergeCell ref="FYW230:FYX230"/>
    <mergeCell ref="FYY230:FYZ230"/>
    <mergeCell ref="FZA230:FZB230"/>
    <mergeCell ref="FYI230:FYJ230"/>
    <mergeCell ref="FYK230:FYL230"/>
    <mergeCell ref="FYM230:FYN230"/>
    <mergeCell ref="FYO230:FYP230"/>
    <mergeCell ref="FYQ230:FYR230"/>
    <mergeCell ref="FXY230:FXZ230"/>
    <mergeCell ref="FYA230:FYB230"/>
    <mergeCell ref="FYC230:FYD230"/>
    <mergeCell ref="FYE230:FYF230"/>
    <mergeCell ref="FYG230:FYH230"/>
    <mergeCell ref="GAQ230:GAR230"/>
    <mergeCell ref="GAS230:GAT230"/>
    <mergeCell ref="GAU230:GAV230"/>
    <mergeCell ref="GAW230:GAX230"/>
    <mergeCell ref="GAY230:GAZ230"/>
    <mergeCell ref="GAG230:GAH230"/>
    <mergeCell ref="GAI230:GAJ230"/>
    <mergeCell ref="GAK230:GAL230"/>
    <mergeCell ref="GAM230:GAN230"/>
    <mergeCell ref="GAO230:GAP230"/>
    <mergeCell ref="FZW230:FZX230"/>
    <mergeCell ref="FZY230:FZZ230"/>
    <mergeCell ref="GAA230:GAB230"/>
    <mergeCell ref="GAC230:GAD230"/>
    <mergeCell ref="GAE230:GAF230"/>
    <mergeCell ref="FZM230:FZN230"/>
    <mergeCell ref="FZO230:FZP230"/>
    <mergeCell ref="FZQ230:FZR230"/>
    <mergeCell ref="FZS230:FZT230"/>
    <mergeCell ref="FZU230:FZV230"/>
    <mergeCell ref="GCE230:GCF230"/>
    <mergeCell ref="GCG230:GCH230"/>
    <mergeCell ref="GCI230:GCJ230"/>
    <mergeCell ref="GCK230:GCL230"/>
    <mergeCell ref="GCM230:GCN230"/>
    <mergeCell ref="GBU230:GBV230"/>
    <mergeCell ref="GBW230:GBX230"/>
    <mergeCell ref="GBY230:GBZ230"/>
    <mergeCell ref="GCA230:GCB230"/>
    <mergeCell ref="GCC230:GCD230"/>
    <mergeCell ref="GBK230:GBL230"/>
    <mergeCell ref="GBM230:GBN230"/>
    <mergeCell ref="GBO230:GBP230"/>
    <mergeCell ref="GBQ230:GBR230"/>
    <mergeCell ref="GBS230:GBT230"/>
    <mergeCell ref="GBA230:GBB230"/>
    <mergeCell ref="GBC230:GBD230"/>
    <mergeCell ref="GBE230:GBF230"/>
    <mergeCell ref="GBG230:GBH230"/>
    <mergeCell ref="GBI230:GBJ230"/>
    <mergeCell ref="GDS230:GDT230"/>
    <mergeCell ref="GDU230:GDV230"/>
    <mergeCell ref="GDW230:GDX230"/>
    <mergeCell ref="GDY230:GDZ230"/>
    <mergeCell ref="GEA230:GEB230"/>
    <mergeCell ref="GDI230:GDJ230"/>
    <mergeCell ref="GDK230:GDL230"/>
    <mergeCell ref="GDM230:GDN230"/>
    <mergeCell ref="GDO230:GDP230"/>
    <mergeCell ref="GDQ230:GDR230"/>
    <mergeCell ref="GCY230:GCZ230"/>
    <mergeCell ref="GDA230:GDB230"/>
    <mergeCell ref="GDC230:GDD230"/>
    <mergeCell ref="GDE230:GDF230"/>
    <mergeCell ref="GDG230:GDH230"/>
    <mergeCell ref="GCO230:GCP230"/>
    <mergeCell ref="GCQ230:GCR230"/>
    <mergeCell ref="GCS230:GCT230"/>
    <mergeCell ref="GCU230:GCV230"/>
    <mergeCell ref="GCW230:GCX230"/>
    <mergeCell ref="GFG230:GFH230"/>
    <mergeCell ref="GFI230:GFJ230"/>
    <mergeCell ref="GFK230:GFL230"/>
    <mergeCell ref="GFM230:GFN230"/>
    <mergeCell ref="GFO230:GFP230"/>
    <mergeCell ref="GEW230:GEX230"/>
    <mergeCell ref="GEY230:GEZ230"/>
    <mergeCell ref="GFA230:GFB230"/>
    <mergeCell ref="GFC230:GFD230"/>
    <mergeCell ref="GFE230:GFF230"/>
    <mergeCell ref="GEM230:GEN230"/>
    <mergeCell ref="GEO230:GEP230"/>
    <mergeCell ref="GEQ230:GER230"/>
    <mergeCell ref="GES230:GET230"/>
    <mergeCell ref="GEU230:GEV230"/>
    <mergeCell ref="GEC230:GED230"/>
    <mergeCell ref="GEE230:GEF230"/>
    <mergeCell ref="GEG230:GEH230"/>
    <mergeCell ref="GEI230:GEJ230"/>
    <mergeCell ref="GEK230:GEL230"/>
    <mergeCell ref="GGU230:GGV230"/>
    <mergeCell ref="GGW230:GGX230"/>
    <mergeCell ref="GGY230:GGZ230"/>
    <mergeCell ref="GHA230:GHB230"/>
    <mergeCell ref="GHC230:GHD230"/>
    <mergeCell ref="GGK230:GGL230"/>
    <mergeCell ref="GGM230:GGN230"/>
    <mergeCell ref="GGO230:GGP230"/>
    <mergeCell ref="GGQ230:GGR230"/>
    <mergeCell ref="GGS230:GGT230"/>
    <mergeCell ref="GGA230:GGB230"/>
    <mergeCell ref="GGC230:GGD230"/>
    <mergeCell ref="GGE230:GGF230"/>
    <mergeCell ref="GGG230:GGH230"/>
    <mergeCell ref="GGI230:GGJ230"/>
    <mergeCell ref="GFQ230:GFR230"/>
    <mergeCell ref="GFS230:GFT230"/>
    <mergeCell ref="GFU230:GFV230"/>
    <mergeCell ref="GFW230:GFX230"/>
    <mergeCell ref="GFY230:GFZ230"/>
    <mergeCell ref="GII230:GIJ230"/>
    <mergeCell ref="GIK230:GIL230"/>
    <mergeCell ref="GIM230:GIN230"/>
    <mergeCell ref="GIO230:GIP230"/>
    <mergeCell ref="GIQ230:GIR230"/>
    <mergeCell ref="GHY230:GHZ230"/>
    <mergeCell ref="GIA230:GIB230"/>
    <mergeCell ref="GIC230:GID230"/>
    <mergeCell ref="GIE230:GIF230"/>
    <mergeCell ref="GIG230:GIH230"/>
    <mergeCell ref="GHO230:GHP230"/>
    <mergeCell ref="GHQ230:GHR230"/>
    <mergeCell ref="GHS230:GHT230"/>
    <mergeCell ref="GHU230:GHV230"/>
    <mergeCell ref="GHW230:GHX230"/>
    <mergeCell ref="GHE230:GHF230"/>
    <mergeCell ref="GHG230:GHH230"/>
    <mergeCell ref="GHI230:GHJ230"/>
    <mergeCell ref="GHK230:GHL230"/>
    <mergeCell ref="GHM230:GHN230"/>
    <mergeCell ref="GJW230:GJX230"/>
    <mergeCell ref="GJY230:GJZ230"/>
    <mergeCell ref="GKA230:GKB230"/>
    <mergeCell ref="GKC230:GKD230"/>
    <mergeCell ref="GKE230:GKF230"/>
    <mergeCell ref="GJM230:GJN230"/>
    <mergeCell ref="GJO230:GJP230"/>
    <mergeCell ref="GJQ230:GJR230"/>
    <mergeCell ref="GJS230:GJT230"/>
    <mergeCell ref="GJU230:GJV230"/>
    <mergeCell ref="GJC230:GJD230"/>
    <mergeCell ref="GJE230:GJF230"/>
    <mergeCell ref="GJG230:GJH230"/>
    <mergeCell ref="GJI230:GJJ230"/>
    <mergeCell ref="GJK230:GJL230"/>
    <mergeCell ref="GIS230:GIT230"/>
    <mergeCell ref="GIU230:GIV230"/>
    <mergeCell ref="GIW230:GIX230"/>
    <mergeCell ref="GIY230:GIZ230"/>
    <mergeCell ref="GJA230:GJB230"/>
    <mergeCell ref="GLK230:GLL230"/>
    <mergeCell ref="GLM230:GLN230"/>
    <mergeCell ref="GLO230:GLP230"/>
    <mergeCell ref="GLQ230:GLR230"/>
    <mergeCell ref="GLS230:GLT230"/>
    <mergeCell ref="GLA230:GLB230"/>
    <mergeCell ref="GLC230:GLD230"/>
    <mergeCell ref="GLE230:GLF230"/>
    <mergeCell ref="GLG230:GLH230"/>
    <mergeCell ref="GLI230:GLJ230"/>
    <mergeCell ref="GKQ230:GKR230"/>
    <mergeCell ref="GKS230:GKT230"/>
    <mergeCell ref="GKU230:GKV230"/>
    <mergeCell ref="GKW230:GKX230"/>
    <mergeCell ref="GKY230:GKZ230"/>
    <mergeCell ref="GKG230:GKH230"/>
    <mergeCell ref="GKI230:GKJ230"/>
    <mergeCell ref="GKK230:GKL230"/>
    <mergeCell ref="GKM230:GKN230"/>
    <mergeCell ref="GKO230:GKP230"/>
    <mergeCell ref="GMY230:GMZ230"/>
    <mergeCell ref="GNA230:GNB230"/>
    <mergeCell ref="GNC230:GND230"/>
    <mergeCell ref="GNE230:GNF230"/>
    <mergeCell ref="GNG230:GNH230"/>
    <mergeCell ref="GMO230:GMP230"/>
    <mergeCell ref="GMQ230:GMR230"/>
    <mergeCell ref="GMS230:GMT230"/>
    <mergeCell ref="GMU230:GMV230"/>
    <mergeCell ref="GMW230:GMX230"/>
    <mergeCell ref="GME230:GMF230"/>
    <mergeCell ref="GMG230:GMH230"/>
    <mergeCell ref="GMI230:GMJ230"/>
    <mergeCell ref="GMK230:GML230"/>
    <mergeCell ref="GMM230:GMN230"/>
    <mergeCell ref="GLU230:GLV230"/>
    <mergeCell ref="GLW230:GLX230"/>
    <mergeCell ref="GLY230:GLZ230"/>
    <mergeCell ref="GMA230:GMB230"/>
    <mergeCell ref="GMC230:GMD230"/>
    <mergeCell ref="GOM230:GON230"/>
    <mergeCell ref="GOO230:GOP230"/>
    <mergeCell ref="GOQ230:GOR230"/>
    <mergeCell ref="GOS230:GOT230"/>
    <mergeCell ref="GOU230:GOV230"/>
    <mergeCell ref="GOC230:GOD230"/>
    <mergeCell ref="GOE230:GOF230"/>
    <mergeCell ref="GOG230:GOH230"/>
    <mergeCell ref="GOI230:GOJ230"/>
    <mergeCell ref="GOK230:GOL230"/>
    <mergeCell ref="GNS230:GNT230"/>
    <mergeCell ref="GNU230:GNV230"/>
    <mergeCell ref="GNW230:GNX230"/>
    <mergeCell ref="GNY230:GNZ230"/>
    <mergeCell ref="GOA230:GOB230"/>
    <mergeCell ref="GNI230:GNJ230"/>
    <mergeCell ref="GNK230:GNL230"/>
    <mergeCell ref="GNM230:GNN230"/>
    <mergeCell ref="GNO230:GNP230"/>
    <mergeCell ref="GNQ230:GNR230"/>
    <mergeCell ref="GQA230:GQB230"/>
    <mergeCell ref="GQC230:GQD230"/>
    <mergeCell ref="GQE230:GQF230"/>
    <mergeCell ref="GQG230:GQH230"/>
    <mergeCell ref="GQI230:GQJ230"/>
    <mergeCell ref="GPQ230:GPR230"/>
    <mergeCell ref="GPS230:GPT230"/>
    <mergeCell ref="GPU230:GPV230"/>
    <mergeCell ref="GPW230:GPX230"/>
    <mergeCell ref="GPY230:GPZ230"/>
    <mergeCell ref="GPG230:GPH230"/>
    <mergeCell ref="GPI230:GPJ230"/>
    <mergeCell ref="GPK230:GPL230"/>
    <mergeCell ref="GPM230:GPN230"/>
    <mergeCell ref="GPO230:GPP230"/>
    <mergeCell ref="GOW230:GOX230"/>
    <mergeCell ref="GOY230:GOZ230"/>
    <mergeCell ref="GPA230:GPB230"/>
    <mergeCell ref="GPC230:GPD230"/>
    <mergeCell ref="GPE230:GPF230"/>
    <mergeCell ref="GRO230:GRP230"/>
    <mergeCell ref="GRQ230:GRR230"/>
    <mergeCell ref="GRS230:GRT230"/>
    <mergeCell ref="GRU230:GRV230"/>
    <mergeCell ref="GRW230:GRX230"/>
    <mergeCell ref="GRE230:GRF230"/>
    <mergeCell ref="GRG230:GRH230"/>
    <mergeCell ref="GRI230:GRJ230"/>
    <mergeCell ref="GRK230:GRL230"/>
    <mergeCell ref="GRM230:GRN230"/>
    <mergeCell ref="GQU230:GQV230"/>
    <mergeCell ref="GQW230:GQX230"/>
    <mergeCell ref="GQY230:GQZ230"/>
    <mergeCell ref="GRA230:GRB230"/>
    <mergeCell ref="GRC230:GRD230"/>
    <mergeCell ref="GQK230:GQL230"/>
    <mergeCell ref="GQM230:GQN230"/>
    <mergeCell ref="GQO230:GQP230"/>
    <mergeCell ref="GQQ230:GQR230"/>
    <mergeCell ref="GQS230:GQT230"/>
    <mergeCell ref="GTC230:GTD230"/>
    <mergeCell ref="GTE230:GTF230"/>
    <mergeCell ref="GTG230:GTH230"/>
    <mergeCell ref="GTI230:GTJ230"/>
    <mergeCell ref="GTK230:GTL230"/>
    <mergeCell ref="GSS230:GST230"/>
    <mergeCell ref="GSU230:GSV230"/>
    <mergeCell ref="GSW230:GSX230"/>
    <mergeCell ref="GSY230:GSZ230"/>
    <mergeCell ref="GTA230:GTB230"/>
    <mergeCell ref="GSI230:GSJ230"/>
    <mergeCell ref="GSK230:GSL230"/>
    <mergeCell ref="GSM230:GSN230"/>
    <mergeCell ref="GSO230:GSP230"/>
    <mergeCell ref="GSQ230:GSR230"/>
    <mergeCell ref="GRY230:GRZ230"/>
    <mergeCell ref="GSA230:GSB230"/>
    <mergeCell ref="GSC230:GSD230"/>
    <mergeCell ref="GSE230:GSF230"/>
    <mergeCell ref="GSG230:GSH230"/>
    <mergeCell ref="GUQ230:GUR230"/>
    <mergeCell ref="GUS230:GUT230"/>
    <mergeCell ref="GUU230:GUV230"/>
    <mergeCell ref="GUW230:GUX230"/>
    <mergeCell ref="GUY230:GUZ230"/>
    <mergeCell ref="GUG230:GUH230"/>
    <mergeCell ref="GUI230:GUJ230"/>
    <mergeCell ref="GUK230:GUL230"/>
    <mergeCell ref="GUM230:GUN230"/>
    <mergeCell ref="GUO230:GUP230"/>
    <mergeCell ref="GTW230:GTX230"/>
    <mergeCell ref="GTY230:GTZ230"/>
    <mergeCell ref="GUA230:GUB230"/>
    <mergeCell ref="GUC230:GUD230"/>
    <mergeCell ref="GUE230:GUF230"/>
    <mergeCell ref="GTM230:GTN230"/>
    <mergeCell ref="GTO230:GTP230"/>
    <mergeCell ref="GTQ230:GTR230"/>
    <mergeCell ref="GTS230:GTT230"/>
    <mergeCell ref="GTU230:GTV230"/>
    <mergeCell ref="GWE230:GWF230"/>
    <mergeCell ref="GWG230:GWH230"/>
    <mergeCell ref="GWI230:GWJ230"/>
    <mergeCell ref="GWK230:GWL230"/>
    <mergeCell ref="GWM230:GWN230"/>
    <mergeCell ref="GVU230:GVV230"/>
    <mergeCell ref="GVW230:GVX230"/>
    <mergeCell ref="GVY230:GVZ230"/>
    <mergeCell ref="GWA230:GWB230"/>
    <mergeCell ref="GWC230:GWD230"/>
    <mergeCell ref="GVK230:GVL230"/>
    <mergeCell ref="GVM230:GVN230"/>
    <mergeCell ref="GVO230:GVP230"/>
    <mergeCell ref="GVQ230:GVR230"/>
    <mergeCell ref="GVS230:GVT230"/>
    <mergeCell ref="GVA230:GVB230"/>
    <mergeCell ref="GVC230:GVD230"/>
    <mergeCell ref="GVE230:GVF230"/>
    <mergeCell ref="GVG230:GVH230"/>
    <mergeCell ref="GVI230:GVJ230"/>
    <mergeCell ref="GXS230:GXT230"/>
    <mergeCell ref="GXU230:GXV230"/>
    <mergeCell ref="GXW230:GXX230"/>
    <mergeCell ref="GXY230:GXZ230"/>
    <mergeCell ref="GYA230:GYB230"/>
    <mergeCell ref="GXI230:GXJ230"/>
    <mergeCell ref="GXK230:GXL230"/>
    <mergeCell ref="GXM230:GXN230"/>
    <mergeCell ref="GXO230:GXP230"/>
    <mergeCell ref="GXQ230:GXR230"/>
    <mergeCell ref="GWY230:GWZ230"/>
    <mergeCell ref="GXA230:GXB230"/>
    <mergeCell ref="GXC230:GXD230"/>
    <mergeCell ref="GXE230:GXF230"/>
    <mergeCell ref="GXG230:GXH230"/>
    <mergeCell ref="GWO230:GWP230"/>
    <mergeCell ref="GWQ230:GWR230"/>
    <mergeCell ref="GWS230:GWT230"/>
    <mergeCell ref="GWU230:GWV230"/>
    <mergeCell ref="GWW230:GWX230"/>
    <mergeCell ref="GZG230:GZH230"/>
    <mergeCell ref="GZI230:GZJ230"/>
    <mergeCell ref="GZK230:GZL230"/>
    <mergeCell ref="GZM230:GZN230"/>
    <mergeCell ref="GZO230:GZP230"/>
    <mergeCell ref="GYW230:GYX230"/>
    <mergeCell ref="GYY230:GYZ230"/>
    <mergeCell ref="GZA230:GZB230"/>
    <mergeCell ref="GZC230:GZD230"/>
    <mergeCell ref="GZE230:GZF230"/>
    <mergeCell ref="GYM230:GYN230"/>
    <mergeCell ref="GYO230:GYP230"/>
    <mergeCell ref="GYQ230:GYR230"/>
    <mergeCell ref="GYS230:GYT230"/>
    <mergeCell ref="GYU230:GYV230"/>
    <mergeCell ref="GYC230:GYD230"/>
    <mergeCell ref="GYE230:GYF230"/>
    <mergeCell ref="GYG230:GYH230"/>
    <mergeCell ref="GYI230:GYJ230"/>
    <mergeCell ref="GYK230:GYL230"/>
    <mergeCell ref="HAU230:HAV230"/>
    <mergeCell ref="HAW230:HAX230"/>
    <mergeCell ref="HAY230:HAZ230"/>
    <mergeCell ref="HBA230:HBB230"/>
    <mergeCell ref="HBC230:HBD230"/>
    <mergeCell ref="HAK230:HAL230"/>
    <mergeCell ref="HAM230:HAN230"/>
    <mergeCell ref="HAO230:HAP230"/>
    <mergeCell ref="HAQ230:HAR230"/>
    <mergeCell ref="HAS230:HAT230"/>
    <mergeCell ref="HAA230:HAB230"/>
    <mergeCell ref="HAC230:HAD230"/>
    <mergeCell ref="HAE230:HAF230"/>
    <mergeCell ref="HAG230:HAH230"/>
    <mergeCell ref="HAI230:HAJ230"/>
    <mergeCell ref="GZQ230:GZR230"/>
    <mergeCell ref="GZS230:GZT230"/>
    <mergeCell ref="GZU230:GZV230"/>
    <mergeCell ref="GZW230:GZX230"/>
    <mergeCell ref="GZY230:GZZ230"/>
    <mergeCell ref="HCI230:HCJ230"/>
    <mergeCell ref="HCK230:HCL230"/>
    <mergeCell ref="HCM230:HCN230"/>
    <mergeCell ref="HCO230:HCP230"/>
    <mergeCell ref="HCQ230:HCR230"/>
    <mergeCell ref="HBY230:HBZ230"/>
    <mergeCell ref="HCA230:HCB230"/>
    <mergeCell ref="HCC230:HCD230"/>
    <mergeCell ref="HCE230:HCF230"/>
    <mergeCell ref="HCG230:HCH230"/>
    <mergeCell ref="HBO230:HBP230"/>
    <mergeCell ref="HBQ230:HBR230"/>
    <mergeCell ref="HBS230:HBT230"/>
    <mergeCell ref="HBU230:HBV230"/>
    <mergeCell ref="HBW230:HBX230"/>
    <mergeCell ref="HBE230:HBF230"/>
    <mergeCell ref="HBG230:HBH230"/>
    <mergeCell ref="HBI230:HBJ230"/>
    <mergeCell ref="HBK230:HBL230"/>
    <mergeCell ref="HBM230:HBN230"/>
    <mergeCell ref="HDW230:HDX230"/>
    <mergeCell ref="HDY230:HDZ230"/>
    <mergeCell ref="HEA230:HEB230"/>
    <mergeCell ref="HEC230:HED230"/>
    <mergeCell ref="HEE230:HEF230"/>
    <mergeCell ref="HDM230:HDN230"/>
    <mergeCell ref="HDO230:HDP230"/>
    <mergeCell ref="HDQ230:HDR230"/>
    <mergeCell ref="HDS230:HDT230"/>
    <mergeCell ref="HDU230:HDV230"/>
    <mergeCell ref="HDC230:HDD230"/>
    <mergeCell ref="HDE230:HDF230"/>
    <mergeCell ref="HDG230:HDH230"/>
    <mergeCell ref="HDI230:HDJ230"/>
    <mergeCell ref="HDK230:HDL230"/>
    <mergeCell ref="HCS230:HCT230"/>
    <mergeCell ref="HCU230:HCV230"/>
    <mergeCell ref="HCW230:HCX230"/>
    <mergeCell ref="HCY230:HCZ230"/>
    <mergeCell ref="HDA230:HDB230"/>
    <mergeCell ref="HFK230:HFL230"/>
    <mergeCell ref="HFM230:HFN230"/>
    <mergeCell ref="HFO230:HFP230"/>
    <mergeCell ref="HFQ230:HFR230"/>
    <mergeCell ref="HFS230:HFT230"/>
    <mergeCell ref="HFA230:HFB230"/>
    <mergeCell ref="HFC230:HFD230"/>
    <mergeCell ref="HFE230:HFF230"/>
    <mergeCell ref="HFG230:HFH230"/>
    <mergeCell ref="HFI230:HFJ230"/>
    <mergeCell ref="HEQ230:HER230"/>
    <mergeCell ref="HES230:HET230"/>
    <mergeCell ref="HEU230:HEV230"/>
    <mergeCell ref="HEW230:HEX230"/>
    <mergeCell ref="HEY230:HEZ230"/>
    <mergeCell ref="HEG230:HEH230"/>
    <mergeCell ref="HEI230:HEJ230"/>
    <mergeCell ref="HEK230:HEL230"/>
    <mergeCell ref="HEM230:HEN230"/>
    <mergeCell ref="HEO230:HEP230"/>
    <mergeCell ref="HGY230:HGZ230"/>
    <mergeCell ref="HHA230:HHB230"/>
    <mergeCell ref="HHC230:HHD230"/>
    <mergeCell ref="HHE230:HHF230"/>
    <mergeCell ref="HHG230:HHH230"/>
    <mergeCell ref="HGO230:HGP230"/>
    <mergeCell ref="HGQ230:HGR230"/>
    <mergeCell ref="HGS230:HGT230"/>
    <mergeCell ref="HGU230:HGV230"/>
    <mergeCell ref="HGW230:HGX230"/>
    <mergeCell ref="HGE230:HGF230"/>
    <mergeCell ref="HGG230:HGH230"/>
    <mergeCell ref="HGI230:HGJ230"/>
    <mergeCell ref="HGK230:HGL230"/>
    <mergeCell ref="HGM230:HGN230"/>
    <mergeCell ref="HFU230:HFV230"/>
    <mergeCell ref="HFW230:HFX230"/>
    <mergeCell ref="HFY230:HFZ230"/>
    <mergeCell ref="HGA230:HGB230"/>
    <mergeCell ref="HGC230:HGD230"/>
    <mergeCell ref="HIM230:HIN230"/>
    <mergeCell ref="HIO230:HIP230"/>
    <mergeCell ref="HIQ230:HIR230"/>
    <mergeCell ref="HIS230:HIT230"/>
    <mergeCell ref="HIU230:HIV230"/>
    <mergeCell ref="HIC230:HID230"/>
    <mergeCell ref="HIE230:HIF230"/>
    <mergeCell ref="HIG230:HIH230"/>
    <mergeCell ref="HII230:HIJ230"/>
    <mergeCell ref="HIK230:HIL230"/>
    <mergeCell ref="HHS230:HHT230"/>
    <mergeCell ref="HHU230:HHV230"/>
    <mergeCell ref="HHW230:HHX230"/>
    <mergeCell ref="HHY230:HHZ230"/>
    <mergeCell ref="HIA230:HIB230"/>
    <mergeCell ref="HHI230:HHJ230"/>
    <mergeCell ref="HHK230:HHL230"/>
    <mergeCell ref="HHM230:HHN230"/>
    <mergeCell ref="HHO230:HHP230"/>
    <mergeCell ref="HHQ230:HHR230"/>
    <mergeCell ref="HKA230:HKB230"/>
    <mergeCell ref="HKC230:HKD230"/>
    <mergeCell ref="HKE230:HKF230"/>
    <mergeCell ref="HKG230:HKH230"/>
    <mergeCell ref="HKI230:HKJ230"/>
    <mergeCell ref="HJQ230:HJR230"/>
    <mergeCell ref="HJS230:HJT230"/>
    <mergeCell ref="HJU230:HJV230"/>
    <mergeCell ref="HJW230:HJX230"/>
    <mergeCell ref="HJY230:HJZ230"/>
    <mergeCell ref="HJG230:HJH230"/>
    <mergeCell ref="HJI230:HJJ230"/>
    <mergeCell ref="HJK230:HJL230"/>
    <mergeCell ref="HJM230:HJN230"/>
    <mergeCell ref="HJO230:HJP230"/>
    <mergeCell ref="HIW230:HIX230"/>
    <mergeCell ref="HIY230:HIZ230"/>
    <mergeCell ref="HJA230:HJB230"/>
    <mergeCell ref="HJC230:HJD230"/>
    <mergeCell ref="HJE230:HJF230"/>
    <mergeCell ref="HLO230:HLP230"/>
    <mergeCell ref="HLQ230:HLR230"/>
    <mergeCell ref="HLS230:HLT230"/>
    <mergeCell ref="HLU230:HLV230"/>
    <mergeCell ref="HLW230:HLX230"/>
    <mergeCell ref="HLE230:HLF230"/>
    <mergeCell ref="HLG230:HLH230"/>
    <mergeCell ref="HLI230:HLJ230"/>
    <mergeCell ref="HLK230:HLL230"/>
    <mergeCell ref="HLM230:HLN230"/>
    <mergeCell ref="HKU230:HKV230"/>
    <mergeCell ref="HKW230:HKX230"/>
    <mergeCell ref="HKY230:HKZ230"/>
    <mergeCell ref="HLA230:HLB230"/>
    <mergeCell ref="HLC230:HLD230"/>
    <mergeCell ref="HKK230:HKL230"/>
    <mergeCell ref="HKM230:HKN230"/>
    <mergeCell ref="HKO230:HKP230"/>
    <mergeCell ref="HKQ230:HKR230"/>
    <mergeCell ref="HKS230:HKT230"/>
    <mergeCell ref="HNC230:HND230"/>
    <mergeCell ref="HNE230:HNF230"/>
    <mergeCell ref="HNG230:HNH230"/>
    <mergeCell ref="HNI230:HNJ230"/>
    <mergeCell ref="HNK230:HNL230"/>
    <mergeCell ref="HMS230:HMT230"/>
    <mergeCell ref="HMU230:HMV230"/>
    <mergeCell ref="HMW230:HMX230"/>
    <mergeCell ref="HMY230:HMZ230"/>
    <mergeCell ref="HNA230:HNB230"/>
    <mergeCell ref="HMI230:HMJ230"/>
    <mergeCell ref="HMK230:HML230"/>
    <mergeCell ref="HMM230:HMN230"/>
    <mergeCell ref="HMO230:HMP230"/>
    <mergeCell ref="HMQ230:HMR230"/>
    <mergeCell ref="HLY230:HLZ230"/>
    <mergeCell ref="HMA230:HMB230"/>
    <mergeCell ref="HMC230:HMD230"/>
    <mergeCell ref="HME230:HMF230"/>
    <mergeCell ref="HMG230:HMH230"/>
    <mergeCell ref="HOQ230:HOR230"/>
    <mergeCell ref="HOS230:HOT230"/>
    <mergeCell ref="HOU230:HOV230"/>
    <mergeCell ref="HOW230:HOX230"/>
    <mergeCell ref="HOY230:HOZ230"/>
    <mergeCell ref="HOG230:HOH230"/>
    <mergeCell ref="HOI230:HOJ230"/>
    <mergeCell ref="HOK230:HOL230"/>
    <mergeCell ref="HOM230:HON230"/>
    <mergeCell ref="HOO230:HOP230"/>
    <mergeCell ref="HNW230:HNX230"/>
    <mergeCell ref="HNY230:HNZ230"/>
    <mergeCell ref="HOA230:HOB230"/>
    <mergeCell ref="HOC230:HOD230"/>
    <mergeCell ref="HOE230:HOF230"/>
    <mergeCell ref="HNM230:HNN230"/>
    <mergeCell ref="HNO230:HNP230"/>
    <mergeCell ref="HNQ230:HNR230"/>
    <mergeCell ref="HNS230:HNT230"/>
    <mergeCell ref="HNU230:HNV230"/>
    <mergeCell ref="HQE230:HQF230"/>
    <mergeCell ref="HQG230:HQH230"/>
    <mergeCell ref="HQI230:HQJ230"/>
    <mergeCell ref="HQK230:HQL230"/>
    <mergeCell ref="HQM230:HQN230"/>
    <mergeCell ref="HPU230:HPV230"/>
    <mergeCell ref="HPW230:HPX230"/>
    <mergeCell ref="HPY230:HPZ230"/>
    <mergeCell ref="HQA230:HQB230"/>
    <mergeCell ref="HQC230:HQD230"/>
    <mergeCell ref="HPK230:HPL230"/>
    <mergeCell ref="HPM230:HPN230"/>
    <mergeCell ref="HPO230:HPP230"/>
    <mergeCell ref="HPQ230:HPR230"/>
    <mergeCell ref="HPS230:HPT230"/>
    <mergeCell ref="HPA230:HPB230"/>
    <mergeCell ref="HPC230:HPD230"/>
    <mergeCell ref="HPE230:HPF230"/>
    <mergeCell ref="HPG230:HPH230"/>
    <mergeCell ref="HPI230:HPJ230"/>
    <mergeCell ref="HRS230:HRT230"/>
    <mergeCell ref="HRU230:HRV230"/>
    <mergeCell ref="HRW230:HRX230"/>
    <mergeCell ref="HRY230:HRZ230"/>
    <mergeCell ref="HSA230:HSB230"/>
    <mergeCell ref="HRI230:HRJ230"/>
    <mergeCell ref="HRK230:HRL230"/>
    <mergeCell ref="HRM230:HRN230"/>
    <mergeCell ref="HRO230:HRP230"/>
    <mergeCell ref="HRQ230:HRR230"/>
    <mergeCell ref="HQY230:HQZ230"/>
    <mergeCell ref="HRA230:HRB230"/>
    <mergeCell ref="HRC230:HRD230"/>
    <mergeCell ref="HRE230:HRF230"/>
    <mergeCell ref="HRG230:HRH230"/>
    <mergeCell ref="HQO230:HQP230"/>
    <mergeCell ref="HQQ230:HQR230"/>
    <mergeCell ref="HQS230:HQT230"/>
    <mergeCell ref="HQU230:HQV230"/>
    <mergeCell ref="HQW230:HQX230"/>
    <mergeCell ref="HTG230:HTH230"/>
    <mergeCell ref="HTI230:HTJ230"/>
    <mergeCell ref="HTK230:HTL230"/>
    <mergeCell ref="HTM230:HTN230"/>
    <mergeCell ref="HTO230:HTP230"/>
    <mergeCell ref="HSW230:HSX230"/>
    <mergeCell ref="HSY230:HSZ230"/>
    <mergeCell ref="HTA230:HTB230"/>
    <mergeCell ref="HTC230:HTD230"/>
    <mergeCell ref="HTE230:HTF230"/>
    <mergeCell ref="HSM230:HSN230"/>
    <mergeCell ref="HSO230:HSP230"/>
    <mergeCell ref="HSQ230:HSR230"/>
    <mergeCell ref="HSS230:HST230"/>
    <mergeCell ref="HSU230:HSV230"/>
    <mergeCell ref="HSC230:HSD230"/>
    <mergeCell ref="HSE230:HSF230"/>
    <mergeCell ref="HSG230:HSH230"/>
    <mergeCell ref="HSI230:HSJ230"/>
    <mergeCell ref="HSK230:HSL230"/>
    <mergeCell ref="HUU230:HUV230"/>
    <mergeCell ref="HUW230:HUX230"/>
    <mergeCell ref="HUY230:HUZ230"/>
    <mergeCell ref="HVA230:HVB230"/>
    <mergeCell ref="HVC230:HVD230"/>
    <mergeCell ref="HUK230:HUL230"/>
    <mergeCell ref="HUM230:HUN230"/>
    <mergeCell ref="HUO230:HUP230"/>
    <mergeCell ref="HUQ230:HUR230"/>
    <mergeCell ref="HUS230:HUT230"/>
    <mergeCell ref="HUA230:HUB230"/>
    <mergeCell ref="HUC230:HUD230"/>
    <mergeCell ref="HUE230:HUF230"/>
    <mergeCell ref="HUG230:HUH230"/>
    <mergeCell ref="HUI230:HUJ230"/>
    <mergeCell ref="HTQ230:HTR230"/>
    <mergeCell ref="HTS230:HTT230"/>
    <mergeCell ref="HTU230:HTV230"/>
    <mergeCell ref="HTW230:HTX230"/>
    <mergeCell ref="HTY230:HTZ230"/>
    <mergeCell ref="HWI230:HWJ230"/>
    <mergeCell ref="HWK230:HWL230"/>
    <mergeCell ref="HWM230:HWN230"/>
    <mergeCell ref="HWO230:HWP230"/>
    <mergeCell ref="HWQ230:HWR230"/>
    <mergeCell ref="HVY230:HVZ230"/>
    <mergeCell ref="HWA230:HWB230"/>
    <mergeCell ref="HWC230:HWD230"/>
    <mergeCell ref="HWE230:HWF230"/>
    <mergeCell ref="HWG230:HWH230"/>
    <mergeCell ref="HVO230:HVP230"/>
    <mergeCell ref="HVQ230:HVR230"/>
    <mergeCell ref="HVS230:HVT230"/>
    <mergeCell ref="HVU230:HVV230"/>
    <mergeCell ref="HVW230:HVX230"/>
    <mergeCell ref="HVE230:HVF230"/>
    <mergeCell ref="HVG230:HVH230"/>
    <mergeCell ref="HVI230:HVJ230"/>
    <mergeCell ref="HVK230:HVL230"/>
    <mergeCell ref="HVM230:HVN230"/>
    <mergeCell ref="HXW230:HXX230"/>
    <mergeCell ref="HXY230:HXZ230"/>
    <mergeCell ref="HYA230:HYB230"/>
    <mergeCell ref="HYC230:HYD230"/>
    <mergeCell ref="HYE230:HYF230"/>
    <mergeCell ref="HXM230:HXN230"/>
    <mergeCell ref="HXO230:HXP230"/>
    <mergeCell ref="HXQ230:HXR230"/>
    <mergeCell ref="HXS230:HXT230"/>
    <mergeCell ref="HXU230:HXV230"/>
    <mergeCell ref="HXC230:HXD230"/>
    <mergeCell ref="HXE230:HXF230"/>
    <mergeCell ref="HXG230:HXH230"/>
    <mergeCell ref="HXI230:HXJ230"/>
    <mergeCell ref="HXK230:HXL230"/>
    <mergeCell ref="HWS230:HWT230"/>
    <mergeCell ref="HWU230:HWV230"/>
    <mergeCell ref="HWW230:HWX230"/>
    <mergeCell ref="HWY230:HWZ230"/>
    <mergeCell ref="HXA230:HXB230"/>
    <mergeCell ref="HZK230:HZL230"/>
    <mergeCell ref="HZM230:HZN230"/>
    <mergeCell ref="HZO230:HZP230"/>
    <mergeCell ref="HZQ230:HZR230"/>
    <mergeCell ref="HZS230:HZT230"/>
    <mergeCell ref="HZA230:HZB230"/>
    <mergeCell ref="HZC230:HZD230"/>
    <mergeCell ref="HZE230:HZF230"/>
    <mergeCell ref="HZG230:HZH230"/>
    <mergeCell ref="HZI230:HZJ230"/>
    <mergeCell ref="HYQ230:HYR230"/>
    <mergeCell ref="HYS230:HYT230"/>
    <mergeCell ref="HYU230:HYV230"/>
    <mergeCell ref="HYW230:HYX230"/>
    <mergeCell ref="HYY230:HYZ230"/>
    <mergeCell ref="HYG230:HYH230"/>
    <mergeCell ref="HYI230:HYJ230"/>
    <mergeCell ref="HYK230:HYL230"/>
    <mergeCell ref="HYM230:HYN230"/>
    <mergeCell ref="HYO230:HYP230"/>
    <mergeCell ref="IAY230:IAZ230"/>
    <mergeCell ref="IBA230:IBB230"/>
    <mergeCell ref="IBC230:IBD230"/>
    <mergeCell ref="IBE230:IBF230"/>
    <mergeCell ref="IBG230:IBH230"/>
    <mergeCell ref="IAO230:IAP230"/>
    <mergeCell ref="IAQ230:IAR230"/>
    <mergeCell ref="IAS230:IAT230"/>
    <mergeCell ref="IAU230:IAV230"/>
    <mergeCell ref="IAW230:IAX230"/>
    <mergeCell ref="IAE230:IAF230"/>
    <mergeCell ref="IAG230:IAH230"/>
    <mergeCell ref="IAI230:IAJ230"/>
    <mergeCell ref="IAK230:IAL230"/>
    <mergeCell ref="IAM230:IAN230"/>
    <mergeCell ref="HZU230:HZV230"/>
    <mergeCell ref="HZW230:HZX230"/>
    <mergeCell ref="HZY230:HZZ230"/>
    <mergeCell ref="IAA230:IAB230"/>
    <mergeCell ref="IAC230:IAD230"/>
    <mergeCell ref="ICM230:ICN230"/>
    <mergeCell ref="ICO230:ICP230"/>
    <mergeCell ref="ICQ230:ICR230"/>
    <mergeCell ref="ICS230:ICT230"/>
    <mergeCell ref="ICU230:ICV230"/>
    <mergeCell ref="ICC230:ICD230"/>
    <mergeCell ref="ICE230:ICF230"/>
    <mergeCell ref="ICG230:ICH230"/>
    <mergeCell ref="ICI230:ICJ230"/>
    <mergeCell ref="ICK230:ICL230"/>
    <mergeCell ref="IBS230:IBT230"/>
    <mergeCell ref="IBU230:IBV230"/>
    <mergeCell ref="IBW230:IBX230"/>
    <mergeCell ref="IBY230:IBZ230"/>
    <mergeCell ref="ICA230:ICB230"/>
    <mergeCell ref="IBI230:IBJ230"/>
    <mergeCell ref="IBK230:IBL230"/>
    <mergeCell ref="IBM230:IBN230"/>
    <mergeCell ref="IBO230:IBP230"/>
    <mergeCell ref="IBQ230:IBR230"/>
    <mergeCell ref="IEA230:IEB230"/>
    <mergeCell ref="IEC230:IED230"/>
    <mergeCell ref="IEE230:IEF230"/>
    <mergeCell ref="IEG230:IEH230"/>
    <mergeCell ref="IEI230:IEJ230"/>
    <mergeCell ref="IDQ230:IDR230"/>
    <mergeCell ref="IDS230:IDT230"/>
    <mergeCell ref="IDU230:IDV230"/>
    <mergeCell ref="IDW230:IDX230"/>
    <mergeCell ref="IDY230:IDZ230"/>
    <mergeCell ref="IDG230:IDH230"/>
    <mergeCell ref="IDI230:IDJ230"/>
    <mergeCell ref="IDK230:IDL230"/>
    <mergeCell ref="IDM230:IDN230"/>
    <mergeCell ref="IDO230:IDP230"/>
    <mergeCell ref="ICW230:ICX230"/>
    <mergeCell ref="ICY230:ICZ230"/>
    <mergeCell ref="IDA230:IDB230"/>
    <mergeCell ref="IDC230:IDD230"/>
    <mergeCell ref="IDE230:IDF230"/>
    <mergeCell ref="IFO230:IFP230"/>
    <mergeCell ref="IFQ230:IFR230"/>
    <mergeCell ref="IFS230:IFT230"/>
    <mergeCell ref="IFU230:IFV230"/>
    <mergeCell ref="IFW230:IFX230"/>
    <mergeCell ref="IFE230:IFF230"/>
    <mergeCell ref="IFG230:IFH230"/>
    <mergeCell ref="IFI230:IFJ230"/>
    <mergeCell ref="IFK230:IFL230"/>
    <mergeCell ref="IFM230:IFN230"/>
    <mergeCell ref="IEU230:IEV230"/>
    <mergeCell ref="IEW230:IEX230"/>
    <mergeCell ref="IEY230:IEZ230"/>
    <mergeCell ref="IFA230:IFB230"/>
    <mergeCell ref="IFC230:IFD230"/>
    <mergeCell ref="IEK230:IEL230"/>
    <mergeCell ref="IEM230:IEN230"/>
    <mergeCell ref="IEO230:IEP230"/>
    <mergeCell ref="IEQ230:IER230"/>
    <mergeCell ref="IES230:IET230"/>
    <mergeCell ref="IHC230:IHD230"/>
    <mergeCell ref="IHE230:IHF230"/>
    <mergeCell ref="IHG230:IHH230"/>
    <mergeCell ref="IHI230:IHJ230"/>
    <mergeCell ref="IHK230:IHL230"/>
    <mergeCell ref="IGS230:IGT230"/>
    <mergeCell ref="IGU230:IGV230"/>
    <mergeCell ref="IGW230:IGX230"/>
    <mergeCell ref="IGY230:IGZ230"/>
    <mergeCell ref="IHA230:IHB230"/>
    <mergeCell ref="IGI230:IGJ230"/>
    <mergeCell ref="IGK230:IGL230"/>
    <mergeCell ref="IGM230:IGN230"/>
    <mergeCell ref="IGO230:IGP230"/>
    <mergeCell ref="IGQ230:IGR230"/>
    <mergeCell ref="IFY230:IFZ230"/>
    <mergeCell ref="IGA230:IGB230"/>
    <mergeCell ref="IGC230:IGD230"/>
    <mergeCell ref="IGE230:IGF230"/>
    <mergeCell ref="IGG230:IGH230"/>
    <mergeCell ref="IIQ230:IIR230"/>
    <mergeCell ref="IIS230:IIT230"/>
    <mergeCell ref="IIU230:IIV230"/>
    <mergeCell ref="IIW230:IIX230"/>
    <mergeCell ref="IIY230:IIZ230"/>
    <mergeCell ref="IIG230:IIH230"/>
    <mergeCell ref="III230:IIJ230"/>
    <mergeCell ref="IIK230:IIL230"/>
    <mergeCell ref="IIM230:IIN230"/>
    <mergeCell ref="IIO230:IIP230"/>
    <mergeCell ref="IHW230:IHX230"/>
    <mergeCell ref="IHY230:IHZ230"/>
    <mergeCell ref="IIA230:IIB230"/>
    <mergeCell ref="IIC230:IID230"/>
    <mergeCell ref="IIE230:IIF230"/>
    <mergeCell ref="IHM230:IHN230"/>
    <mergeCell ref="IHO230:IHP230"/>
    <mergeCell ref="IHQ230:IHR230"/>
    <mergeCell ref="IHS230:IHT230"/>
    <mergeCell ref="IHU230:IHV230"/>
    <mergeCell ref="IKE230:IKF230"/>
    <mergeCell ref="IKG230:IKH230"/>
    <mergeCell ref="IKI230:IKJ230"/>
    <mergeCell ref="IKK230:IKL230"/>
    <mergeCell ref="IKM230:IKN230"/>
    <mergeCell ref="IJU230:IJV230"/>
    <mergeCell ref="IJW230:IJX230"/>
    <mergeCell ref="IJY230:IJZ230"/>
    <mergeCell ref="IKA230:IKB230"/>
    <mergeCell ref="IKC230:IKD230"/>
    <mergeCell ref="IJK230:IJL230"/>
    <mergeCell ref="IJM230:IJN230"/>
    <mergeCell ref="IJO230:IJP230"/>
    <mergeCell ref="IJQ230:IJR230"/>
    <mergeCell ref="IJS230:IJT230"/>
    <mergeCell ref="IJA230:IJB230"/>
    <mergeCell ref="IJC230:IJD230"/>
    <mergeCell ref="IJE230:IJF230"/>
    <mergeCell ref="IJG230:IJH230"/>
    <mergeCell ref="IJI230:IJJ230"/>
    <mergeCell ref="ILS230:ILT230"/>
    <mergeCell ref="ILU230:ILV230"/>
    <mergeCell ref="ILW230:ILX230"/>
    <mergeCell ref="ILY230:ILZ230"/>
    <mergeCell ref="IMA230:IMB230"/>
    <mergeCell ref="ILI230:ILJ230"/>
    <mergeCell ref="ILK230:ILL230"/>
    <mergeCell ref="ILM230:ILN230"/>
    <mergeCell ref="ILO230:ILP230"/>
    <mergeCell ref="ILQ230:ILR230"/>
    <mergeCell ref="IKY230:IKZ230"/>
    <mergeCell ref="ILA230:ILB230"/>
    <mergeCell ref="ILC230:ILD230"/>
    <mergeCell ref="ILE230:ILF230"/>
    <mergeCell ref="ILG230:ILH230"/>
    <mergeCell ref="IKO230:IKP230"/>
    <mergeCell ref="IKQ230:IKR230"/>
    <mergeCell ref="IKS230:IKT230"/>
    <mergeCell ref="IKU230:IKV230"/>
    <mergeCell ref="IKW230:IKX230"/>
    <mergeCell ref="ING230:INH230"/>
    <mergeCell ref="INI230:INJ230"/>
    <mergeCell ref="INK230:INL230"/>
    <mergeCell ref="INM230:INN230"/>
    <mergeCell ref="INO230:INP230"/>
    <mergeCell ref="IMW230:IMX230"/>
    <mergeCell ref="IMY230:IMZ230"/>
    <mergeCell ref="INA230:INB230"/>
    <mergeCell ref="INC230:IND230"/>
    <mergeCell ref="INE230:INF230"/>
    <mergeCell ref="IMM230:IMN230"/>
    <mergeCell ref="IMO230:IMP230"/>
    <mergeCell ref="IMQ230:IMR230"/>
    <mergeCell ref="IMS230:IMT230"/>
    <mergeCell ref="IMU230:IMV230"/>
    <mergeCell ref="IMC230:IMD230"/>
    <mergeCell ref="IME230:IMF230"/>
    <mergeCell ref="IMG230:IMH230"/>
    <mergeCell ref="IMI230:IMJ230"/>
    <mergeCell ref="IMK230:IML230"/>
    <mergeCell ref="IOU230:IOV230"/>
    <mergeCell ref="IOW230:IOX230"/>
    <mergeCell ref="IOY230:IOZ230"/>
    <mergeCell ref="IPA230:IPB230"/>
    <mergeCell ref="IPC230:IPD230"/>
    <mergeCell ref="IOK230:IOL230"/>
    <mergeCell ref="IOM230:ION230"/>
    <mergeCell ref="IOO230:IOP230"/>
    <mergeCell ref="IOQ230:IOR230"/>
    <mergeCell ref="IOS230:IOT230"/>
    <mergeCell ref="IOA230:IOB230"/>
    <mergeCell ref="IOC230:IOD230"/>
    <mergeCell ref="IOE230:IOF230"/>
    <mergeCell ref="IOG230:IOH230"/>
    <mergeCell ref="IOI230:IOJ230"/>
    <mergeCell ref="INQ230:INR230"/>
    <mergeCell ref="INS230:INT230"/>
    <mergeCell ref="INU230:INV230"/>
    <mergeCell ref="INW230:INX230"/>
    <mergeCell ref="INY230:INZ230"/>
    <mergeCell ref="IQI230:IQJ230"/>
    <mergeCell ref="IQK230:IQL230"/>
    <mergeCell ref="IQM230:IQN230"/>
    <mergeCell ref="IQO230:IQP230"/>
    <mergeCell ref="IQQ230:IQR230"/>
    <mergeCell ref="IPY230:IPZ230"/>
    <mergeCell ref="IQA230:IQB230"/>
    <mergeCell ref="IQC230:IQD230"/>
    <mergeCell ref="IQE230:IQF230"/>
    <mergeCell ref="IQG230:IQH230"/>
    <mergeCell ref="IPO230:IPP230"/>
    <mergeCell ref="IPQ230:IPR230"/>
    <mergeCell ref="IPS230:IPT230"/>
    <mergeCell ref="IPU230:IPV230"/>
    <mergeCell ref="IPW230:IPX230"/>
    <mergeCell ref="IPE230:IPF230"/>
    <mergeCell ref="IPG230:IPH230"/>
    <mergeCell ref="IPI230:IPJ230"/>
    <mergeCell ref="IPK230:IPL230"/>
    <mergeCell ref="IPM230:IPN230"/>
    <mergeCell ref="IRW230:IRX230"/>
    <mergeCell ref="IRY230:IRZ230"/>
    <mergeCell ref="ISA230:ISB230"/>
    <mergeCell ref="ISC230:ISD230"/>
    <mergeCell ref="ISE230:ISF230"/>
    <mergeCell ref="IRM230:IRN230"/>
    <mergeCell ref="IRO230:IRP230"/>
    <mergeCell ref="IRQ230:IRR230"/>
    <mergeCell ref="IRS230:IRT230"/>
    <mergeCell ref="IRU230:IRV230"/>
    <mergeCell ref="IRC230:IRD230"/>
    <mergeCell ref="IRE230:IRF230"/>
    <mergeCell ref="IRG230:IRH230"/>
    <mergeCell ref="IRI230:IRJ230"/>
    <mergeCell ref="IRK230:IRL230"/>
    <mergeCell ref="IQS230:IQT230"/>
    <mergeCell ref="IQU230:IQV230"/>
    <mergeCell ref="IQW230:IQX230"/>
    <mergeCell ref="IQY230:IQZ230"/>
    <mergeCell ref="IRA230:IRB230"/>
    <mergeCell ref="ITK230:ITL230"/>
    <mergeCell ref="ITM230:ITN230"/>
    <mergeCell ref="ITO230:ITP230"/>
    <mergeCell ref="ITQ230:ITR230"/>
    <mergeCell ref="ITS230:ITT230"/>
    <mergeCell ref="ITA230:ITB230"/>
    <mergeCell ref="ITC230:ITD230"/>
    <mergeCell ref="ITE230:ITF230"/>
    <mergeCell ref="ITG230:ITH230"/>
    <mergeCell ref="ITI230:ITJ230"/>
    <mergeCell ref="ISQ230:ISR230"/>
    <mergeCell ref="ISS230:IST230"/>
    <mergeCell ref="ISU230:ISV230"/>
    <mergeCell ref="ISW230:ISX230"/>
    <mergeCell ref="ISY230:ISZ230"/>
    <mergeCell ref="ISG230:ISH230"/>
    <mergeCell ref="ISI230:ISJ230"/>
    <mergeCell ref="ISK230:ISL230"/>
    <mergeCell ref="ISM230:ISN230"/>
    <mergeCell ref="ISO230:ISP230"/>
    <mergeCell ref="IUY230:IUZ230"/>
    <mergeCell ref="IVA230:IVB230"/>
    <mergeCell ref="IVC230:IVD230"/>
    <mergeCell ref="IVE230:IVF230"/>
    <mergeCell ref="IVG230:IVH230"/>
    <mergeCell ref="IUO230:IUP230"/>
    <mergeCell ref="IUQ230:IUR230"/>
    <mergeCell ref="IUS230:IUT230"/>
    <mergeCell ref="IUU230:IUV230"/>
    <mergeCell ref="IUW230:IUX230"/>
    <mergeCell ref="IUE230:IUF230"/>
    <mergeCell ref="IUG230:IUH230"/>
    <mergeCell ref="IUI230:IUJ230"/>
    <mergeCell ref="IUK230:IUL230"/>
    <mergeCell ref="IUM230:IUN230"/>
    <mergeCell ref="ITU230:ITV230"/>
    <mergeCell ref="ITW230:ITX230"/>
    <mergeCell ref="ITY230:ITZ230"/>
    <mergeCell ref="IUA230:IUB230"/>
    <mergeCell ref="IUC230:IUD230"/>
    <mergeCell ref="IWM230:IWN230"/>
    <mergeCell ref="IWO230:IWP230"/>
    <mergeCell ref="IWQ230:IWR230"/>
    <mergeCell ref="IWS230:IWT230"/>
    <mergeCell ref="IWU230:IWV230"/>
    <mergeCell ref="IWC230:IWD230"/>
    <mergeCell ref="IWE230:IWF230"/>
    <mergeCell ref="IWG230:IWH230"/>
    <mergeCell ref="IWI230:IWJ230"/>
    <mergeCell ref="IWK230:IWL230"/>
    <mergeCell ref="IVS230:IVT230"/>
    <mergeCell ref="IVU230:IVV230"/>
    <mergeCell ref="IVW230:IVX230"/>
    <mergeCell ref="IVY230:IVZ230"/>
    <mergeCell ref="IWA230:IWB230"/>
    <mergeCell ref="IVI230:IVJ230"/>
    <mergeCell ref="IVK230:IVL230"/>
    <mergeCell ref="IVM230:IVN230"/>
    <mergeCell ref="IVO230:IVP230"/>
    <mergeCell ref="IVQ230:IVR230"/>
    <mergeCell ref="IYA230:IYB230"/>
    <mergeCell ref="IYC230:IYD230"/>
    <mergeCell ref="IYE230:IYF230"/>
    <mergeCell ref="IYG230:IYH230"/>
    <mergeCell ref="IYI230:IYJ230"/>
    <mergeCell ref="IXQ230:IXR230"/>
    <mergeCell ref="IXS230:IXT230"/>
    <mergeCell ref="IXU230:IXV230"/>
    <mergeCell ref="IXW230:IXX230"/>
    <mergeCell ref="IXY230:IXZ230"/>
    <mergeCell ref="IXG230:IXH230"/>
    <mergeCell ref="IXI230:IXJ230"/>
    <mergeCell ref="IXK230:IXL230"/>
    <mergeCell ref="IXM230:IXN230"/>
    <mergeCell ref="IXO230:IXP230"/>
    <mergeCell ref="IWW230:IWX230"/>
    <mergeCell ref="IWY230:IWZ230"/>
    <mergeCell ref="IXA230:IXB230"/>
    <mergeCell ref="IXC230:IXD230"/>
    <mergeCell ref="IXE230:IXF230"/>
    <mergeCell ref="IZO230:IZP230"/>
    <mergeCell ref="IZQ230:IZR230"/>
    <mergeCell ref="IZS230:IZT230"/>
    <mergeCell ref="IZU230:IZV230"/>
    <mergeCell ref="IZW230:IZX230"/>
    <mergeCell ref="IZE230:IZF230"/>
    <mergeCell ref="IZG230:IZH230"/>
    <mergeCell ref="IZI230:IZJ230"/>
    <mergeCell ref="IZK230:IZL230"/>
    <mergeCell ref="IZM230:IZN230"/>
    <mergeCell ref="IYU230:IYV230"/>
    <mergeCell ref="IYW230:IYX230"/>
    <mergeCell ref="IYY230:IYZ230"/>
    <mergeCell ref="IZA230:IZB230"/>
    <mergeCell ref="IZC230:IZD230"/>
    <mergeCell ref="IYK230:IYL230"/>
    <mergeCell ref="IYM230:IYN230"/>
    <mergeCell ref="IYO230:IYP230"/>
    <mergeCell ref="IYQ230:IYR230"/>
    <mergeCell ref="IYS230:IYT230"/>
    <mergeCell ref="JBC230:JBD230"/>
    <mergeCell ref="JBE230:JBF230"/>
    <mergeCell ref="JBG230:JBH230"/>
    <mergeCell ref="JBI230:JBJ230"/>
    <mergeCell ref="JBK230:JBL230"/>
    <mergeCell ref="JAS230:JAT230"/>
    <mergeCell ref="JAU230:JAV230"/>
    <mergeCell ref="JAW230:JAX230"/>
    <mergeCell ref="JAY230:JAZ230"/>
    <mergeCell ref="JBA230:JBB230"/>
    <mergeCell ref="JAI230:JAJ230"/>
    <mergeCell ref="JAK230:JAL230"/>
    <mergeCell ref="JAM230:JAN230"/>
    <mergeCell ref="JAO230:JAP230"/>
    <mergeCell ref="JAQ230:JAR230"/>
    <mergeCell ref="IZY230:IZZ230"/>
    <mergeCell ref="JAA230:JAB230"/>
    <mergeCell ref="JAC230:JAD230"/>
    <mergeCell ref="JAE230:JAF230"/>
    <mergeCell ref="JAG230:JAH230"/>
    <mergeCell ref="JCQ230:JCR230"/>
    <mergeCell ref="JCS230:JCT230"/>
    <mergeCell ref="JCU230:JCV230"/>
    <mergeCell ref="JCW230:JCX230"/>
    <mergeCell ref="JCY230:JCZ230"/>
    <mergeCell ref="JCG230:JCH230"/>
    <mergeCell ref="JCI230:JCJ230"/>
    <mergeCell ref="JCK230:JCL230"/>
    <mergeCell ref="JCM230:JCN230"/>
    <mergeCell ref="JCO230:JCP230"/>
    <mergeCell ref="JBW230:JBX230"/>
    <mergeCell ref="JBY230:JBZ230"/>
    <mergeCell ref="JCA230:JCB230"/>
    <mergeCell ref="JCC230:JCD230"/>
    <mergeCell ref="JCE230:JCF230"/>
    <mergeCell ref="JBM230:JBN230"/>
    <mergeCell ref="JBO230:JBP230"/>
    <mergeCell ref="JBQ230:JBR230"/>
    <mergeCell ref="JBS230:JBT230"/>
    <mergeCell ref="JBU230:JBV230"/>
    <mergeCell ref="JEE230:JEF230"/>
    <mergeCell ref="JEG230:JEH230"/>
    <mergeCell ref="JEI230:JEJ230"/>
    <mergeCell ref="JEK230:JEL230"/>
    <mergeCell ref="JEM230:JEN230"/>
    <mergeCell ref="JDU230:JDV230"/>
    <mergeCell ref="JDW230:JDX230"/>
    <mergeCell ref="JDY230:JDZ230"/>
    <mergeCell ref="JEA230:JEB230"/>
    <mergeCell ref="JEC230:JED230"/>
    <mergeCell ref="JDK230:JDL230"/>
    <mergeCell ref="JDM230:JDN230"/>
    <mergeCell ref="JDO230:JDP230"/>
    <mergeCell ref="JDQ230:JDR230"/>
    <mergeCell ref="JDS230:JDT230"/>
    <mergeCell ref="JDA230:JDB230"/>
    <mergeCell ref="JDC230:JDD230"/>
    <mergeCell ref="JDE230:JDF230"/>
    <mergeCell ref="JDG230:JDH230"/>
    <mergeCell ref="JDI230:JDJ230"/>
    <mergeCell ref="JFS230:JFT230"/>
    <mergeCell ref="JFU230:JFV230"/>
    <mergeCell ref="JFW230:JFX230"/>
    <mergeCell ref="JFY230:JFZ230"/>
    <mergeCell ref="JGA230:JGB230"/>
    <mergeCell ref="JFI230:JFJ230"/>
    <mergeCell ref="JFK230:JFL230"/>
    <mergeCell ref="JFM230:JFN230"/>
    <mergeCell ref="JFO230:JFP230"/>
    <mergeCell ref="JFQ230:JFR230"/>
    <mergeCell ref="JEY230:JEZ230"/>
    <mergeCell ref="JFA230:JFB230"/>
    <mergeCell ref="JFC230:JFD230"/>
    <mergeCell ref="JFE230:JFF230"/>
    <mergeCell ref="JFG230:JFH230"/>
    <mergeCell ref="JEO230:JEP230"/>
    <mergeCell ref="JEQ230:JER230"/>
    <mergeCell ref="JES230:JET230"/>
    <mergeCell ref="JEU230:JEV230"/>
    <mergeCell ref="JEW230:JEX230"/>
    <mergeCell ref="JHG230:JHH230"/>
    <mergeCell ref="JHI230:JHJ230"/>
    <mergeCell ref="JHK230:JHL230"/>
    <mergeCell ref="JHM230:JHN230"/>
    <mergeCell ref="JHO230:JHP230"/>
    <mergeCell ref="JGW230:JGX230"/>
    <mergeCell ref="JGY230:JGZ230"/>
    <mergeCell ref="JHA230:JHB230"/>
    <mergeCell ref="JHC230:JHD230"/>
    <mergeCell ref="JHE230:JHF230"/>
    <mergeCell ref="JGM230:JGN230"/>
    <mergeCell ref="JGO230:JGP230"/>
    <mergeCell ref="JGQ230:JGR230"/>
    <mergeCell ref="JGS230:JGT230"/>
    <mergeCell ref="JGU230:JGV230"/>
    <mergeCell ref="JGC230:JGD230"/>
    <mergeCell ref="JGE230:JGF230"/>
    <mergeCell ref="JGG230:JGH230"/>
    <mergeCell ref="JGI230:JGJ230"/>
    <mergeCell ref="JGK230:JGL230"/>
    <mergeCell ref="JIU230:JIV230"/>
    <mergeCell ref="JIW230:JIX230"/>
    <mergeCell ref="JIY230:JIZ230"/>
    <mergeCell ref="JJA230:JJB230"/>
    <mergeCell ref="JJC230:JJD230"/>
    <mergeCell ref="JIK230:JIL230"/>
    <mergeCell ref="JIM230:JIN230"/>
    <mergeCell ref="JIO230:JIP230"/>
    <mergeCell ref="JIQ230:JIR230"/>
    <mergeCell ref="JIS230:JIT230"/>
    <mergeCell ref="JIA230:JIB230"/>
    <mergeCell ref="JIC230:JID230"/>
    <mergeCell ref="JIE230:JIF230"/>
    <mergeCell ref="JIG230:JIH230"/>
    <mergeCell ref="JII230:JIJ230"/>
    <mergeCell ref="JHQ230:JHR230"/>
    <mergeCell ref="JHS230:JHT230"/>
    <mergeCell ref="JHU230:JHV230"/>
    <mergeCell ref="JHW230:JHX230"/>
    <mergeCell ref="JHY230:JHZ230"/>
    <mergeCell ref="JKI230:JKJ230"/>
    <mergeCell ref="JKK230:JKL230"/>
    <mergeCell ref="JKM230:JKN230"/>
    <mergeCell ref="JKO230:JKP230"/>
    <mergeCell ref="JKQ230:JKR230"/>
    <mergeCell ref="JJY230:JJZ230"/>
    <mergeCell ref="JKA230:JKB230"/>
    <mergeCell ref="JKC230:JKD230"/>
    <mergeCell ref="JKE230:JKF230"/>
    <mergeCell ref="JKG230:JKH230"/>
    <mergeCell ref="JJO230:JJP230"/>
    <mergeCell ref="JJQ230:JJR230"/>
    <mergeCell ref="JJS230:JJT230"/>
    <mergeCell ref="JJU230:JJV230"/>
    <mergeCell ref="JJW230:JJX230"/>
    <mergeCell ref="JJE230:JJF230"/>
    <mergeCell ref="JJG230:JJH230"/>
    <mergeCell ref="JJI230:JJJ230"/>
    <mergeCell ref="JJK230:JJL230"/>
    <mergeCell ref="JJM230:JJN230"/>
    <mergeCell ref="JLW230:JLX230"/>
    <mergeCell ref="JLY230:JLZ230"/>
    <mergeCell ref="JMA230:JMB230"/>
    <mergeCell ref="JMC230:JMD230"/>
    <mergeCell ref="JME230:JMF230"/>
    <mergeCell ref="JLM230:JLN230"/>
    <mergeCell ref="JLO230:JLP230"/>
    <mergeCell ref="JLQ230:JLR230"/>
    <mergeCell ref="JLS230:JLT230"/>
    <mergeCell ref="JLU230:JLV230"/>
    <mergeCell ref="JLC230:JLD230"/>
    <mergeCell ref="JLE230:JLF230"/>
    <mergeCell ref="JLG230:JLH230"/>
    <mergeCell ref="JLI230:JLJ230"/>
    <mergeCell ref="JLK230:JLL230"/>
    <mergeCell ref="JKS230:JKT230"/>
    <mergeCell ref="JKU230:JKV230"/>
    <mergeCell ref="JKW230:JKX230"/>
    <mergeCell ref="JKY230:JKZ230"/>
    <mergeCell ref="JLA230:JLB230"/>
    <mergeCell ref="JNK230:JNL230"/>
    <mergeCell ref="JNM230:JNN230"/>
    <mergeCell ref="JNO230:JNP230"/>
    <mergeCell ref="JNQ230:JNR230"/>
    <mergeCell ref="JNS230:JNT230"/>
    <mergeCell ref="JNA230:JNB230"/>
    <mergeCell ref="JNC230:JND230"/>
    <mergeCell ref="JNE230:JNF230"/>
    <mergeCell ref="JNG230:JNH230"/>
    <mergeCell ref="JNI230:JNJ230"/>
    <mergeCell ref="JMQ230:JMR230"/>
    <mergeCell ref="JMS230:JMT230"/>
    <mergeCell ref="JMU230:JMV230"/>
    <mergeCell ref="JMW230:JMX230"/>
    <mergeCell ref="JMY230:JMZ230"/>
    <mergeCell ref="JMG230:JMH230"/>
    <mergeCell ref="JMI230:JMJ230"/>
    <mergeCell ref="JMK230:JML230"/>
    <mergeCell ref="JMM230:JMN230"/>
    <mergeCell ref="JMO230:JMP230"/>
    <mergeCell ref="JOY230:JOZ230"/>
    <mergeCell ref="JPA230:JPB230"/>
    <mergeCell ref="JPC230:JPD230"/>
    <mergeCell ref="JPE230:JPF230"/>
    <mergeCell ref="JPG230:JPH230"/>
    <mergeCell ref="JOO230:JOP230"/>
    <mergeCell ref="JOQ230:JOR230"/>
    <mergeCell ref="JOS230:JOT230"/>
    <mergeCell ref="JOU230:JOV230"/>
    <mergeCell ref="JOW230:JOX230"/>
    <mergeCell ref="JOE230:JOF230"/>
    <mergeCell ref="JOG230:JOH230"/>
    <mergeCell ref="JOI230:JOJ230"/>
    <mergeCell ref="JOK230:JOL230"/>
    <mergeCell ref="JOM230:JON230"/>
    <mergeCell ref="JNU230:JNV230"/>
    <mergeCell ref="JNW230:JNX230"/>
    <mergeCell ref="JNY230:JNZ230"/>
    <mergeCell ref="JOA230:JOB230"/>
    <mergeCell ref="JOC230:JOD230"/>
    <mergeCell ref="JQM230:JQN230"/>
    <mergeCell ref="JQO230:JQP230"/>
    <mergeCell ref="JQQ230:JQR230"/>
    <mergeCell ref="JQS230:JQT230"/>
    <mergeCell ref="JQU230:JQV230"/>
    <mergeCell ref="JQC230:JQD230"/>
    <mergeCell ref="JQE230:JQF230"/>
    <mergeCell ref="JQG230:JQH230"/>
    <mergeCell ref="JQI230:JQJ230"/>
    <mergeCell ref="JQK230:JQL230"/>
    <mergeCell ref="JPS230:JPT230"/>
    <mergeCell ref="JPU230:JPV230"/>
    <mergeCell ref="JPW230:JPX230"/>
    <mergeCell ref="JPY230:JPZ230"/>
    <mergeCell ref="JQA230:JQB230"/>
    <mergeCell ref="JPI230:JPJ230"/>
    <mergeCell ref="JPK230:JPL230"/>
    <mergeCell ref="JPM230:JPN230"/>
    <mergeCell ref="JPO230:JPP230"/>
    <mergeCell ref="JPQ230:JPR230"/>
    <mergeCell ref="JSA230:JSB230"/>
    <mergeCell ref="JSC230:JSD230"/>
    <mergeCell ref="JSE230:JSF230"/>
    <mergeCell ref="JSG230:JSH230"/>
    <mergeCell ref="JSI230:JSJ230"/>
    <mergeCell ref="JRQ230:JRR230"/>
    <mergeCell ref="JRS230:JRT230"/>
    <mergeCell ref="JRU230:JRV230"/>
    <mergeCell ref="JRW230:JRX230"/>
    <mergeCell ref="JRY230:JRZ230"/>
    <mergeCell ref="JRG230:JRH230"/>
    <mergeCell ref="JRI230:JRJ230"/>
    <mergeCell ref="JRK230:JRL230"/>
    <mergeCell ref="JRM230:JRN230"/>
    <mergeCell ref="JRO230:JRP230"/>
    <mergeCell ref="JQW230:JQX230"/>
    <mergeCell ref="JQY230:JQZ230"/>
    <mergeCell ref="JRA230:JRB230"/>
    <mergeCell ref="JRC230:JRD230"/>
    <mergeCell ref="JRE230:JRF230"/>
    <mergeCell ref="JTO230:JTP230"/>
    <mergeCell ref="JTQ230:JTR230"/>
    <mergeCell ref="JTS230:JTT230"/>
    <mergeCell ref="JTU230:JTV230"/>
    <mergeCell ref="JTW230:JTX230"/>
    <mergeCell ref="JTE230:JTF230"/>
    <mergeCell ref="JTG230:JTH230"/>
    <mergeCell ref="JTI230:JTJ230"/>
    <mergeCell ref="JTK230:JTL230"/>
    <mergeCell ref="JTM230:JTN230"/>
    <mergeCell ref="JSU230:JSV230"/>
    <mergeCell ref="JSW230:JSX230"/>
    <mergeCell ref="JSY230:JSZ230"/>
    <mergeCell ref="JTA230:JTB230"/>
    <mergeCell ref="JTC230:JTD230"/>
    <mergeCell ref="JSK230:JSL230"/>
    <mergeCell ref="JSM230:JSN230"/>
    <mergeCell ref="JSO230:JSP230"/>
    <mergeCell ref="JSQ230:JSR230"/>
    <mergeCell ref="JSS230:JST230"/>
    <mergeCell ref="JVC230:JVD230"/>
    <mergeCell ref="JVE230:JVF230"/>
    <mergeCell ref="JVG230:JVH230"/>
    <mergeCell ref="JVI230:JVJ230"/>
    <mergeCell ref="JVK230:JVL230"/>
    <mergeCell ref="JUS230:JUT230"/>
    <mergeCell ref="JUU230:JUV230"/>
    <mergeCell ref="JUW230:JUX230"/>
    <mergeCell ref="JUY230:JUZ230"/>
    <mergeCell ref="JVA230:JVB230"/>
    <mergeCell ref="JUI230:JUJ230"/>
    <mergeCell ref="JUK230:JUL230"/>
    <mergeCell ref="JUM230:JUN230"/>
    <mergeCell ref="JUO230:JUP230"/>
    <mergeCell ref="JUQ230:JUR230"/>
    <mergeCell ref="JTY230:JTZ230"/>
    <mergeCell ref="JUA230:JUB230"/>
    <mergeCell ref="JUC230:JUD230"/>
    <mergeCell ref="JUE230:JUF230"/>
    <mergeCell ref="JUG230:JUH230"/>
    <mergeCell ref="JWQ230:JWR230"/>
    <mergeCell ref="JWS230:JWT230"/>
    <mergeCell ref="JWU230:JWV230"/>
    <mergeCell ref="JWW230:JWX230"/>
    <mergeCell ref="JWY230:JWZ230"/>
    <mergeCell ref="JWG230:JWH230"/>
    <mergeCell ref="JWI230:JWJ230"/>
    <mergeCell ref="JWK230:JWL230"/>
    <mergeCell ref="JWM230:JWN230"/>
    <mergeCell ref="JWO230:JWP230"/>
    <mergeCell ref="JVW230:JVX230"/>
    <mergeCell ref="JVY230:JVZ230"/>
    <mergeCell ref="JWA230:JWB230"/>
    <mergeCell ref="JWC230:JWD230"/>
    <mergeCell ref="JWE230:JWF230"/>
    <mergeCell ref="JVM230:JVN230"/>
    <mergeCell ref="JVO230:JVP230"/>
    <mergeCell ref="JVQ230:JVR230"/>
    <mergeCell ref="JVS230:JVT230"/>
    <mergeCell ref="JVU230:JVV230"/>
    <mergeCell ref="JYE230:JYF230"/>
    <mergeCell ref="JYG230:JYH230"/>
    <mergeCell ref="JYI230:JYJ230"/>
    <mergeCell ref="JYK230:JYL230"/>
    <mergeCell ref="JYM230:JYN230"/>
    <mergeCell ref="JXU230:JXV230"/>
    <mergeCell ref="JXW230:JXX230"/>
    <mergeCell ref="JXY230:JXZ230"/>
    <mergeCell ref="JYA230:JYB230"/>
    <mergeCell ref="JYC230:JYD230"/>
    <mergeCell ref="JXK230:JXL230"/>
    <mergeCell ref="JXM230:JXN230"/>
    <mergeCell ref="JXO230:JXP230"/>
    <mergeCell ref="JXQ230:JXR230"/>
    <mergeCell ref="JXS230:JXT230"/>
    <mergeCell ref="JXA230:JXB230"/>
    <mergeCell ref="JXC230:JXD230"/>
    <mergeCell ref="JXE230:JXF230"/>
    <mergeCell ref="JXG230:JXH230"/>
    <mergeCell ref="JXI230:JXJ230"/>
    <mergeCell ref="JZS230:JZT230"/>
    <mergeCell ref="JZU230:JZV230"/>
    <mergeCell ref="JZW230:JZX230"/>
    <mergeCell ref="JZY230:JZZ230"/>
    <mergeCell ref="KAA230:KAB230"/>
    <mergeCell ref="JZI230:JZJ230"/>
    <mergeCell ref="JZK230:JZL230"/>
    <mergeCell ref="JZM230:JZN230"/>
    <mergeCell ref="JZO230:JZP230"/>
    <mergeCell ref="JZQ230:JZR230"/>
    <mergeCell ref="JYY230:JYZ230"/>
    <mergeCell ref="JZA230:JZB230"/>
    <mergeCell ref="JZC230:JZD230"/>
    <mergeCell ref="JZE230:JZF230"/>
    <mergeCell ref="JZG230:JZH230"/>
    <mergeCell ref="JYO230:JYP230"/>
    <mergeCell ref="JYQ230:JYR230"/>
    <mergeCell ref="JYS230:JYT230"/>
    <mergeCell ref="JYU230:JYV230"/>
    <mergeCell ref="JYW230:JYX230"/>
    <mergeCell ref="KBG230:KBH230"/>
    <mergeCell ref="KBI230:KBJ230"/>
    <mergeCell ref="KBK230:KBL230"/>
    <mergeCell ref="KBM230:KBN230"/>
    <mergeCell ref="KBO230:KBP230"/>
    <mergeCell ref="KAW230:KAX230"/>
    <mergeCell ref="KAY230:KAZ230"/>
    <mergeCell ref="KBA230:KBB230"/>
    <mergeCell ref="KBC230:KBD230"/>
    <mergeCell ref="KBE230:KBF230"/>
    <mergeCell ref="KAM230:KAN230"/>
    <mergeCell ref="KAO230:KAP230"/>
    <mergeCell ref="KAQ230:KAR230"/>
    <mergeCell ref="KAS230:KAT230"/>
    <mergeCell ref="KAU230:KAV230"/>
    <mergeCell ref="KAC230:KAD230"/>
    <mergeCell ref="KAE230:KAF230"/>
    <mergeCell ref="KAG230:KAH230"/>
    <mergeCell ref="KAI230:KAJ230"/>
    <mergeCell ref="KAK230:KAL230"/>
    <mergeCell ref="KCU230:KCV230"/>
    <mergeCell ref="KCW230:KCX230"/>
    <mergeCell ref="KCY230:KCZ230"/>
    <mergeCell ref="KDA230:KDB230"/>
    <mergeCell ref="KDC230:KDD230"/>
    <mergeCell ref="KCK230:KCL230"/>
    <mergeCell ref="KCM230:KCN230"/>
    <mergeCell ref="KCO230:KCP230"/>
    <mergeCell ref="KCQ230:KCR230"/>
    <mergeCell ref="KCS230:KCT230"/>
    <mergeCell ref="KCA230:KCB230"/>
    <mergeCell ref="KCC230:KCD230"/>
    <mergeCell ref="KCE230:KCF230"/>
    <mergeCell ref="KCG230:KCH230"/>
    <mergeCell ref="KCI230:KCJ230"/>
    <mergeCell ref="KBQ230:KBR230"/>
    <mergeCell ref="KBS230:KBT230"/>
    <mergeCell ref="KBU230:KBV230"/>
    <mergeCell ref="KBW230:KBX230"/>
    <mergeCell ref="KBY230:KBZ230"/>
    <mergeCell ref="KEI230:KEJ230"/>
    <mergeCell ref="KEK230:KEL230"/>
    <mergeCell ref="KEM230:KEN230"/>
    <mergeCell ref="KEO230:KEP230"/>
    <mergeCell ref="KEQ230:KER230"/>
    <mergeCell ref="KDY230:KDZ230"/>
    <mergeCell ref="KEA230:KEB230"/>
    <mergeCell ref="KEC230:KED230"/>
    <mergeCell ref="KEE230:KEF230"/>
    <mergeCell ref="KEG230:KEH230"/>
    <mergeCell ref="KDO230:KDP230"/>
    <mergeCell ref="KDQ230:KDR230"/>
    <mergeCell ref="KDS230:KDT230"/>
    <mergeCell ref="KDU230:KDV230"/>
    <mergeCell ref="KDW230:KDX230"/>
    <mergeCell ref="KDE230:KDF230"/>
    <mergeCell ref="KDG230:KDH230"/>
    <mergeCell ref="KDI230:KDJ230"/>
    <mergeCell ref="KDK230:KDL230"/>
    <mergeCell ref="KDM230:KDN230"/>
    <mergeCell ref="KFW230:KFX230"/>
    <mergeCell ref="KFY230:KFZ230"/>
    <mergeCell ref="KGA230:KGB230"/>
    <mergeCell ref="KGC230:KGD230"/>
    <mergeCell ref="KGE230:KGF230"/>
    <mergeCell ref="KFM230:KFN230"/>
    <mergeCell ref="KFO230:KFP230"/>
    <mergeCell ref="KFQ230:KFR230"/>
    <mergeCell ref="KFS230:KFT230"/>
    <mergeCell ref="KFU230:KFV230"/>
    <mergeCell ref="KFC230:KFD230"/>
    <mergeCell ref="KFE230:KFF230"/>
    <mergeCell ref="KFG230:KFH230"/>
    <mergeCell ref="KFI230:KFJ230"/>
    <mergeCell ref="KFK230:KFL230"/>
    <mergeCell ref="KES230:KET230"/>
    <mergeCell ref="KEU230:KEV230"/>
    <mergeCell ref="KEW230:KEX230"/>
    <mergeCell ref="KEY230:KEZ230"/>
    <mergeCell ref="KFA230:KFB230"/>
    <mergeCell ref="KHK230:KHL230"/>
    <mergeCell ref="KHM230:KHN230"/>
    <mergeCell ref="KHO230:KHP230"/>
    <mergeCell ref="KHQ230:KHR230"/>
    <mergeCell ref="KHS230:KHT230"/>
    <mergeCell ref="KHA230:KHB230"/>
    <mergeCell ref="KHC230:KHD230"/>
    <mergeCell ref="KHE230:KHF230"/>
    <mergeCell ref="KHG230:KHH230"/>
    <mergeCell ref="KHI230:KHJ230"/>
    <mergeCell ref="KGQ230:KGR230"/>
    <mergeCell ref="KGS230:KGT230"/>
    <mergeCell ref="KGU230:KGV230"/>
    <mergeCell ref="KGW230:KGX230"/>
    <mergeCell ref="KGY230:KGZ230"/>
    <mergeCell ref="KGG230:KGH230"/>
    <mergeCell ref="KGI230:KGJ230"/>
    <mergeCell ref="KGK230:KGL230"/>
    <mergeCell ref="KGM230:KGN230"/>
    <mergeCell ref="KGO230:KGP230"/>
    <mergeCell ref="KIY230:KIZ230"/>
    <mergeCell ref="KJA230:KJB230"/>
    <mergeCell ref="KJC230:KJD230"/>
    <mergeCell ref="KJE230:KJF230"/>
    <mergeCell ref="KJG230:KJH230"/>
    <mergeCell ref="KIO230:KIP230"/>
    <mergeCell ref="KIQ230:KIR230"/>
    <mergeCell ref="KIS230:KIT230"/>
    <mergeCell ref="KIU230:KIV230"/>
    <mergeCell ref="KIW230:KIX230"/>
    <mergeCell ref="KIE230:KIF230"/>
    <mergeCell ref="KIG230:KIH230"/>
    <mergeCell ref="KII230:KIJ230"/>
    <mergeCell ref="KIK230:KIL230"/>
    <mergeCell ref="KIM230:KIN230"/>
    <mergeCell ref="KHU230:KHV230"/>
    <mergeCell ref="KHW230:KHX230"/>
    <mergeCell ref="KHY230:KHZ230"/>
    <mergeCell ref="KIA230:KIB230"/>
    <mergeCell ref="KIC230:KID230"/>
    <mergeCell ref="KKM230:KKN230"/>
    <mergeCell ref="KKO230:KKP230"/>
    <mergeCell ref="KKQ230:KKR230"/>
    <mergeCell ref="KKS230:KKT230"/>
    <mergeCell ref="KKU230:KKV230"/>
    <mergeCell ref="KKC230:KKD230"/>
    <mergeCell ref="KKE230:KKF230"/>
    <mergeCell ref="KKG230:KKH230"/>
    <mergeCell ref="KKI230:KKJ230"/>
    <mergeCell ref="KKK230:KKL230"/>
    <mergeCell ref="KJS230:KJT230"/>
    <mergeCell ref="KJU230:KJV230"/>
    <mergeCell ref="KJW230:KJX230"/>
    <mergeCell ref="KJY230:KJZ230"/>
    <mergeCell ref="KKA230:KKB230"/>
    <mergeCell ref="KJI230:KJJ230"/>
    <mergeCell ref="KJK230:KJL230"/>
    <mergeCell ref="KJM230:KJN230"/>
    <mergeCell ref="KJO230:KJP230"/>
    <mergeCell ref="KJQ230:KJR230"/>
    <mergeCell ref="KMA230:KMB230"/>
    <mergeCell ref="KMC230:KMD230"/>
    <mergeCell ref="KME230:KMF230"/>
    <mergeCell ref="KMG230:KMH230"/>
    <mergeCell ref="KMI230:KMJ230"/>
    <mergeCell ref="KLQ230:KLR230"/>
    <mergeCell ref="KLS230:KLT230"/>
    <mergeCell ref="KLU230:KLV230"/>
    <mergeCell ref="KLW230:KLX230"/>
    <mergeCell ref="KLY230:KLZ230"/>
    <mergeCell ref="KLG230:KLH230"/>
    <mergeCell ref="KLI230:KLJ230"/>
    <mergeCell ref="KLK230:KLL230"/>
    <mergeCell ref="KLM230:KLN230"/>
    <mergeCell ref="KLO230:KLP230"/>
    <mergeCell ref="KKW230:KKX230"/>
    <mergeCell ref="KKY230:KKZ230"/>
    <mergeCell ref="KLA230:KLB230"/>
    <mergeCell ref="KLC230:KLD230"/>
    <mergeCell ref="KLE230:KLF230"/>
    <mergeCell ref="KNO230:KNP230"/>
    <mergeCell ref="KNQ230:KNR230"/>
    <mergeCell ref="KNS230:KNT230"/>
    <mergeCell ref="KNU230:KNV230"/>
    <mergeCell ref="KNW230:KNX230"/>
    <mergeCell ref="KNE230:KNF230"/>
    <mergeCell ref="KNG230:KNH230"/>
    <mergeCell ref="KNI230:KNJ230"/>
    <mergeCell ref="KNK230:KNL230"/>
    <mergeCell ref="KNM230:KNN230"/>
    <mergeCell ref="KMU230:KMV230"/>
    <mergeCell ref="KMW230:KMX230"/>
    <mergeCell ref="KMY230:KMZ230"/>
    <mergeCell ref="KNA230:KNB230"/>
    <mergeCell ref="KNC230:KND230"/>
    <mergeCell ref="KMK230:KML230"/>
    <mergeCell ref="KMM230:KMN230"/>
    <mergeCell ref="KMO230:KMP230"/>
    <mergeCell ref="KMQ230:KMR230"/>
    <mergeCell ref="KMS230:KMT230"/>
    <mergeCell ref="KPC230:KPD230"/>
    <mergeCell ref="KPE230:KPF230"/>
    <mergeCell ref="KPG230:KPH230"/>
    <mergeCell ref="KPI230:KPJ230"/>
    <mergeCell ref="KPK230:KPL230"/>
    <mergeCell ref="KOS230:KOT230"/>
    <mergeCell ref="KOU230:KOV230"/>
    <mergeCell ref="KOW230:KOX230"/>
    <mergeCell ref="KOY230:KOZ230"/>
    <mergeCell ref="KPA230:KPB230"/>
    <mergeCell ref="KOI230:KOJ230"/>
    <mergeCell ref="KOK230:KOL230"/>
    <mergeCell ref="KOM230:KON230"/>
    <mergeCell ref="KOO230:KOP230"/>
    <mergeCell ref="KOQ230:KOR230"/>
    <mergeCell ref="KNY230:KNZ230"/>
    <mergeCell ref="KOA230:KOB230"/>
    <mergeCell ref="KOC230:KOD230"/>
    <mergeCell ref="KOE230:KOF230"/>
    <mergeCell ref="KOG230:KOH230"/>
    <mergeCell ref="KQQ230:KQR230"/>
    <mergeCell ref="KQS230:KQT230"/>
    <mergeCell ref="KQU230:KQV230"/>
    <mergeCell ref="KQW230:KQX230"/>
    <mergeCell ref="KQY230:KQZ230"/>
    <mergeCell ref="KQG230:KQH230"/>
    <mergeCell ref="KQI230:KQJ230"/>
    <mergeCell ref="KQK230:KQL230"/>
    <mergeCell ref="KQM230:KQN230"/>
    <mergeCell ref="KQO230:KQP230"/>
    <mergeCell ref="KPW230:KPX230"/>
    <mergeCell ref="KPY230:KPZ230"/>
    <mergeCell ref="KQA230:KQB230"/>
    <mergeCell ref="KQC230:KQD230"/>
    <mergeCell ref="KQE230:KQF230"/>
    <mergeCell ref="KPM230:KPN230"/>
    <mergeCell ref="KPO230:KPP230"/>
    <mergeCell ref="KPQ230:KPR230"/>
    <mergeCell ref="KPS230:KPT230"/>
    <mergeCell ref="KPU230:KPV230"/>
    <mergeCell ref="KSE230:KSF230"/>
    <mergeCell ref="KSG230:KSH230"/>
    <mergeCell ref="KSI230:KSJ230"/>
    <mergeCell ref="KSK230:KSL230"/>
    <mergeCell ref="KSM230:KSN230"/>
    <mergeCell ref="KRU230:KRV230"/>
    <mergeCell ref="KRW230:KRX230"/>
    <mergeCell ref="KRY230:KRZ230"/>
    <mergeCell ref="KSA230:KSB230"/>
    <mergeCell ref="KSC230:KSD230"/>
    <mergeCell ref="KRK230:KRL230"/>
    <mergeCell ref="KRM230:KRN230"/>
    <mergeCell ref="KRO230:KRP230"/>
    <mergeCell ref="KRQ230:KRR230"/>
    <mergeCell ref="KRS230:KRT230"/>
    <mergeCell ref="KRA230:KRB230"/>
    <mergeCell ref="KRC230:KRD230"/>
    <mergeCell ref="KRE230:KRF230"/>
    <mergeCell ref="KRG230:KRH230"/>
    <mergeCell ref="KRI230:KRJ230"/>
    <mergeCell ref="KTS230:KTT230"/>
    <mergeCell ref="KTU230:KTV230"/>
    <mergeCell ref="KTW230:KTX230"/>
    <mergeCell ref="KTY230:KTZ230"/>
    <mergeCell ref="KUA230:KUB230"/>
    <mergeCell ref="KTI230:KTJ230"/>
    <mergeCell ref="KTK230:KTL230"/>
    <mergeCell ref="KTM230:KTN230"/>
    <mergeCell ref="KTO230:KTP230"/>
    <mergeCell ref="KTQ230:KTR230"/>
    <mergeCell ref="KSY230:KSZ230"/>
    <mergeCell ref="KTA230:KTB230"/>
    <mergeCell ref="KTC230:KTD230"/>
    <mergeCell ref="KTE230:KTF230"/>
    <mergeCell ref="KTG230:KTH230"/>
    <mergeCell ref="KSO230:KSP230"/>
    <mergeCell ref="KSQ230:KSR230"/>
    <mergeCell ref="KSS230:KST230"/>
    <mergeCell ref="KSU230:KSV230"/>
    <mergeCell ref="KSW230:KSX230"/>
    <mergeCell ref="KVG230:KVH230"/>
    <mergeCell ref="KVI230:KVJ230"/>
    <mergeCell ref="KVK230:KVL230"/>
    <mergeCell ref="KVM230:KVN230"/>
    <mergeCell ref="KVO230:KVP230"/>
    <mergeCell ref="KUW230:KUX230"/>
    <mergeCell ref="KUY230:KUZ230"/>
    <mergeCell ref="KVA230:KVB230"/>
    <mergeCell ref="KVC230:KVD230"/>
    <mergeCell ref="KVE230:KVF230"/>
    <mergeCell ref="KUM230:KUN230"/>
    <mergeCell ref="KUO230:KUP230"/>
    <mergeCell ref="KUQ230:KUR230"/>
    <mergeCell ref="KUS230:KUT230"/>
    <mergeCell ref="KUU230:KUV230"/>
    <mergeCell ref="KUC230:KUD230"/>
    <mergeCell ref="KUE230:KUF230"/>
    <mergeCell ref="KUG230:KUH230"/>
    <mergeCell ref="KUI230:KUJ230"/>
    <mergeCell ref="KUK230:KUL230"/>
    <mergeCell ref="KWU230:KWV230"/>
    <mergeCell ref="KWW230:KWX230"/>
    <mergeCell ref="KWY230:KWZ230"/>
    <mergeCell ref="KXA230:KXB230"/>
    <mergeCell ref="KXC230:KXD230"/>
    <mergeCell ref="KWK230:KWL230"/>
    <mergeCell ref="KWM230:KWN230"/>
    <mergeCell ref="KWO230:KWP230"/>
    <mergeCell ref="KWQ230:KWR230"/>
    <mergeCell ref="KWS230:KWT230"/>
    <mergeCell ref="KWA230:KWB230"/>
    <mergeCell ref="KWC230:KWD230"/>
    <mergeCell ref="KWE230:KWF230"/>
    <mergeCell ref="KWG230:KWH230"/>
    <mergeCell ref="KWI230:KWJ230"/>
    <mergeCell ref="KVQ230:KVR230"/>
    <mergeCell ref="KVS230:KVT230"/>
    <mergeCell ref="KVU230:KVV230"/>
    <mergeCell ref="KVW230:KVX230"/>
    <mergeCell ref="KVY230:KVZ230"/>
    <mergeCell ref="KYI230:KYJ230"/>
    <mergeCell ref="KYK230:KYL230"/>
    <mergeCell ref="KYM230:KYN230"/>
    <mergeCell ref="KYO230:KYP230"/>
    <mergeCell ref="KYQ230:KYR230"/>
    <mergeCell ref="KXY230:KXZ230"/>
    <mergeCell ref="KYA230:KYB230"/>
    <mergeCell ref="KYC230:KYD230"/>
    <mergeCell ref="KYE230:KYF230"/>
    <mergeCell ref="KYG230:KYH230"/>
    <mergeCell ref="KXO230:KXP230"/>
    <mergeCell ref="KXQ230:KXR230"/>
    <mergeCell ref="KXS230:KXT230"/>
    <mergeCell ref="KXU230:KXV230"/>
    <mergeCell ref="KXW230:KXX230"/>
    <mergeCell ref="KXE230:KXF230"/>
    <mergeCell ref="KXG230:KXH230"/>
    <mergeCell ref="KXI230:KXJ230"/>
    <mergeCell ref="KXK230:KXL230"/>
    <mergeCell ref="KXM230:KXN230"/>
    <mergeCell ref="KZW230:KZX230"/>
    <mergeCell ref="KZY230:KZZ230"/>
    <mergeCell ref="LAA230:LAB230"/>
    <mergeCell ref="LAC230:LAD230"/>
    <mergeCell ref="LAE230:LAF230"/>
    <mergeCell ref="KZM230:KZN230"/>
    <mergeCell ref="KZO230:KZP230"/>
    <mergeCell ref="KZQ230:KZR230"/>
    <mergeCell ref="KZS230:KZT230"/>
    <mergeCell ref="KZU230:KZV230"/>
    <mergeCell ref="KZC230:KZD230"/>
    <mergeCell ref="KZE230:KZF230"/>
    <mergeCell ref="KZG230:KZH230"/>
    <mergeCell ref="KZI230:KZJ230"/>
    <mergeCell ref="KZK230:KZL230"/>
    <mergeCell ref="KYS230:KYT230"/>
    <mergeCell ref="KYU230:KYV230"/>
    <mergeCell ref="KYW230:KYX230"/>
    <mergeCell ref="KYY230:KYZ230"/>
    <mergeCell ref="KZA230:KZB230"/>
    <mergeCell ref="LBK230:LBL230"/>
    <mergeCell ref="LBM230:LBN230"/>
    <mergeCell ref="LBO230:LBP230"/>
    <mergeCell ref="LBQ230:LBR230"/>
    <mergeCell ref="LBS230:LBT230"/>
    <mergeCell ref="LBA230:LBB230"/>
    <mergeCell ref="LBC230:LBD230"/>
    <mergeCell ref="LBE230:LBF230"/>
    <mergeCell ref="LBG230:LBH230"/>
    <mergeCell ref="LBI230:LBJ230"/>
    <mergeCell ref="LAQ230:LAR230"/>
    <mergeCell ref="LAS230:LAT230"/>
    <mergeCell ref="LAU230:LAV230"/>
    <mergeCell ref="LAW230:LAX230"/>
    <mergeCell ref="LAY230:LAZ230"/>
    <mergeCell ref="LAG230:LAH230"/>
    <mergeCell ref="LAI230:LAJ230"/>
    <mergeCell ref="LAK230:LAL230"/>
    <mergeCell ref="LAM230:LAN230"/>
    <mergeCell ref="LAO230:LAP230"/>
    <mergeCell ref="LCY230:LCZ230"/>
    <mergeCell ref="LDA230:LDB230"/>
    <mergeCell ref="LDC230:LDD230"/>
    <mergeCell ref="LDE230:LDF230"/>
    <mergeCell ref="LDG230:LDH230"/>
    <mergeCell ref="LCO230:LCP230"/>
    <mergeCell ref="LCQ230:LCR230"/>
    <mergeCell ref="LCS230:LCT230"/>
    <mergeCell ref="LCU230:LCV230"/>
    <mergeCell ref="LCW230:LCX230"/>
    <mergeCell ref="LCE230:LCF230"/>
    <mergeCell ref="LCG230:LCH230"/>
    <mergeCell ref="LCI230:LCJ230"/>
    <mergeCell ref="LCK230:LCL230"/>
    <mergeCell ref="LCM230:LCN230"/>
    <mergeCell ref="LBU230:LBV230"/>
    <mergeCell ref="LBW230:LBX230"/>
    <mergeCell ref="LBY230:LBZ230"/>
    <mergeCell ref="LCA230:LCB230"/>
    <mergeCell ref="LCC230:LCD230"/>
    <mergeCell ref="LEM230:LEN230"/>
    <mergeCell ref="LEO230:LEP230"/>
    <mergeCell ref="LEQ230:LER230"/>
    <mergeCell ref="LES230:LET230"/>
    <mergeCell ref="LEU230:LEV230"/>
    <mergeCell ref="LEC230:LED230"/>
    <mergeCell ref="LEE230:LEF230"/>
    <mergeCell ref="LEG230:LEH230"/>
    <mergeCell ref="LEI230:LEJ230"/>
    <mergeCell ref="LEK230:LEL230"/>
    <mergeCell ref="LDS230:LDT230"/>
    <mergeCell ref="LDU230:LDV230"/>
    <mergeCell ref="LDW230:LDX230"/>
    <mergeCell ref="LDY230:LDZ230"/>
    <mergeCell ref="LEA230:LEB230"/>
    <mergeCell ref="LDI230:LDJ230"/>
    <mergeCell ref="LDK230:LDL230"/>
    <mergeCell ref="LDM230:LDN230"/>
    <mergeCell ref="LDO230:LDP230"/>
    <mergeCell ref="LDQ230:LDR230"/>
    <mergeCell ref="LGA230:LGB230"/>
    <mergeCell ref="LGC230:LGD230"/>
    <mergeCell ref="LGE230:LGF230"/>
    <mergeCell ref="LGG230:LGH230"/>
    <mergeCell ref="LGI230:LGJ230"/>
    <mergeCell ref="LFQ230:LFR230"/>
    <mergeCell ref="LFS230:LFT230"/>
    <mergeCell ref="LFU230:LFV230"/>
    <mergeCell ref="LFW230:LFX230"/>
    <mergeCell ref="LFY230:LFZ230"/>
    <mergeCell ref="LFG230:LFH230"/>
    <mergeCell ref="LFI230:LFJ230"/>
    <mergeCell ref="LFK230:LFL230"/>
    <mergeCell ref="LFM230:LFN230"/>
    <mergeCell ref="LFO230:LFP230"/>
    <mergeCell ref="LEW230:LEX230"/>
    <mergeCell ref="LEY230:LEZ230"/>
    <mergeCell ref="LFA230:LFB230"/>
    <mergeCell ref="LFC230:LFD230"/>
    <mergeCell ref="LFE230:LFF230"/>
    <mergeCell ref="LHO230:LHP230"/>
    <mergeCell ref="LHQ230:LHR230"/>
    <mergeCell ref="LHS230:LHT230"/>
    <mergeCell ref="LHU230:LHV230"/>
    <mergeCell ref="LHW230:LHX230"/>
    <mergeCell ref="LHE230:LHF230"/>
    <mergeCell ref="LHG230:LHH230"/>
    <mergeCell ref="LHI230:LHJ230"/>
    <mergeCell ref="LHK230:LHL230"/>
    <mergeCell ref="LHM230:LHN230"/>
    <mergeCell ref="LGU230:LGV230"/>
    <mergeCell ref="LGW230:LGX230"/>
    <mergeCell ref="LGY230:LGZ230"/>
    <mergeCell ref="LHA230:LHB230"/>
    <mergeCell ref="LHC230:LHD230"/>
    <mergeCell ref="LGK230:LGL230"/>
    <mergeCell ref="LGM230:LGN230"/>
    <mergeCell ref="LGO230:LGP230"/>
    <mergeCell ref="LGQ230:LGR230"/>
    <mergeCell ref="LGS230:LGT230"/>
    <mergeCell ref="LJC230:LJD230"/>
    <mergeCell ref="LJE230:LJF230"/>
    <mergeCell ref="LJG230:LJH230"/>
    <mergeCell ref="LJI230:LJJ230"/>
    <mergeCell ref="LJK230:LJL230"/>
    <mergeCell ref="LIS230:LIT230"/>
    <mergeCell ref="LIU230:LIV230"/>
    <mergeCell ref="LIW230:LIX230"/>
    <mergeCell ref="LIY230:LIZ230"/>
    <mergeCell ref="LJA230:LJB230"/>
    <mergeCell ref="LII230:LIJ230"/>
    <mergeCell ref="LIK230:LIL230"/>
    <mergeCell ref="LIM230:LIN230"/>
    <mergeCell ref="LIO230:LIP230"/>
    <mergeCell ref="LIQ230:LIR230"/>
    <mergeCell ref="LHY230:LHZ230"/>
    <mergeCell ref="LIA230:LIB230"/>
    <mergeCell ref="LIC230:LID230"/>
    <mergeCell ref="LIE230:LIF230"/>
    <mergeCell ref="LIG230:LIH230"/>
    <mergeCell ref="LKQ230:LKR230"/>
    <mergeCell ref="LKS230:LKT230"/>
    <mergeCell ref="LKU230:LKV230"/>
    <mergeCell ref="LKW230:LKX230"/>
    <mergeCell ref="LKY230:LKZ230"/>
    <mergeCell ref="LKG230:LKH230"/>
    <mergeCell ref="LKI230:LKJ230"/>
    <mergeCell ref="LKK230:LKL230"/>
    <mergeCell ref="LKM230:LKN230"/>
    <mergeCell ref="LKO230:LKP230"/>
    <mergeCell ref="LJW230:LJX230"/>
    <mergeCell ref="LJY230:LJZ230"/>
    <mergeCell ref="LKA230:LKB230"/>
    <mergeCell ref="LKC230:LKD230"/>
    <mergeCell ref="LKE230:LKF230"/>
    <mergeCell ref="LJM230:LJN230"/>
    <mergeCell ref="LJO230:LJP230"/>
    <mergeCell ref="LJQ230:LJR230"/>
    <mergeCell ref="LJS230:LJT230"/>
    <mergeCell ref="LJU230:LJV230"/>
    <mergeCell ref="LME230:LMF230"/>
    <mergeCell ref="LMG230:LMH230"/>
    <mergeCell ref="LMI230:LMJ230"/>
    <mergeCell ref="LMK230:LML230"/>
    <mergeCell ref="LMM230:LMN230"/>
    <mergeCell ref="LLU230:LLV230"/>
    <mergeCell ref="LLW230:LLX230"/>
    <mergeCell ref="LLY230:LLZ230"/>
    <mergeCell ref="LMA230:LMB230"/>
    <mergeCell ref="LMC230:LMD230"/>
    <mergeCell ref="LLK230:LLL230"/>
    <mergeCell ref="LLM230:LLN230"/>
    <mergeCell ref="LLO230:LLP230"/>
    <mergeCell ref="LLQ230:LLR230"/>
    <mergeCell ref="LLS230:LLT230"/>
    <mergeCell ref="LLA230:LLB230"/>
    <mergeCell ref="LLC230:LLD230"/>
    <mergeCell ref="LLE230:LLF230"/>
    <mergeCell ref="LLG230:LLH230"/>
    <mergeCell ref="LLI230:LLJ230"/>
    <mergeCell ref="LNS230:LNT230"/>
    <mergeCell ref="LNU230:LNV230"/>
    <mergeCell ref="LNW230:LNX230"/>
    <mergeCell ref="LNY230:LNZ230"/>
    <mergeCell ref="LOA230:LOB230"/>
    <mergeCell ref="LNI230:LNJ230"/>
    <mergeCell ref="LNK230:LNL230"/>
    <mergeCell ref="LNM230:LNN230"/>
    <mergeCell ref="LNO230:LNP230"/>
    <mergeCell ref="LNQ230:LNR230"/>
    <mergeCell ref="LMY230:LMZ230"/>
    <mergeCell ref="LNA230:LNB230"/>
    <mergeCell ref="LNC230:LND230"/>
    <mergeCell ref="LNE230:LNF230"/>
    <mergeCell ref="LNG230:LNH230"/>
    <mergeCell ref="LMO230:LMP230"/>
    <mergeCell ref="LMQ230:LMR230"/>
    <mergeCell ref="LMS230:LMT230"/>
    <mergeCell ref="LMU230:LMV230"/>
    <mergeCell ref="LMW230:LMX230"/>
    <mergeCell ref="LPG230:LPH230"/>
    <mergeCell ref="LPI230:LPJ230"/>
    <mergeCell ref="LPK230:LPL230"/>
    <mergeCell ref="LPM230:LPN230"/>
    <mergeCell ref="LPO230:LPP230"/>
    <mergeCell ref="LOW230:LOX230"/>
    <mergeCell ref="LOY230:LOZ230"/>
    <mergeCell ref="LPA230:LPB230"/>
    <mergeCell ref="LPC230:LPD230"/>
    <mergeCell ref="LPE230:LPF230"/>
    <mergeCell ref="LOM230:LON230"/>
    <mergeCell ref="LOO230:LOP230"/>
    <mergeCell ref="LOQ230:LOR230"/>
    <mergeCell ref="LOS230:LOT230"/>
    <mergeCell ref="LOU230:LOV230"/>
    <mergeCell ref="LOC230:LOD230"/>
    <mergeCell ref="LOE230:LOF230"/>
    <mergeCell ref="LOG230:LOH230"/>
    <mergeCell ref="LOI230:LOJ230"/>
    <mergeCell ref="LOK230:LOL230"/>
    <mergeCell ref="LQU230:LQV230"/>
    <mergeCell ref="LQW230:LQX230"/>
    <mergeCell ref="LQY230:LQZ230"/>
    <mergeCell ref="LRA230:LRB230"/>
    <mergeCell ref="LRC230:LRD230"/>
    <mergeCell ref="LQK230:LQL230"/>
    <mergeCell ref="LQM230:LQN230"/>
    <mergeCell ref="LQO230:LQP230"/>
    <mergeCell ref="LQQ230:LQR230"/>
    <mergeCell ref="LQS230:LQT230"/>
    <mergeCell ref="LQA230:LQB230"/>
    <mergeCell ref="LQC230:LQD230"/>
    <mergeCell ref="LQE230:LQF230"/>
    <mergeCell ref="LQG230:LQH230"/>
    <mergeCell ref="LQI230:LQJ230"/>
    <mergeCell ref="LPQ230:LPR230"/>
    <mergeCell ref="LPS230:LPT230"/>
    <mergeCell ref="LPU230:LPV230"/>
    <mergeCell ref="LPW230:LPX230"/>
    <mergeCell ref="LPY230:LPZ230"/>
    <mergeCell ref="LSI230:LSJ230"/>
    <mergeCell ref="LSK230:LSL230"/>
    <mergeCell ref="LSM230:LSN230"/>
    <mergeCell ref="LSO230:LSP230"/>
    <mergeCell ref="LSQ230:LSR230"/>
    <mergeCell ref="LRY230:LRZ230"/>
    <mergeCell ref="LSA230:LSB230"/>
    <mergeCell ref="LSC230:LSD230"/>
    <mergeCell ref="LSE230:LSF230"/>
    <mergeCell ref="LSG230:LSH230"/>
    <mergeCell ref="LRO230:LRP230"/>
    <mergeCell ref="LRQ230:LRR230"/>
    <mergeCell ref="LRS230:LRT230"/>
    <mergeCell ref="LRU230:LRV230"/>
    <mergeCell ref="LRW230:LRX230"/>
    <mergeCell ref="LRE230:LRF230"/>
    <mergeCell ref="LRG230:LRH230"/>
    <mergeCell ref="LRI230:LRJ230"/>
    <mergeCell ref="LRK230:LRL230"/>
    <mergeCell ref="LRM230:LRN230"/>
    <mergeCell ref="LTW230:LTX230"/>
    <mergeCell ref="LTY230:LTZ230"/>
    <mergeCell ref="LUA230:LUB230"/>
    <mergeCell ref="LUC230:LUD230"/>
    <mergeCell ref="LUE230:LUF230"/>
    <mergeCell ref="LTM230:LTN230"/>
    <mergeCell ref="LTO230:LTP230"/>
    <mergeCell ref="LTQ230:LTR230"/>
    <mergeCell ref="LTS230:LTT230"/>
    <mergeCell ref="LTU230:LTV230"/>
    <mergeCell ref="LTC230:LTD230"/>
    <mergeCell ref="LTE230:LTF230"/>
    <mergeCell ref="LTG230:LTH230"/>
    <mergeCell ref="LTI230:LTJ230"/>
    <mergeCell ref="LTK230:LTL230"/>
    <mergeCell ref="LSS230:LST230"/>
    <mergeCell ref="LSU230:LSV230"/>
    <mergeCell ref="LSW230:LSX230"/>
    <mergeCell ref="LSY230:LSZ230"/>
    <mergeCell ref="LTA230:LTB230"/>
    <mergeCell ref="LVK230:LVL230"/>
    <mergeCell ref="LVM230:LVN230"/>
    <mergeCell ref="LVO230:LVP230"/>
    <mergeCell ref="LVQ230:LVR230"/>
    <mergeCell ref="LVS230:LVT230"/>
    <mergeCell ref="LVA230:LVB230"/>
    <mergeCell ref="LVC230:LVD230"/>
    <mergeCell ref="LVE230:LVF230"/>
    <mergeCell ref="LVG230:LVH230"/>
    <mergeCell ref="LVI230:LVJ230"/>
    <mergeCell ref="LUQ230:LUR230"/>
    <mergeCell ref="LUS230:LUT230"/>
    <mergeCell ref="LUU230:LUV230"/>
    <mergeCell ref="LUW230:LUX230"/>
    <mergeCell ref="LUY230:LUZ230"/>
    <mergeCell ref="LUG230:LUH230"/>
    <mergeCell ref="LUI230:LUJ230"/>
    <mergeCell ref="LUK230:LUL230"/>
    <mergeCell ref="LUM230:LUN230"/>
    <mergeCell ref="LUO230:LUP230"/>
    <mergeCell ref="LWY230:LWZ230"/>
    <mergeCell ref="LXA230:LXB230"/>
    <mergeCell ref="LXC230:LXD230"/>
    <mergeCell ref="LXE230:LXF230"/>
    <mergeCell ref="LXG230:LXH230"/>
    <mergeCell ref="LWO230:LWP230"/>
    <mergeCell ref="LWQ230:LWR230"/>
    <mergeCell ref="LWS230:LWT230"/>
    <mergeCell ref="LWU230:LWV230"/>
    <mergeCell ref="LWW230:LWX230"/>
    <mergeCell ref="LWE230:LWF230"/>
    <mergeCell ref="LWG230:LWH230"/>
    <mergeCell ref="LWI230:LWJ230"/>
    <mergeCell ref="LWK230:LWL230"/>
    <mergeCell ref="LWM230:LWN230"/>
    <mergeCell ref="LVU230:LVV230"/>
    <mergeCell ref="LVW230:LVX230"/>
    <mergeCell ref="LVY230:LVZ230"/>
    <mergeCell ref="LWA230:LWB230"/>
    <mergeCell ref="LWC230:LWD230"/>
    <mergeCell ref="LYM230:LYN230"/>
    <mergeCell ref="LYO230:LYP230"/>
    <mergeCell ref="LYQ230:LYR230"/>
    <mergeCell ref="LYS230:LYT230"/>
    <mergeCell ref="LYU230:LYV230"/>
    <mergeCell ref="LYC230:LYD230"/>
    <mergeCell ref="LYE230:LYF230"/>
    <mergeCell ref="LYG230:LYH230"/>
    <mergeCell ref="LYI230:LYJ230"/>
    <mergeCell ref="LYK230:LYL230"/>
    <mergeCell ref="LXS230:LXT230"/>
    <mergeCell ref="LXU230:LXV230"/>
    <mergeCell ref="LXW230:LXX230"/>
    <mergeCell ref="LXY230:LXZ230"/>
    <mergeCell ref="LYA230:LYB230"/>
    <mergeCell ref="LXI230:LXJ230"/>
    <mergeCell ref="LXK230:LXL230"/>
    <mergeCell ref="LXM230:LXN230"/>
    <mergeCell ref="LXO230:LXP230"/>
    <mergeCell ref="LXQ230:LXR230"/>
    <mergeCell ref="MAA230:MAB230"/>
    <mergeCell ref="MAC230:MAD230"/>
    <mergeCell ref="MAE230:MAF230"/>
    <mergeCell ref="MAG230:MAH230"/>
    <mergeCell ref="MAI230:MAJ230"/>
    <mergeCell ref="LZQ230:LZR230"/>
    <mergeCell ref="LZS230:LZT230"/>
    <mergeCell ref="LZU230:LZV230"/>
    <mergeCell ref="LZW230:LZX230"/>
    <mergeCell ref="LZY230:LZZ230"/>
    <mergeCell ref="LZG230:LZH230"/>
    <mergeCell ref="LZI230:LZJ230"/>
    <mergeCell ref="LZK230:LZL230"/>
    <mergeCell ref="LZM230:LZN230"/>
    <mergeCell ref="LZO230:LZP230"/>
    <mergeCell ref="LYW230:LYX230"/>
    <mergeCell ref="LYY230:LYZ230"/>
    <mergeCell ref="LZA230:LZB230"/>
    <mergeCell ref="LZC230:LZD230"/>
    <mergeCell ref="LZE230:LZF230"/>
    <mergeCell ref="MBO230:MBP230"/>
    <mergeCell ref="MBQ230:MBR230"/>
    <mergeCell ref="MBS230:MBT230"/>
    <mergeCell ref="MBU230:MBV230"/>
    <mergeCell ref="MBW230:MBX230"/>
    <mergeCell ref="MBE230:MBF230"/>
    <mergeCell ref="MBG230:MBH230"/>
    <mergeCell ref="MBI230:MBJ230"/>
    <mergeCell ref="MBK230:MBL230"/>
    <mergeCell ref="MBM230:MBN230"/>
    <mergeCell ref="MAU230:MAV230"/>
    <mergeCell ref="MAW230:MAX230"/>
    <mergeCell ref="MAY230:MAZ230"/>
    <mergeCell ref="MBA230:MBB230"/>
    <mergeCell ref="MBC230:MBD230"/>
    <mergeCell ref="MAK230:MAL230"/>
    <mergeCell ref="MAM230:MAN230"/>
    <mergeCell ref="MAO230:MAP230"/>
    <mergeCell ref="MAQ230:MAR230"/>
    <mergeCell ref="MAS230:MAT230"/>
    <mergeCell ref="MDC230:MDD230"/>
    <mergeCell ref="MDE230:MDF230"/>
    <mergeCell ref="MDG230:MDH230"/>
    <mergeCell ref="MDI230:MDJ230"/>
    <mergeCell ref="MDK230:MDL230"/>
    <mergeCell ref="MCS230:MCT230"/>
    <mergeCell ref="MCU230:MCV230"/>
    <mergeCell ref="MCW230:MCX230"/>
    <mergeCell ref="MCY230:MCZ230"/>
    <mergeCell ref="MDA230:MDB230"/>
    <mergeCell ref="MCI230:MCJ230"/>
    <mergeCell ref="MCK230:MCL230"/>
    <mergeCell ref="MCM230:MCN230"/>
    <mergeCell ref="MCO230:MCP230"/>
    <mergeCell ref="MCQ230:MCR230"/>
    <mergeCell ref="MBY230:MBZ230"/>
    <mergeCell ref="MCA230:MCB230"/>
    <mergeCell ref="MCC230:MCD230"/>
    <mergeCell ref="MCE230:MCF230"/>
    <mergeCell ref="MCG230:MCH230"/>
    <mergeCell ref="MEQ230:MER230"/>
    <mergeCell ref="MES230:MET230"/>
    <mergeCell ref="MEU230:MEV230"/>
    <mergeCell ref="MEW230:MEX230"/>
    <mergeCell ref="MEY230:MEZ230"/>
    <mergeCell ref="MEG230:MEH230"/>
    <mergeCell ref="MEI230:MEJ230"/>
    <mergeCell ref="MEK230:MEL230"/>
    <mergeCell ref="MEM230:MEN230"/>
    <mergeCell ref="MEO230:MEP230"/>
    <mergeCell ref="MDW230:MDX230"/>
    <mergeCell ref="MDY230:MDZ230"/>
    <mergeCell ref="MEA230:MEB230"/>
    <mergeCell ref="MEC230:MED230"/>
    <mergeCell ref="MEE230:MEF230"/>
    <mergeCell ref="MDM230:MDN230"/>
    <mergeCell ref="MDO230:MDP230"/>
    <mergeCell ref="MDQ230:MDR230"/>
    <mergeCell ref="MDS230:MDT230"/>
    <mergeCell ref="MDU230:MDV230"/>
    <mergeCell ref="MGE230:MGF230"/>
    <mergeCell ref="MGG230:MGH230"/>
    <mergeCell ref="MGI230:MGJ230"/>
    <mergeCell ref="MGK230:MGL230"/>
    <mergeCell ref="MGM230:MGN230"/>
    <mergeCell ref="MFU230:MFV230"/>
    <mergeCell ref="MFW230:MFX230"/>
    <mergeCell ref="MFY230:MFZ230"/>
    <mergeCell ref="MGA230:MGB230"/>
    <mergeCell ref="MGC230:MGD230"/>
    <mergeCell ref="MFK230:MFL230"/>
    <mergeCell ref="MFM230:MFN230"/>
    <mergeCell ref="MFO230:MFP230"/>
    <mergeCell ref="MFQ230:MFR230"/>
    <mergeCell ref="MFS230:MFT230"/>
    <mergeCell ref="MFA230:MFB230"/>
    <mergeCell ref="MFC230:MFD230"/>
    <mergeCell ref="MFE230:MFF230"/>
    <mergeCell ref="MFG230:MFH230"/>
    <mergeCell ref="MFI230:MFJ230"/>
    <mergeCell ref="MHS230:MHT230"/>
    <mergeCell ref="MHU230:MHV230"/>
    <mergeCell ref="MHW230:MHX230"/>
    <mergeCell ref="MHY230:MHZ230"/>
    <mergeCell ref="MIA230:MIB230"/>
    <mergeCell ref="MHI230:MHJ230"/>
    <mergeCell ref="MHK230:MHL230"/>
    <mergeCell ref="MHM230:MHN230"/>
    <mergeCell ref="MHO230:MHP230"/>
    <mergeCell ref="MHQ230:MHR230"/>
    <mergeCell ref="MGY230:MGZ230"/>
    <mergeCell ref="MHA230:MHB230"/>
    <mergeCell ref="MHC230:MHD230"/>
    <mergeCell ref="MHE230:MHF230"/>
    <mergeCell ref="MHG230:MHH230"/>
    <mergeCell ref="MGO230:MGP230"/>
    <mergeCell ref="MGQ230:MGR230"/>
    <mergeCell ref="MGS230:MGT230"/>
    <mergeCell ref="MGU230:MGV230"/>
    <mergeCell ref="MGW230:MGX230"/>
    <mergeCell ref="MJG230:MJH230"/>
    <mergeCell ref="MJI230:MJJ230"/>
    <mergeCell ref="MJK230:MJL230"/>
    <mergeCell ref="MJM230:MJN230"/>
    <mergeCell ref="MJO230:MJP230"/>
    <mergeCell ref="MIW230:MIX230"/>
    <mergeCell ref="MIY230:MIZ230"/>
    <mergeCell ref="MJA230:MJB230"/>
    <mergeCell ref="MJC230:MJD230"/>
    <mergeCell ref="MJE230:MJF230"/>
    <mergeCell ref="MIM230:MIN230"/>
    <mergeCell ref="MIO230:MIP230"/>
    <mergeCell ref="MIQ230:MIR230"/>
    <mergeCell ref="MIS230:MIT230"/>
    <mergeCell ref="MIU230:MIV230"/>
    <mergeCell ref="MIC230:MID230"/>
    <mergeCell ref="MIE230:MIF230"/>
    <mergeCell ref="MIG230:MIH230"/>
    <mergeCell ref="MII230:MIJ230"/>
    <mergeCell ref="MIK230:MIL230"/>
    <mergeCell ref="MKU230:MKV230"/>
    <mergeCell ref="MKW230:MKX230"/>
    <mergeCell ref="MKY230:MKZ230"/>
    <mergeCell ref="MLA230:MLB230"/>
    <mergeCell ref="MLC230:MLD230"/>
    <mergeCell ref="MKK230:MKL230"/>
    <mergeCell ref="MKM230:MKN230"/>
    <mergeCell ref="MKO230:MKP230"/>
    <mergeCell ref="MKQ230:MKR230"/>
    <mergeCell ref="MKS230:MKT230"/>
    <mergeCell ref="MKA230:MKB230"/>
    <mergeCell ref="MKC230:MKD230"/>
    <mergeCell ref="MKE230:MKF230"/>
    <mergeCell ref="MKG230:MKH230"/>
    <mergeCell ref="MKI230:MKJ230"/>
    <mergeCell ref="MJQ230:MJR230"/>
    <mergeCell ref="MJS230:MJT230"/>
    <mergeCell ref="MJU230:MJV230"/>
    <mergeCell ref="MJW230:MJX230"/>
    <mergeCell ref="MJY230:MJZ230"/>
    <mergeCell ref="MMI230:MMJ230"/>
    <mergeCell ref="MMK230:MML230"/>
    <mergeCell ref="MMM230:MMN230"/>
    <mergeCell ref="MMO230:MMP230"/>
    <mergeCell ref="MMQ230:MMR230"/>
    <mergeCell ref="MLY230:MLZ230"/>
    <mergeCell ref="MMA230:MMB230"/>
    <mergeCell ref="MMC230:MMD230"/>
    <mergeCell ref="MME230:MMF230"/>
    <mergeCell ref="MMG230:MMH230"/>
    <mergeCell ref="MLO230:MLP230"/>
    <mergeCell ref="MLQ230:MLR230"/>
    <mergeCell ref="MLS230:MLT230"/>
    <mergeCell ref="MLU230:MLV230"/>
    <mergeCell ref="MLW230:MLX230"/>
    <mergeCell ref="MLE230:MLF230"/>
    <mergeCell ref="MLG230:MLH230"/>
    <mergeCell ref="MLI230:MLJ230"/>
    <mergeCell ref="MLK230:MLL230"/>
    <mergeCell ref="MLM230:MLN230"/>
    <mergeCell ref="MNW230:MNX230"/>
    <mergeCell ref="MNY230:MNZ230"/>
    <mergeCell ref="MOA230:MOB230"/>
    <mergeCell ref="MOC230:MOD230"/>
    <mergeCell ref="MOE230:MOF230"/>
    <mergeCell ref="MNM230:MNN230"/>
    <mergeCell ref="MNO230:MNP230"/>
    <mergeCell ref="MNQ230:MNR230"/>
    <mergeCell ref="MNS230:MNT230"/>
    <mergeCell ref="MNU230:MNV230"/>
    <mergeCell ref="MNC230:MND230"/>
    <mergeCell ref="MNE230:MNF230"/>
    <mergeCell ref="MNG230:MNH230"/>
    <mergeCell ref="MNI230:MNJ230"/>
    <mergeCell ref="MNK230:MNL230"/>
    <mergeCell ref="MMS230:MMT230"/>
    <mergeCell ref="MMU230:MMV230"/>
    <mergeCell ref="MMW230:MMX230"/>
    <mergeCell ref="MMY230:MMZ230"/>
    <mergeCell ref="MNA230:MNB230"/>
    <mergeCell ref="MPK230:MPL230"/>
    <mergeCell ref="MPM230:MPN230"/>
    <mergeCell ref="MPO230:MPP230"/>
    <mergeCell ref="MPQ230:MPR230"/>
    <mergeCell ref="MPS230:MPT230"/>
    <mergeCell ref="MPA230:MPB230"/>
    <mergeCell ref="MPC230:MPD230"/>
    <mergeCell ref="MPE230:MPF230"/>
    <mergeCell ref="MPG230:MPH230"/>
    <mergeCell ref="MPI230:MPJ230"/>
    <mergeCell ref="MOQ230:MOR230"/>
    <mergeCell ref="MOS230:MOT230"/>
    <mergeCell ref="MOU230:MOV230"/>
    <mergeCell ref="MOW230:MOX230"/>
    <mergeCell ref="MOY230:MOZ230"/>
    <mergeCell ref="MOG230:MOH230"/>
    <mergeCell ref="MOI230:MOJ230"/>
    <mergeCell ref="MOK230:MOL230"/>
    <mergeCell ref="MOM230:MON230"/>
    <mergeCell ref="MOO230:MOP230"/>
    <mergeCell ref="MQY230:MQZ230"/>
    <mergeCell ref="MRA230:MRB230"/>
    <mergeCell ref="MRC230:MRD230"/>
    <mergeCell ref="MRE230:MRF230"/>
    <mergeCell ref="MRG230:MRH230"/>
    <mergeCell ref="MQO230:MQP230"/>
    <mergeCell ref="MQQ230:MQR230"/>
    <mergeCell ref="MQS230:MQT230"/>
    <mergeCell ref="MQU230:MQV230"/>
    <mergeCell ref="MQW230:MQX230"/>
    <mergeCell ref="MQE230:MQF230"/>
    <mergeCell ref="MQG230:MQH230"/>
    <mergeCell ref="MQI230:MQJ230"/>
    <mergeCell ref="MQK230:MQL230"/>
    <mergeCell ref="MQM230:MQN230"/>
    <mergeCell ref="MPU230:MPV230"/>
    <mergeCell ref="MPW230:MPX230"/>
    <mergeCell ref="MPY230:MPZ230"/>
    <mergeCell ref="MQA230:MQB230"/>
    <mergeCell ref="MQC230:MQD230"/>
    <mergeCell ref="MSM230:MSN230"/>
    <mergeCell ref="MSO230:MSP230"/>
    <mergeCell ref="MSQ230:MSR230"/>
    <mergeCell ref="MSS230:MST230"/>
    <mergeCell ref="MSU230:MSV230"/>
    <mergeCell ref="MSC230:MSD230"/>
    <mergeCell ref="MSE230:MSF230"/>
    <mergeCell ref="MSG230:MSH230"/>
    <mergeCell ref="MSI230:MSJ230"/>
    <mergeCell ref="MSK230:MSL230"/>
    <mergeCell ref="MRS230:MRT230"/>
    <mergeCell ref="MRU230:MRV230"/>
    <mergeCell ref="MRW230:MRX230"/>
    <mergeCell ref="MRY230:MRZ230"/>
    <mergeCell ref="MSA230:MSB230"/>
    <mergeCell ref="MRI230:MRJ230"/>
    <mergeCell ref="MRK230:MRL230"/>
    <mergeCell ref="MRM230:MRN230"/>
    <mergeCell ref="MRO230:MRP230"/>
    <mergeCell ref="MRQ230:MRR230"/>
    <mergeCell ref="MUA230:MUB230"/>
    <mergeCell ref="MUC230:MUD230"/>
    <mergeCell ref="MUE230:MUF230"/>
    <mergeCell ref="MUG230:MUH230"/>
    <mergeCell ref="MUI230:MUJ230"/>
    <mergeCell ref="MTQ230:MTR230"/>
    <mergeCell ref="MTS230:MTT230"/>
    <mergeCell ref="MTU230:MTV230"/>
    <mergeCell ref="MTW230:MTX230"/>
    <mergeCell ref="MTY230:MTZ230"/>
    <mergeCell ref="MTG230:MTH230"/>
    <mergeCell ref="MTI230:MTJ230"/>
    <mergeCell ref="MTK230:MTL230"/>
    <mergeCell ref="MTM230:MTN230"/>
    <mergeCell ref="MTO230:MTP230"/>
    <mergeCell ref="MSW230:MSX230"/>
    <mergeCell ref="MSY230:MSZ230"/>
    <mergeCell ref="MTA230:MTB230"/>
    <mergeCell ref="MTC230:MTD230"/>
    <mergeCell ref="MTE230:MTF230"/>
    <mergeCell ref="MVO230:MVP230"/>
    <mergeCell ref="MVQ230:MVR230"/>
    <mergeCell ref="MVS230:MVT230"/>
    <mergeCell ref="MVU230:MVV230"/>
    <mergeCell ref="MVW230:MVX230"/>
    <mergeCell ref="MVE230:MVF230"/>
    <mergeCell ref="MVG230:MVH230"/>
    <mergeCell ref="MVI230:MVJ230"/>
    <mergeCell ref="MVK230:MVL230"/>
    <mergeCell ref="MVM230:MVN230"/>
    <mergeCell ref="MUU230:MUV230"/>
    <mergeCell ref="MUW230:MUX230"/>
    <mergeCell ref="MUY230:MUZ230"/>
    <mergeCell ref="MVA230:MVB230"/>
    <mergeCell ref="MVC230:MVD230"/>
    <mergeCell ref="MUK230:MUL230"/>
    <mergeCell ref="MUM230:MUN230"/>
    <mergeCell ref="MUO230:MUP230"/>
    <mergeCell ref="MUQ230:MUR230"/>
    <mergeCell ref="MUS230:MUT230"/>
    <mergeCell ref="MXC230:MXD230"/>
    <mergeCell ref="MXE230:MXF230"/>
    <mergeCell ref="MXG230:MXH230"/>
    <mergeCell ref="MXI230:MXJ230"/>
    <mergeCell ref="MXK230:MXL230"/>
    <mergeCell ref="MWS230:MWT230"/>
    <mergeCell ref="MWU230:MWV230"/>
    <mergeCell ref="MWW230:MWX230"/>
    <mergeCell ref="MWY230:MWZ230"/>
    <mergeCell ref="MXA230:MXB230"/>
    <mergeCell ref="MWI230:MWJ230"/>
    <mergeCell ref="MWK230:MWL230"/>
    <mergeCell ref="MWM230:MWN230"/>
    <mergeCell ref="MWO230:MWP230"/>
    <mergeCell ref="MWQ230:MWR230"/>
    <mergeCell ref="MVY230:MVZ230"/>
    <mergeCell ref="MWA230:MWB230"/>
    <mergeCell ref="MWC230:MWD230"/>
    <mergeCell ref="MWE230:MWF230"/>
    <mergeCell ref="MWG230:MWH230"/>
    <mergeCell ref="MYQ230:MYR230"/>
    <mergeCell ref="MYS230:MYT230"/>
    <mergeCell ref="MYU230:MYV230"/>
    <mergeCell ref="MYW230:MYX230"/>
    <mergeCell ref="MYY230:MYZ230"/>
    <mergeCell ref="MYG230:MYH230"/>
    <mergeCell ref="MYI230:MYJ230"/>
    <mergeCell ref="MYK230:MYL230"/>
    <mergeCell ref="MYM230:MYN230"/>
    <mergeCell ref="MYO230:MYP230"/>
    <mergeCell ref="MXW230:MXX230"/>
    <mergeCell ref="MXY230:MXZ230"/>
    <mergeCell ref="MYA230:MYB230"/>
    <mergeCell ref="MYC230:MYD230"/>
    <mergeCell ref="MYE230:MYF230"/>
    <mergeCell ref="MXM230:MXN230"/>
    <mergeCell ref="MXO230:MXP230"/>
    <mergeCell ref="MXQ230:MXR230"/>
    <mergeCell ref="MXS230:MXT230"/>
    <mergeCell ref="MXU230:MXV230"/>
    <mergeCell ref="NAE230:NAF230"/>
    <mergeCell ref="NAG230:NAH230"/>
    <mergeCell ref="NAI230:NAJ230"/>
    <mergeCell ref="NAK230:NAL230"/>
    <mergeCell ref="NAM230:NAN230"/>
    <mergeCell ref="MZU230:MZV230"/>
    <mergeCell ref="MZW230:MZX230"/>
    <mergeCell ref="MZY230:MZZ230"/>
    <mergeCell ref="NAA230:NAB230"/>
    <mergeCell ref="NAC230:NAD230"/>
    <mergeCell ref="MZK230:MZL230"/>
    <mergeCell ref="MZM230:MZN230"/>
    <mergeCell ref="MZO230:MZP230"/>
    <mergeCell ref="MZQ230:MZR230"/>
    <mergeCell ref="MZS230:MZT230"/>
    <mergeCell ref="MZA230:MZB230"/>
    <mergeCell ref="MZC230:MZD230"/>
    <mergeCell ref="MZE230:MZF230"/>
    <mergeCell ref="MZG230:MZH230"/>
    <mergeCell ref="MZI230:MZJ230"/>
    <mergeCell ref="NBS230:NBT230"/>
    <mergeCell ref="NBU230:NBV230"/>
    <mergeCell ref="NBW230:NBX230"/>
    <mergeCell ref="NBY230:NBZ230"/>
    <mergeCell ref="NCA230:NCB230"/>
    <mergeCell ref="NBI230:NBJ230"/>
    <mergeCell ref="NBK230:NBL230"/>
    <mergeCell ref="NBM230:NBN230"/>
    <mergeCell ref="NBO230:NBP230"/>
    <mergeCell ref="NBQ230:NBR230"/>
    <mergeCell ref="NAY230:NAZ230"/>
    <mergeCell ref="NBA230:NBB230"/>
    <mergeCell ref="NBC230:NBD230"/>
    <mergeCell ref="NBE230:NBF230"/>
    <mergeCell ref="NBG230:NBH230"/>
    <mergeCell ref="NAO230:NAP230"/>
    <mergeCell ref="NAQ230:NAR230"/>
    <mergeCell ref="NAS230:NAT230"/>
    <mergeCell ref="NAU230:NAV230"/>
    <mergeCell ref="NAW230:NAX230"/>
    <mergeCell ref="NDG230:NDH230"/>
    <mergeCell ref="NDI230:NDJ230"/>
    <mergeCell ref="NDK230:NDL230"/>
    <mergeCell ref="NDM230:NDN230"/>
    <mergeCell ref="NDO230:NDP230"/>
    <mergeCell ref="NCW230:NCX230"/>
    <mergeCell ref="NCY230:NCZ230"/>
    <mergeCell ref="NDA230:NDB230"/>
    <mergeCell ref="NDC230:NDD230"/>
    <mergeCell ref="NDE230:NDF230"/>
    <mergeCell ref="NCM230:NCN230"/>
    <mergeCell ref="NCO230:NCP230"/>
    <mergeCell ref="NCQ230:NCR230"/>
    <mergeCell ref="NCS230:NCT230"/>
    <mergeCell ref="NCU230:NCV230"/>
    <mergeCell ref="NCC230:NCD230"/>
    <mergeCell ref="NCE230:NCF230"/>
    <mergeCell ref="NCG230:NCH230"/>
    <mergeCell ref="NCI230:NCJ230"/>
    <mergeCell ref="NCK230:NCL230"/>
    <mergeCell ref="NEU230:NEV230"/>
    <mergeCell ref="NEW230:NEX230"/>
    <mergeCell ref="NEY230:NEZ230"/>
    <mergeCell ref="NFA230:NFB230"/>
    <mergeCell ref="NFC230:NFD230"/>
    <mergeCell ref="NEK230:NEL230"/>
    <mergeCell ref="NEM230:NEN230"/>
    <mergeCell ref="NEO230:NEP230"/>
    <mergeCell ref="NEQ230:NER230"/>
    <mergeCell ref="NES230:NET230"/>
    <mergeCell ref="NEA230:NEB230"/>
    <mergeCell ref="NEC230:NED230"/>
    <mergeCell ref="NEE230:NEF230"/>
    <mergeCell ref="NEG230:NEH230"/>
    <mergeCell ref="NEI230:NEJ230"/>
    <mergeCell ref="NDQ230:NDR230"/>
    <mergeCell ref="NDS230:NDT230"/>
    <mergeCell ref="NDU230:NDV230"/>
    <mergeCell ref="NDW230:NDX230"/>
    <mergeCell ref="NDY230:NDZ230"/>
    <mergeCell ref="NGI230:NGJ230"/>
    <mergeCell ref="NGK230:NGL230"/>
    <mergeCell ref="NGM230:NGN230"/>
    <mergeCell ref="NGO230:NGP230"/>
    <mergeCell ref="NGQ230:NGR230"/>
    <mergeCell ref="NFY230:NFZ230"/>
    <mergeCell ref="NGA230:NGB230"/>
    <mergeCell ref="NGC230:NGD230"/>
    <mergeCell ref="NGE230:NGF230"/>
    <mergeCell ref="NGG230:NGH230"/>
    <mergeCell ref="NFO230:NFP230"/>
    <mergeCell ref="NFQ230:NFR230"/>
    <mergeCell ref="NFS230:NFT230"/>
    <mergeCell ref="NFU230:NFV230"/>
    <mergeCell ref="NFW230:NFX230"/>
    <mergeCell ref="NFE230:NFF230"/>
    <mergeCell ref="NFG230:NFH230"/>
    <mergeCell ref="NFI230:NFJ230"/>
    <mergeCell ref="NFK230:NFL230"/>
    <mergeCell ref="NFM230:NFN230"/>
    <mergeCell ref="NHW230:NHX230"/>
    <mergeCell ref="NHY230:NHZ230"/>
    <mergeCell ref="NIA230:NIB230"/>
    <mergeCell ref="NIC230:NID230"/>
    <mergeCell ref="NIE230:NIF230"/>
    <mergeCell ref="NHM230:NHN230"/>
    <mergeCell ref="NHO230:NHP230"/>
    <mergeCell ref="NHQ230:NHR230"/>
    <mergeCell ref="NHS230:NHT230"/>
    <mergeCell ref="NHU230:NHV230"/>
    <mergeCell ref="NHC230:NHD230"/>
    <mergeCell ref="NHE230:NHF230"/>
    <mergeCell ref="NHG230:NHH230"/>
    <mergeCell ref="NHI230:NHJ230"/>
    <mergeCell ref="NHK230:NHL230"/>
    <mergeCell ref="NGS230:NGT230"/>
    <mergeCell ref="NGU230:NGV230"/>
    <mergeCell ref="NGW230:NGX230"/>
    <mergeCell ref="NGY230:NGZ230"/>
    <mergeCell ref="NHA230:NHB230"/>
    <mergeCell ref="NJK230:NJL230"/>
    <mergeCell ref="NJM230:NJN230"/>
    <mergeCell ref="NJO230:NJP230"/>
    <mergeCell ref="NJQ230:NJR230"/>
    <mergeCell ref="NJS230:NJT230"/>
    <mergeCell ref="NJA230:NJB230"/>
    <mergeCell ref="NJC230:NJD230"/>
    <mergeCell ref="NJE230:NJF230"/>
    <mergeCell ref="NJG230:NJH230"/>
    <mergeCell ref="NJI230:NJJ230"/>
    <mergeCell ref="NIQ230:NIR230"/>
    <mergeCell ref="NIS230:NIT230"/>
    <mergeCell ref="NIU230:NIV230"/>
    <mergeCell ref="NIW230:NIX230"/>
    <mergeCell ref="NIY230:NIZ230"/>
    <mergeCell ref="NIG230:NIH230"/>
    <mergeCell ref="NII230:NIJ230"/>
    <mergeCell ref="NIK230:NIL230"/>
    <mergeCell ref="NIM230:NIN230"/>
    <mergeCell ref="NIO230:NIP230"/>
    <mergeCell ref="NKY230:NKZ230"/>
    <mergeCell ref="NLA230:NLB230"/>
    <mergeCell ref="NLC230:NLD230"/>
    <mergeCell ref="NLE230:NLF230"/>
    <mergeCell ref="NLG230:NLH230"/>
    <mergeCell ref="NKO230:NKP230"/>
    <mergeCell ref="NKQ230:NKR230"/>
    <mergeCell ref="NKS230:NKT230"/>
    <mergeCell ref="NKU230:NKV230"/>
    <mergeCell ref="NKW230:NKX230"/>
    <mergeCell ref="NKE230:NKF230"/>
    <mergeCell ref="NKG230:NKH230"/>
    <mergeCell ref="NKI230:NKJ230"/>
    <mergeCell ref="NKK230:NKL230"/>
    <mergeCell ref="NKM230:NKN230"/>
    <mergeCell ref="NJU230:NJV230"/>
    <mergeCell ref="NJW230:NJX230"/>
    <mergeCell ref="NJY230:NJZ230"/>
    <mergeCell ref="NKA230:NKB230"/>
    <mergeCell ref="NKC230:NKD230"/>
    <mergeCell ref="NMM230:NMN230"/>
    <mergeCell ref="NMO230:NMP230"/>
    <mergeCell ref="NMQ230:NMR230"/>
    <mergeCell ref="NMS230:NMT230"/>
    <mergeCell ref="NMU230:NMV230"/>
    <mergeCell ref="NMC230:NMD230"/>
    <mergeCell ref="NME230:NMF230"/>
    <mergeCell ref="NMG230:NMH230"/>
    <mergeCell ref="NMI230:NMJ230"/>
    <mergeCell ref="NMK230:NML230"/>
    <mergeCell ref="NLS230:NLT230"/>
    <mergeCell ref="NLU230:NLV230"/>
    <mergeCell ref="NLW230:NLX230"/>
    <mergeCell ref="NLY230:NLZ230"/>
    <mergeCell ref="NMA230:NMB230"/>
    <mergeCell ref="NLI230:NLJ230"/>
    <mergeCell ref="NLK230:NLL230"/>
    <mergeCell ref="NLM230:NLN230"/>
    <mergeCell ref="NLO230:NLP230"/>
    <mergeCell ref="NLQ230:NLR230"/>
    <mergeCell ref="NOA230:NOB230"/>
    <mergeCell ref="NOC230:NOD230"/>
    <mergeCell ref="NOE230:NOF230"/>
    <mergeCell ref="NOG230:NOH230"/>
    <mergeCell ref="NOI230:NOJ230"/>
    <mergeCell ref="NNQ230:NNR230"/>
    <mergeCell ref="NNS230:NNT230"/>
    <mergeCell ref="NNU230:NNV230"/>
    <mergeCell ref="NNW230:NNX230"/>
    <mergeCell ref="NNY230:NNZ230"/>
    <mergeCell ref="NNG230:NNH230"/>
    <mergeCell ref="NNI230:NNJ230"/>
    <mergeCell ref="NNK230:NNL230"/>
    <mergeCell ref="NNM230:NNN230"/>
    <mergeCell ref="NNO230:NNP230"/>
    <mergeCell ref="NMW230:NMX230"/>
    <mergeCell ref="NMY230:NMZ230"/>
    <mergeCell ref="NNA230:NNB230"/>
    <mergeCell ref="NNC230:NND230"/>
    <mergeCell ref="NNE230:NNF230"/>
    <mergeCell ref="NPO230:NPP230"/>
    <mergeCell ref="NPQ230:NPR230"/>
    <mergeCell ref="NPS230:NPT230"/>
    <mergeCell ref="NPU230:NPV230"/>
    <mergeCell ref="NPW230:NPX230"/>
    <mergeCell ref="NPE230:NPF230"/>
    <mergeCell ref="NPG230:NPH230"/>
    <mergeCell ref="NPI230:NPJ230"/>
    <mergeCell ref="NPK230:NPL230"/>
    <mergeCell ref="NPM230:NPN230"/>
    <mergeCell ref="NOU230:NOV230"/>
    <mergeCell ref="NOW230:NOX230"/>
    <mergeCell ref="NOY230:NOZ230"/>
    <mergeCell ref="NPA230:NPB230"/>
    <mergeCell ref="NPC230:NPD230"/>
    <mergeCell ref="NOK230:NOL230"/>
    <mergeCell ref="NOM230:NON230"/>
    <mergeCell ref="NOO230:NOP230"/>
    <mergeCell ref="NOQ230:NOR230"/>
    <mergeCell ref="NOS230:NOT230"/>
    <mergeCell ref="NRC230:NRD230"/>
    <mergeCell ref="NRE230:NRF230"/>
    <mergeCell ref="NRG230:NRH230"/>
    <mergeCell ref="NRI230:NRJ230"/>
    <mergeCell ref="NRK230:NRL230"/>
    <mergeCell ref="NQS230:NQT230"/>
    <mergeCell ref="NQU230:NQV230"/>
    <mergeCell ref="NQW230:NQX230"/>
    <mergeCell ref="NQY230:NQZ230"/>
    <mergeCell ref="NRA230:NRB230"/>
    <mergeCell ref="NQI230:NQJ230"/>
    <mergeCell ref="NQK230:NQL230"/>
    <mergeCell ref="NQM230:NQN230"/>
    <mergeCell ref="NQO230:NQP230"/>
    <mergeCell ref="NQQ230:NQR230"/>
    <mergeCell ref="NPY230:NPZ230"/>
    <mergeCell ref="NQA230:NQB230"/>
    <mergeCell ref="NQC230:NQD230"/>
    <mergeCell ref="NQE230:NQF230"/>
    <mergeCell ref="NQG230:NQH230"/>
    <mergeCell ref="NSQ230:NSR230"/>
    <mergeCell ref="NSS230:NST230"/>
    <mergeCell ref="NSU230:NSV230"/>
    <mergeCell ref="NSW230:NSX230"/>
    <mergeCell ref="NSY230:NSZ230"/>
    <mergeCell ref="NSG230:NSH230"/>
    <mergeCell ref="NSI230:NSJ230"/>
    <mergeCell ref="NSK230:NSL230"/>
    <mergeCell ref="NSM230:NSN230"/>
    <mergeCell ref="NSO230:NSP230"/>
    <mergeCell ref="NRW230:NRX230"/>
    <mergeCell ref="NRY230:NRZ230"/>
    <mergeCell ref="NSA230:NSB230"/>
    <mergeCell ref="NSC230:NSD230"/>
    <mergeCell ref="NSE230:NSF230"/>
    <mergeCell ref="NRM230:NRN230"/>
    <mergeCell ref="NRO230:NRP230"/>
    <mergeCell ref="NRQ230:NRR230"/>
    <mergeCell ref="NRS230:NRT230"/>
    <mergeCell ref="NRU230:NRV230"/>
    <mergeCell ref="NUE230:NUF230"/>
    <mergeCell ref="NUG230:NUH230"/>
    <mergeCell ref="NUI230:NUJ230"/>
    <mergeCell ref="NUK230:NUL230"/>
    <mergeCell ref="NUM230:NUN230"/>
    <mergeCell ref="NTU230:NTV230"/>
    <mergeCell ref="NTW230:NTX230"/>
    <mergeCell ref="NTY230:NTZ230"/>
    <mergeCell ref="NUA230:NUB230"/>
    <mergeCell ref="NUC230:NUD230"/>
    <mergeCell ref="NTK230:NTL230"/>
    <mergeCell ref="NTM230:NTN230"/>
    <mergeCell ref="NTO230:NTP230"/>
    <mergeCell ref="NTQ230:NTR230"/>
    <mergeCell ref="NTS230:NTT230"/>
    <mergeCell ref="NTA230:NTB230"/>
    <mergeCell ref="NTC230:NTD230"/>
    <mergeCell ref="NTE230:NTF230"/>
    <mergeCell ref="NTG230:NTH230"/>
    <mergeCell ref="NTI230:NTJ230"/>
    <mergeCell ref="NVS230:NVT230"/>
    <mergeCell ref="NVU230:NVV230"/>
    <mergeCell ref="NVW230:NVX230"/>
    <mergeCell ref="NVY230:NVZ230"/>
    <mergeCell ref="NWA230:NWB230"/>
    <mergeCell ref="NVI230:NVJ230"/>
    <mergeCell ref="NVK230:NVL230"/>
    <mergeCell ref="NVM230:NVN230"/>
    <mergeCell ref="NVO230:NVP230"/>
    <mergeCell ref="NVQ230:NVR230"/>
    <mergeCell ref="NUY230:NUZ230"/>
    <mergeCell ref="NVA230:NVB230"/>
    <mergeCell ref="NVC230:NVD230"/>
    <mergeCell ref="NVE230:NVF230"/>
    <mergeCell ref="NVG230:NVH230"/>
    <mergeCell ref="NUO230:NUP230"/>
    <mergeCell ref="NUQ230:NUR230"/>
    <mergeCell ref="NUS230:NUT230"/>
    <mergeCell ref="NUU230:NUV230"/>
    <mergeCell ref="NUW230:NUX230"/>
    <mergeCell ref="NXG230:NXH230"/>
    <mergeCell ref="NXI230:NXJ230"/>
    <mergeCell ref="NXK230:NXL230"/>
    <mergeCell ref="NXM230:NXN230"/>
    <mergeCell ref="NXO230:NXP230"/>
    <mergeCell ref="NWW230:NWX230"/>
    <mergeCell ref="NWY230:NWZ230"/>
    <mergeCell ref="NXA230:NXB230"/>
    <mergeCell ref="NXC230:NXD230"/>
    <mergeCell ref="NXE230:NXF230"/>
    <mergeCell ref="NWM230:NWN230"/>
    <mergeCell ref="NWO230:NWP230"/>
    <mergeCell ref="NWQ230:NWR230"/>
    <mergeCell ref="NWS230:NWT230"/>
    <mergeCell ref="NWU230:NWV230"/>
    <mergeCell ref="NWC230:NWD230"/>
    <mergeCell ref="NWE230:NWF230"/>
    <mergeCell ref="NWG230:NWH230"/>
    <mergeCell ref="NWI230:NWJ230"/>
    <mergeCell ref="NWK230:NWL230"/>
    <mergeCell ref="NYU230:NYV230"/>
    <mergeCell ref="NYW230:NYX230"/>
    <mergeCell ref="NYY230:NYZ230"/>
    <mergeCell ref="NZA230:NZB230"/>
    <mergeCell ref="NZC230:NZD230"/>
    <mergeCell ref="NYK230:NYL230"/>
    <mergeCell ref="NYM230:NYN230"/>
    <mergeCell ref="NYO230:NYP230"/>
    <mergeCell ref="NYQ230:NYR230"/>
    <mergeCell ref="NYS230:NYT230"/>
    <mergeCell ref="NYA230:NYB230"/>
    <mergeCell ref="NYC230:NYD230"/>
    <mergeCell ref="NYE230:NYF230"/>
    <mergeCell ref="NYG230:NYH230"/>
    <mergeCell ref="NYI230:NYJ230"/>
    <mergeCell ref="NXQ230:NXR230"/>
    <mergeCell ref="NXS230:NXT230"/>
    <mergeCell ref="NXU230:NXV230"/>
    <mergeCell ref="NXW230:NXX230"/>
    <mergeCell ref="NXY230:NXZ230"/>
    <mergeCell ref="OAI230:OAJ230"/>
    <mergeCell ref="OAK230:OAL230"/>
    <mergeCell ref="OAM230:OAN230"/>
    <mergeCell ref="OAO230:OAP230"/>
    <mergeCell ref="OAQ230:OAR230"/>
    <mergeCell ref="NZY230:NZZ230"/>
    <mergeCell ref="OAA230:OAB230"/>
    <mergeCell ref="OAC230:OAD230"/>
    <mergeCell ref="OAE230:OAF230"/>
    <mergeCell ref="OAG230:OAH230"/>
    <mergeCell ref="NZO230:NZP230"/>
    <mergeCell ref="NZQ230:NZR230"/>
    <mergeCell ref="NZS230:NZT230"/>
    <mergeCell ref="NZU230:NZV230"/>
    <mergeCell ref="NZW230:NZX230"/>
    <mergeCell ref="NZE230:NZF230"/>
    <mergeCell ref="NZG230:NZH230"/>
    <mergeCell ref="NZI230:NZJ230"/>
    <mergeCell ref="NZK230:NZL230"/>
    <mergeCell ref="NZM230:NZN230"/>
    <mergeCell ref="OBW230:OBX230"/>
    <mergeCell ref="OBY230:OBZ230"/>
    <mergeCell ref="OCA230:OCB230"/>
    <mergeCell ref="OCC230:OCD230"/>
    <mergeCell ref="OCE230:OCF230"/>
    <mergeCell ref="OBM230:OBN230"/>
    <mergeCell ref="OBO230:OBP230"/>
    <mergeCell ref="OBQ230:OBR230"/>
    <mergeCell ref="OBS230:OBT230"/>
    <mergeCell ref="OBU230:OBV230"/>
    <mergeCell ref="OBC230:OBD230"/>
    <mergeCell ref="OBE230:OBF230"/>
    <mergeCell ref="OBG230:OBH230"/>
    <mergeCell ref="OBI230:OBJ230"/>
    <mergeCell ref="OBK230:OBL230"/>
    <mergeCell ref="OAS230:OAT230"/>
    <mergeCell ref="OAU230:OAV230"/>
    <mergeCell ref="OAW230:OAX230"/>
    <mergeCell ref="OAY230:OAZ230"/>
    <mergeCell ref="OBA230:OBB230"/>
    <mergeCell ref="ODK230:ODL230"/>
    <mergeCell ref="ODM230:ODN230"/>
    <mergeCell ref="ODO230:ODP230"/>
    <mergeCell ref="ODQ230:ODR230"/>
    <mergeCell ref="ODS230:ODT230"/>
    <mergeCell ref="ODA230:ODB230"/>
    <mergeCell ref="ODC230:ODD230"/>
    <mergeCell ref="ODE230:ODF230"/>
    <mergeCell ref="ODG230:ODH230"/>
    <mergeCell ref="ODI230:ODJ230"/>
    <mergeCell ref="OCQ230:OCR230"/>
    <mergeCell ref="OCS230:OCT230"/>
    <mergeCell ref="OCU230:OCV230"/>
    <mergeCell ref="OCW230:OCX230"/>
    <mergeCell ref="OCY230:OCZ230"/>
    <mergeCell ref="OCG230:OCH230"/>
    <mergeCell ref="OCI230:OCJ230"/>
    <mergeCell ref="OCK230:OCL230"/>
    <mergeCell ref="OCM230:OCN230"/>
    <mergeCell ref="OCO230:OCP230"/>
    <mergeCell ref="OEY230:OEZ230"/>
    <mergeCell ref="OFA230:OFB230"/>
    <mergeCell ref="OFC230:OFD230"/>
    <mergeCell ref="OFE230:OFF230"/>
    <mergeCell ref="OFG230:OFH230"/>
    <mergeCell ref="OEO230:OEP230"/>
    <mergeCell ref="OEQ230:OER230"/>
    <mergeCell ref="OES230:OET230"/>
    <mergeCell ref="OEU230:OEV230"/>
    <mergeCell ref="OEW230:OEX230"/>
    <mergeCell ref="OEE230:OEF230"/>
    <mergeCell ref="OEG230:OEH230"/>
    <mergeCell ref="OEI230:OEJ230"/>
    <mergeCell ref="OEK230:OEL230"/>
    <mergeCell ref="OEM230:OEN230"/>
    <mergeCell ref="ODU230:ODV230"/>
    <mergeCell ref="ODW230:ODX230"/>
    <mergeCell ref="ODY230:ODZ230"/>
    <mergeCell ref="OEA230:OEB230"/>
    <mergeCell ref="OEC230:OED230"/>
    <mergeCell ref="OGM230:OGN230"/>
    <mergeCell ref="OGO230:OGP230"/>
    <mergeCell ref="OGQ230:OGR230"/>
    <mergeCell ref="OGS230:OGT230"/>
    <mergeCell ref="OGU230:OGV230"/>
    <mergeCell ref="OGC230:OGD230"/>
    <mergeCell ref="OGE230:OGF230"/>
    <mergeCell ref="OGG230:OGH230"/>
    <mergeCell ref="OGI230:OGJ230"/>
    <mergeCell ref="OGK230:OGL230"/>
    <mergeCell ref="OFS230:OFT230"/>
    <mergeCell ref="OFU230:OFV230"/>
    <mergeCell ref="OFW230:OFX230"/>
    <mergeCell ref="OFY230:OFZ230"/>
    <mergeCell ref="OGA230:OGB230"/>
    <mergeCell ref="OFI230:OFJ230"/>
    <mergeCell ref="OFK230:OFL230"/>
    <mergeCell ref="OFM230:OFN230"/>
    <mergeCell ref="OFO230:OFP230"/>
    <mergeCell ref="OFQ230:OFR230"/>
    <mergeCell ref="OIA230:OIB230"/>
    <mergeCell ref="OIC230:OID230"/>
    <mergeCell ref="OIE230:OIF230"/>
    <mergeCell ref="OIG230:OIH230"/>
    <mergeCell ref="OII230:OIJ230"/>
    <mergeCell ref="OHQ230:OHR230"/>
    <mergeCell ref="OHS230:OHT230"/>
    <mergeCell ref="OHU230:OHV230"/>
    <mergeCell ref="OHW230:OHX230"/>
    <mergeCell ref="OHY230:OHZ230"/>
    <mergeCell ref="OHG230:OHH230"/>
    <mergeCell ref="OHI230:OHJ230"/>
    <mergeCell ref="OHK230:OHL230"/>
    <mergeCell ref="OHM230:OHN230"/>
    <mergeCell ref="OHO230:OHP230"/>
    <mergeCell ref="OGW230:OGX230"/>
    <mergeCell ref="OGY230:OGZ230"/>
    <mergeCell ref="OHA230:OHB230"/>
    <mergeCell ref="OHC230:OHD230"/>
    <mergeCell ref="OHE230:OHF230"/>
    <mergeCell ref="OJO230:OJP230"/>
    <mergeCell ref="OJQ230:OJR230"/>
    <mergeCell ref="OJS230:OJT230"/>
    <mergeCell ref="OJU230:OJV230"/>
    <mergeCell ref="OJW230:OJX230"/>
    <mergeCell ref="OJE230:OJF230"/>
    <mergeCell ref="OJG230:OJH230"/>
    <mergeCell ref="OJI230:OJJ230"/>
    <mergeCell ref="OJK230:OJL230"/>
    <mergeCell ref="OJM230:OJN230"/>
    <mergeCell ref="OIU230:OIV230"/>
    <mergeCell ref="OIW230:OIX230"/>
    <mergeCell ref="OIY230:OIZ230"/>
    <mergeCell ref="OJA230:OJB230"/>
    <mergeCell ref="OJC230:OJD230"/>
    <mergeCell ref="OIK230:OIL230"/>
    <mergeCell ref="OIM230:OIN230"/>
    <mergeCell ref="OIO230:OIP230"/>
    <mergeCell ref="OIQ230:OIR230"/>
    <mergeCell ref="OIS230:OIT230"/>
    <mergeCell ref="OLC230:OLD230"/>
    <mergeCell ref="OLE230:OLF230"/>
    <mergeCell ref="OLG230:OLH230"/>
    <mergeCell ref="OLI230:OLJ230"/>
    <mergeCell ref="OLK230:OLL230"/>
    <mergeCell ref="OKS230:OKT230"/>
    <mergeCell ref="OKU230:OKV230"/>
    <mergeCell ref="OKW230:OKX230"/>
    <mergeCell ref="OKY230:OKZ230"/>
    <mergeCell ref="OLA230:OLB230"/>
    <mergeCell ref="OKI230:OKJ230"/>
    <mergeCell ref="OKK230:OKL230"/>
    <mergeCell ref="OKM230:OKN230"/>
    <mergeCell ref="OKO230:OKP230"/>
    <mergeCell ref="OKQ230:OKR230"/>
    <mergeCell ref="OJY230:OJZ230"/>
    <mergeCell ref="OKA230:OKB230"/>
    <mergeCell ref="OKC230:OKD230"/>
    <mergeCell ref="OKE230:OKF230"/>
    <mergeCell ref="OKG230:OKH230"/>
    <mergeCell ref="OMQ230:OMR230"/>
    <mergeCell ref="OMS230:OMT230"/>
    <mergeCell ref="OMU230:OMV230"/>
    <mergeCell ref="OMW230:OMX230"/>
    <mergeCell ref="OMY230:OMZ230"/>
    <mergeCell ref="OMG230:OMH230"/>
    <mergeCell ref="OMI230:OMJ230"/>
    <mergeCell ref="OMK230:OML230"/>
    <mergeCell ref="OMM230:OMN230"/>
    <mergeCell ref="OMO230:OMP230"/>
    <mergeCell ref="OLW230:OLX230"/>
    <mergeCell ref="OLY230:OLZ230"/>
    <mergeCell ref="OMA230:OMB230"/>
    <mergeCell ref="OMC230:OMD230"/>
    <mergeCell ref="OME230:OMF230"/>
    <mergeCell ref="OLM230:OLN230"/>
    <mergeCell ref="OLO230:OLP230"/>
    <mergeCell ref="OLQ230:OLR230"/>
    <mergeCell ref="OLS230:OLT230"/>
    <mergeCell ref="OLU230:OLV230"/>
    <mergeCell ref="OOE230:OOF230"/>
    <mergeCell ref="OOG230:OOH230"/>
    <mergeCell ref="OOI230:OOJ230"/>
    <mergeCell ref="OOK230:OOL230"/>
    <mergeCell ref="OOM230:OON230"/>
    <mergeCell ref="ONU230:ONV230"/>
    <mergeCell ref="ONW230:ONX230"/>
    <mergeCell ref="ONY230:ONZ230"/>
    <mergeCell ref="OOA230:OOB230"/>
    <mergeCell ref="OOC230:OOD230"/>
    <mergeCell ref="ONK230:ONL230"/>
    <mergeCell ref="ONM230:ONN230"/>
    <mergeCell ref="ONO230:ONP230"/>
    <mergeCell ref="ONQ230:ONR230"/>
    <mergeCell ref="ONS230:ONT230"/>
    <mergeCell ref="ONA230:ONB230"/>
    <mergeCell ref="ONC230:OND230"/>
    <mergeCell ref="ONE230:ONF230"/>
    <mergeCell ref="ONG230:ONH230"/>
    <mergeCell ref="ONI230:ONJ230"/>
    <mergeCell ref="OPS230:OPT230"/>
    <mergeCell ref="OPU230:OPV230"/>
    <mergeCell ref="OPW230:OPX230"/>
    <mergeCell ref="OPY230:OPZ230"/>
    <mergeCell ref="OQA230:OQB230"/>
    <mergeCell ref="OPI230:OPJ230"/>
    <mergeCell ref="OPK230:OPL230"/>
    <mergeCell ref="OPM230:OPN230"/>
    <mergeCell ref="OPO230:OPP230"/>
    <mergeCell ref="OPQ230:OPR230"/>
    <mergeCell ref="OOY230:OOZ230"/>
    <mergeCell ref="OPA230:OPB230"/>
    <mergeCell ref="OPC230:OPD230"/>
    <mergeCell ref="OPE230:OPF230"/>
    <mergeCell ref="OPG230:OPH230"/>
    <mergeCell ref="OOO230:OOP230"/>
    <mergeCell ref="OOQ230:OOR230"/>
    <mergeCell ref="OOS230:OOT230"/>
    <mergeCell ref="OOU230:OOV230"/>
    <mergeCell ref="OOW230:OOX230"/>
    <mergeCell ref="ORG230:ORH230"/>
    <mergeCell ref="ORI230:ORJ230"/>
    <mergeCell ref="ORK230:ORL230"/>
    <mergeCell ref="ORM230:ORN230"/>
    <mergeCell ref="ORO230:ORP230"/>
    <mergeCell ref="OQW230:OQX230"/>
    <mergeCell ref="OQY230:OQZ230"/>
    <mergeCell ref="ORA230:ORB230"/>
    <mergeCell ref="ORC230:ORD230"/>
    <mergeCell ref="ORE230:ORF230"/>
    <mergeCell ref="OQM230:OQN230"/>
    <mergeCell ref="OQO230:OQP230"/>
    <mergeCell ref="OQQ230:OQR230"/>
    <mergeCell ref="OQS230:OQT230"/>
    <mergeCell ref="OQU230:OQV230"/>
    <mergeCell ref="OQC230:OQD230"/>
    <mergeCell ref="OQE230:OQF230"/>
    <mergeCell ref="OQG230:OQH230"/>
    <mergeCell ref="OQI230:OQJ230"/>
    <mergeCell ref="OQK230:OQL230"/>
    <mergeCell ref="OSU230:OSV230"/>
    <mergeCell ref="OSW230:OSX230"/>
    <mergeCell ref="OSY230:OSZ230"/>
    <mergeCell ref="OTA230:OTB230"/>
    <mergeCell ref="OTC230:OTD230"/>
    <mergeCell ref="OSK230:OSL230"/>
    <mergeCell ref="OSM230:OSN230"/>
    <mergeCell ref="OSO230:OSP230"/>
    <mergeCell ref="OSQ230:OSR230"/>
    <mergeCell ref="OSS230:OST230"/>
    <mergeCell ref="OSA230:OSB230"/>
    <mergeCell ref="OSC230:OSD230"/>
    <mergeCell ref="OSE230:OSF230"/>
    <mergeCell ref="OSG230:OSH230"/>
    <mergeCell ref="OSI230:OSJ230"/>
    <mergeCell ref="ORQ230:ORR230"/>
    <mergeCell ref="ORS230:ORT230"/>
    <mergeCell ref="ORU230:ORV230"/>
    <mergeCell ref="ORW230:ORX230"/>
    <mergeCell ref="ORY230:ORZ230"/>
    <mergeCell ref="OUI230:OUJ230"/>
    <mergeCell ref="OUK230:OUL230"/>
    <mergeCell ref="OUM230:OUN230"/>
    <mergeCell ref="OUO230:OUP230"/>
    <mergeCell ref="OUQ230:OUR230"/>
    <mergeCell ref="OTY230:OTZ230"/>
    <mergeCell ref="OUA230:OUB230"/>
    <mergeCell ref="OUC230:OUD230"/>
    <mergeCell ref="OUE230:OUF230"/>
    <mergeCell ref="OUG230:OUH230"/>
    <mergeCell ref="OTO230:OTP230"/>
    <mergeCell ref="OTQ230:OTR230"/>
    <mergeCell ref="OTS230:OTT230"/>
    <mergeCell ref="OTU230:OTV230"/>
    <mergeCell ref="OTW230:OTX230"/>
    <mergeCell ref="OTE230:OTF230"/>
    <mergeCell ref="OTG230:OTH230"/>
    <mergeCell ref="OTI230:OTJ230"/>
    <mergeCell ref="OTK230:OTL230"/>
    <mergeCell ref="OTM230:OTN230"/>
    <mergeCell ref="OVW230:OVX230"/>
    <mergeCell ref="OVY230:OVZ230"/>
    <mergeCell ref="OWA230:OWB230"/>
    <mergeCell ref="OWC230:OWD230"/>
    <mergeCell ref="OWE230:OWF230"/>
    <mergeCell ref="OVM230:OVN230"/>
    <mergeCell ref="OVO230:OVP230"/>
    <mergeCell ref="OVQ230:OVR230"/>
    <mergeCell ref="OVS230:OVT230"/>
    <mergeCell ref="OVU230:OVV230"/>
    <mergeCell ref="OVC230:OVD230"/>
    <mergeCell ref="OVE230:OVF230"/>
    <mergeCell ref="OVG230:OVH230"/>
    <mergeCell ref="OVI230:OVJ230"/>
    <mergeCell ref="OVK230:OVL230"/>
    <mergeCell ref="OUS230:OUT230"/>
    <mergeCell ref="OUU230:OUV230"/>
    <mergeCell ref="OUW230:OUX230"/>
    <mergeCell ref="OUY230:OUZ230"/>
    <mergeCell ref="OVA230:OVB230"/>
    <mergeCell ref="OXK230:OXL230"/>
    <mergeCell ref="OXM230:OXN230"/>
    <mergeCell ref="OXO230:OXP230"/>
    <mergeCell ref="OXQ230:OXR230"/>
    <mergeCell ref="OXS230:OXT230"/>
    <mergeCell ref="OXA230:OXB230"/>
    <mergeCell ref="OXC230:OXD230"/>
    <mergeCell ref="OXE230:OXF230"/>
    <mergeCell ref="OXG230:OXH230"/>
    <mergeCell ref="OXI230:OXJ230"/>
    <mergeCell ref="OWQ230:OWR230"/>
    <mergeCell ref="OWS230:OWT230"/>
    <mergeCell ref="OWU230:OWV230"/>
    <mergeCell ref="OWW230:OWX230"/>
    <mergeCell ref="OWY230:OWZ230"/>
    <mergeCell ref="OWG230:OWH230"/>
    <mergeCell ref="OWI230:OWJ230"/>
    <mergeCell ref="OWK230:OWL230"/>
    <mergeCell ref="OWM230:OWN230"/>
    <mergeCell ref="OWO230:OWP230"/>
    <mergeCell ref="OYY230:OYZ230"/>
    <mergeCell ref="OZA230:OZB230"/>
    <mergeCell ref="OZC230:OZD230"/>
    <mergeCell ref="OZE230:OZF230"/>
    <mergeCell ref="OZG230:OZH230"/>
    <mergeCell ref="OYO230:OYP230"/>
    <mergeCell ref="OYQ230:OYR230"/>
    <mergeCell ref="OYS230:OYT230"/>
    <mergeCell ref="OYU230:OYV230"/>
    <mergeCell ref="OYW230:OYX230"/>
    <mergeCell ref="OYE230:OYF230"/>
    <mergeCell ref="OYG230:OYH230"/>
    <mergeCell ref="OYI230:OYJ230"/>
    <mergeCell ref="OYK230:OYL230"/>
    <mergeCell ref="OYM230:OYN230"/>
    <mergeCell ref="OXU230:OXV230"/>
    <mergeCell ref="OXW230:OXX230"/>
    <mergeCell ref="OXY230:OXZ230"/>
    <mergeCell ref="OYA230:OYB230"/>
    <mergeCell ref="OYC230:OYD230"/>
    <mergeCell ref="PAM230:PAN230"/>
    <mergeCell ref="PAO230:PAP230"/>
    <mergeCell ref="PAQ230:PAR230"/>
    <mergeCell ref="PAS230:PAT230"/>
    <mergeCell ref="PAU230:PAV230"/>
    <mergeCell ref="PAC230:PAD230"/>
    <mergeCell ref="PAE230:PAF230"/>
    <mergeCell ref="PAG230:PAH230"/>
    <mergeCell ref="PAI230:PAJ230"/>
    <mergeCell ref="PAK230:PAL230"/>
    <mergeCell ref="OZS230:OZT230"/>
    <mergeCell ref="OZU230:OZV230"/>
    <mergeCell ref="OZW230:OZX230"/>
    <mergeCell ref="OZY230:OZZ230"/>
    <mergeCell ref="PAA230:PAB230"/>
    <mergeCell ref="OZI230:OZJ230"/>
    <mergeCell ref="OZK230:OZL230"/>
    <mergeCell ref="OZM230:OZN230"/>
    <mergeCell ref="OZO230:OZP230"/>
    <mergeCell ref="OZQ230:OZR230"/>
    <mergeCell ref="PCA230:PCB230"/>
    <mergeCell ref="PCC230:PCD230"/>
    <mergeCell ref="PCE230:PCF230"/>
    <mergeCell ref="PCG230:PCH230"/>
    <mergeCell ref="PCI230:PCJ230"/>
    <mergeCell ref="PBQ230:PBR230"/>
    <mergeCell ref="PBS230:PBT230"/>
    <mergeCell ref="PBU230:PBV230"/>
    <mergeCell ref="PBW230:PBX230"/>
    <mergeCell ref="PBY230:PBZ230"/>
    <mergeCell ref="PBG230:PBH230"/>
    <mergeCell ref="PBI230:PBJ230"/>
    <mergeCell ref="PBK230:PBL230"/>
    <mergeCell ref="PBM230:PBN230"/>
    <mergeCell ref="PBO230:PBP230"/>
    <mergeCell ref="PAW230:PAX230"/>
    <mergeCell ref="PAY230:PAZ230"/>
    <mergeCell ref="PBA230:PBB230"/>
    <mergeCell ref="PBC230:PBD230"/>
    <mergeCell ref="PBE230:PBF230"/>
    <mergeCell ref="PDO230:PDP230"/>
    <mergeCell ref="PDQ230:PDR230"/>
    <mergeCell ref="PDS230:PDT230"/>
    <mergeCell ref="PDU230:PDV230"/>
    <mergeCell ref="PDW230:PDX230"/>
    <mergeCell ref="PDE230:PDF230"/>
    <mergeCell ref="PDG230:PDH230"/>
    <mergeCell ref="PDI230:PDJ230"/>
    <mergeCell ref="PDK230:PDL230"/>
    <mergeCell ref="PDM230:PDN230"/>
    <mergeCell ref="PCU230:PCV230"/>
    <mergeCell ref="PCW230:PCX230"/>
    <mergeCell ref="PCY230:PCZ230"/>
    <mergeCell ref="PDA230:PDB230"/>
    <mergeCell ref="PDC230:PDD230"/>
    <mergeCell ref="PCK230:PCL230"/>
    <mergeCell ref="PCM230:PCN230"/>
    <mergeCell ref="PCO230:PCP230"/>
    <mergeCell ref="PCQ230:PCR230"/>
    <mergeCell ref="PCS230:PCT230"/>
    <mergeCell ref="PFC230:PFD230"/>
    <mergeCell ref="PFE230:PFF230"/>
    <mergeCell ref="PFG230:PFH230"/>
    <mergeCell ref="PFI230:PFJ230"/>
    <mergeCell ref="PFK230:PFL230"/>
    <mergeCell ref="PES230:PET230"/>
    <mergeCell ref="PEU230:PEV230"/>
    <mergeCell ref="PEW230:PEX230"/>
    <mergeCell ref="PEY230:PEZ230"/>
    <mergeCell ref="PFA230:PFB230"/>
    <mergeCell ref="PEI230:PEJ230"/>
    <mergeCell ref="PEK230:PEL230"/>
    <mergeCell ref="PEM230:PEN230"/>
    <mergeCell ref="PEO230:PEP230"/>
    <mergeCell ref="PEQ230:PER230"/>
    <mergeCell ref="PDY230:PDZ230"/>
    <mergeCell ref="PEA230:PEB230"/>
    <mergeCell ref="PEC230:PED230"/>
    <mergeCell ref="PEE230:PEF230"/>
    <mergeCell ref="PEG230:PEH230"/>
    <mergeCell ref="PGQ230:PGR230"/>
    <mergeCell ref="PGS230:PGT230"/>
    <mergeCell ref="PGU230:PGV230"/>
    <mergeCell ref="PGW230:PGX230"/>
    <mergeCell ref="PGY230:PGZ230"/>
    <mergeCell ref="PGG230:PGH230"/>
    <mergeCell ref="PGI230:PGJ230"/>
    <mergeCell ref="PGK230:PGL230"/>
    <mergeCell ref="PGM230:PGN230"/>
    <mergeCell ref="PGO230:PGP230"/>
    <mergeCell ref="PFW230:PFX230"/>
    <mergeCell ref="PFY230:PFZ230"/>
    <mergeCell ref="PGA230:PGB230"/>
    <mergeCell ref="PGC230:PGD230"/>
    <mergeCell ref="PGE230:PGF230"/>
    <mergeCell ref="PFM230:PFN230"/>
    <mergeCell ref="PFO230:PFP230"/>
    <mergeCell ref="PFQ230:PFR230"/>
    <mergeCell ref="PFS230:PFT230"/>
    <mergeCell ref="PFU230:PFV230"/>
    <mergeCell ref="PIE230:PIF230"/>
    <mergeCell ref="PIG230:PIH230"/>
    <mergeCell ref="PII230:PIJ230"/>
    <mergeCell ref="PIK230:PIL230"/>
    <mergeCell ref="PIM230:PIN230"/>
    <mergeCell ref="PHU230:PHV230"/>
    <mergeCell ref="PHW230:PHX230"/>
    <mergeCell ref="PHY230:PHZ230"/>
    <mergeCell ref="PIA230:PIB230"/>
    <mergeCell ref="PIC230:PID230"/>
    <mergeCell ref="PHK230:PHL230"/>
    <mergeCell ref="PHM230:PHN230"/>
    <mergeCell ref="PHO230:PHP230"/>
    <mergeCell ref="PHQ230:PHR230"/>
    <mergeCell ref="PHS230:PHT230"/>
    <mergeCell ref="PHA230:PHB230"/>
    <mergeCell ref="PHC230:PHD230"/>
    <mergeCell ref="PHE230:PHF230"/>
    <mergeCell ref="PHG230:PHH230"/>
    <mergeCell ref="PHI230:PHJ230"/>
    <mergeCell ref="PJS230:PJT230"/>
    <mergeCell ref="PJU230:PJV230"/>
    <mergeCell ref="PJW230:PJX230"/>
    <mergeCell ref="PJY230:PJZ230"/>
    <mergeCell ref="PKA230:PKB230"/>
    <mergeCell ref="PJI230:PJJ230"/>
    <mergeCell ref="PJK230:PJL230"/>
    <mergeCell ref="PJM230:PJN230"/>
    <mergeCell ref="PJO230:PJP230"/>
    <mergeCell ref="PJQ230:PJR230"/>
    <mergeCell ref="PIY230:PIZ230"/>
    <mergeCell ref="PJA230:PJB230"/>
    <mergeCell ref="PJC230:PJD230"/>
    <mergeCell ref="PJE230:PJF230"/>
    <mergeCell ref="PJG230:PJH230"/>
    <mergeCell ref="PIO230:PIP230"/>
    <mergeCell ref="PIQ230:PIR230"/>
    <mergeCell ref="PIS230:PIT230"/>
    <mergeCell ref="PIU230:PIV230"/>
    <mergeCell ref="PIW230:PIX230"/>
    <mergeCell ref="PLG230:PLH230"/>
    <mergeCell ref="PLI230:PLJ230"/>
    <mergeCell ref="PLK230:PLL230"/>
    <mergeCell ref="PLM230:PLN230"/>
    <mergeCell ref="PLO230:PLP230"/>
    <mergeCell ref="PKW230:PKX230"/>
    <mergeCell ref="PKY230:PKZ230"/>
    <mergeCell ref="PLA230:PLB230"/>
    <mergeCell ref="PLC230:PLD230"/>
    <mergeCell ref="PLE230:PLF230"/>
    <mergeCell ref="PKM230:PKN230"/>
    <mergeCell ref="PKO230:PKP230"/>
    <mergeCell ref="PKQ230:PKR230"/>
    <mergeCell ref="PKS230:PKT230"/>
    <mergeCell ref="PKU230:PKV230"/>
    <mergeCell ref="PKC230:PKD230"/>
    <mergeCell ref="PKE230:PKF230"/>
    <mergeCell ref="PKG230:PKH230"/>
    <mergeCell ref="PKI230:PKJ230"/>
    <mergeCell ref="PKK230:PKL230"/>
    <mergeCell ref="PMU230:PMV230"/>
    <mergeCell ref="PMW230:PMX230"/>
    <mergeCell ref="PMY230:PMZ230"/>
    <mergeCell ref="PNA230:PNB230"/>
    <mergeCell ref="PNC230:PND230"/>
    <mergeCell ref="PMK230:PML230"/>
    <mergeCell ref="PMM230:PMN230"/>
    <mergeCell ref="PMO230:PMP230"/>
    <mergeCell ref="PMQ230:PMR230"/>
    <mergeCell ref="PMS230:PMT230"/>
    <mergeCell ref="PMA230:PMB230"/>
    <mergeCell ref="PMC230:PMD230"/>
    <mergeCell ref="PME230:PMF230"/>
    <mergeCell ref="PMG230:PMH230"/>
    <mergeCell ref="PMI230:PMJ230"/>
    <mergeCell ref="PLQ230:PLR230"/>
    <mergeCell ref="PLS230:PLT230"/>
    <mergeCell ref="PLU230:PLV230"/>
    <mergeCell ref="PLW230:PLX230"/>
    <mergeCell ref="PLY230:PLZ230"/>
    <mergeCell ref="POI230:POJ230"/>
    <mergeCell ref="POK230:POL230"/>
    <mergeCell ref="POM230:PON230"/>
    <mergeCell ref="POO230:POP230"/>
    <mergeCell ref="POQ230:POR230"/>
    <mergeCell ref="PNY230:PNZ230"/>
    <mergeCell ref="POA230:POB230"/>
    <mergeCell ref="POC230:POD230"/>
    <mergeCell ref="POE230:POF230"/>
    <mergeCell ref="POG230:POH230"/>
    <mergeCell ref="PNO230:PNP230"/>
    <mergeCell ref="PNQ230:PNR230"/>
    <mergeCell ref="PNS230:PNT230"/>
    <mergeCell ref="PNU230:PNV230"/>
    <mergeCell ref="PNW230:PNX230"/>
    <mergeCell ref="PNE230:PNF230"/>
    <mergeCell ref="PNG230:PNH230"/>
    <mergeCell ref="PNI230:PNJ230"/>
    <mergeCell ref="PNK230:PNL230"/>
    <mergeCell ref="PNM230:PNN230"/>
    <mergeCell ref="PPW230:PPX230"/>
    <mergeCell ref="PPY230:PPZ230"/>
    <mergeCell ref="PQA230:PQB230"/>
    <mergeCell ref="PQC230:PQD230"/>
    <mergeCell ref="PQE230:PQF230"/>
    <mergeCell ref="PPM230:PPN230"/>
    <mergeCell ref="PPO230:PPP230"/>
    <mergeCell ref="PPQ230:PPR230"/>
    <mergeCell ref="PPS230:PPT230"/>
    <mergeCell ref="PPU230:PPV230"/>
    <mergeCell ref="PPC230:PPD230"/>
    <mergeCell ref="PPE230:PPF230"/>
    <mergeCell ref="PPG230:PPH230"/>
    <mergeCell ref="PPI230:PPJ230"/>
    <mergeCell ref="PPK230:PPL230"/>
    <mergeCell ref="POS230:POT230"/>
    <mergeCell ref="POU230:POV230"/>
    <mergeCell ref="POW230:POX230"/>
    <mergeCell ref="POY230:POZ230"/>
    <mergeCell ref="PPA230:PPB230"/>
    <mergeCell ref="PRK230:PRL230"/>
    <mergeCell ref="PRM230:PRN230"/>
    <mergeCell ref="PRO230:PRP230"/>
    <mergeCell ref="PRQ230:PRR230"/>
    <mergeCell ref="PRS230:PRT230"/>
    <mergeCell ref="PRA230:PRB230"/>
    <mergeCell ref="PRC230:PRD230"/>
    <mergeCell ref="PRE230:PRF230"/>
    <mergeCell ref="PRG230:PRH230"/>
    <mergeCell ref="PRI230:PRJ230"/>
    <mergeCell ref="PQQ230:PQR230"/>
    <mergeCell ref="PQS230:PQT230"/>
    <mergeCell ref="PQU230:PQV230"/>
    <mergeCell ref="PQW230:PQX230"/>
    <mergeCell ref="PQY230:PQZ230"/>
    <mergeCell ref="PQG230:PQH230"/>
    <mergeCell ref="PQI230:PQJ230"/>
    <mergeCell ref="PQK230:PQL230"/>
    <mergeCell ref="PQM230:PQN230"/>
    <mergeCell ref="PQO230:PQP230"/>
    <mergeCell ref="PSY230:PSZ230"/>
    <mergeCell ref="PTA230:PTB230"/>
    <mergeCell ref="PTC230:PTD230"/>
    <mergeCell ref="PTE230:PTF230"/>
    <mergeCell ref="PTG230:PTH230"/>
    <mergeCell ref="PSO230:PSP230"/>
    <mergeCell ref="PSQ230:PSR230"/>
    <mergeCell ref="PSS230:PST230"/>
    <mergeCell ref="PSU230:PSV230"/>
    <mergeCell ref="PSW230:PSX230"/>
    <mergeCell ref="PSE230:PSF230"/>
    <mergeCell ref="PSG230:PSH230"/>
    <mergeCell ref="PSI230:PSJ230"/>
    <mergeCell ref="PSK230:PSL230"/>
    <mergeCell ref="PSM230:PSN230"/>
    <mergeCell ref="PRU230:PRV230"/>
    <mergeCell ref="PRW230:PRX230"/>
    <mergeCell ref="PRY230:PRZ230"/>
    <mergeCell ref="PSA230:PSB230"/>
    <mergeCell ref="PSC230:PSD230"/>
    <mergeCell ref="PUM230:PUN230"/>
    <mergeCell ref="PUO230:PUP230"/>
    <mergeCell ref="PUQ230:PUR230"/>
    <mergeCell ref="PUS230:PUT230"/>
    <mergeCell ref="PUU230:PUV230"/>
    <mergeCell ref="PUC230:PUD230"/>
    <mergeCell ref="PUE230:PUF230"/>
    <mergeCell ref="PUG230:PUH230"/>
    <mergeCell ref="PUI230:PUJ230"/>
    <mergeCell ref="PUK230:PUL230"/>
    <mergeCell ref="PTS230:PTT230"/>
    <mergeCell ref="PTU230:PTV230"/>
    <mergeCell ref="PTW230:PTX230"/>
    <mergeCell ref="PTY230:PTZ230"/>
    <mergeCell ref="PUA230:PUB230"/>
    <mergeCell ref="PTI230:PTJ230"/>
    <mergeCell ref="PTK230:PTL230"/>
    <mergeCell ref="PTM230:PTN230"/>
    <mergeCell ref="PTO230:PTP230"/>
    <mergeCell ref="PTQ230:PTR230"/>
    <mergeCell ref="PWA230:PWB230"/>
    <mergeCell ref="PWC230:PWD230"/>
    <mergeCell ref="PWE230:PWF230"/>
    <mergeCell ref="PWG230:PWH230"/>
    <mergeCell ref="PWI230:PWJ230"/>
    <mergeCell ref="PVQ230:PVR230"/>
    <mergeCell ref="PVS230:PVT230"/>
    <mergeCell ref="PVU230:PVV230"/>
    <mergeCell ref="PVW230:PVX230"/>
    <mergeCell ref="PVY230:PVZ230"/>
    <mergeCell ref="PVG230:PVH230"/>
    <mergeCell ref="PVI230:PVJ230"/>
    <mergeCell ref="PVK230:PVL230"/>
    <mergeCell ref="PVM230:PVN230"/>
    <mergeCell ref="PVO230:PVP230"/>
    <mergeCell ref="PUW230:PUX230"/>
    <mergeCell ref="PUY230:PUZ230"/>
    <mergeCell ref="PVA230:PVB230"/>
    <mergeCell ref="PVC230:PVD230"/>
    <mergeCell ref="PVE230:PVF230"/>
    <mergeCell ref="PXO230:PXP230"/>
    <mergeCell ref="PXQ230:PXR230"/>
    <mergeCell ref="PXS230:PXT230"/>
    <mergeCell ref="PXU230:PXV230"/>
    <mergeCell ref="PXW230:PXX230"/>
    <mergeCell ref="PXE230:PXF230"/>
    <mergeCell ref="PXG230:PXH230"/>
    <mergeCell ref="PXI230:PXJ230"/>
    <mergeCell ref="PXK230:PXL230"/>
    <mergeCell ref="PXM230:PXN230"/>
    <mergeCell ref="PWU230:PWV230"/>
    <mergeCell ref="PWW230:PWX230"/>
    <mergeCell ref="PWY230:PWZ230"/>
    <mergeCell ref="PXA230:PXB230"/>
    <mergeCell ref="PXC230:PXD230"/>
    <mergeCell ref="PWK230:PWL230"/>
    <mergeCell ref="PWM230:PWN230"/>
    <mergeCell ref="PWO230:PWP230"/>
    <mergeCell ref="PWQ230:PWR230"/>
    <mergeCell ref="PWS230:PWT230"/>
    <mergeCell ref="PZC230:PZD230"/>
    <mergeCell ref="PZE230:PZF230"/>
    <mergeCell ref="PZG230:PZH230"/>
    <mergeCell ref="PZI230:PZJ230"/>
    <mergeCell ref="PZK230:PZL230"/>
    <mergeCell ref="PYS230:PYT230"/>
    <mergeCell ref="PYU230:PYV230"/>
    <mergeCell ref="PYW230:PYX230"/>
    <mergeCell ref="PYY230:PYZ230"/>
    <mergeCell ref="PZA230:PZB230"/>
    <mergeCell ref="PYI230:PYJ230"/>
    <mergeCell ref="PYK230:PYL230"/>
    <mergeCell ref="PYM230:PYN230"/>
    <mergeCell ref="PYO230:PYP230"/>
    <mergeCell ref="PYQ230:PYR230"/>
    <mergeCell ref="PXY230:PXZ230"/>
    <mergeCell ref="PYA230:PYB230"/>
    <mergeCell ref="PYC230:PYD230"/>
    <mergeCell ref="PYE230:PYF230"/>
    <mergeCell ref="PYG230:PYH230"/>
    <mergeCell ref="QAQ230:QAR230"/>
    <mergeCell ref="QAS230:QAT230"/>
    <mergeCell ref="QAU230:QAV230"/>
    <mergeCell ref="QAW230:QAX230"/>
    <mergeCell ref="QAY230:QAZ230"/>
    <mergeCell ref="QAG230:QAH230"/>
    <mergeCell ref="QAI230:QAJ230"/>
    <mergeCell ref="QAK230:QAL230"/>
    <mergeCell ref="QAM230:QAN230"/>
    <mergeCell ref="QAO230:QAP230"/>
    <mergeCell ref="PZW230:PZX230"/>
    <mergeCell ref="PZY230:PZZ230"/>
    <mergeCell ref="QAA230:QAB230"/>
    <mergeCell ref="QAC230:QAD230"/>
    <mergeCell ref="QAE230:QAF230"/>
    <mergeCell ref="PZM230:PZN230"/>
    <mergeCell ref="PZO230:PZP230"/>
    <mergeCell ref="PZQ230:PZR230"/>
    <mergeCell ref="PZS230:PZT230"/>
    <mergeCell ref="PZU230:PZV230"/>
    <mergeCell ref="QCE230:QCF230"/>
    <mergeCell ref="QCG230:QCH230"/>
    <mergeCell ref="QCI230:QCJ230"/>
    <mergeCell ref="QCK230:QCL230"/>
    <mergeCell ref="QCM230:QCN230"/>
    <mergeCell ref="QBU230:QBV230"/>
    <mergeCell ref="QBW230:QBX230"/>
    <mergeCell ref="QBY230:QBZ230"/>
    <mergeCell ref="QCA230:QCB230"/>
    <mergeCell ref="QCC230:QCD230"/>
    <mergeCell ref="QBK230:QBL230"/>
    <mergeCell ref="QBM230:QBN230"/>
    <mergeCell ref="QBO230:QBP230"/>
    <mergeCell ref="QBQ230:QBR230"/>
    <mergeCell ref="QBS230:QBT230"/>
    <mergeCell ref="QBA230:QBB230"/>
    <mergeCell ref="QBC230:QBD230"/>
    <mergeCell ref="QBE230:QBF230"/>
    <mergeCell ref="QBG230:QBH230"/>
    <mergeCell ref="QBI230:QBJ230"/>
    <mergeCell ref="QDS230:QDT230"/>
    <mergeCell ref="QDU230:QDV230"/>
    <mergeCell ref="QDW230:QDX230"/>
    <mergeCell ref="QDY230:QDZ230"/>
    <mergeCell ref="QEA230:QEB230"/>
    <mergeCell ref="QDI230:QDJ230"/>
    <mergeCell ref="QDK230:QDL230"/>
    <mergeCell ref="QDM230:QDN230"/>
    <mergeCell ref="QDO230:QDP230"/>
    <mergeCell ref="QDQ230:QDR230"/>
    <mergeCell ref="QCY230:QCZ230"/>
    <mergeCell ref="QDA230:QDB230"/>
    <mergeCell ref="QDC230:QDD230"/>
    <mergeCell ref="QDE230:QDF230"/>
    <mergeCell ref="QDG230:QDH230"/>
    <mergeCell ref="QCO230:QCP230"/>
    <mergeCell ref="QCQ230:QCR230"/>
    <mergeCell ref="QCS230:QCT230"/>
    <mergeCell ref="QCU230:QCV230"/>
    <mergeCell ref="QCW230:QCX230"/>
    <mergeCell ref="QFG230:QFH230"/>
    <mergeCell ref="QFI230:QFJ230"/>
    <mergeCell ref="QFK230:QFL230"/>
    <mergeCell ref="QFM230:QFN230"/>
    <mergeCell ref="QFO230:QFP230"/>
    <mergeCell ref="QEW230:QEX230"/>
    <mergeCell ref="QEY230:QEZ230"/>
    <mergeCell ref="QFA230:QFB230"/>
    <mergeCell ref="QFC230:QFD230"/>
    <mergeCell ref="QFE230:QFF230"/>
    <mergeCell ref="QEM230:QEN230"/>
    <mergeCell ref="QEO230:QEP230"/>
    <mergeCell ref="QEQ230:QER230"/>
    <mergeCell ref="QES230:QET230"/>
    <mergeCell ref="QEU230:QEV230"/>
    <mergeCell ref="QEC230:QED230"/>
    <mergeCell ref="QEE230:QEF230"/>
    <mergeCell ref="QEG230:QEH230"/>
    <mergeCell ref="QEI230:QEJ230"/>
    <mergeCell ref="QEK230:QEL230"/>
    <mergeCell ref="QGU230:QGV230"/>
    <mergeCell ref="QGW230:QGX230"/>
    <mergeCell ref="QGY230:QGZ230"/>
    <mergeCell ref="QHA230:QHB230"/>
    <mergeCell ref="QHC230:QHD230"/>
    <mergeCell ref="QGK230:QGL230"/>
    <mergeCell ref="QGM230:QGN230"/>
    <mergeCell ref="QGO230:QGP230"/>
    <mergeCell ref="QGQ230:QGR230"/>
    <mergeCell ref="QGS230:QGT230"/>
    <mergeCell ref="QGA230:QGB230"/>
    <mergeCell ref="QGC230:QGD230"/>
    <mergeCell ref="QGE230:QGF230"/>
    <mergeCell ref="QGG230:QGH230"/>
    <mergeCell ref="QGI230:QGJ230"/>
    <mergeCell ref="QFQ230:QFR230"/>
    <mergeCell ref="QFS230:QFT230"/>
    <mergeCell ref="QFU230:QFV230"/>
    <mergeCell ref="QFW230:QFX230"/>
    <mergeCell ref="QFY230:QFZ230"/>
    <mergeCell ref="QII230:QIJ230"/>
    <mergeCell ref="QIK230:QIL230"/>
    <mergeCell ref="QIM230:QIN230"/>
    <mergeCell ref="QIO230:QIP230"/>
    <mergeCell ref="QIQ230:QIR230"/>
    <mergeCell ref="QHY230:QHZ230"/>
    <mergeCell ref="QIA230:QIB230"/>
    <mergeCell ref="QIC230:QID230"/>
    <mergeCell ref="QIE230:QIF230"/>
    <mergeCell ref="QIG230:QIH230"/>
    <mergeCell ref="QHO230:QHP230"/>
    <mergeCell ref="QHQ230:QHR230"/>
    <mergeCell ref="QHS230:QHT230"/>
    <mergeCell ref="QHU230:QHV230"/>
    <mergeCell ref="QHW230:QHX230"/>
    <mergeCell ref="QHE230:QHF230"/>
    <mergeCell ref="QHG230:QHH230"/>
    <mergeCell ref="QHI230:QHJ230"/>
    <mergeCell ref="QHK230:QHL230"/>
    <mergeCell ref="QHM230:QHN230"/>
    <mergeCell ref="QJW230:QJX230"/>
    <mergeCell ref="QJY230:QJZ230"/>
    <mergeCell ref="QKA230:QKB230"/>
    <mergeCell ref="QKC230:QKD230"/>
    <mergeCell ref="QKE230:QKF230"/>
    <mergeCell ref="QJM230:QJN230"/>
    <mergeCell ref="QJO230:QJP230"/>
    <mergeCell ref="QJQ230:QJR230"/>
    <mergeCell ref="QJS230:QJT230"/>
    <mergeCell ref="QJU230:QJV230"/>
    <mergeCell ref="QJC230:QJD230"/>
    <mergeCell ref="QJE230:QJF230"/>
    <mergeCell ref="QJG230:QJH230"/>
    <mergeCell ref="QJI230:QJJ230"/>
    <mergeCell ref="QJK230:QJL230"/>
    <mergeCell ref="QIS230:QIT230"/>
    <mergeCell ref="QIU230:QIV230"/>
    <mergeCell ref="QIW230:QIX230"/>
    <mergeCell ref="QIY230:QIZ230"/>
    <mergeCell ref="QJA230:QJB230"/>
    <mergeCell ref="QLK230:QLL230"/>
    <mergeCell ref="QLM230:QLN230"/>
    <mergeCell ref="QLO230:QLP230"/>
    <mergeCell ref="QLQ230:QLR230"/>
    <mergeCell ref="QLS230:QLT230"/>
    <mergeCell ref="QLA230:QLB230"/>
    <mergeCell ref="QLC230:QLD230"/>
    <mergeCell ref="QLE230:QLF230"/>
    <mergeCell ref="QLG230:QLH230"/>
    <mergeCell ref="QLI230:QLJ230"/>
    <mergeCell ref="QKQ230:QKR230"/>
    <mergeCell ref="QKS230:QKT230"/>
    <mergeCell ref="QKU230:QKV230"/>
    <mergeCell ref="QKW230:QKX230"/>
    <mergeCell ref="QKY230:QKZ230"/>
    <mergeCell ref="QKG230:QKH230"/>
    <mergeCell ref="QKI230:QKJ230"/>
    <mergeCell ref="QKK230:QKL230"/>
    <mergeCell ref="QKM230:QKN230"/>
    <mergeCell ref="QKO230:QKP230"/>
    <mergeCell ref="QMY230:QMZ230"/>
    <mergeCell ref="QNA230:QNB230"/>
    <mergeCell ref="QNC230:QND230"/>
    <mergeCell ref="QNE230:QNF230"/>
    <mergeCell ref="QNG230:QNH230"/>
    <mergeCell ref="QMO230:QMP230"/>
    <mergeCell ref="QMQ230:QMR230"/>
    <mergeCell ref="QMS230:QMT230"/>
    <mergeCell ref="QMU230:QMV230"/>
    <mergeCell ref="QMW230:QMX230"/>
    <mergeCell ref="QME230:QMF230"/>
    <mergeCell ref="QMG230:QMH230"/>
    <mergeCell ref="QMI230:QMJ230"/>
    <mergeCell ref="QMK230:QML230"/>
    <mergeCell ref="QMM230:QMN230"/>
    <mergeCell ref="QLU230:QLV230"/>
    <mergeCell ref="QLW230:QLX230"/>
    <mergeCell ref="QLY230:QLZ230"/>
    <mergeCell ref="QMA230:QMB230"/>
    <mergeCell ref="QMC230:QMD230"/>
    <mergeCell ref="QOM230:QON230"/>
    <mergeCell ref="QOO230:QOP230"/>
    <mergeCell ref="QOQ230:QOR230"/>
    <mergeCell ref="QOS230:QOT230"/>
    <mergeCell ref="QOU230:QOV230"/>
    <mergeCell ref="QOC230:QOD230"/>
    <mergeCell ref="QOE230:QOF230"/>
    <mergeCell ref="QOG230:QOH230"/>
    <mergeCell ref="QOI230:QOJ230"/>
    <mergeCell ref="QOK230:QOL230"/>
    <mergeCell ref="QNS230:QNT230"/>
    <mergeCell ref="QNU230:QNV230"/>
    <mergeCell ref="QNW230:QNX230"/>
    <mergeCell ref="QNY230:QNZ230"/>
    <mergeCell ref="QOA230:QOB230"/>
    <mergeCell ref="QNI230:QNJ230"/>
    <mergeCell ref="QNK230:QNL230"/>
    <mergeCell ref="QNM230:QNN230"/>
    <mergeCell ref="QNO230:QNP230"/>
    <mergeCell ref="QNQ230:QNR230"/>
    <mergeCell ref="QQA230:QQB230"/>
    <mergeCell ref="QQC230:QQD230"/>
    <mergeCell ref="QQE230:QQF230"/>
    <mergeCell ref="QQG230:QQH230"/>
    <mergeCell ref="QQI230:QQJ230"/>
    <mergeCell ref="QPQ230:QPR230"/>
    <mergeCell ref="QPS230:QPT230"/>
    <mergeCell ref="QPU230:QPV230"/>
    <mergeCell ref="QPW230:QPX230"/>
    <mergeCell ref="QPY230:QPZ230"/>
    <mergeCell ref="QPG230:QPH230"/>
    <mergeCell ref="QPI230:QPJ230"/>
    <mergeCell ref="QPK230:QPL230"/>
    <mergeCell ref="QPM230:QPN230"/>
    <mergeCell ref="QPO230:QPP230"/>
    <mergeCell ref="QOW230:QOX230"/>
    <mergeCell ref="QOY230:QOZ230"/>
    <mergeCell ref="QPA230:QPB230"/>
    <mergeCell ref="QPC230:QPD230"/>
    <mergeCell ref="QPE230:QPF230"/>
    <mergeCell ref="QRO230:QRP230"/>
    <mergeCell ref="QRQ230:QRR230"/>
    <mergeCell ref="QRS230:QRT230"/>
    <mergeCell ref="QRU230:QRV230"/>
    <mergeCell ref="QRW230:QRX230"/>
    <mergeCell ref="QRE230:QRF230"/>
    <mergeCell ref="QRG230:QRH230"/>
    <mergeCell ref="QRI230:QRJ230"/>
    <mergeCell ref="QRK230:QRL230"/>
    <mergeCell ref="QRM230:QRN230"/>
    <mergeCell ref="QQU230:QQV230"/>
    <mergeCell ref="QQW230:QQX230"/>
    <mergeCell ref="QQY230:QQZ230"/>
    <mergeCell ref="QRA230:QRB230"/>
    <mergeCell ref="QRC230:QRD230"/>
    <mergeCell ref="QQK230:QQL230"/>
    <mergeCell ref="QQM230:QQN230"/>
    <mergeCell ref="QQO230:QQP230"/>
    <mergeCell ref="QQQ230:QQR230"/>
    <mergeCell ref="QQS230:QQT230"/>
    <mergeCell ref="QTC230:QTD230"/>
    <mergeCell ref="QTE230:QTF230"/>
    <mergeCell ref="QTG230:QTH230"/>
    <mergeCell ref="QTI230:QTJ230"/>
    <mergeCell ref="QTK230:QTL230"/>
    <mergeCell ref="QSS230:QST230"/>
    <mergeCell ref="QSU230:QSV230"/>
    <mergeCell ref="QSW230:QSX230"/>
    <mergeCell ref="QSY230:QSZ230"/>
    <mergeCell ref="QTA230:QTB230"/>
    <mergeCell ref="QSI230:QSJ230"/>
    <mergeCell ref="QSK230:QSL230"/>
    <mergeCell ref="QSM230:QSN230"/>
    <mergeCell ref="QSO230:QSP230"/>
    <mergeCell ref="QSQ230:QSR230"/>
    <mergeCell ref="QRY230:QRZ230"/>
    <mergeCell ref="QSA230:QSB230"/>
    <mergeCell ref="QSC230:QSD230"/>
    <mergeCell ref="QSE230:QSF230"/>
    <mergeCell ref="QSG230:QSH230"/>
    <mergeCell ref="QUQ230:QUR230"/>
    <mergeCell ref="QUS230:QUT230"/>
    <mergeCell ref="QUU230:QUV230"/>
    <mergeCell ref="QUW230:QUX230"/>
    <mergeCell ref="QUY230:QUZ230"/>
    <mergeCell ref="QUG230:QUH230"/>
    <mergeCell ref="QUI230:QUJ230"/>
    <mergeCell ref="QUK230:QUL230"/>
    <mergeCell ref="QUM230:QUN230"/>
    <mergeCell ref="QUO230:QUP230"/>
    <mergeCell ref="QTW230:QTX230"/>
    <mergeCell ref="QTY230:QTZ230"/>
    <mergeCell ref="QUA230:QUB230"/>
    <mergeCell ref="QUC230:QUD230"/>
    <mergeCell ref="QUE230:QUF230"/>
    <mergeCell ref="QTM230:QTN230"/>
    <mergeCell ref="QTO230:QTP230"/>
    <mergeCell ref="QTQ230:QTR230"/>
    <mergeCell ref="QTS230:QTT230"/>
    <mergeCell ref="QTU230:QTV230"/>
    <mergeCell ref="QWE230:QWF230"/>
    <mergeCell ref="QWG230:QWH230"/>
    <mergeCell ref="QWI230:QWJ230"/>
    <mergeCell ref="QWK230:QWL230"/>
    <mergeCell ref="QWM230:QWN230"/>
    <mergeCell ref="QVU230:QVV230"/>
    <mergeCell ref="QVW230:QVX230"/>
    <mergeCell ref="QVY230:QVZ230"/>
    <mergeCell ref="QWA230:QWB230"/>
    <mergeCell ref="QWC230:QWD230"/>
    <mergeCell ref="QVK230:QVL230"/>
    <mergeCell ref="QVM230:QVN230"/>
    <mergeCell ref="QVO230:QVP230"/>
    <mergeCell ref="QVQ230:QVR230"/>
    <mergeCell ref="QVS230:QVT230"/>
    <mergeCell ref="QVA230:QVB230"/>
    <mergeCell ref="QVC230:QVD230"/>
    <mergeCell ref="QVE230:QVF230"/>
    <mergeCell ref="QVG230:QVH230"/>
    <mergeCell ref="QVI230:QVJ230"/>
    <mergeCell ref="QXS230:QXT230"/>
    <mergeCell ref="QXU230:QXV230"/>
    <mergeCell ref="QXW230:QXX230"/>
    <mergeCell ref="QXY230:QXZ230"/>
    <mergeCell ref="QYA230:QYB230"/>
    <mergeCell ref="QXI230:QXJ230"/>
    <mergeCell ref="QXK230:QXL230"/>
    <mergeCell ref="QXM230:QXN230"/>
    <mergeCell ref="QXO230:QXP230"/>
    <mergeCell ref="QXQ230:QXR230"/>
    <mergeCell ref="QWY230:QWZ230"/>
    <mergeCell ref="QXA230:QXB230"/>
    <mergeCell ref="QXC230:QXD230"/>
    <mergeCell ref="QXE230:QXF230"/>
    <mergeCell ref="QXG230:QXH230"/>
    <mergeCell ref="QWO230:QWP230"/>
    <mergeCell ref="QWQ230:QWR230"/>
    <mergeCell ref="QWS230:QWT230"/>
    <mergeCell ref="QWU230:QWV230"/>
    <mergeCell ref="QWW230:QWX230"/>
    <mergeCell ref="QZG230:QZH230"/>
    <mergeCell ref="QZI230:QZJ230"/>
    <mergeCell ref="QZK230:QZL230"/>
    <mergeCell ref="QZM230:QZN230"/>
    <mergeCell ref="QZO230:QZP230"/>
    <mergeCell ref="QYW230:QYX230"/>
    <mergeCell ref="QYY230:QYZ230"/>
    <mergeCell ref="QZA230:QZB230"/>
    <mergeCell ref="QZC230:QZD230"/>
    <mergeCell ref="QZE230:QZF230"/>
    <mergeCell ref="QYM230:QYN230"/>
    <mergeCell ref="QYO230:QYP230"/>
    <mergeCell ref="QYQ230:QYR230"/>
    <mergeCell ref="QYS230:QYT230"/>
    <mergeCell ref="QYU230:QYV230"/>
    <mergeCell ref="QYC230:QYD230"/>
    <mergeCell ref="QYE230:QYF230"/>
    <mergeCell ref="QYG230:QYH230"/>
    <mergeCell ref="QYI230:QYJ230"/>
    <mergeCell ref="QYK230:QYL230"/>
    <mergeCell ref="RAU230:RAV230"/>
    <mergeCell ref="RAW230:RAX230"/>
    <mergeCell ref="RAY230:RAZ230"/>
    <mergeCell ref="RBA230:RBB230"/>
    <mergeCell ref="RBC230:RBD230"/>
    <mergeCell ref="RAK230:RAL230"/>
    <mergeCell ref="RAM230:RAN230"/>
    <mergeCell ref="RAO230:RAP230"/>
    <mergeCell ref="RAQ230:RAR230"/>
    <mergeCell ref="RAS230:RAT230"/>
    <mergeCell ref="RAA230:RAB230"/>
    <mergeCell ref="RAC230:RAD230"/>
    <mergeCell ref="RAE230:RAF230"/>
    <mergeCell ref="RAG230:RAH230"/>
    <mergeCell ref="RAI230:RAJ230"/>
    <mergeCell ref="QZQ230:QZR230"/>
    <mergeCell ref="QZS230:QZT230"/>
    <mergeCell ref="QZU230:QZV230"/>
    <mergeCell ref="QZW230:QZX230"/>
    <mergeCell ref="QZY230:QZZ230"/>
    <mergeCell ref="RCI230:RCJ230"/>
    <mergeCell ref="RCK230:RCL230"/>
    <mergeCell ref="RCM230:RCN230"/>
    <mergeCell ref="RCO230:RCP230"/>
    <mergeCell ref="RCQ230:RCR230"/>
    <mergeCell ref="RBY230:RBZ230"/>
    <mergeCell ref="RCA230:RCB230"/>
    <mergeCell ref="RCC230:RCD230"/>
    <mergeCell ref="RCE230:RCF230"/>
    <mergeCell ref="RCG230:RCH230"/>
    <mergeCell ref="RBO230:RBP230"/>
    <mergeCell ref="RBQ230:RBR230"/>
    <mergeCell ref="RBS230:RBT230"/>
    <mergeCell ref="RBU230:RBV230"/>
    <mergeCell ref="RBW230:RBX230"/>
    <mergeCell ref="RBE230:RBF230"/>
    <mergeCell ref="RBG230:RBH230"/>
    <mergeCell ref="RBI230:RBJ230"/>
    <mergeCell ref="RBK230:RBL230"/>
    <mergeCell ref="RBM230:RBN230"/>
    <mergeCell ref="RDW230:RDX230"/>
    <mergeCell ref="RDY230:RDZ230"/>
    <mergeCell ref="REA230:REB230"/>
    <mergeCell ref="REC230:RED230"/>
    <mergeCell ref="REE230:REF230"/>
    <mergeCell ref="RDM230:RDN230"/>
    <mergeCell ref="RDO230:RDP230"/>
    <mergeCell ref="RDQ230:RDR230"/>
    <mergeCell ref="RDS230:RDT230"/>
    <mergeCell ref="RDU230:RDV230"/>
    <mergeCell ref="RDC230:RDD230"/>
    <mergeCell ref="RDE230:RDF230"/>
    <mergeCell ref="RDG230:RDH230"/>
    <mergeCell ref="RDI230:RDJ230"/>
    <mergeCell ref="RDK230:RDL230"/>
    <mergeCell ref="RCS230:RCT230"/>
    <mergeCell ref="RCU230:RCV230"/>
    <mergeCell ref="RCW230:RCX230"/>
    <mergeCell ref="RCY230:RCZ230"/>
    <mergeCell ref="RDA230:RDB230"/>
    <mergeCell ref="RFK230:RFL230"/>
    <mergeCell ref="RFM230:RFN230"/>
    <mergeCell ref="RFO230:RFP230"/>
    <mergeCell ref="RFQ230:RFR230"/>
    <mergeCell ref="RFS230:RFT230"/>
    <mergeCell ref="RFA230:RFB230"/>
    <mergeCell ref="RFC230:RFD230"/>
    <mergeCell ref="RFE230:RFF230"/>
    <mergeCell ref="RFG230:RFH230"/>
    <mergeCell ref="RFI230:RFJ230"/>
    <mergeCell ref="REQ230:RER230"/>
    <mergeCell ref="RES230:RET230"/>
    <mergeCell ref="REU230:REV230"/>
    <mergeCell ref="REW230:REX230"/>
    <mergeCell ref="REY230:REZ230"/>
    <mergeCell ref="REG230:REH230"/>
    <mergeCell ref="REI230:REJ230"/>
    <mergeCell ref="REK230:REL230"/>
    <mergeCell ref="REM230:REN230"/>
    <mergeCell ref="REO230:REP230"/>
    <mergeCell ref="RGY230:RGZ230"/>
    <mergeCell ref="RHA230:RHB230"/>
    <mergeCell ref="RHC230:RHD230"/>
    <mergeCell ref="RHE230:RHF230"/>
    <mergeCell ref="RHG230:RHH230"/>
    <mergeCell ref="RGO230:RGP230"/>
    <mergeCell ref="RGQ230:RGR230"/>
    <mergeCell ref="RGS230:RGT230"/>
    <mergeCell ref="RGU230:RGV230"/>
    <mergeCell ref="RGW230:RGX230"/>
    <mergeCell ref="RGE230:RGF230"/>
    <mergeCell ref="RGG230:RGH230"/>
    <mergeCell ref="RGI230:RGJ230"/>
    <mergeCell ref="RGK230:RGL230"/>
    <mergeCell ref="RGM230:RGN230"/>
    <mergeCell ref="RFU230:RFV230"/>
    <mergeCell ref="RFW230:RFX230"/>
    <mergeCell ref="RFY230:RFZ230"/>
    <mergeCell ref="RGA230:RGB230"/>
    <mergeCell ref="RGC230:RGD230"/>
    <mergeCell ref="RIM230:RIN230"/>
    <mergeCell ref="RIO230:RIP230"/>
    <mergeCell ref="RIQ230:RIR230"/>
    <mergeCell ref="RIS230:RIT230"/>
    <mergeCell ref="RIU230:RIV230"/>
    <mergeCell ref="RIC230:RID230"/>
    <mergeCell ref="RIE230:RIF230"/>
    <mergeCell ref="RIG230:RIH230"/>
    <mergeCell ref="RII230:RIJ230"/>
    <mergeCell ref="RIK230:RIL230"/>
    <mergeCell ref="RHS230:RHT230"/>
    <mergeCell ref="RHU230:RHV230"/>
    <mergeCell ref="RHW230:RHX230"/>
    <mergeCell ref="RHY230:RHZ230"/>
    <mergeCell ref="RIA230:RIB230"/>
    <mergeCell ref="RHI230:RHJ230"/>
    <mergeCell ref="RHK230:RHL230"/>
    <mergeCell ref="RHM230:RHN230"/>
    <mergeCell ref="RHO230:RHP230"/>
    <mergeCell ref="RHQ230:RHR230"/>
    <mergeCell ref="RKA230:RKB230"/>
    <mergeCell ref="RKC230:RKD230"/>
    <mergeCell ref="RKE230:RKF230"/>
    <mergeCell ref="RKG230:RKH230"/>
    <mergeCell ref="RKI230:RKJ230"/>
    <mergeCell ref="RJQ230:RJR230"/>
    <mergeCell ref="RJS230:RJT230"/>
    <mergeCell ref="RJU230:RJV230"/>
    <mergeCell ref="RJW230:RJX230"/>
    <mergeCell ref="RJY230:RJZ230"/>
    <mergeCell ref="RJG230:RJH230"/>
    <mergeCell ref="RJI230:RJJ230"/>
    <mergeCell ref="RJK230:RJL230"/>
    <mergeCell ref="RJM230:RJN230"/>
    <mergeCell ref="RJO230:RJP230"/>
    <mergeCell ref="RIW230:RIX230"/>
    <mergeCell ref="RIY230:RIZ230"/>
    <mergeCell ref="RJA230:RJB230"/>
    <mergeCell ref="RJC230:RJD230"/>
    <mergeCell ref="RJE230:RJF230"/>
    <mergeCell ref="RLO230:RLP230"/>
    <mergeCell ref="RLQ230:RLR230"/>
    <mergeCell ref="RLS230:RLT230"/>
    <mergeCell ref="RLU230:RLV230"/>
    <mergeCell ref="RLW230:RLX230"/>
    <mergeCell ref="RLE230:RLF230"/>
    <mergeCell ref="RLG230:RLH230"/>
    <mergeCell ref="RLI230:RLJ230"/>
    <mergeCell ref="RLK230:RLL230"/>
    <mergeCell ref="RLM230:RLN230"/>
    <mergeCell ref="RKU230:RKV230"/>
    <mergeCell ref="RKW230:RKX230"/>
    <mergeCell ref="RKY230:RKZ230"/>
    <mergeCell ref="RLA230:RLB230"/>
    <mergeCell ref="RLC230:RLD230"/>
    <mergeCell ref="RKK230:RKL230"/>
    <mergeCell ref="RKM230:RKN230"/>
    <mergeCell ref="RKO230:RKP230"/>
    <mergeCell ref="RKQ230:RKR230"/>
    <mergeCell ref="RKS230:RKT230"/>
    <mergeCell ref="RNC230:RND230"/>
    <mergeCell ref="RNE230:RNF230"/>
    <mergeCell ref="RNG230:RNH230"/>
    <mergeCell ref="RNI230:RNJ230"/>
    <mergeCell ref="RNK230:RNL230"/>
    <mergeCell ref="RMS230:RMT230"/>
    <mergeCell ref="RMU230:RMV230"/>
    <mergeCell ref="RMW230:RMX230"/>
    <mergeCell ref="RMY230:RMZ230"/>
    <mergeCell ref="RNA230:RNB230"/>
    <mergeCell ref="RMI230:RMJ230"/>
    <mergeCell ref="RMK230:RML230"/>
    <mergeCell ref="RMM230:RMN230"/>
    <mergeCell ref="RMO230:RMP230"/>
    <mergeCell ref="RMQ230:RMR230"/>
    <mergeCell ref="RLY230:RLZ230"/>
    <mergeCell ref="RMA230:RMB230"/>
    <mergeCell ref="RMC230:RMD230"/>
    <mergeCell ref="RME230:RMF230"/>
    <mergeCell ref="RMG230:RMH230"/>
    <mergeCell ref="ROQ230:ROR230"/>
    <mergeCell ref="ROS230:ROT230"/>
    <mergeCell ref="ROU230:ROV230"/>
    <mergeCell ref="ROW230:ROX230"/>
    <mergeCell ref="ROY230:ROZ230"/>
    <mergeCell ref="ROG230:ROH230"/>
    <mergeCell ref="ROI230:ROJ230"/>
    <mergeCell ref="ROK230:ROL230"/>
    <mergeCell ref="ROM230:RON230"/>
    <mergeCell ref="ROO230:ROP230"/>
    <mergeCell ref="RNW230:RNX230"/>
    <mergeCell ref="RNY230:RNZ230"/>
    <mergeCell ref="ROA230:ROB230"/>
    <mergeCell ref="ROC230:ROD230"/>
    <mergeCell ref="ROE230:ROF230"/>
    <mergeCell ref="RNM230:RNN230"/>
    <mergeCell ref="RNO230:RNP230"/>
    <mergeCell ref="RNQ230:RNR230"/>
    <mergeCell ref="RNS230:RNT230"/>
    <mergeCell ref="RNU230:RNV230"/>
    <mergeCell ref="RQE230:RQF230"/>
    <mergeCell ref="RQG230:RQH230"/>
    <mergeCell ref="RQI230:RQJ230"/>
    <mergeCell ref="RQK230:RQL230"/>
    <mergeCell ref="RQM230:RQN230"/>
    <mergeCell ref="RPU230:RPV230"/>
    <mergeCell ref="RPW230:RPX230"/>
    <mergeCell ref="RPY230:RPZ230"/>
    <mergeCell ref="RQA230:RQB230"/>
    <mergeCell ref="RQC230:RQD230"/>
    <mergeCell ref="RPK230:RPL230"/>
    <mergeCell ref="RPM230:RPN230"/>
    <mergeCell ref="RPO230:RPP230"/>
    <mergeCell ref="RPQ230:RPR230"/>
    <mergeCell ref="RPS230:RPT230"/>
    <mergeCell ref="RPA230:RPB230"/>
    <mergeCell ref="RPC230:RPD230"/>
    <mergeCell ref="RPE230:RPF230"/>
    <mergeCell ref="RPG230:RPH230"/>
    <mergeCell ref="RPI230:RPJ230"/>
    <mergeCell ref="RRS230:RRT230"/>
    <mergeCell ref="RRU230:RRV230"/>
    <mergeCell ref="RRW230:RRX230"/>
    <mergeCell ref="RRY230:RRZ230"/>
    <mergeCell ref="RSA230:RSB230"/>
    <mergeCell ref="RRI230:RRJ230"/>
    <mergeCell ref="RRK230:RRL230"/>
    <mergeCell ref="RRM230:RRN230"/>
    <mergeCell ref="RRO230:RRP230"/>
    <mergeCell ref="RRQ230:RRR230"/>
    <mergeCell ref="RQY230:RQZ230"/>
    <mergeCell ref="RRA230:RRB230"/>
    <mergeCell ref="RRC230:RRD230"/>
    <mergeCell ref="RRE230:RRF230"/>
    <mergeCell ref="RRG230:RRH230"/>
    <mergeCell ref="RQO230:RQP230"/>
    <mergeCell ref="RQQ230:RQR230"/>
    <mergeCell ref="RQS230:RQT230"/>
    <mergeCell ref="RQU230:RQV230"/>
    <mergeCell ref="RQW230:RQX230"/>
    <mergeCell ref="RTG230:RTH230"/>
    <mergeCell ref="RTI230:RTJ230"/>
    <mergeCell ref="RTK230:RTL230"/>
    <mergeCell ref="RTM230:RTN230"/>
    <mergeCell ref="RTO230:RTP230"/>
    <mergeCell ref="RSW230:RSX230"/>
    <mergeCell ref="RSY230:RSZ230"/>
    <mergeCell ref="RTA230:RTB230"/>
    <mergeCell ref="RTC230:RTD230"/>
    <mergeCell ref="RTE230:RTF230"/>
    <mergeCell ref="RSM230:RSN230"/>
    <mergeCell ref="RSO230:RSP230"/>
    <mergeCell ref="RSQ230:RSR230"/>
    <mergeCell ref="RSS230:RST230"/>
    <mergeCell ref="RSU230:RSV230"/>
    <mergeCell ref="RSC230:RSD230"/>
    <mergeCell ref="RSE230:RSF230"/>
    <mergeCell ref="RSG230:RSH230"/>
    <mergeCell ref="RSI230:RSJ230"/>
    <mergeCell ref="RSK230:RSL230"/>
    <mergeCell ref="RUU230:RUV230"/>
    <mergeCell ref="RUW230:RUX230"/>
    <mergeCell ref="RUY230:RUZ230"/>
    <mergeCell ref="RVA230:RVB230"/>
    <mergeCell ref="RVC230:RVD230"/>
    <mergeCell ref="RUK230:RUL230"/>
    <mergeCell ref="RUM230:RUN230"/>
    <mergeCell ref="RUO230:RUP230"/>
    <mergeCell ref="RUQ230:RUR230"/>
    <mergeCell ref="RUS230:RUT230"/>
    <mergeCell ref="RUA230:RUB230"/>
    <mergeCell ref="RUC230:RUD230"/>
    <mergeCell ref="RUE230:RUF230"/>
    <mergeCell ref="RUG230:RUH230"/>
    <mergeCell ref="RUI230:RUJ230"/>
    <mergeCell ref="RTQ230:RTR230"/>
    <mergeCell ref="RTS230:RTT230"/>
    <mergeCell ref="RTU230:RTV230"/>
    <mergeCell ref="RTW230:RTX230"/>
    <mergeCell ref="RTY230:RTZ230"/>
    <mergeCell ref="RWI230:RWJ230"/>
    <mergeCell ref="RWK230:RWL230"/>
    <mergeCell ref="RWM230:RWN230"/>
    <mergeCell ref="RWO230:RWP230"/>
    <mergeCell ref="RWQ230:RWR230"/>
    <mergeCell ref="RVY230:RVZ230"/>
    <mergeCell ref="RWA230:RWB230"/>
    <mergeCell ref="RWC230:RWD230"/>
    <mergeCell ref="RWE230:RWF230"/>
    <mergeCell ref="RWG230:RWH230"/>
    <mergeCell ref="RVO230:RVP230"/>
    <mergeCell ref="RVQ230:RVR230"/>
    <mergeCell ref="RVS230:RVT230"/>
    <mergeCell ref="RVU230:RVV230"/>
    <mergeCell ref="RVW230:RVX230"/>
    <mergeCell ref="RVE230:RVF230"/>
    <mergeCell ref="RVG230:RVH230"/>
    <mergeCell ref="RVI230:RVJ230"/>
    <mergeCell ref="RVK230:RVL230"/>
    <mergeCell ref="RVM230:RVN230"/>
    <mergeCell ref="RXW230:RXX230"/>
    <mergeCell ref="RXY230:RXZ230"/>
    <mergeCell ref="RYA230:RYB230"/>
    <mergeCell ref="RYC230:RYD230"/>
    <mergeCell ref="RYE230:RYF230"/>
    <mergeCell ref="RXM230:RXN230"/>
    <mergeCell ref="RXO230:RXP230"/>
    <mergeCell ref="RXQ230:RXR230"/>
    <mergeCell ref="RXS230:RXT230"/>
    <mergeCell ref="RXU230:RXV230"/>
    <mergeCell ref="RXC230:RXD230"/>
    <mergeCell ref="RXE230:RXF230"/>
    <mergeCell ref="RXG230:RXH230"/>
    <mergeCell ref="RXI230:RXJ230"/>
    <mergeCell ref="RXK230:RXL230"/>
    <mergeCell ref="RWS230:RWT230"/>
    <mergeCell ref="RWU230:RWV230"/>
    <mergeCell ref="RWW230:RWX230"/>
    <mergeCell ref="RWY230:RWZ230"/>
    <mergeCell ref="RXA230:RXB230"/>
    <mergeCell ref="RZK230:RZL230"/>
    <mergeCell ref="RZM230:RZN230"/>
    <mergeCell ref="RZO230:RZP230"/>
    <mergeCell ref="RZQ230:RZR230"/>
    <mergeCell ref="RZS230:RZT230"/>
    <mergeCell ref="RZA230:RZB230"/>
    <mergeCell ref="RZC230:RZD230"/>
    <mergeCell ref="RZE230:RZF230"/>
    <mergeCell ref="RZG230:RZH230"/>
    <mergeCell ref="RZI230:RZJ230"/>
    <mergeCell ref="RYQ230:RYR230"/>
    <mergeCell ref="RYS230:RYT230"/>
    <mergeCell ref="RYU230:RYV230"/>
    <mergeCell ref="RYW230:RYX230"/>
    <mergeCell ref="RYY230:RYZ230"/>
    <mergeCell ref="RYG230:RYH230"/>
    <mergeCell ref="RYI230:RYJ230"/>
    <mergeCell ref="RYK230:RYL230"/>
    <mergeCell ref="RYM230:RYN230"/>
    <mergeCell ref="RYO230:RYP230"/>
    <mergeCell ref="SAY230:SAZ230"/>
    <mergeCell ref="SBA230:SBB230"/>
    <mergeCell ref="SBC230:SBD230"/>
    <mergeCell ref="SBE230:SBF230"/>
    <mergeCell ref="SBG230:SBH230"/>
    <mergeCell ref="SAO230:SAP230"/>
    <mergeCell ref="SAQ230:SAR230"/>
    <mergeCell ref="SAS230:SAT230"/>
    <mergeCell ref="SAU230:SAV230"/>
    <mergeCell ref="SAW230:SAX230"/>
    <mergeCell ref="SAE230:SAF230"/>
    <mergeCell ref="SAG230:SAH230"/>
    <mergeCell ref="SAI230:SAJ230"/>
    <mergeCell ref="SAK230:SAL230"/>
    <mergeCell ref="SAM230:SAN230"/>
    <mergeCell ref="RZU230:RZV230"/>
    <mergeCell ref="RZW230:RZX230"/>
    <mergeCell ref="RZY230:RZZ230"/>
    <mergeCell ref="SAA230:SAB230"/>
    <mergeCell ref="SAC230:SAD230"/>
    <mergeCell ref="SCM230:SCN230"/>
    <mergeCell ref="SCO230:SCP230"/>
    <mergeCell ref="SCQ230:SCR230"/>
    <mergeCell ref="SCS230:SCT230"/>
    <mergeCell ref="SCU230:SCV230"/>
    <mergeCell ref="SCC230:SCD230"/>
    <mergeCell ref="SCE230:SCF230"/>
    <mergeCell ref="SCG230:SCH230"/>
    <mergeCell ref="SCI230:SCJ230"/>
    <mergeCell ref="SCK230:SCL230"/>
    <mergeCell ref="SBS230:SBT230"/>
    <mergeCell ref="SBU230:SBV230"/>
    <mergeCell ref="SBW230:SBX230"/>
    <mergeCell ref="SBY230:SBZ230"/>
    <mergeCell ref="SCA230:SCB230"/>
    <mergeCell ref="SBI230:SBJ230"/>
    <mergeCell ref="SBK230:SBL230"/>
    <mergeCell ref="SBM230:SBN230"/>
    <mergeCell ref="SBO230:SBP230"/>
    <mergeCell ref="SBQ230:SBR230"/>
    <mergeCell ref="SEA230:SEB230"/>
    <mergeCell ref="SEC230:SED230"/>
    <mergeCell ref="SEE230:SEF230"/>
    <mergeCell ref="SEG230:SEH230"/>
    <mergeCell ref="SEI230:SEJ230"/>
    <mergeCell ref="SDQ230:SDR230"/>
    <mergeCell ref="SDS230:SDT230"/>
    <mergeCell ref="SDU230:SDV230"/>
    <mergeCell ref="SDW230:SDX230"/>
    <mergeCell ref="SDY230:SDZ230"/>
    <mergeCell ref="SDG230:SDH230"/>
    <mergeCell ref="SDI230:SDJ230"/>
    <mergeCell ref="SDK230:SDL230"/>
    <mergeCell ref="SDM230:SDN230"/>
    <mergeCell ref="SDO230:SDP230"/>
    <mergeCell ref="SCW230:SCX230"/>
    <mergeCell ref="SCY230:SCZ230"/>
    <mergeCell ref="SDA230:SDB230"/>
    <mergeCell ref="SDC230:SDD230"/>
    <mergeCell ref="SDE230:SDF230"/>
    <mergeCell ref="SFO230:SFP230"/>
    <mergeCell ref="SFQ230:SFR230"/>
    <mergeCell ref="SFS230:SFT230"/>
    <mergeCell ref="SFU230:SFV230"/>
    <mergeCell ref="SFW230:SFX230"/>
    <mergeCell ref="SFE230:SFF230"/>
    <mergeCell ref="SFG230:SFH230"/>
    <mergeCell ref="SFI230:SFJ230"/>
    <mergeCell ref="SFK230:SFL230"/>
    <mergeCell ref="SFM230:SFN230"/>
    <mergeCell ref="SEU230:SEV230"/>
    <mergeCell ref="SEW230:SEX230"/>
    <mergeCell ref="SEY230:SEZ230"/>
    <mergeCell ref="SFA230:SFB230"/>
    <mergeCell ref="SFC230:SFD230"/>
    <mergeCell ref="SEK230:SEL230"/>
    <mergeCell ref="SEM230:SEN230"/>
    <mergeCell ref="SEO230:SEP230"/>
    <mergeCell ref="SEQ230:SER230"/>
    <mergeCell ref="SES230:SET230"/>
    <mergeCell ref="SHC230:SHD230"/>
    <mergeCell ref="SHE230:SHF230"/>
    <mergeCell ref="SHG230:SHH230"/>
    <mergeCell ref="SHI230:SHJ230"/>
    <mergeCell ref="SHK230:SHL230"/>
    <mergeCell ref="SGS230:SGT230"/>
    <mergeCell ref="SGU230:SGV230"/>
    <mergeCell ref="SGW230:SGX230"/>
    <mergeCell ref="SGY230:SGZ230"/>
    <mergeCell ref="SHA230:SHB230"/>
    <mergeCell ref="SGI230:SGJ230"/>
    <mergeCell ref="SGK230:SGL230"/>
    <mergeCell ref="SGM230:SGN230"/>
    <mergeCell ref="SGO230:SGP230"/>
    <mergeCell ref="SGQ230:SGR230"/>
    <mergeCell ref="SFY230:SFZ230"/>
    <mergeCell ref="SGA230:SGB230"/>
    <mergeCell ref="SGC230:SGD230"/>
    <mergeCell ref="SGE230:SGF230"/>
    <mergeCell ref="SGG230:SGH230"/>
    <mergeCell ref="SIQ230:SIR230"/>
    <mergeCell ref="SIS230:SIT230"/>
    <mergeCell ref="SIU230:SIV230"/>
    <mergeCell ref="SIW230:SIX230"/>
    <mergeCell ref="SIY230:SIZ230"/>
    <mergeCell ref="SIG230:SIH230"/>
    <mergeCell ref="SII230:SIJ230"/>
    <mergeCell ref="SIK230:SIL230"/>
    <mergeCell ref="SIM230:SIN230"/>
    <mergeCell ref="SIO230:SIP230"/>
    <mergeCell ref="SHW230:SHX230"/>
    <mergeCell ref="SHY230:SHZ230"/>
    <mergeCell ref="SIA230:SIB230"/>
    <mergeCell ref="SIC230:SID230"/>
    <mergeCell ref="SIE230:SIF230"/>
    <mergeCell ref="SHM230:SHN230"/>
    <mergeCell ref="SHO230:SHP230"/>
    <mergeCell ref="SHQ230:SHR230"/>
    <mergeCell ref="SHS230:SHT230"/>
    <mergeCell ref="SHU230:SHV230"/>
    <mergeCell ref="SKE230:SKF230"/>
    <mergeCell ref="SKG230:SKH230"/>
    <mergeCell ref="SKI230:SKJ230"/>
    <mergeCell ref="SKK230:SKL230"/>
    <mergeCell ref="SKM230:SKN230"/>
    <mergeCell ref="SJU230:SJV230"/>
    <mergeCell ref="SJW230:SJX230"/>
    <mergeCell ref="SJY230:SJZ230"/>
    <mergeCell ref="SKA230:SKB230"/>
    <mergeCell ref="SKC230:SKD230"/>
    <mergeCell ref="SJK230:SJL230"/>
    <mergeCell ref="SJM230:SJN230"/>
    <mergeCell ref="SJO230:SJP230"/>
    <mergeCell ref="SJQ230:SJR230"/>
    <mergeCell ref="SJS230:SJT230"/>
    <mergeCell ref="SJA230:SJB230"/>
    <mergeCell ref="SJC230:SJD230"/>
    <mergeCell ref="SJE230:SJF230"/>
    <mergeCell ref="SJG230:SJH230"/>
    <mergeCell ref="SJI230:SJJ230"/>
    <mergeCell ref="SLS230:SLT230"/>
    <mergeCell ref="SLU230:SLV230"/>
    <mergeCell ref="SLW230:SLX230"/>
    <mergeCell ref="SLY230:SLZ230"/>
    <mergeCell ref="SMA230:SMB230"/>
    <mergeCell ref="SLI230:SLJ230"/>
    <mergeCell ref="SLK230:SLL230"/>
    <mergeCell ref="SLM230:SLN230"/>
    <mergeCell ref="SLO230:SLP230"/>
    <mergeCell ref="SLQ230:SLR230"/>
    <mergeCell ref="SKY230:SKZ230"/>
    <mergeCell ref="SLA230:SLB230"/>
    <mergeCell ref="SLC230:SLD230"/>
    <mergeCell ref="SLE230:SLF230"/>
    <mergeCell ref="SLG230:SLH230"/>
    <mergeCell ref="SKO230:SKP230"/>
    <mergeCell ref="SKQ230:SKR230"/>
    <mergeCell ref="SKS230:SKT230"/>
    <mergeCell ref="SKU230:SKV230"/>
    <mergeCell ref="SKW230:SKX230"/>
    <mergeCell ref="SNG230:SNH230"/>
    <mergeCell ref="SNI230:SNJ230"/>
    <mergeCell ref="SNK230:SNL230"/>
    <mergeCell ref="SNM230:SNN230"/>
    <mergeCell ref="SNO230:SNP230"/>
    <mergeCell ref="SMW230:SMX230"/>
    <mergeCell ref="SMY230:SMZ230"/>
    <mergeCell ref="SNA230:SNB230"/>
    <mergeCell ref="SNC230:SND230"/>
    <mergeCell ref="SNE230:SNF230"/>
    <mergeCell ref="SMM230:SMN230"/>
    <mergeCell ref="SMO230:SMP230"/>
    <mergeCell ref="SMQ230:SMR230"/>
    <mergeCell ref="SMS230:SMT230"/>
    <mergeCell ref="SMU230:SMV230"/>
    <mergeCell ref="SMC230:SMD230"/>
    <mergeCell ref="SME230:SMF230"/>
    <mergeCell ref="SMG230:SMH230"/>
    <mergeCell ref="SMI230:SMJ230"/>
    <mergeCell ref="SMK230:SML230"/>
    <mergeCell ref="SOU230:SOV230"/>
    <mergeCell ref="SOW230:SOX230"/>
    <mergeCell ref="SOY230:SOZ230"/>
    <mergeCell ref="SPA230:SPB230"/>
    <mergeCell ref="SPC230:SPD230"/>
    <mergeCell ref="SOK230:SOL230"/>
    <mergeCell ref="SOM230:SON230"/>
    <mergeCell ref="SOO230:SOP230"/>
    <mergeCell ref="SOQ230:SOR230"/>
    <mergeCell ref="SOS230:SOT230"/>
    <mergeCell ref="SOA230:SOB230"/>
    <mergeCell ref="SOC230:SOD230"/>
    <mergeCell ref="SOE230:SOF230"/>
    <mergeCell ref="SOG230:SOH230"/>
    <mergeCell ref="SOI230:SOJ230"/>
    <mergeCell ref="SNQ230:SNR230"/>
    <mergeCell ref="SNS230:SNT230"/>
    <mergeCell ref="SNU230:SNV230"/>
    <mergeCell ref="SNW230:SNX230"/>
    <mergeCell ref="SNY230:SNZ230"/>
    <mergeCell ref="SQI230:SQJ230"/>
    <mergeCell ref="SQK230:SQL230"/>
    <mergeCell ref="SQM230:SQN230"/>
    <mergeCell ref="SQO230:SQP230"/>
    <mergeCell ref="SQQ230:SQR230"/>
    <mergeCell ref="SPY230:SPZ230"/>
    <mergeCell ref="SQA230:SQB230"/>
    <mergeCell ref="SQC230:SQD230"/>
    <mergeCell ref="SQE230:SQF230"/>
    <mergeCell ref="SQG230:SQH230"/>
    <mergeCell ref="SPO230:SPP230"/>
    <mergeCell ref="SPQ230:SPR230"/>
    <mergeCell ref="SPS230:SPT230"/>
    <mergeCell ref="SPU230:SPV230"/>
    <mergeCell ref="SPW230:SPX230"/>
    <mergeCell ref="SPE230:SPF230"/>
    <mergeCell ref="SPG230:SPH230"/>
    <mergeCell ref="SPI230:SPJ230"/>
    <mergeCell ref="SPK230:SPL230"/>
    <mergeCell ref="SPM230:SPN230"/>
    <mergeCell ref="SRW230:SRX230"/>
    <mergeCell ref="SRY230:SRZ230"/>
    <mergeCell ref="SSA230:SSB230"/>
    <mergeCell ref="SSC230:SSD230"/>
    <mergeCell ref="SSE230:SSF230"/>
    <mergeCell ref="SRM230:SRN230"/>
    <mergeCell ref="SRO230:SRP230"/>
    <mergeCell ref="SRQ230:SRR230"/>
    <mergeCell ref="SRS230:SRT230"/>
    <mergeCell ref="SRU230:SRV230"/>
    <mergeCell ref="SRC230:SRD230"/>
    <mergeCell ref="SRE230:SRF230"/>
    <mergeCell ref="SRG230:SRH230"/>
    <mergeCell ref="SRI230:SRJ230"/>
    <mergeCell ref="SRK230:SRL230"/>
    <mergeCell ref="SQS230:SQT230"/>
    <mergeCell ref="SQU230:SQV230"/>
    <mergeCell ref="SQW230:SQX230"/>
    <mergeCell ref="SQY230:SQZ230"/>
    <mergeCell ref="SRA230:SRB230"/>
    <mergeCell ref="STK230:STL230"/>
    <mergeCell ref="STM230:STN230"/>
    <mergeCell ref="STO230:STP230"/>
    <mergeCell ref="STQ230:STR230"/>
    <mergeCell ref="STS230:STT230"/>
    <mergeCell ref="STA230:STB230"/>
    <mergeCell ref="STC230:STD230"/>
    <mergeCell ref="STE230:STF230"/>
    <mergeCell ref="STG230:STH230"/>
    <mergeCell ref="STI230:STJ230"/>
    <mergeCell ref="SSQ230:SSR230"/>
    <mergeCell ref="SSS230:SST230"/>
    <mergeCell ref="SSU230:SSV230"/>
    <mergeCell ref="SSW230:SSX230"/>
    <mergeCell ref="SSY230:SSZ230"/>
    <mergeCell ref="SSG230:SSH230"/>
    <mergeCell ref="SSI230:SSJ230"/>
    <mergeCell ref="SSK230:SSL230"/>
    <mergeCell ref="SSM230:SSN230"/>
    <mergeCell ref="SSO230:SSP230"/>
    <mergeCell ref="SUY230:SUZ230"/>
    <mergeCell ref="SVA230:SVB230"/>
    <mergeCell ref="SVC230:SVD230"/>
    <mergeCell ref="SVE230:SVF230"/>
    <mergeCell ref="SVG230:SVH230"/>
    <mergeCell ref="SUO230:SUP230"/>
    <mergeCell ref="SUQ230:SUR230"/>
    <mergeCell ref="SUS230:SUT230"/>
    <mergeCell ref="SUU230:SUV230"/>
    <mergeCell ref="SUW230:SUX230"/>
    <mergeCell ref="SUE230:SUF230"/>
    <mergeCell ref="SUG230:SUH230"/>
    <mergeCell ref="SUI230:SUJ230"/>
    <mergeCell ref="SUK230:SUL230"/>
    <mergeCell ref="SUM230:SUN230"/>
    <mergeCell ref="STU230:STV230"/>
    <mergeCell ref="STW230:STX230"/>
    <mergeCell ref="STY230:STZ230"/>
    <mergeCell ref="SUA230:SUB230"/>
    <mergeCell ref="SUC230:SUD230"/>
    <mergeCell ref="SWM230:SWN230"/>
    <mergeCell ref="SWO230:SWP230"/>
    <mergeCell ref="SWQ230:SWR230"/>
    <mergeCell ref="SWS230:SWT230"/>
    <mergeCell ref="SWU230:SWV230"/>
    <mergeCell ref="SWC230:SWD230"/>
    <mergeCell ref="SWE230:SWF230"/>
    <mergeCell ref="SWG230:SWH230"/>
    <mergeCell ref="SWI230:SWJ230"/>
    <mergeCell ref="SWK230:SWL230"/>
    <mergeCell ref="SVS230:SVT230"/>
    <mergeCell ref="SVU230:SVV230"/>
    <mergeCell ref="SVW230:SVX230"/>
    <mergeCell ref="SVY230:SVZ230"/>
    <mergeCell ref="SWA230:SWB230"/>
    <mergeCell ref="SVI230:SVJ230"/>
    <mergeCell ref="SVK230:SVL230"/>
    <mergeCell ref="SVM230:SVN230"/>
    <mergeCell ref="SVO230:SVP230"/>
    <mergeCell ref="SVQ230:SVR230"/>
    <mergeCell ref="SYA230:SYB230"/>
    <mergeCell ref="SYC230:SYD230"/>
    <mergeCell ref="SYE230:SYF230"/>
    <mergeCell ref="SYG230:SYH230"/>
    <mergeCell ref="SYI230:SYJ230"/>
    <mergeCell ref="SXQ230:SXR230"/>
    <mergeCell ref="SXS230:SXT230"/>
    <mergeCell ref="SXU230:SXV230"/>
    <mergeCell ref="SXW230:SXX230"/>
    <mergeCell ref="SXY230:SXZ230"/>
    <mergeCell ref="SXG230:SXH230"/>
    <mergeCell ref="SXI230:SXJ230"/>
    <mergeCell ref="SXK230:SXL230"/>
    <mergeCell ref="SXM230:SXN230"/>
    <mergeCell ref="SXO230:SXP230"/>
    <mergeCell ref="SWW230:SWX230"/>
    <mergeCell ref="SWY230:SWZ230"/>
    <mergeCell ref="SXA230:SXB230"/>
    <mergeCell ref="SXC230:SXD230"/>
    <mergeCell ref="SXE230:SXF230"/>
    <mergeCell ref="SZO230:SZP230"/>
    <mergeCell ref="SZQ230:SZR230"/>
    <mergeCell ref="SZS230:SZT230"/>
    <mergeCell ref="SZU230:SZV230"/>
    <mergeCell ref="SZW230:SZX230"/>
    <mergeCell ref="SZE230:SZF230"/>
    <mergeCell ref="SZG230:SZH230"/>
    <mergeCell ref="SZI230:SZJ230"/>
    <mergeCell ref="SZK230:SZL230"/>
    <mergeCell ref="SZM230:SZN230"/>
    <mergeCell ref="SYU230:SYV230"/>
    <mergeCell ref="SYW230:SYX230"/>
    <mergeCell ref="SYY230:SYZ230"/>
    <mergeCell ref="SZA230:SZB230"/>
    <mergeCell ref="SZC230:SZD230"/>
    <mergeCell ref="SYK230:SYL230"/>
    <mergeCell ref="SYM230:SYN230"/>
    <mergeCell ref="SYO230:SYP230"/>
    <mergeCell ref="SYQ230:SYR230"/>
    <mergeCell ref="SYS230:SYT230"/>
    <mergeCell ref="TBC230:TBD230"/>
    <mergeCell ref="TBE230:TBF230"/>
    <mergeCell ref="TBG230:TBH230"/>
    <mergeCell ref="TBI230:TBJ230"/>
    <mergeCell ref="TBK230:TBL230"/>
    <mergeCell ref="TAS230:TAT230"/>
    <mergeCell ref="TAU230:TAV230"/>
    <mergeCell ref="TAW230:TAX230"/>
    <mergeCell ref="TAY230:TAZ230"/>
    <mergeCell ref="TBA230:TBB230"/>
    <mergeCell ref="TAI230:TAJ230"/>
    <mergeCell ref="TAK230:TAL230"/>
    <mergeCell ref="TAM230:TAN230"/>
    <mergeCell ref="TAO230:TAP230"/>
    <mergeCell ref="TAQ230:TAR230"/>
    <mergeCell ref="SZY230:SZZ230"/>
    <mergeCell ref="TAA230:TAB230"/>
    <mergeCell ref="TAC230:TAD230"/>
    <mergeCell ref="TAE230:TAF230"/>
    <mergeCell ref="TAG230:TAH230"/>
    <mergeCell ref="TCQ230:TCR230"/>
    <mergeCell ref="TCS230:TCT230"/>
    <mergeCell ref="TCU230:TCV230"/>
    <mergeCell ref="TCW230:TCX230"/>
    <mergeCell ref="TCY230:TCZ230"/>
    <mergeCell ref="TCG230:TCH230"/>
    <mergeCell ref="TCI230:TCJ230"/>
    <mergeCell ref="TCK230:TCL230"/>
    <mergeCell ref="TCM230:TCN230"/>
    <mergeCell ref="TCO230:TCP230"/>
    <mergeCell ref="TBW230:TBX230"/>
    <mergeCell ref="TBY230:TBZ230"/>
    <mergeCell ref="TCA230:TCB230"/>
    <mergeCell ref="TCC230:TCD230"/>
    <mergeCell ref="TCE230:TCF230"/>
    <mergeCell ref="TBM230:TBN230"/>
    <mergeCell ref="TBO230:TBP230"/>
    <mergeCell ref="TBQ230:TBR230"/>
    <mergeCell ref="TBS230:TBT230"/>
    <mergeCell ref="TBU230:TBV230"/>
    <mergeCell ref="TEE230:TEF230"/>
    <mergeCell ref="TEG230:TEH230"/>
    <mergeCell ref="TEI230:TEJ230"/>
    <mergeCell ref="TEK230:TEL230"/>
    <mergeCell ref="TEM230:TEN230"/>
    <mergeCell ref="TDU230:TDV230"/>
    <mergeCell ref="TDW230:TDX230"/>
    <mergeCell ref="TDY230:TDZ230"/>
    <mergeCell ref="TEA230:TEB230"/>
    <mergeCell ref="TEC230:TED230"/>
    <mergeCell ref="TDK230:TDL230"/>
    <mergeCell ref="TDM230:TDN230"/>
    <mergeCell ref="TDO230:TDP230"/>
    <mergeCell ref="TDQ230:TDR230"/>
    <mergeCell ref="TDS230:TDT230"/>
    <mergeCell ref="TDA230:TDB230"/>
    <mergeCell ref="TDC230:TDD230"/>
    <mergeCell ref="TDE230:TDF230"/>
    <mergeCell ref="TDG230:TDH230"/>
    <mergeCell ref="TDI230:TDJ230"/>
    <mergeCell ref="TFS230:TFT230"/>
    <mergeCell ref="TFU230:TFV230"/>
    <mergeCell ref="TFW230:TFX230"/>
    <mergeCell ref="TFY230:TFZ230"/>
    <mergeCell ref="TGA230:TGB230"/>
    <mergeCell ref="TFI230:TFJ230"/>
    <mergeCell ref="TFK230:TFL230"/>
    <mergeCell ref="TFM230:TFN230"/>
    <mergeCell ref="TFO230:TFP230"/>
    <mergeCell ref="TFQ230:TFR230"/>
    <mergeCell ref="TEY230:TEZ230"/>
    <mergeCell ref="TFA230:TFB230"/>
    <mergeCell ref="TFC230:TFD230"/>
    <mergeCell ref="TFE230:TFF230"/>
    <mergeCell ref="TFG230:TFH230"/>
    <mergeCell ref="TEO230:TEP230"/>
    <mergeCell ref="TEQ230:TER230"/>
    <mergeCell ref="TES230:TET230"/>
    <mergeCell ref="TEU230:TEV230"/>
    <mergeCell ref="TEW230:TEX230"/>
    <mergeCell ref="THG230:THH230"/>
    <mergeCell ref="THI230:THJ230"/>
    <mergeCell ref="THK230:THL230"/>
    <mergeCell ref="THM230:THN230"/>
    <mergeCell ref="THO230:THP230"/>
    <mergeCell ref="TGW230:TGX230"/>
    <mergeCell ref="TGY230:TGZ230"/>
    <mergeCell ref="THA230:THB230"/>
    <mergeCell ref="THC230:THD230"/>
    <mergeCell ref="THE230:THF230"/>
    <mergeCell ref="TGM230:TGN230"/>
    <mergeCell ref="TGO230:TGP230"/>
    <mergeCell ref="TGQ230:TGR230"/>
    <mergeCell ref="TGS230:TGT230"/>
    <mergeCell ref="TGU230:TGV230"/>
    <mergeCell ref="TGC230:TGD230"/>
    <mergeCell ref="TGE230:TGF230"/>
    <mergeCell ref="TGG230:TGH230"/>
    <mergeCell ref="TGI230:TGJ230"/>
    <mergeCell ref="TGK230:TGL230"/>
    <mergeCell ref="TIU230:TIV230"/>
    <mergeCell ref="TIW230:TIX230"/>
    <mergeCell ref="TIY230:TIZ230"/>
    <mergeCell ref="TJA230:TJB230"/>
    <mergeCell ref="TJC230:TJD230"/>
    <mergeCell ref="TIK230:TIL230"/>
    <mergeCell ref="TIM230:TIN230"/>
    <mergeCell ref="TIO230:TIP230"/>
    <mergeCell ref="TIQ230:TIR230"/>
    <mergeCell ref="TIS230:TIT230"/>
    <mergeCell ref="TIA230:TIB230"/>
    <mergeCell ref="TIC230:TID230"/>
    <mergeCell ref="TIE230:TIF230"/>
    <mergeCell ref="TIG230:TIH230"/>
    <mergeCell ref="TII230:TIJ230"/>
    <mergeCell ref="THQ230:THR230"/>
    <mergeCell ref="THS230:THT230"/>
    <mergeCell ref="THU230:THV230"/>
    <mergeCell ref="THW230:THX230"/>
    <mergeCell ref="THY230:THZ230"/>
    <mergeCell ref="TKI230:TKJ230"/>
    <mergeCell ref="TKK230:TKL230"/>
    <mergeCell ref="TKM230:TKN230"/>
    <mergeCell ref="TKO230:TKP230"/>
    <mergeCell ref="TKQ230:TKR230"/>
    <mergeCell ref="TJY230:TJZ230"/>
    <mergeCell ref="TKA230:TKB230"/>
    <mergeCell ref="TKC230:TKD230"/>
    <mergeCell ref="TKE230:TKF230"/>
    <mergeCell ref="TKG230:TKH230"/>
    <mergeCell ref="TJO230:TJP230"/>
    <mergeCell ref="TJQ230:TJR230"/>
    <mergeCell ref="TJS230:TJT230"/>
    <mergeCell ref="TJU230:TJV230"/>
    <mergeCell ref="TJW230:TJX230"/>
    <mergeCell ref="TJE230:TJF230"/>
    <mergeCell ref="TJG230:TJH230"/>
    <mergeCell ref="TJI230:TJJ230"/>
    <mergeCell ref="TJK230:TJL230"/>
    <mergeCell ref="TJM230:TJN230"/>
    <mergeCell ref="TLW230:TLX230"/>
    <mergeCell ref="TLY230:TLZ230"/>
    <mergeCell ref="TMA230:TMB230"/>
    <mergeCell ref="TMC230:TMD230"/>
    <mergeCell ref="TME230:TMF230"/>
    <mergeCell ref="TLM230:TLN230"/>
    <mergeCell ref="TLO230:TLP230"/>
    <mergeCell ref="TLQ230:TLR230"/>
    <mergeCell ref="TLS230:TLT230"/>
    <mergeCell ref="TLU230:TLV230"/>
    <mergeCell ref="TLC230:TLD230"/>
    <mergeCell ref="TLE230:TLF230"/>
    <mergeCell ref="TLG230:TLH230"/>
    <mergeCell ref="TLI230:TLJ230"/>
    <mergeCell ref="TLK230:TLL230"/>
    <mergeCell ref="TKS230:TKT230"/>
    <mergeCell ref="TKU230:TKV230"/>
    <mergeCell ref="TKW230:TKX230"/>
    <mergeCell ref="TKY230:TKZ230"/>
    <mergeCell ref="TLA230:TLB230"/>
    <mergeCell ref="TNK230:TNL230"/>
    <mergeCell ref="TNM230:TNN230"/>
    <mergeCell ref="TNO230:TNP230"/>
    <mergeCell ref="TNQ230:TNR230"/>
    <mergeCell ref="TNS230:TNT230"/>
    <mergeCell ref="TNA230:TNB230"/>
    <mergeCell ref="TNC230:TND230"/>
    <mergeCell ref="TNE230:TNF230"/>
    <mergeCell ref="TNG230:TNH230"/>
    <mergeCell ref="TNI230:TNJ230"/>
    <mergeCell ref="TMQ230:TMR230"/>
    <mergeCell ref="TMS230:TMT230"/>
    <mergeCell ref="TMU230:TMV230"/>
    <mergeCell ref="TMW230:TMX230"/>
    <mergeCell ref="TMY230:TMZ230"/>
    <mergeCell ref="TMG230:TMH230"/>
    <mergeCell ref="TMI230:TMJ230"/>
    <mergeCell ref="TMK230:TML230"/>
    <mergeCell ref="TMM230:TMN230"/>
    <mergeCell ref="TMO230:TMP230"/>
    <mergeCell ref="TOY230:TOZ230"/>
    <mergeCell ref="TPA230:TPB230"/>
    <mergeCell ref="TPC230:TPD230"/>
    <mergeCell ref="TPE230:TPF230"/>
    <mergeCell ref="TPG230:TPH230"/>
    <mergeCell ref="TOO230:TOP230"/>
    <mergeCell ref="TOQ230:TOR230"/>
    <mergeCell ref="TOS230:TOT230"/>
    <mergeCell ref="TOU230:TOV230"/>
    <mergeCell ref="TOW230:TOX230"/>
    <mergeCell ref="TOE230:TOF230"/>
    <mergeCell ref="TOG230:TOH230"/>
    <mergeCell ref="TOI230:TOJ230"/>
    <mergeCell ref="TOK230:TOL230"/>
    <mergeCell ref="TOM230:TON230"/>
    <mergeCell ref="TNU230:TNV230"/>
    <mergeCell ref="TNW230:TNX230"/>
    <mergeCell ref="TNY230:TNZ230"/>
    <mergeCell ref="TOA230:TOB230"/>
    <mergeCell ref="TOC230:TOD230"/>
    <mergeCell ref="TQM230:TQN230"/>
    <mergeCell ref="TQO230:TQP230"/>
    <mergeCell ref="TQQ230:TQR230"/>
    <mergeCell ref="TQS230:TQT230"/>
    <mergeCell ref="TQU230:TQV230"/>
    <mergeCell ref="TQC230:TQD230"/>
    <mergeCell ref="TQE230:TQF230"/>
    <mergeCell ref="TQG230:TQH230"/>
    <mergeCell ref="TQI230:TQJ230"/>
    <mergeCell ref="TQK230:TQL230"/>
    <mergeCell ref="TPS230:TPT230"/>
    <mergeCell ref="TPU230:TPV230"/>
    <mergeCell ref="TPW230:TPX230"/>
    <mergeCell ref="TPY230:TPZ230"/>
    <mergeCell ref="TQA230:TQB230"/>
    <mergeCell ref="TPI230:TPJ230"/>
    <mergeCell ref="TPK230:TPL230"/>
    <mergeCell ref="TPM230:TPN230"/>
    <mergeCell ref="TPO230:TPP230"/>
    <mergeCell ref="TPQ230:TPR230"/>
    <mergeCell ref="TSA230:TSB230"/>
    <mergeCell ref="TSC230:TSD230"/>
    <mergeCell ref="TSE230:TSF230"/>
    <mergeCell ref="TSG230:TSH230"/>
    <mergeCell ref="TSI230:TSJ230"/>
    <mergeCell ref="TRQ230:TRR230"/>
    <mergeCell ref="TRS230:TRT230"/>
    <mergeCell ref="TRU230:TRV230"/>
    <mergeCell ref="TRW230:TRX230"/>
    <mergeCell ref="TRY230:TRZ230"/>
    <mergeCell ref="TRG230:TRH230"/>
    <mergeCell ref="TRI230:TRJ230"/>
    <mergeCell ref="TRK230:TRL230"/>
    <mergeCell ref="TRM230:TRN230"/>
    <mergeCell ref="TRO230:TRP230"/>
    <mergeCell ref="TQW230:TQX230"/>
    <mergeCell ref="TQY230:TQZ230"/>
    <mergeCell ref="TRA230:TRB230"/>
    <mergeCell ref="TRC230:TRD230"/>
    <mergeCell ref="TRE230:TRF230"/>
    <mergeCell ref="TTO230:TTP230"/>
    <mergeCell ref="TTQ230:TTR230"/>
    <mergeCell ref="TTS230:TTT230"/>
    <mergeCell ref="TTU230:TTV230"/>
    <mergeCell ref="TTW230:TTX230"/>
    <mergeCell ref="TTE230:TTF230"/>
    <mergeCell ref="TTG230:TTH230"/>
    <mergeCell ref="TTI230:TTJ230"/>
    <mergeCell ref="TTK230:TTL230"/>
    <mergeCell ref="TTM230:TTN230"/>
    <mergeCell ref="TSU230:TSV230"/>
    <mergeCell ref="TSW230:TSX230"/>
    <mergeCell ref="TSY230:TSZ230"/>
    <mergeCell ref="TTA230:TTB230"/>
    <mergeCell ref="TTC230:TTD230"/>
    <mergeCell ref="TSK230:TSL230"/>
    <mergeCell ref="TSM230:TSN230"/>
    <mergeCell ref="TSO230:TSP230"/>
    <mergeCell ref="TSQ230:TSR230"/>
    <mergeCell ref="TSS230:TST230"/>
    <mergeCell ref="TVC230:TVD230"/>
    <mergeCell ref="TVE230:TVF230"/>
    <mergeCell ref="TVG230:TVH230"/>
    <mergeCell ref="TVI230:TVJ230"/>
    <mergeCell ref="TVK230:TVL230"/>
    <mergeCell ref="TUS230:TUT230"/>
    <mergeCell ref="TUU230:TUV230"/>
    <mergeCell ref="TUW230:TUX230"/>
    <mergeCell ref="TUY230:TUZ230"/>
    <mergeCell ref="TVA230:TVB230"/>
    <mergeCell ref="TUI230:TUJ230"/>
    <mergeCell ref="TUK230:TUL230"/>
    <mergeCell ref="TUM230:TUN230"/>
    <mergeCell ref="TUO230:TUP230"/>
    <mergeCell ref="TUQ230:TUR230"/>
    <mergeCell ref="TTY230:TTZ230"/>
    <mergeCell ref="TUA230:TUB230"/>
    <mergeCell ref="TUC230:TUD230"/>
    <mergeCell ref="TUE230:TUF230"/>
    <mergeCell ref="TUG230:TUH230"/>
    <mergeCell ref="TWQ230:TWR230"/>
    <mergeCell ref="TWS230:TWT230"/>
    <mergeCell ref="TWU230:TWV230"/>
    <mergeCell ref="TWW230:TWX230"/>
    <mergeCell ref="TWY230:TWZ230"/>
    <mergeCell ref="TWG230:TWH230"/>
    <mergeCell ref="TWI230:TWJ230"/>
    <mergeCell ref="TWK230:TWL230"/>
    <mergeCell ref="TWM230:TWN230"/>
    <mergeCell ref="TWO230:TWP230"/>
    <mergeCell ref="TVW230:TVX230"/>
    <mergeCell ref="TVY230:TVZ230"/>
    <mergeCell ref="TWA230:TWB230"/>
    <mergeCell ref="TWC230:TWD230"/>
    <mergeCell ref="TWE230:TWF230"/>
    <mergeCell ref="TVM230:TVN230"/>
    <mergeCell ref="TVO230:TVP230"/>
    <mergeCell ref="TVQ230:TVR230"/>
    <mergeCell ref="TVS230:TVT230"/>
    <mergeCell ref="TVU230:TVV230"/>
    <mergeCell ref="TYE230:TYF230"/>
    <mergeCell ref="TYG230:TYH230"/>
    <mergeCell ref="TYI230:TYJ230"/>
    <mergeCell ref="TYK230:TYL230"/>
    <mergeCell ref="TYM230:TYN230"/>
    <mergeCell ref="TXU230:TXV230"/>
    <mergeCell ref="TXW230:TXX230"/>
    <mergeCell ref="TXY230:TXZ230"/>
    <mergeCell ref="TYA230:TYB230"/>
    <mergeCell ref="TYC230:TYD230"/>
    <mergeCell ref="TXK230:TXL230"/>
    <mergeCell ref="TXM230:TXN230"/>
    <mergeCell ref="TXO230:TXP230"/>
    <mergeCell ref="TXQ230:TXR230"/>
    <mergeCell ref="TXS230:TXT230"/>
    <mergeCell ref="TXA230:TXB230"/>
    <mergeCell ref="TXC230:TXD230"/>
    <mergeCell ref="TXE230:TXF230"/>
    <mergeCell ref="TXG230:TXH230"/>
    <mergeCell ref="TXI230:TXJ230"/>
    <mergeCell ref="TZS230:TZT230"/>
    <mergeCell ref="TZU230:TZV230"/>
    <mergeCell ref="TZW230:TZX230"/>
    <mergeCell ref="TZY230:TZZ230"/>
    <mergeCell ref="UAA230:UAB230"/>
    <mergeCell ref="TZI230:TZJ230"/>
    <mergeCell ref="TZK230:TZL230"/>
    <mergeCell ref="TZM230:TZN230"/>
    <mergeCell ref="TZO230:TZP230"/>
    <mergeCell ref="TZQ230:TZR230"/>
    <mergeCell ref="TYY230:TYZ230"/>
    <mergeCell ref="TZA230:TZB230"/>
    <mergeCell ref="TZC230:TZD230"/>
    <mergeCell ref="TZE230:TZF230"/>
    <mergeCell ref="TZG230:TZH230"/>
    <mergeCell ref="TYO230:TYP230"/>
    <mergeCell ref="TYQ230:TYR230"/>
    <mergeCell ref="TYS230:TYT230"/>
    <mergeCell ref="TYU230:TYV230"/>
    <mergeCell ref="TYW230:TYX230"/>
    <mergeCell ref="UBG230:UBH230"/>
    <mergeCell ref="UBI230:UBJ230"/>
    <mergeCell ref="UBK230:UBL230"/>
    <mergeCell ref="UBM230:UBN230"/>
    <mergeCell ref="UBO230:UBP230"/>
    <mergeCell ref="UAW230:UAX230"/>
    <mergeCell ref="UAY230:UAZ230"/>
    <mergeCell ref="UBA230:UBB230"/>
    <mergeCell ref="UBC230:UBD230"/>
    <mergeCell ref="UBE230:UBF230"/>
    <mergeCell ref="UAM230:UAN230"/>
    <mergeCell ref="UAO230:UAP230"/>
    <mergeCell ref="UAQ230:UAR230"/>
    <mergeCell ref="UAS230:UAT230"/>
    <mergeCell ref="UAU230:UAV230"/>
    <mergeCell ref="UAC230:UAD230"/>
    <mergeCell ref="UAE230:UAF230"/>
    <mergeCell ref="UAG230:UAH230"/>
    <mergeCell ref="UAI230:UAJ230"/>
    <mergeCell ref="UAK230:UAL230"/>
    <mergeCell ref="UCU230:UCV230"/>
    <mergeCell ref="UCW230:UCX230"/>
    <mergeCell ref="UCY230:UCZ230"/>
    <mergeCell ref="UDA230:UDB230"/>
    <mergeCell ref="UDC230:UDD230"/>
    <mergeCell ref="UCK230:UCL230"/>
    <mergeCell ref="UCM230:UCN230"/>
    <mergeCell ref="UCO230:UCP230"/>
    <mergeCell ref="UCQ230:UCR230"/>
    <mergeCell ref="UCS230:UCT230"/>
    <mergeCell ref="UCA230:UCB230"/>
    <mergeCell ref="UCC230:UCD230"/>
    <mergeCell ref="UCE230:UCF230"/>
    <mergeCell ref="UCG230:UCH230"/>
    <mergeCell ref="UCI230:UCJ230"/>
    <mergeCell ref="UBQ230:UBR230"/>
    <mergeCell ref="UBS230:UBT230"/>
    <mergeCell ref="UBU230:UBV230"/>
    <mergeCell ref="UBW230:UBX230"/>
    <mergeCell ref="UBY230:UBZ230"/>
    <mergeCell ref="UEI230:UEJ230"/>
    <mergeCell ref="UEK230:UEL230"/>
    <mergeCell ref="UEM230:UEN230"/>
    <mergeCell ref="UEO230:UEP230"/>
    <mergeCell ref="UEQ230:UER230"/>
    <mergeCell ref="UDY230:UDZ230"/>
    <mergeCell ref="UEA230:UEB230"/>
    <mergeCell ref="UEC230:UED230"/>
    <mergeCell ref="UEE230:UEF230"/>
    <mergeCell ref="UEG230:UEH230"/>
    <mergeCell ref="UDO230:UDP230"/>
    <mergeCell ref="UDQ230:UDR230"/>
    <mergeCell ref="UDS230:UDT230"/>
    <mergeCell ref="UDU230:UDV230"/>
    <mergeCell ref="UDW230:UDX230"/>
    <mergeCell ref="UDE230:UDF230"/>
    <mergeCell ref="UDG230:UDH230"/>
    <mergeCell ref="UDI230:UDJ230"/>
    <mergeCell ref="UDK230:UDL230"/>
    <mergeCell ref="UDM230:UDN230"/>
    <mergeCell ref="UFW230:UFX230"/>
    <mergeCell ref="UFY230:UFZ230"/>
    <mergeCell ref="UGA230:UGB230"/>
    <mergeCell ref="UGC230:UGD230"/>
    <mergeCell ref="UGE230:UGF230"/>
    <mergeCell ref="UFM230:UFN230"/>
    <mergeCell ref="UFO230:UFP230"/>
    <mergeCell ref="UFQ230:UFR230"/>
    <mergeCell ref="UFS230:UFT230"/>
    <mergeCell ref="UFU230:UFV230"/>
    <mergeCell ref="UFC230:UFD230"/>
    <mergeCell ref="UFE230:UFF230"/>
    <mergeCell ref="UFG230:UFH230"/>
    <mergeCell ref="UFI230:UFJ230"/>
    <mergeCell ref="UFK230:UFL230"/>
    <mergeCell ref="UES230:UET230"/>
    <mergeCell ref="UEU230:UEV230"/>
    <mergeCell ref="UEW230:UEX230"/>
    <mergeCell ref="UEY230:UEZ230"/>
    <mergeCell ref="UFA230:UFB230"/>
    <mergeCell ref="UHK230:UHL230"/>
    <mergeCell ref="UHM230:UHN230"/>
    <mergeCell ref="UHO230:UHP230"/>
    <mergeCell ref="UHQ230:UHR230"/>
    <mergeCell ref="UHS230:UHT230"/>
    <mergeCell ref="UHA230:UHB230"/>
    <mergeCell ref="UHC230:UHD230"/>
    <mergeCell ref="UHE230:UHF230"/>
    <mergeCell ref="UHG230:UHH230"/>
    <mergeCell ref="UHI230:UHJ230"/>
    <mergeCell ref="UGQ230:UGR230"/>
    <mergeCell ref="UGS230:UGT230"/>
    <mergeCell ref="UGU230:UGV230"/>
    <mergeCell ref="UGW230:UGX230"/>
    <mergeCell ref="UGY230:UGZ230"/>
    <mergeCell ref="UGG230:UGH230"/>
    <mergeCell ref="UGI230:UGJ230"/>
    <mergeCell ref="UGK230:UGL230"/>
    <mergeCell ref="UGM230:UGN230"/>
    <mergeCell ref="UGO230:UGP230"/>
    <mergeCell ref="UIY230:UIZ230"/>
    <mergeCell ref="UJA230:UJB230"/>
    <mergeCell ref="UJC230:UJD230"/>
    <mergeCell ref="UJE230:UJF230"/>
    <mergeCell ref="UJG230:UJH230"/>
    <mergeCell ref="UIO230:UIP230"/>
    <mergeCell ref="UIQ230:UIR230"/>
    <mergeCell ref="UIS230:UIT230"/>
    <mergeCell ref="UIU230:UIV230"/>
    <mergeCell ref="UIW230:UIX230"/>
    <mergeCell ref="UIE230:UIF230"/>
    <mergeCell ref="UIG230:UIH230"/>
    <mergeCell ref="UII230:UIJ230"/>
    <mergeCell ref="UIK230:UIL230"/>
    <mergeCell ref="UIM230:UIN230"/>
    <mergeCell ref="UHU230:UHV230"/>
    <mergeCell ref="UHW230:UHX230"/>
    <mergeCell ref="UHY230:UHZ230"/>
    <mergeCell ref="UIA230:UIB230"/>
    <mergeCell ref="UIC230:UID230"/>
    <mergeCell ref="UKM230:UKN230"/>
    <mergeCell ref="UKO230:UKP230"/>
    <mergeCell ref="UKQ230:UKR230"/>
    <mergeCell ref="UKS230:UKT230"/>
    <mergeCell ref="UKU230:UKV230"/>
    <mergeCell ref="UKC230:UKD230"/>
    <mergeCell ref="UKE230:UKF230"/>
    <mergeCell ref="UKG230:UKH230"/>
    <mergeCell ref="UKI230:UKJ230"/>
    <mergeCell ref="UKK230:UKL230"/>
    <mergeCell ref="UJS230:UJT230"/>
    <mergeCell ref="UJU230:UJV230"/>
    <mergeCell ref="UJW230:UJX230"/>
    <mergeCell ref="UJY230:UJZ230"/>
    <mergeCell ref="UKA230:UKB230"/>
    <mergeCell ref="UJI230:UJJ230"/>
    <mergeCell ref="UJK230:UJL230"/>
    <mergeCell ref="UJM230:UJN230"/>
    <mergeCell ref="UJO230:UJP230"/>
    <mergeCell ref="UJQ230:UJR230"/>
    <mergeCell ref="UMA230:UMB230"/>
    <mergeCell ref="UMC230:UMD230"/>
    <mergeCell ref="UME230:UMF230"/>
    <mergeCell ref="UMG230:UMH230"/>
    <mergeCell ref="UMI230:UMJ230"/>
    <mergeCell ref="ULQ230:ULR230"/>
    <mergeCell ref="ULS230:ULT230"/>
    <mergeCell ref="ULU230:ULV230"/>
    <mergeCell ref="ULW230:ULX230"/>
    <mergeCell ref="ULY230:ULZ230"/>
    <mergeCell ref="ULG230:ULH230"/>
    <mergeCell ref="ULI230:ULJ230"/>
    <mergeCell ref="ULK230:ULL230"/>
    <mergeCell ref="ULM230:ULN230"/>
    <mergeCell ref="ULO230:ULP230"/>
    <mergeCell ref="UKW230:UKX230"/>
    <mergeCell ref="UKY230:UKZ230"/>
    <mergeCell ref="ULA230:ULB230"/>
    <mergeCell ref="ULC230:ULD230"/>
    <mergeCell ref="ULE230:ULF230"/>
    <mergeCell ref="UNO230:UNP230"/>
    <mergeCell ref="UNQ230:UNR230"/>
    <mergeCell ref="UNS230:UNT230"/>
    <mergeCell ref="UNU230:UNV230"/>
    <mergeCell ref="UNW230:UNX230"/>
    <mergeCell ref="UNE230:UNF230"/>
    <mergeCell ref="UNG230:UNH230"/>
    <mergeCell ref="UNI230:UNJ230"/>
    <mergeCell ref="UNK230:UNL230"/>
    <mergeCell ref="UNM230:UNN230"/>
    <mergeCell ref="UMU230:UMV230"/>
    <mergeCell ref="UMW230:UMX230"/>
    <mergeCell ref="UMY230:UMZ230"/>
    <mergeCell ref="UNA230:UNB230"/>
    <mergeCell ref="UNC230:UND230"/>
    <mergeCell ref="UMK230:UML230"/>
    <mergeCell ref="UMM230:UMN230"/>
    <mergeCell ref="UMO230:UMP230"/>
    <mergeCell ref="UMQ230:UMR230"/>
    <mergeCell ref="UMS230:UMT230"/>
    <mergeCell ref="UPC230:UPD230"/>
    <mergeCell ref="UPE230:UPF230"/>
    <mergeCell ref="UPG230:UPH230"/>
    <mergeCell ref="UPI230:UPJ230"/>
    <mergeCell ref="UPK230:UPL230"/>
    <mergeCell ref="UOS230:UOT230"/>
    <mergeCell ref="UOU230:UOV230"/>
    <mergeCell ref="UOW230:UOX230"/>
    <mergeCell ref="UOY230:UOZ230"/>
    <mergeCell ref="UPA230:UPB230"/>
    <mergeCell ref="UOI230:UOJ230"/>
    <mergeCell ref="UOK230:UOL230"/>
    <mergeCell ref="UOM230:UON230"/>
    <mergeCell ref="UOO230:UOP230"/>
    <mergeCell ref="UOQ230:UOR230"/>
    <mergeCell ref="UNY230:UNZ230"/>
    <mergeCell ref="UOA230:UOB230"/>
    <mergeCell ref="UOC230:UOD230"/>
    <mergeCell ref="UOE230:UOF230"/>
    <mergeCell ref="UOG230:UOH230"/>
    <mergeCell ref="UQQ230:UQR230"/>
    <mergeCell ref="UQS230:UQT230"/>
    <mergeCell ref="UQU230:UQV230"/>
    <mergeCell ref="UQW230:UQX230"/>
    <mergeCell ref="UQY230:UQZ230"/>
    <mergeCell ref="UQG230:UQH230"/>
    <mergeCell ref="UQI230:UQJ230"/>
    <mergeCell ref="UQK230:UQL230"/>
    <mergeCell ref="UQM230:UQN230"/>
    <mergeCell ref="UQO230:UQP230"/>
    <mergeCell ref="UPW230:UPX230"/>
    <mergeCell ref="UPY230:UPZ230"/>
    <mergeCell ref="UQA230:UQB230"/>
    <mergeCell ref="UQC230:UQD230"/>
    <mergeCell ref="UQE230:UQF230"/>
    <mergeCell ref="UPM230:UPN230"/>
    <mergeCell ref="UPO230:UPP230"/>
    <mergeCell ref="UPQ230:UPR230"/>
    <mergeCell ref="UPS230:UPT230"/>
    <mergeCell ref="UPU230:UPV230"/>
    <mergeCell ref="USE230:USF230"/>
    <mergeCell ref="USG230:USH230"/>
    <mergeCell ref="USI230:USJ230"/>
    <mergeCell ref="USK230:USL230"/>
    <mergeCell ref="USM230:USN230"/>
    <mergeCell ref="URU230:URV230"/>
    <mergeCell ref="URW230:URX230"/>
    <mergeCell ref="URY230:URZ230"/>
    <mergeCell ref="USA230:USB230"/>
    <mergeCell ref="USC230:USD230"/>
    <mergeCell ref="URK230:URL230"/>
    <mergeCell ref="URM230:URN230"/>
    <mergeCell ref="URO230:URP230"/>
    <mergeCell ref="URQ230:URR230"/>
    <mergeCell ref="URS230:URT230"/>
    <mergeCell ref="URA230:URB230"/>
    <mergeCell ref="URC230:URD230"/>
    <mergeCell ref="URE230:URF230"/>
    <mergeCell ref="URG230:URH230"/>
    <mergeCell ref="URI230:URJ230"/>
    <mergeCell ref="UTS230:UTT230"/>
    <mergeCell ref="UTU230:UTV230"/>
    <mergeCell ref="UTW230:UTX230"/>
    <mergeCell ref="UTY230:UTZ230"/>
    <mergeCell ref="UUA230:UUB230"/>
    <mergeCell ref="UTI230:UTJ230"/>
    <mergeCell ref="UTK230:UTL230"/>
    <mergeCell ref="UTM230:UTN230"/>
    <mergeCell ref="UTO230:UTP230"/>
    <mergeCell ref="UTQ230:UTR230"/>
    <mergeCell ref="USY230:USZ230"/>
    <mergeCell ref="UTA230:UTB230"/>
    <mergeCell ref="UTC230:UTD230"/>
    <mergeCell ref="UTE230:UTF230"/>
    <mergeCell ref="UTG230:UTH230"/>
    <mergeCell ref="USO230:USP230"/>
    <mergeCell ref="USQ230:USR230"/>
    <mergeCell ref="USS230:UST230"/>
    <mergeCell ref="USU230:USV230"/>
    <mergeCell ref="USW230:USX230"/>
    <mergeCell ref="UVG230:UVH230"/>
    <mergeCell ref="UVI230:UVJ230"/>
    <mergeCell ref="UVK230:UVL230"/>
    <mergeCell ref="UVM230:UVN230"/>
    <mergeCell ref="UVO230:UVP230"/>
    <mergeCell ref="UUW230:UUX230"/>
    <mergeCell ref="UUY230:UUZ230"/>
    <mergeCell ref="UVA230:UVB230"/>
    <mergeCell ref="UVC230:UVD230"/>
    <mergeCell ref="UVE230:UVF230"/>
    <mergeCell ref="UUM230:UUN230"/>
    <mergeCell ref="UUO230:UUP230"/>
    <mergeCell ref="UUQ230:UUR230"/>
    <mergeCell ref="UUS230:UUT230"/>
    <mergeCell ref="UUU230:UUV230"/>
    <mergeCell ref="UUC230:UUD230"/>
    <mergeCell ref="UUE230:UUF230"/>
    <mergeCell ref="UUG230:UUH230"/>
    <mergeCell ref="UUI230:UUJ230"/>
    <mergeCell ref="UUK230:UUL230"/>
    <mergeCell ref="UWU230:UWV230"/>
    <mergeCell ref="UWW230:UWX230"/>
    <mergeCell ref="UWY230:UWZ230"/>
    <mergeCell ref="UXA230:UXB230"/>
    <mergeCell ref="UXC230:UXD230"/>
    <mergeCell ref="UWK230:UWL230"/>
    <mergeCell ref="UWM230:UWN230"/>
    <mergeCell ref="UWO230:UWP230"/>
    <mergeCell ref="UWQ230:UWR230"/>
    <mergeCell ref="UWS230:UWT230"/>
    <mergeCell ref="UWA230:UWB230"/>
    <mergeCell ref="UWC230:UWD230"/>
    <mergeCell ref="UWE230:UWF230"/>
    <mergeCell ref="UWG230:UWH230"/>
    <mergeCell ref="UWI230:UWJ230"/>
    <mergeCell ref="UVQ230:UVR230"/>
    <mergeCell ref="UVS230:UVT230"/>
    <mergeCell ref="UVU230:UVV230"/>
    <mergeCell ref="UVW230:UVX230"/>
    <mergeCell ref="UVY230:UVZ230"/>
    <mergeCell ref="UYI230:UYJ230"/>
    <mergeCell ref="UYK230:UYL230"/>
    <mergeCell ref="UYM230:UYN230"/>
    <mergeCell ref="UYO230:UYP230"/>
    <mergeCell ref="UYQ230:UYR230"/>
    <mergeCell ref="UXY230:UXZ230"/>
    <mergeCell ref="UYA230:UYB230"/>
    <mergeCell ref="UYC230:UYD230"/>
    <mergeCell ref="UYE230:UYF230"/>
    <mergeCell ref="UYG230:UYH230"/>
    <mergeCell ref="UXO230:UXP230"/>
    <mergeCell ref="UXQ230:UXR230"/>
    <mergeCell ref="UXS230:UXT230"/>
    <mergeCell ref="UXU230:UXV230"/>
    <mergeCell ref="UXW230:UXX230"/>
    <mergeCell ref="UXE230:UXF230"/>
    <mergeCell ref="UXG230:UXH230"/>
    <mergeCell ref="UXI230:UXJ230"/>
    <mergeCell ref="UXK230:UXL230"/>
    <mergeCell ref="UXM230:UXN230"/>
    <mergeCell ref="UZW230:UZX230"/>
    <mergeCell ref="UZY230:UZZ230"/>
    <mergeCell ref="VAA230:VAB230"/>
    <mergeCell ref="VAC230:VAD230"/>
    <mergeCell ref="VAE230:VAF230"/>
    <mergeCell ref="UZM230:UZN230"/>
    <mergeCell ref="UZO230:UZP230"/>
    <mergeCell ref="UZQ230:UZR230"/>
    <mergeCell ref="UZS230:UZT230"/>
    <mergeCell ref="UZU230:UZV230"/>
    <mergeCell ref="UZC230:UZD230"/>
    <mergeCell ref="UZE230:UZF230"/>
    <mergeCell ref="UZG230:UZH230"/>
    <mergeCell ref="UZI230:UZJ230"/>
    <mergeCell ref="UZK230:UZL230"/>
    <mergeCell ref="UYS230:UYT230"/>
    <mergeCell ref="UYU230:UYV230"/>
    <mergeCell ref="UYW230:UYX230"/>
    <mergeCell ref="UYY230:UYZ230"/>
    <mergeCell ref="UZA230:UZB230"/>
    <mergeCell ref="VBK230:VBL230"/>
    <mergeCell ref="VBM230:VBN230"/>
    <mergeCell ref="VBO230:VBP230"/>
    <mergeCell ref="VBQ230:VBR230"/>
    <mergeCell ref="VBS230:VBT230"/>
    <mergeCell ref="VBA230:VBB230"/>
    <mergeCell ref="VBC230:VBD230"/>
    <mergeCell ref="VBE230:VBF230"/>
    <mergeCell ref="VBG230:VBH230"/>
    <mergeCell ref="VBI230:VBJ230"/>
    <mergeCell ref="VAQ230:VAR230"/>
    <mergeCell ref="VAS230:VAT230"/>
    <mergeCell ref="VAU230:VAV230"/>
    <mergeCell ref="VAW230:VAX230"/>
    <mergeCell ref="VAY230:VAZ230"/>
    <mergeCell ref="VAG230:VAH230"/>
    <mergeCell ref="VAI230:VAJ230"/>
    <mergeCell ref="VAK230:VAL230"/>
    <mergeCell ref="VAM230:VAN230"/>
    <mergeCell ref="VAO230:VAP230"/>
    <mergeCell ref="VCY230:VCZ230"/>
    <mergeCell ref="VDA230:VDB230"/>
    <mergeCell ref="VDC230:VDD230"/>
    <mergeCell ref="VDE230:VDF230"/>
    <mergeCell ref="VDG230:VDH230"/>
    <mergeCell ref="VCO230:VCP230"/>
    <mergeCell ref="VCQ230:VCR230"/>
    <mergeCell ref="VCS230:VCT230"/>
    <mergeCell ref="VCU230:VCV230"/>
    <mergeCell ref="VCW230:VCX230"/>
    <mergeCell ref="VCE230:VCF230"/>
    <mergeCell ref="VCG230:VCH230"/>
    <mergeCell ref="VCI230:VCJ230"/>
    <mergeCell ref="VCK230:VCL230"/>
    <mergeCell ref="VCM230:VCN230"/>
    <mergeCell ref="VBU230:VBV230"/>
    <mergeCell ref="VBW230:VBX230"/>
    <mergeCell ref="VBY230:VBZ230"/>
    <mergeCell ref="VCA230:VCB230"/>
    <mergeCell ref="VCC230:VCD230"/>
    <mergeCell ref="VEM230:VEN230"/>
    <mergeCell ref="VEO230:VEP230"/>
    <mergeCell ref="VEQ230:VER230"/>
    <mergeCell ref="VES230:VET230"/>
    <mergeCell ref="VEU230:VEV230"/>
    <mergeCell ref="VEC230:VED230"/>
    <mergeCell ref="VEE230:VEF230"/>
    <mergeCell ref="VEG230:VEH230"/>
    <mergeCell ref="VEI230:VEJ230"/>
    <mergeCell ref="VEK230:VEL230"/>
    <mergeCell ref="VDS230:VDT230"/>
    <mergeCell ref="VDU230:VDV230"/>
    <mergeCell ref="VDW230:VDX230"/>
    <mergeCell ref="VDY230:VDZ230"/>
    <mergeCell ref="VEA230:VEB230"/>
    <mergeCell ref="VDI230:VDJ230"/>
    <mergeCell ref="VDK230:VDL230"/>
    <mergeCell ref="VDM230:VDN230"/>
    <mergeCell ref="VDO230:VDP230"/>
    <mergeCell ref="VDQ230:VDR230"/>
    <mergeCell ref="VGA230:VGB230"/>
    <mergeCell ref="VGC230:VGD230"/>
    <mergeCell ref="VGE230:VGF230"/>
    <mergeCell ref="VGG230:VGH230"/>
    <mergeCell ref="VGI230:VGJ230"/>
    <mergeCell ref="VFQ230:VFR230"/>
    <mergeCell ref="VFS230:VFT230"/>
    <mergeCell ref="VFU230:VFV230"/>
    <mergeCell ref="VFW230:VFX230"/>
    <mergeCell ref="VFY230:VFZ230"/>
    <mergeCell ref="VFG230:VFH230"/>
    <mergeCell ref="VFI230:VFJ230"/>
    <mergeCell ref="VFK230:VFL230"/>
    <mergeCell ref="VFM230:VFN230"/>
    <mergeCell ref="VFO230:VFP230"/>
    <mergeCell ref="VEW230:VEX230"/>
    <mergeCell ref="VEY230:VEZ230"/>
    <mergeCell ref="VFA230:VFB230"/>
    <mergeCell ref="VFC230:VFD230"/>
    <mergeCell ref="VFE230:VFF230"/>
    <mergeCell ref="VHO230:VHP230"/>
    <mergeCell ref="VHQ230:VHR230"/>
    <mergeCell ref="VHS230:VHT230"/>
    <mergeCell ref="VHU230:VHV230"/>
    <mergeCell ref="VHW230:VHX230"/>
    <mergeCell ref="VHE230:VHF230"/>
    <mergeCell ref="VHG230:VHH230"/>
    <mergeCell ref="VHI230:VHJ230"/>
    <mergeCell ref="VHK230:VHL230"/>
    <mergeCell ref="VHM230:VHN230"/>
    <mergeCell ref="VGU230:VGV230"/>
    <mergeCell ref="VGW230:VGX230"/>
    <mergeCell ref="VGY230:VGZ230"/>
    <mergeCell ref="VHA230:VHB230"/>
    <mergeCell ref="VHC230:VHD230"/>
    <mergeCell ref="VGK230:VGL230"/>
    <mergeCell ref="VGM230:VGN230"/>
    <mergeCell ref="VGO230:VGP230"/>
    <mergeCell ref="VGQ230:VGR230"/>
    <mergeCell ref="VGS230:VGT230"/>
    <mergeCell ref="VJC230:VJD230"/>
    <mergeCell ref="VJE230:VJF230"/>
    <mergeCell ref="VJG230:VJH230"/>
    <mergeCell ref="VJI230:VJJ230"/>
    <mergeCell ref="VJK230:VJL230"/>
    <mergeCell ref="VIS230:VIT230"/>
    <mergeCell ref="VIU230:VIV230"/>
    <mergeCell ref="VIW230:VIX230"/>
    <mergeCell ref="VIY230:VIZ230"/>
    <mergeCell ref="VJA230:VJB230"/>
    <mergeCell ref="VII230:VIJ230"/>
    <mergeCell ref="VIK230:VIL230"/>
    <mergeCell ref="VIM230:VIN230"/>
    <mergeCell ref="VIO230:VIP230"/>
    <mergeCell ref="VIQ230:VIR230"/>
    <mergeCell ref="VHY230:VHZ230"/>
    <mergeCell ref="VIA230:VIB230"/>
    <mergeCell ref="VIC230:VID230"/>
    <mergeCell ref="VIE230:VIF230"/>
    <mergeCell ref="VIG230:VIH230"/>
    <mergeCell ref="VKQ230:VKR230"/>
    <mergeCell ref="VKS230:VKT230"/>
    <mergeCell ref="VKU230:VKV230"/>
    <mergeCell ref="VKW230:VKX230"/>
    <mergeCell ref="VKY230:VKZ230"/>
    <mergeCell ref="VKG230:VKH230"/>
    <mergeCell ref="VKI230:VKJ230"/>
    <mergeCell ref="VKK230:VKL230"/>
    <mergeCell ref="VKM230:VKN230"/>
    <mergeCell ref="VKO230:VKP230"/>
    <mergeCell ref="VJW230:VJX230"/>
    <mergeCell ref="VJY230:VJZ230"/>
    <mergeCell ref="VKA230:VKB230"/>
    <mergeCell ref="VKC230:VKD230"/>
    <mergeCell ref="VKE230:VKF230"/>
    <mergeCell ref="VJM230:VJN230"/>
    <mergeCell ref="VJO230:VJP230"/>
    <mergeCell ref="VJQ230:VJR230"/>
    <mergeCell ref="VJS230:VJT230"/>
    <mergeCell ref="VJU230:VJV230"/>
    <mergeCell ref="VME230:VMF230"/>
    <mergeCell ref="VMG230:VMH230"/>
    <mergeCell ref="VMI230:VMJ230"/>
    <mergeCell ref="VMK230:VML230"/>
    <mergeCell ref="VMM230:VMN230"/>
    <mergeCell ref="VLU230:VLV230"/>
    <mergeCell ref="VLW230:VLX230"/>
    <mergeCell ref="VLY230:VLZ230"/>
    <mergeCell ref="VMA230:VMB230"/>
    <mergeCell ref="VMC230:VMD230"/>
    <mergeCell ref="VLK230:VLL230"/>
    <mergeCell ref="VLM230:VLN230"/>
    <mergeCell ref="VLO230:VLP230"/>
    <mergeCell ref="VLQ230:VLR230"/>
    <mergeCell ref="VLS230:VLT230"/>
    <mergeCell ref="VLA230:VLB230"/>
    <mergeCell ref="VLC230:VLD230"/>
    <mergeCell ref="VLE230:VLF230"/>
    <mergeCell ref="VLG230:VLH230"/>
    <mergeCell ref="VLI230:VLJ230"/>
    <mergeCell ref="VNS230:VNT230"/>
    <mergeCell ref="VNU230:VNV230"/>
    <mergeCell ref="VNW230:VNX230"/>
    <mergeCell ref="VNY230:VNZ230"/>
    <mergeCell ref="VOA230:VOB230"/>
    <mergeCell ref="VNI230:VNJ230"/>
    <mergeCell ref="VNK230:VNL230"/>
    <mergeCell ref="VNM230:VNN230"/>
    <mergeCell ref="VNO230:VNP230"/>
    <mergeCell ref="VNQ230:VNR230"/>
    <mergeCell ref="VMY230:VMZ230"/>
    <mergeCell ref="VNA230:VNB230"/>
    <mergeCell ref="VNC230:VND230"/>
    <mergeCell ref="VNE230:VNF230"/>
    <mergeCell ref="VNG230:VNH230"/>
    <mergeCell ref="VMO230:VMP230"/>
    <mergeCell ref="VMQ230:VMR230"/>
    <mergeCell ref="VMS230:VMT230"/>
    <mergeCell ref="VMU230:VMV230"/>
    <mergeCell ref="VMW230:VMX230"/>
    <mergeCell ref="VPG230:VPH230"/>
    <mergeCell ref="VPI230:VPJ230"/>
    <mergeCell ref="VPK230:VPL230"/>
    <mergeCell ref="VPM230:VPN230"/>
    <mergeCell ref="VPO230:VPP230"/>
    <mergeCell ref="VOW230:VOX230"/>
    <mergeCell ref="VOY230:VOZ230"/>
    <mergeCell ref="VPA230:VPB230"/>
    <mergeCell ref="VPC230:VPD230"/>
    <mergeCell ref="VPE230:VPF230"/>
    <mergeCell ref="VOM230:VON230"/>
    <mergeCell ref="VOO230:VOP230"/>
    <mergeCell ref="VOQ230:VOR230"/>
    <mergeCell ref="VOS230:VOT230"/>
    <mergeCell ref="VOU230:VOV230"/>
    <mergeCell ref="VOC230:VOD230"/>
    <mergeCell ref="VOE230:VOF230"/>
    <mergeCell ref="VOG230:VOH230"/>
    <mergeCell ref="VOI230:VOJ230"/>
    <mergeCell ref="VOK230:VOL230"/>
    <mergeCell ref="VQU230:VQV230"/>
    <mergeCell ref="VQW230:VQX230"/>
    <mergeCell ref="VQY230:VQZ230"/>
    <mergeCell ref="VRA230:VRB230"/>
    <mergeCell ref="VRC230:VRD230"/>
    <mergeCell ref="VQK230:VQL230"/>
    <mergeCell ref="VQM230:VQN230"/>
    <mergeCell ref="VQO230:VQP230"/>
    <mergeCell ref="VQQ230:VQR230"/>
    <mergeCell ref="VQS230:VQT230"/>
    <mergeCell ref="VQA230:VQB230"/>
    <mergeCell ref="VQC230:VQD230"/>
    <mergeCell ref="VQE230:VQF230"/>
    <mergeCell ref="VQG230:VQH230"/>
    <mergeCell ref="VQI230:VQJ230"/>
    <mergeCell ref="VPQ230:VPR230"/>
    <mergeCell ref="VPS230:VPT230"/>
    <mergeCell ref="VPU230:VPV230"/>
    <mergeCell ref="VPW230:VPX230"/>
    <mergeCell ref="VPY230:VPZ230"/>
    <mergeCell ref="VSI230:VSJ230"/>
    <mergeCell ref="VSK230:VSL230"/>
    <mergeCell ref="VSM230:VSN230"/>
    <mergeCell ref="VSO230:VSP230"/>
    <mergeCell ref="VSQ230:VSR230"/>
    <mergeCell ref="VRY230:VRZ230"/>
    <mergeCell ref="VSA230:VSB230"/>
    <mergeCell ref="VSC230:VSD230"/>
    <mergeCell ref="VSE230:VSF230"/>
    <mergeCell ref="VSG230:VSH230"/>
    <mergeCell ref="VRO230:VRP230"/>
    <mergeCell ref="VRQ230:VRR230"/>
    <mergeCell ref="VRS230:VRT230"/>
    <mergeCell ref="VRU230:VRV230"/>
    <mergeCell ref="VRW230:VRX230"/>
    <mergeCell ref="VRE230:VRF230"/>
    <mergeCell ref="VRG230:VRH230"/>
    <mergeCell ref="VRI230:VRJ230"/>
    <mergeCell ref="VRK230:VRL230"/>
    <mergeCell ref="VRM230:VRN230"/>
    <mergeCell ref="VTW230:VTX230"/>
    <mergeCell ref="VTY230:VTZ230"/>
    <mergeCell ref="VUA230:VUB230"/>
    <mergeCell ref="VUC230:VUD230"/>
    <mergeCell ref="VUE230:VUF230"/>
    <mergeCell ref="VTM230:VTN230"/>
    <mergeCell ref="VTO230:VTP230"/>
    <mergeCell ref="VTQ230:VTR230"/>
    <mergeCell ref="VTS230:VTT230"/>
    <mergeCell ref="VTU230:VTV230"/>
    <mergeCell ref="VTC230:VTD230"/>
    <mergeCell ref="VTE230:VTF230"/>
    <mergeCell ref="VTG230:VTH230"/>
    <mergeCell ref="VTI230:VTJ230"/>
    <mergeCell ref="VTK230:VTL230"/>
    <mergeCell ref="VSS230:VST230"/>
    <mergeCell ref="VSU230:VSV230"/>
    <mergeCell ref="VSW230:VSX230"/>
    <mergeCell ref="VSY230:VSZ230"/>
    <mergeCell ref="VTA230:VTB230"/>
    <mergeCell ref="VVK230:VVL230"/>
    <mergeCell ref="VVM230:VVN230"/>
    <mergeCell ref="VVO230:VVP230"/>
    <mergeCell ref="VVQ230:VVR230"/>
    <mergeCell ref="VVS230:VVT230"/>
    <mergeCell ref="VVA230:VVB230"/>
    <mergeCell ref="VVC230:VVD230"/>
    <mergeCell ref="VVE230:VVF230"/>
    <mergeCell ref="VVG230:VVH230"/>
    <mergeCell ref="VVI230:VVJ230"/>
    <mergeCell ref="VUQ230:VUR230"/>
    <mergeCell ref="VUS230:VUT230"/>
    <mergeCell ref="VUU230:VUV230"/>
    <mergeCell ref="VUW230:VUX230"/>
    <mergeCell ref="VUY230:VUZ230"/>
    <mergeCell ref="VUG230:VUH230"/>
    <mergeCell ref="VUI230:VUJ230"/>
    <mergeCell ref="VUK230:VUL230"/>
    <mergeCell ref="VUM230:VUN230"/>
    <mergeCell ref="VUO230:VUP230"/>
    <mergeCell ref="VWY230:VWZ230"/>
    <mergeCell ref="VXA230:VXB230"/>
    <mergeCell ref="VXC230:VXD230"/>
    <mergeCell ref="VXE230:VXF230"/>
    <mergeCell ref="VXG230:VXH230"/>
    <mergeCell ref="VWO230:VWP230"/>
    <mergeCell ref="VWQ230:VWR230"/>
    <mergeCell ref="VWS230:VWT230"/>
    <mergeCell ref="VWU230:VWV230"/>
    <mergeCell ref="VWW230:VWX230"/>
    <mergeCell ref="VWE230:VWF230"/>
    <mergeCell ref="VWG230:VWH230"/>
    <mergeCell ref="VWI230:VWJ230"/>
    <mergeCell ref="VWK230:VWL230"/>
    <mergeCell ref="VWM230:VWN230"/>
    <mergeCell ref="VVU230:VVV230"/>
    <mergeCell ref="VVW230:VVX230"/>
    <mergeCell ref="VVY230:VVZ230"/>
    <mergeCell ref="VWA230:VWB230"/>
    <mergeCell ref="VWC230:VWD230"/>
    <mergeCell ref="VYM230:VYN230"/>
    <mergeCell ref="VYO230:VYP230"/>
    <mergeCell ref="VYQ230:VYR230"/>
    <mergeCell ref="VYS230:VYT230"/>
    <mergeCell ref="VYU230:VYV230"/>
    <mergeCell ref="VYC230:VYD230"/>
    <mergeCell ref="VYE230:VYF230"/>
    <mergeCell ref="VYG230:VYH230"/>
    <mergeCell ref="VYI230:VYJ230"/>
    <mergeCell ref="VYK230:VYL230"/>
    <mergeCell ref="VXS230:VXT230"/>
    <mergeCell ref="VXU230:VXV230"/>
    <mergeCell ref="VXW230:VXX230"/>
    <mergeCell ref="VXY230:VXZ230"/>
    <mergeCell ref="VYA230:VYB230"/>
    <mergeCell ref="VXI230:VXJ230"/>
    <mergeCell ref="VXK230:VXL230"/>
    <mergeCell ref="VXM230:VXN230"/>
    <mergeCell ref="VXO230:VXP230"/>
    <mergeCell ref="VXQ230:VXR230"/>
    <mergeCell ref="WAA230:WAB230"/>
    <mergeCell ref="WAC230:WAD230"/>
    <mergeCell ref="WAE230:WAF230"/>
    <mergeCell ref="WAG230:WAH230"/>
    <mergeCell ref="WAI230:WAJ230"/>
    <mergeCell ref="VZQ230:VZR230"/>
    <mergeCell ref="VZS230:VZT230"/>
    <mergeCell ref="VZU230:VZV230"/>
    <mergeCell ref="VZW230:VZX230"/>
    <mergeCell ref="VZY230:VZZ230"/>
    <mergeCell ref="VZG230:VZH230"/>
    <mergeCell ref="VZI230:VZJ230"/>
    <mergeCell ref="VZK230:VZL230"/>
    <mergeCell ref="VZM230:VZN230"/>
    <mergeCell ref="VZO230:VZP230"/>
    <mergeCell ref="VYW230:VYX230"/>
    <mergeCell ref="VYY230:VYZ230"/>
    <mergeCell ref="VZA230:VZB230"/>
    <mergeCell ref="VZC230:VZD230"/>
    <mergeCell ref="VZE230:VZF230"/>
    <mergeCell ref="WBO230:WBP230"/>
    <mergeCell ref="WBQ230:WBR230"/>
    <mergeCell ref="WBS230:WBT230"/>
    <mergeCell ref="WBU230:WBV230"/>
    <mergeCell ref="WBW230:WBX230"/>
    <mergeCell ref="WBE230:WBF230"/>
    <mergeCell ref="WBG230:WBH230"/>
    <mergeCell ref="WBI230:WBJ230"/>
    <mergeCell ref="WBK230:WBL230"/>
    <mergeCell ref="WBM230:WBN230"/>
    <mergeCell ref="WAU230:WAV230"/>
    <mergeCell ref="WAW230:WAX230"/>
    <mergeCell ref="WAY230:WAZ230"/>
    <mergeCell ref="WBA230:WBB230"/>
    <mergeCell ref="WBC230:WBD230"/>
    <mergeCell ref="WAK230:WAL230"/>
    <mergeCell ref="WAM230:WAN230"/>
    <mergeCell ref="WAO230:WAP230"/>
    <mergeCell ref="WAQ230:WAR230"/>
    <mergeCell ref="WAS230:WAT230"/>
    <mergeCell ref="WDC230:WDD230"/>
    <mergeCell ref="WDE230:WDF230"/>
    <mergeCell ref="WDG230:WDH230"/>
    <mergeCell ref="WDI230:WDJ230"/>
    <mergeCell ref="WDK230:WDL230"/>
    <mergeCell ref="WCS230:WCT230"/>
    <mergeCell ref="WCU230:WCV230"/>
    <mergeCell ref="WCW230:WCX230"/>
    <mergeCell ref="WCY230:WCZ230"/>
    <mergeCell ref="WDA230:WDB230"/>
    <mergeCell ref="WCI230:WCJ230"/>
    <mergeCell ref="WCK230:WCL230"/>
    <mergeCell ref="WCM230:WCN230"/>
    <mergeCell ref="WCO230:WCP230"/>
    <mergeCell ref="WCQ230:WCR230"/>
    <mergeCell ref="WBY230:WBZ230"/>
    <mergeCell ref="WCA230:WCB230"/>
    <mergeCell ref="WCC230:WCD230"/>
    <mergeCell ref="WCE230:WCF230"/>
    <mergeCell ref="WCG230:WCH230"/>
    <mergeCell ref="WEQ230:WER230"/>
    <mergeCell ref="WES230:WET230"/>
    <mergeCell ref="WEU230:WEV230"/>
    <mergeCell ref="WEW230:WEX230"/>
    <mergeCell ref="WEY230:WEZ230"/>
    <mergeCell ref="WEG230:WEH230"/>
    <mergeCell ref="WEI230:WEJ230"/>
    <mergeCell ref="WEK230:WEL230"/>
    <mergeCell ref="WEM230:WEN230"/>
    <mergeCell ref="WEO230:WEP230"/>
    <mergeCell ref="WDW230:WDX230"/>
    <mergeCell ref="WDY230:WDZ230"/>
    <mergeCell ref="WEA230:WEB230"/>
    <mergeCell ref="WEC230:WED230"/>
    <mergeCell ref="WEE230:WEF230"/>
    <mergeCell ref="WDM230:WDN230"/>
    <mergeCell ref="WDO230:WDP230"/>
    <mergeCell ref="WDQ230:WDR230"/>
    <mergeCell ref="WDS230:WDT230"/>
    <mergeCell ref="WDU230:WDV230"/>
    <mergeCell ref="WGE230:WGF230"/>
    <mergeCell ref="WGG230:WGH230"/>
    <mergeCell ref="WGI230:WGJ230"/>
    <mergeCell ref="WGK230:WGL230"/>
    <mergeCell ref="WGM230:WGN230"/>
    <mergeCell ref="WFU230:WFV230"/>
    <mergeCell ref="WFW230:WFX230"/>
    <mergeCell ref="WFY230:WFZ230"/>
    <mergeCell ref="WGA230:WGB230"/>
    <mergeCell ref="WGC230:WGD230"/>
    <mergeCell ref="WFK230:WFL230"/>
    <mergeCell ref="WFM230:WFN230"/>
    <mergeCell ref="WFO230:WFP230"/>
    <mergeCell ref="WFQ230:WFR230"/>
    <mergeCell ref="WFS230:WFT230"/>
    <mergeCell ref="WFA230:WFB230"/>
    <mergeCell ref="WFC230:WFD230"/>
    <mergeCell ref="WFE230:WFF230"/>
    <mergeCell ref="WFG230:WFH230"/>
    <mergeCell ref="WFI230:WFJ230"/>
    <mergeCell ref="WHS230:WHT230"/>
    <mergeCell ref="WHU230:WHV230"/>
    <mergeCell ref="WHW230:WHX230"/>
    <mergeCell ref="WHY230:WHZ230"/>
    <mergeCell ref="WIA230:WIB230"/>
    <mergeCell ref="WHI230:WHJ230"/>
    <mergeCell ref="WHK230:WHL230"/>
    <mergeCell ref="WHM230:WHN230"/>
    <mergeCell ref="WHO230:WHP230"/>
    <mergeCell ref="WHQ230:WHR230"/>
    <mergeCell ref="WGY230:WGZ230"/>
    <mergeCell ref="WHA230:WHB230"/>
    <mergeCell ref="WHC230:WHD230"/>
    <mergeCell ref="WHE230:WHF230"/>
    <mergeCell ref="WHG230:WHH230"/>
    <mergeCell ref="WGO230:WGP230"/>
    <mergeCell ref="WGQ230:WGR230"/>
    <mergeCell ref="WGS230:WGT230"/>
    <mergeCell ref="WGU230:WGV230"/>
    <mergeCell ref="WGW230:WGX230"/>
    <mergeCell ref="WJG230:WJH230"/>
    <mergeCell ref="WJI230:WJJ230"/>
    <mergeCell ref="WJK230:WJL230"/>
    <mergeCell ref="WJM230:WJN230"/>
    <mergeCell ref="WJO230:WJP230"/>
    <mergeCell ref="WIW230:WIX230"/>
    <mergeCell ref="WIY230:WIZ230"/>
    <mergeCell ref="WJA230:WJB230"/>
    <mergeCell ref="WJC230:WJD230"/>
    <mergeCell ref="WJE230:WJF230"/>
    <mergeCell ref="WIM230:WIN230"/>
    <mergeCell ref="WIO230:WIP230"/>
    <mergeCell ref="WIQ230:WIR230"/>
    <mergeCell ref="WIS230:WIT230"/>
    <mergeCell ref="WIU230:WIV230"/>
    <mergeCell ref="WIC230:WID230"/>
    <mergeCell ref="WIE230:WIF230"/>
    <mergeCell ref="WIG230:WIH230"/>
    <mergeCell ref="WII230:WIJ230"/>
    <mergeCell ref="WIK230:WIL230"/>
    <mergeCell ref="WKU230:WKV230"/>
    <mergeCell ref="WKW230:WKX230"/>
    <mergeCell ref="WKY230:WKZ230"/>
    <mergeCell ref="WLA230:WLB230"/>
    <mergeCell ref="WLC230:WLD230"/>
    <mergeCell ref="WKK230:WKL230"/>
    <mergeCell ref="WKM230:WKN230"/>
    <mergeCell ref="WKO230:WKP230"/>
    <mergeCell ref="WKQ230:WKR230"/>
    <mergeCell ref="WKS230:WKT230"/>
    <mergeCell ref="WKA230:WKB230"/>
    <mergeCell ref="WKC230:WKD230"/>
    <mergeCell ref="WKE230:WKF230"/>
    <mergeCell ref="WKG230:WKH230"/>
    <mergeCell ref="WKI230:WKJ230"/>
    <mergeCell ref="WJQ230:WJR230"/>
    <mergeCell ref="WJS230:WJT230"/>
    <mergeCell ref="WJU230:WJV230"/>
    <mergeCell ref="WJW230:WJX230"/>
    <mergeCell ref="WJY230:WJZ230"/>
    <mergeCell ref="WMI230:WMJ230"/>
    <mergeCell ref="WMK230:WML230"/>
    <mergeCell ref="WMM230:WMN230"/>
    <mergeCell ref="WMO230:WMP230"/>
    <mergeCell ref="WMQ230:WMR230"/>
    <mergeCell ref="WLY230:WLZ230"/>
    <mergeCell ref="WMA230:WMB230"/>
    <mergeCell ref="WMC230:WMD230"/>
    <mergeCell ref="WME230:WMF230"/>
    <mergeCell ref="WMG230:WMH230"/>
    <mergeCell ref="WLO230:WLP230"/>
    <mergeCell ref="WLQ230:WLR230"/>
    <mergeCell ref="WLS230:WLT230"/>
    <mergeCell ref="WLU230:WLV230"/>
    <mergeCell ref="WLW230:WLX230"/>
    <mergeCell ref="WLE230:WLF230"/>
    <mergeCell ref="WLG230:WLH230"/>
    <mergeCell ref="WLI230:WLJ230"/>
    <mergeCell ref="WLK230:WLL230"/>
    <mergeCell ref="WLM230:WLN230"/>
    <mergeCell ref="WNW230:WNX230"/>
    <mergeCell ref="WNY230:WNZ230"/>
    <mergeCell ref="WOA230:WOB230"/>
    <mergeCell ref="WOC230:WOD230"/>
    <mergeCell ref="WOE230:WOF230"/>
    <mergeCell ref="WNM230:WNN230"/>
    <mergeCell ref="WNO230:WNP230"/>
    <mergeCell ref="WNQ230:WNR230"/>
    <mergeCell ref="WNS230:WNT230"/>
    <mergeCell ref="WNU230:WNV230"/>
    <mergeCell ref="WNC230:WND230"/>
    <mergeCell ref="WNE230:WNF230"/>
    <mergeCell ref="WNG230:WNH230"/>
    <mergeCell ref="WNI230:WNJ230"/>
    <mergeCell ref="WNK230:WNL230"/>
    <mergeCell ref="WMS230:WMT230"/>
    <mergeCell ref="WMU230:WMV230"/>
    <mergeCell ref="WMW230:WMX230"/>
    <mergeCell ref="WMY230:WMZ230"/>
    <mergeCell ref="WNA230:WNB230"/>
    <mergeCell ref="WPK230:WPL230"/>
    <mergeCell ref="WPM230:WPN230"/>
    <mergeCell ref="WPO230:WPP230"/>
    <mergeCell ref="WPQ230:WPR230"/>
    <mergeCell ref="WPS230:WPT230"/>
    <mergeCell ref="WPA230:WPB230"/>
    <mergeCell ref="WPC230:WPD230"/>
    <mergeCell ref="WPE230:WPF230"/>
    <mergeCell ref="WPG230:WPH230"/>
    <mergeCell ref="WPI230:WPJ230"/>
    <mergeCell ref="WOQ230:WOR230"/>
    <mergeCell ref="WOS230:WOT230"/>
    <mergeCell ref="WOU230:WOV230"/>
    <mergeCell ref="WOW230:WOX230"/>
    <mergeCell ref="WOY230:WOZ230"/>
    <mergeCell ref="WOG230:WOH230"/>
    <mergeCell ref="WOI230:WOJ230"/>
    <mergeCell ref="WOK230:WOL230"/>
    <mergeCell ref="WOM230:WON230"/>
    <mergeCell ref="WOO230:WOP230"/>
    <mergeCell ref="WQY230:WQZ230"/>
    <mergeCell ref="WRA230:WRB230"/>
    <mergeCell ref="WRC230:WRD230"/>
    <mergeCell ref="WRE230:WRF230"/>
    <mergeCell ref="WRG230:WRH230"/>
    <mergeCell ref="WQO230:WQP230"/>
    <mergeCell ref="WQQ230:WQR230"/>
    <mergeCell ref="WQS230:WQT230"/>
    <mergeCell ref="WQU230:WQV230"/>
    <mergeCell ref="WQW230:WQX230"/>
    <mergeCell ref="WQE230:WQF230"/>
    <mergeCell ref="WQG230:WQH230"/>
    <mergeCell ref="WQI230:WQJ230"/>
    <mergeCell ref="WQK230:WQL230"/>
    <mergeCell ref="WQM230:WQN230"/>
    <mergeCell ref="WPU230:WPV230"/>
    <mergeCell ref="WPW230:WPX230"/>
    <mergeCell ref="WPY230:WPZ230"/>
    <mergeCell ref="WQA230:WQB230"/>
    <mergeCell ref="WQC230:WQD230"/>
    <mergeCell ref="WSM230:WSN230"/>
    <mergeCell ref="WSO230:WSP230"/>
    <mergeCell ref="WSQ230:WSR230"/>
    <mergeCell ref="WSS230:WST230"/>
    <mergeCell ref="WSU230:WSV230"/>
    <mergeCell ref="WSC230:WSD230"/>
    <mergeCell ref="WSE230:WSF230"/>
    <mergeCell ref="WSG230:WSH230"/>
    <mergeCell ref="WSI230:WSJ230"/>
    <mergeCell ref="WSK230:WSL230"/>
    <mergeCell ref="WRS230:WRT230"/>
    <mergeCell ref="WRU230:WRV230"/>
    <mergeCell ref="WRW230:WRX230"/>
    <mergeCell ref="WRY230:WRZ230"/>
    <mergeCell ref="WSA230:WSB230"/>
    <mergeCell ref="WRI230:WRJ230"/>
    <mergeCell ref="WRK230:WRL230"/>
    <mergeCell ref="WRM230:WRN230"/>
    <mergeCell ref="WRO230:WRP230"/>
    <mergeCell ref="WRQ230:WRR230"/>
    <mergeCell ref="WUA230:WUB230"/>
    <mergeCell ref="WUC230:WUD230"/>
    <mergeCell ref="WUE230:WUF230"/>
    <mergeCell ref="WUG230:WUH230"/>
    <mergeCell ref="WUI230:WUJ230"/>
    <mergeCell ref="WTQ230:WTR230"/>
    <mergeCell ref="WTS230:WTT230"/>
    <mergeCell ref="WTU230:WTV230"/>
    <mergeCell ref="WTW230:WTX230"/>
    <mergeCell ref="WTY230:WTZ230"/>
    <mergeCell ref="WTG230:WTH230"/>
    <mergeCell ref="WTI230:WTJ230"/>
    <mergeCell ref="WTK230:WTL230"/>
    <mergeCell ref="WTM230:WTN230"/>
    <mergeCell ref="WTO230:WTP230"/>
    <mergeCell ref="WSW230:WSX230"/>
    <mergeCell ref="WSY230:WSZ230"/>
    <mergeCell ref="WTA230:WTB230"/>
    <mergeCell ref="WTC230:WTD230"/>
    <mergeCell ref="WTE230:WTF230"/>
    <mergeCell ref="WVO230:WVP230"/>
    <mergeCell ref="WVQ230:WVR230"/>
    <mergeCell ref="WVS230:WVT230"/>
    <mergeCell ref="WVU230:WVV230"/>
    <mergeCell ref="WVW230:WVX230"/>
    <mergeCell ref="WVE230:WVF230"/>
    <mergeCell ref="WVG230:WVH230"/>
    <mergeCell ref="WVI230:WVJ230"/>
    <mergeCell ref="WVK230:WVL230"/>
    <mergeCell ref="WVM230:WVN230"/>
    <mergeCell ref="WUU230:WUV230"/>
    <mergeCell ref="WUW230:WUX230"/>
    <mergeCell ref="WUY230:WUZ230"/>
    <mergeCell ref="WVA230:WVB230"/>
    <mergeCell ref="WVC230:WVD230"/>
    <mergeCell ref="WUK230:WUL230"/>
    <mergeCell ref="WUM230:WUN230"/>
    <mergeCell ref="WUO230:WUP230"/>
    <mergeCell ref="WUQ230:WUR230"/>
    <mergeCell ref="WUS230:WUT230"/>
    <mergeCell ref="WXC230:WXD230"/>
    <mergeCell ref="WXE230:WXF230"/>
    <mergeCell ref="WXG230:WXH230"/>
    <mergeCell ref="WXI230:WXJ230"/>
    <mergeCell ref="WXK230:WXL230"/>
    <mergeCell ref="WWS230:WWT230"/>
    <mergeCell ref="WWU230:WWV230"/>
    <mergeCell ref="WWW230:WWX230"/>
    <mergeCell ref="WWY230:WWZ230"/>
    <mergeCell ref="WXA230:WXB230"/>
    <mergeCell ref="WWI230:WWJ230"/>
    <mergeCell ref="WWK230:WWL230"/>
    <mergeCell ref="WWM230:WWN230"/>
    <mergeCell ref="WWO230:WWP230"/>
    <mergeCell ref="WWQ230:WWR230"/>
    <mergeCell ref="WVY230:WVZ230"/>
    <mergeCell ref="WWA230:WWB230"/>
    <mergeCell ref="WWC230:WWD230"/>
    <mergeCell ref="WWE230:WWF230"/>
    <mergeCell ref="WWG230:WWH230"/>
    <mergeCell ref="WYQ230:WYR230"/>
    <mergeCell ref="WYS230:WYT230"/>
    <mergeCell ref="WYU230:WYV230"/>
    <mergeCell ref="WYW230:WYX230"/>
    <mergeCell ref="WYY230:WYZ230"/>
    <mergeCell ref="WYG230:WYH230"/>
    <mergeCell ref="WYI230:WYJ230"/>
    <mergeCell ref="WYK230:WYL230"/>
    <mergeCell ref="WYM230:WYN230"/>
    <mergeCell ref="WYO230:WYP230"/>
    <mergeCell ref="WXW230:WXX230"/>
    <mergeCell ref="WXY230:WXZ230"/>
    <mergeCell ref="WYA230:WYB230"/>
    <mergeCell ref="WYC230:WYD230"/>
    <mergeCell ref="WYE230:WYF230"/>
    <mergeCell ref="WXM230:WXN230"/>
    <mergeCell ref="WXO230:WXP230"/>
    <mergeCell ref="WXQ230:WXR230"/>
    <mergeCell ref="WXS230:WXT230"/>
    <mergeCell ref="WXU230:WXV230"/>
    <mergeCell ref="XAE230:XAF230"/>
    <mergeCell ref="XAG230:XAH230"/>
    <mergeCell ref="XAI230:XAJ230"/>
    <mergeCell ref="XAK230:XAL230"/>
    <mergeCell ref="XAM230:XAN230"/>
    <mergeCell ref="WZU230:WZV230"/>
    <mergeCell ref="WZW230:WZX230"/>
    <mergeCell ref="WZY230:WZZ230"/>
    <mergeCell ref="XAA230:XAB230"/>
    <mergeCell ref="XAC230:XAD230"/>
    <mergeCell ref="WZK230:WZL230"/>
    <mergeCell ref="WZM230:WZN230"/>
    <mergeCell ref="WZO230:WZP230"/>
    <mergeCell ref="WZQ230:WZR230"/>
    <mergeCell ref="WZS230:WZT230"/>
    <mergeCell ref="WZA230:WZB230"/>
    <mergeCell ref="WZC230:WZD230"/>
    <mergeCell ref="WZE230:WZF230"/>
    <mergeCell ref="WZG230:WZH230"/>
    <mergeCell ref="WZI230:WZJ230"/>
    <mergeCell ref="XBS230:XBT230"/>
    <mergeCell ref="XBU230:XBV230"/>
    <mergeCell ref="XBW230:XBX230"/>
    <mergeCell ref="XBY230:XBZ230"/>
    <mergeCell ref="XCA230:XCB230"/>
    <mergeCell ref="XBI230:XBJ230"/>
    <mergeCell ref="XBK230:XBL230"/>
    <mergeCell ref="XBM230:XBN230"/>
    <mergeCell ref="XBO230:XBP230"/>
    <mergeCell ref="XBQ230:XBR230"/>
    <mergeCell ref="XAY230:XAZ230"/>
    <mergeCell ref="XBA230:XBB230"/>
    <mergeCell ref="XBC230:XBD230"/>
    <mergeCell ref="XBE230:XBF230"/>
    <mergeCell ref="XBG230:XBH230"/>
    <mergeCell ref="XAO230:XAP230"/>
    <mergeCell ref="XAQ230:XAR230"/>
    <mergeCell ref="XAS230:XAT230"/>
    <mergeCell ref="XAU230:XAV230"/>
    <mergeCell ref="XAW230:XAX230"/>
    <mergeCell ref="XDG230:XDH230"/>
    <mergeCell ref="XDI230:XDJ230"/>
    <mergeCell ref="XDK230:XDL230"/>
    <mergeCell ref="XDM230:XDN230"/>
    <mergeCell ref="XDO230:XDP230"/>
    <mergeCell ref="XCW230:XCX230"/>
    <mergeCell ref="XCY230:XCZ230"/>
    <mergeCell ref="XDA230:XDB230"/>
    <mergeCell ref="XDC230:XDD230"/>
    <mergeCell ref="XDE230:XDF230"/>
    <mergeCell ref="XCM230:XCN230"/>
    <mergeCell ref="XCO230:XCP230"/>
    <mergeCell ref="XCQ230:XCR230"/>
    <mergeCell ref="XCS230:XCT230"/>
    <mergeCell ref="XCU230:XCV230"/>
    <mergeCell ref="XCC230:XCD230"/>
    <mergeCell ref="XCE230:XCF230"/>
    <mergeCell ref="XCG230:XCH230"/>
    <mergeCell ref="XCI230:XCJ230"/>
    <mergeCell ref="XCK230:XCL230"/>
    <mergeCell ref="XEU230:XEV230"/>
    <mergeCell ref="XEW230:XEX230"/>
    <mergeCell ref="XEY230:XEZ230"/>
    <mergeCell ref="XFA230:XFB230"/>
    <mergeCell ref="XFC230:XFD230"/>
    <mergeCell ref="XEK230:XEL230"/>
    <mergeCell ref="XEM230:XEN230"/>
    <mergeCell ref="XEO230:XEP230"/>
    <mergeCell ref="XEQ230:XER230"/>
    <mergeCell ref="XES230:XET230"/>
    <mergeCell ref="XEA230:XEB230"/>
    <mergeCell ref="XEC230:XED230"/>
    <mergeCell ref="XEE230:XEF230"/>
    <mergeCell ref="XEG230:XEH230"/>
    <mergeCell ref="XEI230:XEJ230"/>
    <mergeCell ref="XDQ230:XDR230"/>
    <mergeCell ref="XDS230:XDT230"/>
    <mergeCell ref="XDU230:XDV230"/>
    <mergeCell ref="XDW230:XDX230"/>
    <mergeCell ref="XDY230:XDZ23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782B-82B8-4172-8418-C3D0016E7167}">
  <sheetPr codeName="Hárok8"/>
  <dimension ref="A1:G109"/>
  <sheetViews>
    <sheetView workbookViewId="0">
      <selection activeCell="K14" sqref="K14"/>
    </sheetView>
  </sheetViews>
  <sheetFormatPr defaultRowHeight="15" x14ac:dyDescent="0.25"/>
  <cols>
    <col min="2" max="2" width="68.28515625" style="41" bestFit="1" customWidth="1"/>
    <col min="3" max="3" width="9.28515625" style="42" bestFit="1" customWidth="1"/>
  </cols>
  <sheetData>
    <row r="1" spans="1:6" s="49" customFormat="1" x14ac:dyDescent="0.25">
      <c r="A1" s="47" t="s">
        <v>541</v>
      </c>
      <c r="B1" s="142" t="s">
        <v>820</v>
      </c>
      <c r="C1" s="48" t="s">
        <v>624</v>
      </c>
      <c r="D1" s="266" t="s">
        <v>745</v>
      </c>
      <c r="E1" s="49" t="s">
        <v>612</v>
      </c>
      <c r="F1" s="49" t="s">
        <v>613</v>
      </c>
    </row>
    <row r="2" spans="1:6" s="45" customFormat="1" x14ac:dyDescent="0.25">
      <c r="B2" s="50" t="s">
        <v>680</v>
      </c>
      <c r="C2" s="46"/>
      <c r="D2" s="267"/>
    </row>
    <row r="3" spans="1:6" x14ac:dyDescent="0.25">
      <c r="A3" s="57">
        <v>1</v>
      </c>
      <c r="B3" s="57" t="s">
        <v>786</v>
      </c>
      <c r="C3" s="263">
        <v>1210</v>
      </c>
      <c r="D3" s="268" t="s">
        <v>2</v>
      </c>
      <c r="E3" s="264">
        <v>0.5</v>
      </c>
      <c r="F3" s="57" t="s">
        <v>866</v>
      </c>
    </row>
    <row r="4" spans="1:6" x14ac:dyDescent="0.25">
      <c r="A4" s="57">
        <v>2</v>
      </c>
      <c r="B4" s="57" t="s">
        <v>787</v>
      </c>
      <c r="C4" s="263">
        <v>1305</v>
      </c>
      <c r="D4" s="268" t="s">
        <v>2</v>
      </c>
      <c r="E4" s="264">
        <v>0.5</v>
      </c>
      <c r="F4" s="57" t="s">
        <v>866</v>
      </c>
    </row>
    <row r="5" spans="1:6" x14ac:dyDescent="0.25">
      <c r="A5" s="57">
        <v>3</v>
      </c>
      <c r="B5" s="57" t="s">
        <v>788</v>
      </c>
      <c r="C5" s="263">
        <v>1415</v>
      </c>
      <c r="D5" s="268" t="s">
        <v>2</v>
      </c>
      <c r="E5" s="264">
        <v>0.5</v>
      </c>
      <c r="F5" s="57" t="s">
        <v>866</v>
      </c>
    </row>
    <row r="6" spans="1:6" x14ac:dyDescent="0.25">
      <c r="A6" s="57">
        <v>4</v>
      </c>
      <c r="B6" s="57" t="s">
        <v>789</v>
      </c>
      <c r="C6" s="263">
        <v>1840</v>
      </c>
      <c r="D6" s="268" t="s">
        <v>2</v>
      </c>
      <c r="E6" s="264">
        <v>0.5</v>
      </c>
      <c r="F6" s="57" t="s">
        <v>866</v>
      </c>
    </row>
    <row r="7" spans="1:6" x14ac:dyDescent="0.25">
      <c r="A7" s="57">
        <v>5</v>
      </c>
      <c r="B7" s="57" t="s">
        <v>790</v>
      </c>
      <c r="C7" s="263">
        <v>2195</v>
      </c>
      <c r="D7" s="268" t="s">
        <v>2</v>
      </c>
      <c r="E7" s="264">
        <v>0.5</v>
      </c>
      <c r="F7" s="57" t="s">
        <v>866</v>
      </c>
    </row>
    <row r="8" spans="1:6" x14ac:dyDescent="0.25">
      <c r="A8" s="57">
        <v>6</v>
      </c>
      <c r="B8" s="57" t="s">
        <v>791</v>
      </c>
      <c r="C8" s="263">
        <v>2670</v>
      </c>
      <c r="D8" s="268" t="s">
        <v>2</v>
      </c>
      <c r="E8" s="264">
        <v>0.5</v>
      </c>
      <c r="F8" s="57" t="s">
        <v>866</v>
      </c>
    </row>
    <row r="9" spans="1:6" x14ac:dyDescent="0.25">
      <c r="A9" s="57">
        <v>7</v>
      </c>
      <c r="B9" s="57" t="s">
        <v>792</v>
      </c>
      <c r="C9" s="263">
        <v>1450</v>
      </c>
      <c r="D9" s="268" t="s">
        <v>2</v>
      </c>
      <c r="E9" s="264">
        <v>0.5</v>
      </c>
      <c r="F9" s="57" t="s">
        <v>866</v>
      </c>
    </row>
    <row r="10" spans="1:6" x14ac:dyDescent="0.25">
      <c r="A10" s="57">
        <v>8</v>
      </c>
      <c r="B10" s="57" t="s">
        <v>793</v>
      </c>
      <c r="C10" s="263">
        <v>1510</v>
      </c>
      <c r="D10" s="268" t="s">
        <v>2</v>
      </c>
      <c r="E10" s="264">
        <v>0.5</v>
      </c>
      <c r="F10" s="57" t="s">
        <v>866</v>
      </c>
    </row>
    <row r="11" spans="1:6" x14ac:dyDescent="0.25">
      <c r="A11" s="57">
        <v>9</v>
      </c>
      <c r="B11" s="57" t="s">
        <v>794</v>
      </c>
      <c r="C11" s="263">
        <v>1755</v>
      </c>
      <c r="D11" s="268" t="s">
        <v>2</v>
      </c>
      <c r="E11" s="264">
        <v>0.5</v>
      </c>
      <c r="F11" s="57" t="s">
        <v>866</v>
      </c>
    </row>
    <row r="12" spans="1:6" x14ac:dyDescent="0.25">
      <c r="A12" s="57">
        <v>10</v>
      </c>
      <c r="B12" s="57" t="s">
        <v>795</v>
      </c>
      <c r="C12" s="263">
        <v>2065</v>
      </c>
      <c r="D12" s="268" t="s">
        <v>2</v>
      </c>
      <c r="E12" s="264">
        <v>0.5</v>
      </c>
      <c r="F12" s="57" t="s">
        <v>866</v>
      </c>
    </row>
    <row r="13" spans="1:6" x14ac:dyDescent="0.25">
      <c r="A13" s="57">
        <v>11</v>
      </c>
      <c r="B13" s="57" t="s">
        <v>796</v>
      </c>
      <c r="C13" s="263">
        <v>2375</v>
      </c>
      <c r="D13" s="268" t="s">
        <v>2</v>
      </c>
      <c r="E13" s="264">
        <v>0.5</v>
      </c>
      <c r="F13" s="57" t="s">
        <v>866</v>
      </c>
    </row>
    <row r="14" spans="1:6" x14ac:dyDescent="0.25">
      <c r="A14" s="57">
        <v>12</v>
      </c>
      <c r="B14" s="57" t="s">
        <v>797</v>
      </c>
      <c r="C14" s="263">
        <v>2725</v>
      </c>
      <c r="D14" s="268" t="s">
        <v>2</v>
      </c>
      <c r="E14" s="264">
        <v>0.5</v>
      </c>
      <c r="F14" s="57" t="s">
        <v>866</v>
      </c>
    </row>
    <row r="15" spans="1:6" x14ac:dyDescent="0.25">
      <c r="A15" s="57">
        <v>13</v>
      </c>
      <c r="B15" s="57" t="s">
        <v>798</v>
      </c>
      <c r="C15" s="263">
        <v>3165</v>
      </c>
      <c r="D15" s="268" t="s">
        <v>2</v>
      </c>
      <c r="E15" s="264">
        <v>0.5</v>
      </c>
      <c r="F15" s="57" t="s">
        <v>866</v>
      </c>
    </row>
    <row r="16" spans="1:6" x14ac:dyDescent="0.25">
      <c r="A16" s="57">
        <v>14</v>
      </c>
      <c r="B16" s="57" t="s">
        <v>799</v>
      </c>
      <c r="C16" s="263">
        <v>1690</v>
      </c>
      <c r="D16" s="268" t="s">
        <v>2</v>
      </c>
      <c r="E16" s="264">
        <v>0.5</v>
      </c>
      <c r="F16" s="57" t="s">
        <v>866</v>
      </c>
    </row>
    <row r="17" spans="1:7" x14ac:dyDescent="0.25">
      <c r="A17" s="57">
        <v>15</v>
      </c>
      <c r="B17" s="57" t="s">
        <v>800</v>
      </c>
      <c r="C17" s="263">
        <v>1735</v>
      </c>
      <c r="D17" s="268" t="s">
        <v>2</v>
      </c>
      <c r="E17" s="264">
        <v>0.5</v>
      </c>
      <c r="F17" s="57" t="s">
        <v>866</v>
      </c>
    </row>
    <row r="18" spans="1:7" s="45" customFormat="1" x14ac:dyDescent="0.25">
      <c r="A18" s="57">
        <v>16</v>
      </c>
      <c r="B18" s="57" t="s">
        <v>801</v>
      </c>
      <c r="C18" s="263">
        <v>1990</v>
      </c>
      <c r="D18" s="268" t="s">
        <v>2</v>
      </c>
      <c r="E18" s="264">
        <v>0.5</v>
      </c>
      <c r="F18" s="57" t="s">
        <v>866</v>
      </c>
      <c r="G18"/>
    </row>
    <row r="19" spans="1:7" s="45" customFormat="1" x14ac:dyDescent="0.25">
      <c r="A19" s="57">
        <v>17</v>
      </c>
      <c r="B19" s="57" t="s">
        <v>802</v>
      </c>
      <c r="C19" s="263">
        <v>2360</v>
      </c>
      <c r="D19" s="268" t="s">
        <v>2</v>
      </c>
      <c r="E19" s="264">
        <v>0.5</v>
      </c>
      <c r="F19" s="57" t="s">
        <v>866</v>
      </c>
      <c r="G19"/>
    </row>
    <row r="20" spans="1:7" x14ac:dyDescent="0.25">
      <c r="A20" s="57">
        <v>18</v>
      </c>
      <c r="B20" s="57" t="s">
        <v>803</v>
      </c>
      <c r="C20" s="263">
        <v>2745</v>
      </c>
      <c r="D20" s="268" t="s">
        <v>2</v>
      </c>
      <c r="E20" s="264">
        <v>0.5</v>
      </c>
      <c r="F20" s="57" t="s">
        <v>866</v>
      </c>
    </row>
    <row r="21" spans="1:7" x14ac:dyDescent="0.25">
      <c r="A21" s="57">
        <v>19</v>
      </c>
      <c r="B21" s="57" t="s">
        <v>804</v>
      </c>
      <c r="C21" s="263">
        <v>3140</v>
      </c>
      <c r="D21" s="268" t="s">
        <v>2</v>
      </c>
      <c r="E21" s="264">
        <v>0.5</v>
      </c>
      <c r="F21" s="57" t="s">
        <v>866</v>
      </c>
    </row>
    <row r="22" spans="1:7" x14ac:dyDescent="0.25">
      <c r="A22" s="57">
        <v>20</v>
      </c>
      <c r="B22" s="57" t="s">
        <v>805</v>
      </c>
      <c r="C22" s="263">
        <v>3670</v>
      </c>
      <c r="D22" s="268" t="s">
        <v>2</v>
      </c>
      <c r="E22" s="264">
        <v>0.5</v>
      </c>
      <c r="F22" s="57" t="s">
        <v>866</v>
      </c>
    </row>
    <row r="23" spans="1:7" x14ac:dyDescent="0.25">
      <c r="A23" s="57">
        <v>21</v>
      </c>
      <c r="B23" s="57" t="s">
        <v>806</v>
      </c>
      <c r="C23" s="263">
        <v>1605</v>
      </c>
      <c r="D23" s="268" t="s">
        <v>2</v>
      </c>
      <c r="E23" s="264">
        <v>0.5</v>
      </c>
      <c r="F23" s="57" t="s">
        <v>866</v>
      </c>
    </row>
    <row r="24" spans="1:7" x14ac:dyDescent="0.25">
      <c r="A24" s="57">
        <v>22</v>
      </c>
      <c r="B24" s="57" t="s">
        <v>807</v>
      </c>
      <c r="C24" s="263">
        <v>1650</v>
      </c>
      <c r="D24" s="268" t="s">
        <v>2</v>
      </c>
      <c r="E24" s="264">
        <v>0.5</v>
      </c>
      <c r="F24" s="57" t="s">
        <v>866</v>
      </c>
    </row>
    <row r="25" spans="1:7" x14ac:dyDescent="0.25">
      <c r="A25" s="57">
        <v>23</v>
      </c>
      <c r="B25" s="57" t="s">
        <v>808</v>
      </c>
      <c r="C25" s="263">
        <v>1900</v>
      </c>
      <c r="D25" s="268" t="s">
        <v>2</v>
      </c>
      <c r="E25" s="264">
        <v>0.5</v>
      </c>
      <c r="F25" s="57" t="s">
        <v>866</v>
      </c>
    </row>
    <row r="26" spans="1:7" x14ac:dyDescent="0.25">
      <c r="A26" s="57">
        <v>24</v>
      </c>
      <c r="B26" s="57" t="s">
        <v>809</v>
      </c>
      <c r="C26" s="263">
        <v>2240</v>
      </c>
      <c r="D26" s="268" t="s">
        <v>2</v>
      </c>
      <c r="E26" s="264">
        <v>0.5</v>
      </c>
      <c r="F26" s="57" t="s">
        <v>866</v>
      </c>
    </row>
    <row r="27" spans="1:7" x14ac:dyDescent="0.25">
      <c r="A27" s="57">
        <v>25</v>
      </c>
      <c r="B27" s="57" t="s">
        <v>810</v>
      </c>
      <c r="C27" s="263">
        <v>2610</v>
      </c>
      <c r="D27" s="268" t="s">
        <v>2</v>
      </c>
      <c r="E27" s="264">
        <v>0.5</v>
      </c>
      <c r="F27" s="57" t="s">
        <v>866</v>
      </c>
    </row>
    <row r="28" spans="1:7" s="43" customFormat="1" x14ac:dyDescent="0.25">
      <c r="A28" s="57">
        <v>26</v>
      </c>
      <c r="B28" s="57" t="s">
        <v>811</v>
      </c>
      <c r="C28" s="263">
        <v>2990</v>
      </c>
      <c r="D28" s="268" t="s">
        <v>2</v>
      </c>
      <c r="E28" s="264">
        <v>0.5</v>
      </c>
      <c r="F28" s="57" t="s">
        <v>866</v>
      </c>
      <c r="G28"/>
    </row>
    <row r="29" spans="1:7" x14ac:dyDescent="0.25">
      <c r="A29" s="57">
        <v>27</v>
      </c>
      <c r="B29" s="57" t="s">
        <v>812</v>
      </c>
      <c r="C29" s="263">
        <v>3480</v>
      </c>
      <c r="D29" s="268" t="s">
        <v>2</v>
      </c>
      <c r="E29" s="264">
        <v>0.5</v>
      </c>
      <c r="F29" s="57" t="s">
        <v>866</v>
      </c>
    </row>
    <row r="30" spans="1:7" x14ac:dyDescent="0.25">
      <c r="A30" s="57">
        <v>28</v>
      </c>
      <c r="B30" s="57" t="s">
        <v>813</v>
      </c>
      <c r="C30" s="263">
        <v>1835</v>
      </c>
      <c r="D30" s="268" t="s">
        <v>2</v>
      </c>
      <c r="E30" s="264">
        <v>0.5</v>
      </c>
      <c r="F30" s="57" t="s">
        <v>866</v>
      </c>
    </row>
    <row r="31" spans="1:7" x14ac:dyDescent="0.25">
      <c r="A31" s="57">
        <v>29</v>
      </c>
      <c r="B31" s="57" t="s">
        <v>814</v>
      </c>
      <c r="C31" s="263">
        <v>2115</v>
      </c>
      <c r="D31" s="268" t="s">
        <v>2</v>
      </c>
      <c r="E31" s="264">
        <v>0.5</v>
      </c>
      <c r="F31" s="57" t="s">
        <v>866</v>
      </c>
    </row>
    <row r="32" spans="1:7" x14ac:dyDescent="0.25">
      <c r="A32" s="57">
        <v>30</v>
      </c>
      <c r="B32" s="57" t="s">
        <v>815</v>
      </c>
      <c r="C32" s="263">
        <v>2455</v>
      </c>
      <c r="D32" s="268" t="s">
        <v>2</v>
      </c>
      <c r="E32" s="264">
        <v>0.5</v>
      </c>
      <c r="F32" s="57" t="s">
        <v>866</v>
      </c>
    </row>
    <row r="33" spans="1:7" x14ac:dyDescent="0.25">
      <c r="A33" s="57">
        <v>31</v>
      </c>
      <c r="B33" s="57" t="s">
        <v>816</v>
      </c>
      <c r="C33" s="263">
        <v>2200</v>
      </c>
      <c r="D33" s="268" t="s">
        <v>2</v>
      </c>
      <c r="E33" s="264">
        <v>0.5</v>
      </c>
      <c r="F33" s="57" t="s">
        <v>866</v>
      </c>
    </row>
    <row r="34" spans="1:7" x14ac:dyDescent="0.25">
      <c r="A34" s="57">
        <v>32</v>
      </c>
      <c r="B34" s="57" t="s">
        <v>817</v>
      </c>
      <c r="C34" s="263">
        <v>2425</v>
      </c>
      <c r="D34" s="268" t="s">
        <v>2</v>
      </c>
      <c r="E34" s="264">
        <v>0.5</v>
      </c>
      <c r="F34" s="57" t="s">
        <v>866</v>
      </c>
    </row>
    <row r="35" spans="1:7" x14ac:dyDescent="0.25">
      <c r="A35" s="57">
        <v>33</v>
      </c>
      <c r="B35" s="57" t="s">
        <v>818</v>
      </c>
      <c r="C35" s="263">
        <v>3090</v>
      </c>
      <c r="D35" s="268" t="s">
        <v>2</v>
      </c>
      <c r="E35" s="264">
        <v>0.5</v>
      </c>
      <c r="F35" s="57" t="s">
        <v>866</v>
      </c>
    </row>
    <row r="36" spans="1:7" x14ac:dyDescent="0.25">
      <c r="A36" s="57">
        <v>34</v>
      </c>
      <c r="B36" s="57" t="s">
        <v>963</v>
      </c>
      <c r="C36" s="265">
        <v>273.60000000000002</v>
      </c>
      <c r="D36" s="268" t="s">
        <v>2</v>
      </c>
      <c r="E36" s="264">
        <v>0.5</v>
      </c>
      <c r="F36" s="57" t="s">
        <v>866</v>
      </c>
      <c r="G36" s="271">
        <f>C36*0.8</f>
        <v>218.88000000000002</v>
      </c>
    </row>
    <row r="37" spans="1:7" x14ac:dyDescent="0.25">
      <c r="A37" s="57">
        <v>35</v>
      </c>
      <c r="B37" s="57" t="s">
        <v>964</v>
      </c>
      <c r="C37" s="265">
        <v>280.8</v>
      </c>
      <c r="D37" s="268" t="s">
        <v>2</v>
      </c>
      <c r="E37" s="264">
        <v>0.5</v>
      </c>
      <c r="F37" s="57" t="s">
        <v>866</v>
      </c>
      <c r="G37" s="271">
        <f>C37*0.8</f>
        <v>224.64000000000001</v>
      </c>
    </row>
    <row r="38" spans="1:7" x14ac:dyDescent="0.25">
      <c r="A38" s="57">
        <v>36</v>
      </c>
      <c r="B38" s="57" t="s">
        <v>965</v>
      </c>
      <c r="C38" s="265">
        <v>288</v>
      </c>
      <c r="D38" s="268" t="s">
        <v>2</v>
      </c>
      <c r="E38" s="264">
        <v>0.5</v>
      </c>
      <c r="F38" s="57" t="s">
        <v>866</v>
      </c>
      <c r="G38" s="271">
        <f>C38*0.8</f>
        <v>230.4</v>
      </c>
    </row>
    <row r="39" spans="1:7" x14ac:dyDescent="0.25">
      <c r="A39" s="57">
        <v>37</v>
      </c>
      <c r="B39" s="57" t="s">
        <v>966</v>
      </c>
      <c r="C39" s="265">
        <v>302.40000000000003</v>
      </c>
      <c r="D39" s="268" t="s">
        <v>2</v>
      </c>
      <c r="E39" s="264">
        <v>0.5</v>
      </c>
      <c r="F39" s="57" t="s">
        <v>866</v>
      </c>
      <c r="G39" s="271">
        <f>C39*0.8</f>
        <v>241.92000000000004</v>
      </c>
    </row>
    <row r="40" spans="1:7" x14ac:dyDescent="0.25">
      <c r="A40" s="57">
        <v>38</v>
      </c>
      <c r="B40" s="57" t="s">
        <v>967</v>
      </c>
      <c r="C40" s="265">
        <v>496.8</v>
      </c>
      <c r="D40" s="268" t="s">
        <v>2</v>
      </c>
      <c r="E40" s="264">
        <v>0.5</v>
      </c>
      <c r="F40" s="57" t="s">
        <v>866</v>
      </c>
      <c r="G40" s="270"/>
    </row>
    <row r="41" spans="1:7" x14ac:dyDescent="0.25">
      <c r="A41" s="57">
        <v>39</v>
      </c>
      <c r="B41" s="57" t="s">
        <v>968</v>
      </c>
      <c r="C41" s="265">
        <v>500.40000000000003</v>
      </c>
      <c r="D41" s="268" t="s">
        <v>2</v>
      </c>
      <c r="E41" s="264">
        <v>0.5</v>
      </c>
      <c r="F41" s="57" t="s">
        <v>866</v>
      </c>
      <c r="G41" s="270"/>
    </row>
    <row r="42" spans="1:7" x14ac:dyDescent="0.25">
      <c r="A42" s="57">
        <v>40</v>
      </c>
      <c r="B42" s="57" t="s">
        <v>969</v>
      </c>
      <c r="C42" s="265">
        <v>536.4</v>
      </c>
      <c r="D42" s="268" t="s">
        <v>2</v>
      </c>
      <c r="E42" s="264">
        <v>0.5</v>
      </c>
      <c r="F42" s="57" t="s">
        <v>866</v>
      </c>
      <c r="G42" s="270"/>
    </row>
    <row r="43" spans="1:7" x14ac:dyDescent="0.25">
      <c r="A43" s="57">
        <v>41</v>
      </c>
      <c r="B43" s="57" t="s">
        <v>970</v>
      </c>
      <c r="C43" s="265">
        <v>576</v>
      </c>
      <c r="D43" s="268" t="s">
        <v>2</v>
      </c>
      <c r="E43" s="264">
        <v>0.5</v>
      </c>
      <c r="F43" s="57" t="s">
        <v>866</v>
      </c>
      <c r="G43" s="270"/>
    </row>
    <row r="44" spans="1:7" x14ac:dyDescent="0.25">
      <c r="A44" s="57">
        <v>42</v>
      </c>
      <c r="B44" s="57" t="s">
        <v>971</v>
      </c>
      <c r="C44" s="265">
        <v>612</v>
      </c>
      <c r="D44" s="268" t="s">
        <v>2</v>
      </c>
      <c r="E44" s="264">
        <v>0.5</v>
      </c>
      <c r="F44" s="57" t="s">
        <v>866</v>
      </c>
      <c r="G44" s="270"/>
    </row>
    <row r="45" spans="1:7" x14ac:dyDescent="0.25">
      <c r="A45" s="57">
        <v>43</v>
      </c>
      <c r="B45" s="57" t="s">
        <v>972</v>
      </c>
      <c r="C45" s="265">
        <v>702</v>
      </c>
      <c r="D45" s="268" t="s">
        <v>2</v>
      </c>
      <c r="E45" s="264">
        <v>0.5</v>
      </c>
      <c r="F45" s="57" t="s">
        <v>866</v>
      </c>
      <c r="G45" s="270"/>
    </row>
    <row r="46" spans="1:7" x14ac:dyDescent="0.25">
      <c r="A46" s="57">
        <v>44</v>
      </c>
      <c r="B46" s="57" t="s">
        <v>973</v>
      </c>
      <c r="C46" s="265">
        <v>820.80000000000007</v>
      </c>
      <c r="D46" s="268" t="s">
        <v>2</v>
      </c>
      <c r="E46" s="264">
        <v>0.5</v>
      </c>
      <c r="F46" s="57" t="s">
        <v>866</v>
      </c>
      <c r="G46" s="270"/>
    </row>
    <row r="47" spans="1:7" x14ac:dyDescent="0.25">
      <c r="A47" s="57">
        <v>45</v>
      </c>
      <c r="B47" s="57" t="s">
        <v>974</v>
      </c>
      <c r="C47" s="265">
        <v>644.40000000000009</v>
      </c>
      <c r="D47" s="268" t="s">
        <v>2</v>
      </c>
      <c r="E47" s="264">
        <v>0.5</v>
      </c>
      <c r="F47" s="57" t="s">
        <v>866</v>
      </c>
      <c r="G47" s="270"/>
    </row>
    <row r="48" spans="1:7" x14ac:dyDescent="0.25">
      <c r="A48" s="57">
        <v>46</v>
      </c>
      <c r="B48" s="57" t="s">
        <v>975</v>
      </c>
      <c r="C48" s="272">
        <f>1917*0.8</f>
        <v>1533.6000000000001</v>
      </c>
      <c r="D48" s="268" t="s">
        <v>2</v>
      </c>
      <c r="E48" s="264">
        <v>0.5</v>
      </c>
      <c r="F48" s="57" t="s">
        <v>866</v>
      </c>
    </row>
    <row r="49" spans="1:7" x14ac:dyDescent="0.25">
      <c r="A49" s="57">
        <v>47</v>
      </c>
      <c r="B49" s="57" t="s">
        <v>976</v>
      </c>
      <c r="C49" s="272">
        <v>1607.04</v>
      </c>
      <c r="D49" s="268" t="s">
        <v>2</v>
      </c>
      <c r="E49" s="264">
        <v>0.5</v>
      </c>
      <c r="F49" s="57" t="s">
        <v>866</v>
      </c>
    </row>
    <row r="50" spans="1:7" x14ac:dyDescent="0.25">
      <c r="A50" s="57">
        <v>48</v>
      </c>
      <c r="B50" s="57" t="s">
        <v>977</v>
      </c>
      <c r="C50" s="272">
        <v>2185.92</v>
      </c>
      <c r="D50" s="268" t="s">
        <v>2</v>
      </c>
      <c r="E50" s="264">
        <v>0.5</v>
      </c>
      <c r="F50" s="57" t="s">
        <v>866</v>
      </c>
    </row>
    <row r="51" spans="1:7" s="45" customFormat="1" x14ac:dyDescent="0.25">
      <c r="A51" s="57">
        <v>49</v>
      </c>
      <c r="B51" s="57" t="s">
        <v>978</v>
      </c>
      <c r="C51" s="272">
        <v>2557.4400000000005</v>
      </c>
      <c r="D51" s="268" t="s">
        <v>2</v>
      </c>
      <c r="E51" s="264">
        <v>0.5</v>
      </c>
      <c r="F51" s="57" t="s">
        <v>866</v>
      </c>
      <c r="G51"/>
    </row>
    <row r="52" spans="1:7" s="43" customFormat="1" x14ac:dyDescent="0.25">
      <c r="A52" s="57">
        <v>50</v>
      </c>
      <c r="B52" s="57" t="s">
        <v>979</v>
      </c>
      <c r="C52" s="272">
        <v>2950.56</v>
      </c>
      <c r="D52" s="268" t="s">
        <v>2</v>
      </c>
      <c r="E52" s="264">
        <v>0.5</v>
      </c>
      <c r="F52" s="57" t="s">
        <v>866</v>
      </c>
      <c r="G52" s="270"/>
    </row>
    <row r="53" spans="1:7" x14ac:dyDescent="0.25">
      <c r="A53" s="57">
        <v>51</v>
      </c>
      <c r="B53" s="57" t="s">
        <v>980</v>
      </c>
      <c r="C53" s="272">
        <v>3408.4799999999996</v>
      </c>
      <c r="D53" s="268" t="s">
        <v>2</v>
      </c>
      <c r="E53" s="264">
        <v>0.5</v>
      </c>
      <c r="F53" s="57" t="s">
        <v>866</v>
      </c>
      <c r="G53" s="270"/>
    </row>
    <row r="54" spans="1:7" x14ac:dyDescent="0.25">
      <c r="A54" s="57">
        <v>52</v>
      </c>
      <c r="B54" s="57" t="s">
        <v>981</v>
      </c>
      <c r="C54" s="272">
        <v>1985</v>
      </c>
      <c r="D54" s="268" t="s">
        <v>2</v>
      </c>
      <c r="E54" s="264">
        <v>0.5</v>
      </c>
      <c r="F54" s="57" t="s">
        <v>866</v>
      </c>
      <c r="G54" s="270"/>
    </row>
    <row r="55" spans="1:7" x14ac:dyDescent="0.25">
      <c r="A55" s="57">
        <v>53</v>
      </c>
      <c r="B55" s="57" t="s">
        <v>982</v>
      </c>
      <c r="C55" s="272">
        <v>2210</v>
      </c>
      <c r="D55" s="268" t="s">
        <v>2</v>
      </c>
      <c r="E55" s="264">
        <v>0.5</v>
      </c>
      <c r="F55" s="57" t="s">
        <v>866</v>
      </c>
      <c r="G55" s="270"/>
    </row>
    <row r="56" spans="1:7" x14ac:dyDescent="0.25">
      <c r="A56" s="57">
        <v>54</v>
      </c>
      <c r="B56" s="57" t="s">
        <v>983</v>
      </c>
      <c r="C56" s="272">
        <v>3885</v>
      </c>
      <c r="D56" s="268" t="s">
        <v>2</v>
      </c>
      <c r="E56" s="264">
        <v>0.5</v>
      </c>
      <c r="F56" s="57" t="s">
        <v>866</v>
      </c>
      <c r="G56" s="270"/>
    </row>
    <row r="57" spans="1:7" x14ac:dyDescent="0.25">
      <c r="A57" s="57">
        <v>55</v>
      </c>
      <c r="B57" s="57" t="s">
        <v>984</v>
      </c>
      <c r="C57" s="272">
        <v>5275</v>
      </c>
      <c r="D57" s="268" t="s">
        <v>2</v>
      </c>
      <c r="E57" s="264">
        <v>0.5</v>
      </c>
      <c r="F57" s="57" t="s">
        <v>866</v>
      </c>
    </row>
    <row r="58" spans="1:7" x14ac:dyDescent="0.25">
      <c r="A58" s="57">
        <v>56</v>
      </c>
      <c r="B58" s="57" t="s">
        <v>985</v>
      </c>
      <c r="C58" s="272">
        <v>4350</v>
      </c>
      <c r="D58" s="268" t="s">
        <v>2</v>
      </c>
      <c r="E58" s="264">
        <v>0.5</v>
      </c>
      <c r="F58" s="57" t="s">
        <v>866</v>
      </c>
    </row>
    <row r="59" spans="1:7" x14ac:dyDescent="0.25">
      <c r="A59" s="57">
        <v>57</v>
      </c>
      <c r="B59" s="57" t="s">
        <v>986</v>
      </c>
      <c r="C59" s="272">
        <v>5985</v>
      </c>
      <c r="D59" s="268" t="s">
        <v>2</v>
      </c>
      <c r="E59" s="264">
        <v>0.5</v>
      </c>
      <c r="F59" s="57" t="s">
        <v>866</v>
      </c>
    </row>
    <row r="60" spans="1:7" x14ac:dyDescent="0.25">
      <c r="A60" s="57">
        <v>58</v>
      </c>
      <c r="B60" s="57" t="s">
        <v>987</v>
      </c>
      <c r="C60" s="272">
        <v>5510</v>
      </c>
      <c r="D60" s="268" t="s">
        <v>2</v>
      </c>
      <c r="E60" s="264">
        <v>0.5</v>
      </c>
      <c r="F60" s="57" t="s">
        <v>866</v>
      </c>
    </row>
    <row r="61" spans="1:7" s="43" customFormat="1" x14ac:dyDescent="0.25">
      <c r="A61" s="57">
        <v>59</v>
      </c>
      <c r="B61" s="57" t="s">
        <v>988</v>
      </c>
      <c r="C61" s="272">
        <v>7010</v>
      </c>
      <c r="D61" s="268" t="s">
        <v>2</v>
      </c>
      <c r="E61" s="264">
        <v>0.5</v>
      </c>
      <c r="F61" s="57" t="s">
        <v>866</v>
      </c>
      <c r="G61"/>
    </row>
    <row r="62" spans="1:7" x14ac:dyDescent="0.25">
      <c r="A62" s="57">
        <v>60</v>
      </c>
      <c r="B62" s="57" t="s">
        <v>989</v>
      </c>
      <c r="C62" s="272">
        <v>3875</v>
      </c>
      <c r="D62" s="268" t="s">
        <v>2</v>
      </c>
      <c r="E62" s="264">
        <v>0.5</v>
      </c>
      <c r="F62" s="57" t="s">
        <v>866</v>
      </c>
    </row>
    <row r="63" spans="1:7" x14ac:dyDescent="0.25">
      <c r="A63" s="57">
        <v>61</v>
      </c>
      <c r="B63" s="57" t="s">
        <v>990</v>
      </c>
      <c r="C63" s="272">
        <v>4390</v>
      </c>
      <c r="D63" s="268" t="s">
        <v>2</v>
      </c>
      <c r="E63" s="264">
        <v>0.5</v>
      </c>
      <c r="F63" s="57" t="s">
        <v>866</v>
      </c>
    </row>
    <row r="64" spans="1:7" x14ac:dyDescent="0.25">
      <c r="A64" s="57">
        <v>62</v>
      </c>
      <c r="B64" s="57" t="s">
        <v>992</v>
      </c>
      <c r="C64" s="272">
        <v>4610</v>
      </c>
      <c r="D64" s="268" t="s">
        <v>2</v>
      </c>
      <c r="E64" s="264">
        <v>0.5</v>
      </c>
      <c r="F64" s="57" t="s">
        <v>866</v>
      </c>
    </row>
    <row r="65" spans="1:6" x14ac:dyDescent="0.25">
      <c r="A65" s="57">
        <v>63</v>
      </c>
      <c r="B65" s="57" t="s">
        <v>991</v>
      </c>
      <c r="C65" s="272">
        <v>5180</v>
      </c>
      <c r="D65" s="268" t="s">
        <v>2</v>
      </c>
      <c r="E65" s="264">
        <v>0.5</v>
      </c>
      <c r="F65" s="57" t="s">
        <v>866</v>
      </c>
    </row>
    <row r="66" spans="1:6" x14ac:dyDescent="0.25">
      <c r="A66" s="57">
        <v>64</v>
      </c>
      <c r="B66" s="57" t="s">
        <v>993</v>
      </c>
      <c r="C66" s="272">
        <v>7485</v>
      </c>
      <c r="D66" s="268" t="s">
        <v>2</v>
      </c>
      <c r="E66" s="264">
        <v>0.5</v>
      </c>
      <c r="F66" s="57" t="s">
        <v>866</v>
      </c>
    </row>
    <row r="67" spans="1:6" x14ac:dyDescent="0.25">
      <c r="A67" s="57">
        <v>65</v>
      </c>
      <c r="B67" s="57" t="s">
        <v>994</v>
      </c>
      <c r="C67" s="272">
        <v>7530</v>
      </c>
      <c r="D67" s="268" t="s">
        <v>2</v>
      </c>
      <c r="E67" s="264">
        <v>0.5</v>
      </c>
      <c r="F67" s="57" t="s">
        <v>866</v>
      </c>
    </row>
    <row r="68" spans="1:6" x14ac:dyDescent="0.25">
      <c r="A68" s="57">
        <v>66</v>
      </c>
      <c r="B68" s="57" t="s">
        <v>995</v>
      </c>
      <c r="C68" s="272">
        <v>7640</v>
      </c>
      <c r="D68" s="268" t="s">
        <v>2</v>
      </c>
      <c r="E68" s="264">
        <v>0.5</v>
      </c>
      <c r="F68" s="57" t="s">
        <v>866</v>
      </c>
    </row>
    <row r="69" spans="1:6" x14ac:dyDescent="0.25">
      <c r="A69" s="57">
        <v>67</v>
      </c>
      <c r="B69" s="57" t="s">
        <v>996</v>
      </c>
      <c r="C69" s="272">
        <v>8580</v>
      </c>
      <c r="D69" s="268" t="s">
        <v>2</v>
      </c>
      <c r="E69" s="264">
        <v>0.5</v>
      </c>
      <c r="F69" s="57" t="s">
        <v>866</v>
      </c>
    </row>
    <row r="70" spans="1:6" x14ac:dyDescent="0.25">
      <c r="A70" s="57">
        <v>68</v>
      </c>
      <c r="B70" s="57" t="s">
        <v>997</v>
      </c>
      <c r="C70" s="272">
        <v>8075</v>
      </c>
      <c r="D70" s="268" t="s">
        <v>2</v>
      </c>
      <c r="E70" s="264">
        <v>0.5</v>
      </c>
      <c r="F70" s="57" t="s">
        <v>866</v>
      </c>
    </row>
    <row r="71" spans="1:6" x14ac:dyDescent="0.25">
      <c r="A71">
        <v>62</v>
      </c>
      <c r="B71" s="41" t="s">
        <v>867</v>
      </c>
      <c r="C71" s="42">
        <v>6900</v>
      </c>
      <c r="D71" t="s">
        <v>2</v>
      </c>
      <c r="E71" s="139">
        <v>0.45</v>
      </c>
      <c r="F71" t="s">
        <v>581</v>
      </c>
    </row>
    <row r="72" spans="1:6" s="43" customFormat="1" x14ac:dyDescent="0.25">
      <c r="B72" s="51" t="s">
        <v>681</v>
      </c>
      <c r="C72" s="44"/>
      <c r="D72" s="44"/>
      <c r="E72" s="139">
        <v>0.45</v>
      </c>
    </row>
    <row r="73" spans="1:6" x14ac:dyDescent="0.25">
      <c r="A73">
        <v>63</v>
      </c>
      <c r="B73" s="41" t="s">
        <v>729</v>
      </c>
      <c r="C73" s="42">
        <v>2368</v>
      </c>
      <c r="D73" t="s">
        <v>2</v>
      </c>
      <c r="E73" s="139">
        <v>0.45</v>
      </c>
      <c r="F73" t="s">
        <v>581</v>
      </c>
    </row>
    <row r="74" spans="1:6" x14ac:dyDescent="0.25">
      <c r="A74">
        <v>64</v>
      </c>
      <c r="B74" s="41" t="s">
        <v>728</v>
      </c>
      <c r="C74" s="42">
        <v>3169</v>
      </c>
      <c r="D74" t="s">
        <v>2</v>
      </c>
      <c r="E74" s="139">
        <v>0.45</v>
      </c>
      <c r="F74" t="s">
        <v>581</v>
      </c>
    </row>
    <row r="75" spans="1:6" x14ac:dyDescent="0.25">
      <c r="A75">
        <v>65</v>
      </c>
      <c r="B75" s="41" t="s">
        <v>730</v>
      </c>
      <c r="C75" s="42">
        <v>3876</v>
      </c>
      <c r="D75" t="s">
        <v>2</v>
      </c>
      <c r="E75" s="139">
        <v>0.45</v>
      </c>
      <c r="F75" t="s">
        <v>581</v>
      </c>
    </row>
    <row r="76" spans="1:6" x14ac:dyDescent="0.25">
      <c r="A76">
        <v>66</v>
      </c>
      <c r="B76" s="41" t="s">
        <v>731</v>
      </c>
      <c r="C76" s="42">
        <v>4290</v>
      </c>
      <c r="D76" t="s">
        <v>2</v>
      </c>
      <c r="E76" s="139">
        <v>0.45</v>
      </c>
      <c r="F76" t="s">
        <v>581</v>
      </c>
    </row>
    <row r="77" spans="1:6" x14ac:dyDescent="0.25">
      <c r="A77">
        <v>67</v>
      </c>
      <c r="B77" s="41" t="s">
        <v>732</v>
      </c>
      <c r="C77" s="42">
        <v>4559</v>
      </c>
      <c r="D77" t="s">
        <v>2</v>
      </c>
      <c r="E77" s="139">
        <v>0.45</v>
      </c>
      <c r="F77" t="s">
        <v>581</v>
      </c>
    </row>
    <row r="78" spans="1:6" s="43" customFormat="1" x14ac:dyDescent="0.25">
      <c r="B78" s="51" t="s">
        <v>682</v>
      </c>
      <c r="C78" s="44"/>
      <c r="D78" s="44"/>
      <c r="E78" s="139">
        <v>0.45</v>
      </c>
    </row>
    <row r="79" spans="1:6" x14ac:dyDescent="0.25">
      <c r="A79">
        <v>68</v>
      </c>
      <c r="B79" s="41" t="s">
        <v>725</v>
      </c>
      <c r="C79" s="42">
        <v>1373</v>
      </c>
      <c r="D79" t="s">
        <v>2</v>
      </c>
      <c r="E79" s="139">
        <v>0.45</v>
      </c>
      <c r="F79" t="s">
        <v>581</v>
      </c>
    </row>
    <row r="80" spans="1:6" x14ac:dyDescent="0.25">
      <c r="A80">
        <v>69</v>
      </c>
      <c r="B80" s="41" t="s">
        <v>726</v>
      </c>
      <c r="C80" s="42">
        <v>1452</v>
      </c>
      <c r="D80" t="s">
        <v>2</v>
      </c>
      <c r="E80" s="139">
        <v>0.45</v>
      </c>
      <c r="F80" t="s">
        <v>581</v>
      </c>
    </row>
    <row r="81" spans="1:6" x14ac:dyDescent="0.25">
      <c r="A81">
        <v>70</v>
      </c>
      <c r="B81" s="41" t="s">
        <v>733</v>
      </c>
      <c r="C81" s="42">
        <v>1855</v>
      </c>
      <c r="D81" t="s">
        <v>2</v>
      </c>
      <c r="E81" s="139">
        <v>0.45</v>
      </c>
      <c r="F81" t="s">
        <v>581</v>
      </c>
    </row>
    <row r="82" spans="1:6" s="45" customFormat="1" x14ac:dyDescent="0.25">
      <c r="B82" s="50" t="s">
        <v>683</v>
      </c>
      <c r="C82" s="46"/>
      <c r="D82" s="46"/>
      <c r="E82" s="139">
        <v>0.45</v>
      </c>
    </row>
    <row r="83" spans="1:6" x14ac:dyDescent="0.25">
      <c r="A83">
        <v>71</v>
      </c>
      <c r="B83" s="41" t="s">
        <v>673</v>
      </c>
      <c r="C83" s="42">
        <v>2107</v>
      </c>
      <c r="D83" t="s">
        <v>2</v>
      </c>
      <c r="E83" s="139">
        <v>0.45</v>
      </c>
      <c r="F83" t="s">
        <v>581</v>
      </c>
    </row>
    <row r="84" spans="1:6" x14ac:dyDescent="0.25">
      <c r="A84">
        <v>72</v>
      </c>
      <c r="B84" s="41" t="s">
        <v>672</v>
      </c>
      <c r="C84" s="42">
        <v>2310</v>
      </c>
      <c r="D84" t="s">
        <v>2</v>
      </c>
      <c r="E84" s="139">
        <v>0.45</v>
      </c>
      <c r="F84" t="s">
        <v>581</v>
      </c>
    </row>
    <row r="85" spans="1:6" x14ac:dyDescent="0.25">
      <c r="A85">
        <v>73</v>
      </c>
      <c r="B85" s="41" t="s">
        <v>671</v>
      </c>
      <c r="C85" s="42">
        <v>2538</v>
      </c>
      <c r="D85" t="s">
        <v>2</v>
      </c>
      <c r="E85" s="139">
        <v>0.45</v>
      </c>
      <c r="F85" t="s">
        <v>581</v>
      </c>
    </row>
    <row r="86" spans="1:6" x14ac:dyDescent="0.25">
      <c r="A86">
        <v>74</v>
      </c>
      <c r="B86" s="41" t="s">
        <v>705</v>
      </c>
      <c r="C86" s="42">
        <v>3198</v>
      </c>
      <c r="D86" t="s">
        <v>2</v>
      </c>
      <c r="E86" s="139">
        <v>0.45</v>
      </c>
      <c r="F86" t="s">
        <v>581</v>
      </c>
    </row>
    <row r="87" spans="1:6" x14ac:dyDescent="0.25">
      <c r="A87">
        <v>75</v>
      </c>
      <c r="B87" s="41" t="s">
        <v>706</v>
      </c>
      <c r="C87" s="42">
        <v>3350</v>
      </c>
      <c r="D87" t="s">
        <v>2</v>
      </c>
      <c r="E87" s="139">
        <v>0.45</v>
      </c>
      <c r="F87" t="s">
        <v>581</v>
      </c>
    </row>
    <row r="88" spans="1:6" x14ac:dyDescent="0.25">
      <c r="A88">
        <v>76</v>
      </c>
      <c r="B88" s="41" t="s">
        <v>707</v>
      </c>
      <c r="C88" s="42">
        <v>3502</v>
      </c>
      <c r="D88" t="s">
        <v>2</v>
      </c>
      <c r="E88" s="139">
        <v>0.45</v>
      </c>
      <c r="F88" t="s">
        <v>581</v>
      </c>
    </row>
    <row r="89" spans="1:6" x14ac:dyDescent="0.25">
      <c r="A89">
        <v>77</v>
      </c>
      <c r="B89" s="41" t="s">
        <v>708</v>
      </c>
      <c r="C89" s="42">
        <v>3629</v>
      </c>
      <c r="D89" t="s">
        <v>2</v>
      </c>
      <c r="E89" s="139">
        <v>0.45</v>
      </c>
      <c r="F89" t="s">
        <v>581</v>
      </c>
    </row>
    <row r="90" spans="1:6" x14ac:dyDescent="0.25">
      <c r="A90">
        <v>78</v>
      </c>
      <c r="B90" s="41" t="s">
        <v>670</v>
      </c>
      <c r="C90" s="42">
        <v>2893</v>
      </c>
      <c r="D90" t="s">
        <v>2</v>
      </c>
      <c r="E90" s="139">
        <v>0.45</v>
      </c>
      <c r="F90" t="s">
        <v>581</v>
      </c>
    </row>
    <row r="91" spans="1:6" x14ac:dyDescent="0.25">
      <c r="A91">
        <v>79</v>
      </c>
      <c r="B91" s="41" t="s">
        <v>669</v>
      </c>
      <c r="C91" s="42">
        <v>3198</v>
      </c>
      <c r="D91" t="s">
        <v>2</v>
      </c>
      <c r="E91" s="139">
        <v>0.45</v>
      </c>
      <c r="F91" t="s">
        <v>581</v>
      </c>
    </row>
    <row r="92" spans="1:6" x14ac:dyDescent="0.25">
      <c r="A92">
        <v>80</v>
      </c>
      <c r="B92" s="41" t="s">
        <v>668</v>
      </c>
      <c r="C92" s="42">
        <v>3426</v>
      </c>
      <c r="D92" t="s">
        <v>2</v>
      </c>
      <c r="E92" s="139">
        <v>0.45</v>
      </c>
      <c r="F92" t="s">
        <v>581</v>
      </c>
    </row>
    <row r="93" spans="1:6" x14ac:dyDescent="0.25">
      <c r="A93">
        <v>81</v>
      </c>
      <c r="B93" s="41" t="s">
        <v>709</v>
      </c>
      <c r="C93" s="42">
        <v>3705</v>
      </c>
      <c r="D93" t="s">
        <v>2</v>
      </c>
      <c r="E93" s="139">
        <v>0.45</v>
      </c>
      <c r="F93" t="s">
        <v>581</v>
      </c>
    </row>
    <row r="94" spans="1:6" x14ac:dyDescent="0.25">
      <c r="A94">
        <v>82</v>
      </c>
      <c r="B94" s="41" t="s">
        <v>710</v>
      </c>
      <c r="C94" s="42">
        <v>3858</v>
      </c>
      <c r="D94" t="s">
        <v>2</v>
      </c>
      <c r="E94" s="139">
        <v>0.45</v>
      </c>
      <c r="F94" t="s">
        <v>581</v>
      </c>
    </row>
    <row r="95" spans="1:6" x14ac:dyDescent="0.25">
      <c r="A95">
        <v>83</v>
      </c>
      <c r="B95" s="41" t="s">
        <v>711</v>
      </c>
      <c r="C95" s="42">
        <v>4010</v>
      </c>
      <c r="D95" t="s">
        <v>2</v>
      </c>
      <c r="E95" s="139">
        <v>0.45</v>
      </c>
      <c r="F95" t="s">
        <v>581</v>
      </c>
    </row>
    <row r="96" spans="1:6" x14ac:dyDescent="0.25">
      <c r="A96">
        <v>84</v>
      </c>
      <c r="B96" s="41" t="s">
        <v>712</v>
      </c>
      <c r="C96" s="42">
        <v>4162</v>
      </c>
      <c r="D96" t="s">
        <v>2</v>
      </c>
      <c r="E96" s="139">
        <v>0.45</v>
      </c>
      <c r="F96" t="s">
        <v>581</v>
      </c>
    </row>
    <row r="97" spans="1:6" x14ac:dyDescent="0.25">
      <c r="A97">
        <v>85</v>
      </c>
      <c r="B97" s="41" t="s">
        <v>667</v>
      </c>
      <c r="C97" s="42">
        <v>5190</v>
      </c>
      <c r="D97" t="s">
        <v>2</v>
      </c>
      <c r="E97" s="139">
        <v>0.45</v>
      </c>
      <c r="F97" t="s">
        <v>581</v>
      </c>
    </row>
    <row r="98" spans="1:6" x14ac:dyDescent="0.25">
      <c r="A98">
        <v>86</v>
      </c>
      <c r="B98" s="41" t="s">
        <v>666</v>
      </c>
      <c r="C98" s="42">
        <v>5254</v>
      </c>
      <c r="D98" t="s">
        <v>2</v>
      </c>
      <c r="E98" s="139">
        <v>0.45</v>
      </c>
      <c r="F98" t="s">
        <v>581</v>
      </c>
    </row>
    <row r="99" spans="1:6" x14ac:dyDescent="0.25">
      <c r="A99">
        <v>87</v>
      </c>
      <c r="B99" s="41" t="s">
        <v>665</v>
      </c>
      <c r="C99" s="42">
        <v>5330</v>
      </c>
      <c r="D99" t="s">
        <v>2</v>
      </c>
      <c r="E99" s="139">
        <v>0.45</v>
      </c>
      <c r="F99" t="s">
        <v>581</v>
      </c>
    </row>
    <row r="100" spans="1:6" x14ac:dyDescent="0.25">
      <c r="A100">
        <v>87</v>
      </c>
      <c r="B100" s="41" t="s">
        <v>872</v>
      </c>
      <c r="C100" s="42">
        <v>5711</v>
      </c>
      <c r="D100" t="s">
        <v>2</v>
      </c>
      <c r="E100" s="139">
        <v>0.45</v>
      </c>
      <c r="F100" t="s">
        <v>581</v>
      </c>
    </row>
    <row r="101" spans="1:6" x14ac:dyDescent="0.25">
      <c r="A101">
        <v>87</v>
      </c>
      <c r="B101" s="41" t="s">
        <v>874</v>
      </c>
      <c r="C101" s="42">
        <v>5837</v>
      </c>
      <c r="D101" t="s">
        <v>2</v>
      </c>
      <c r="E101" s="139">
        <v>0.45</v>
      </c>
      <c r="F101" t="s">
        <v>581</v>
      </c>
    </row>
    <row r="102" spans="1:6" x14ac:dyDescent="0.25">
      <c r="A102">
        <v>87</v>
      </c>
      <c r="B102" s="41" t="s">
        <v>873</v>
      </c>
      <c r="C102" s="42">
        <v>5990</v>
      </c>
      <c r="D102" t="s">
        <v>2</v>
      </c>
      <c r="E102" s="139">
        <v>0.45</v>
      </c>
      <c r="F102" t="s">
        <v>581</v>
      </c>
    </row>
    <row r="103" spans="1:6" x14ac:dyDescent="0.25">
      <c r="A103">
        <v>87</v>
      </c>
      <c r="B103" s="41" t="s">
        <v>875</v>
      </c>
      <c r="C103" s="42">
        <v>6142</v>
      </c>
      <c r="D103" t="s">
        <v>2</v>
      </c>
      <c r="E103" s="139">
        <v>0.45</v>
      </c>
      <c r="F103" t="s">
        <v>581</v>
      </c>
    </row>
    <row r="104" spans="1:6" x14ac:dyDescent="0.25">
      <c r="A104">
        <v>88</v>
      </c>
      <c r="B104" s="41" t="s">
        <v>664</v>
      </c>
      <c r="C104" s="42">
        <v>4797</v>
      </c>
      <c r="D104" t="s">
        <v>2</v>
      </c>
      <c r="E104" s="139">
        <v>0.45</v>
      </c>
      <c r="F104" t="s">
        <v>581</v>
      </c>
    </row>
    <row r="105" spans="1:6" x14ac:dyDescent="0.25">
      <c r="A105">
        <v>89</v>
      </c>
      <c r="B105" s="41" t="s">
        <v>663</v>
      </c>
      <c r="C105" s="42">
        <v>5101</v>
      </c>
      <c r="D105" t="s">
        <v>2</v>
      </c>
      <c r="E105" s="139">
        <v>0.45</v>
      </c>
      <c r="F105" t="s">
        <v>581</v>
      </c>
    </row>
    <row r="106" spans="1:6" x14ac:dyDescent="0.25">
      <c r="A106">
        <v>90</v>
      </c>
      <c r="B106" s="41" t="s">
        <v>868</v>
      </c>
      <c r="C106" s="42">
        <v>6243</v>
      </c>
      <c r="D106" t="s">
        <v>2</v>
      </c>
      <c r="E106" s="139">
        <v>0.45</v>
      </c>
      <c r="F106" t="s">
        <v>581</v>
      </c>
    </row>
    <row r="107" spans="1:6" x14ac:dyDescent="0.25">
      <c r="A107">
        <v>91</v>
      </c>
      <c r="B107" s="41" t="s">
        <v>869</v>
      </c>
      <c r="C107" s="42">
        <v>6624</v>
      </c>
      <c r="D107" t="s">
        <v>2</v>
      </c>
      <c r="E107" s="139">
        <v>0.45</v>
      </c>
      <c r="F107" t="s">
        <v>581</v>
      </c>
    </row>
    <row r="108" spans="1:6" x14ac:dyDescent="0.25">
      <c r="A108">
        <v>92</v>
      </c>
      <c r="B108" s="41" t="s">
        <v>870</v>
      </c>
      <c r="C108" s="42">
        <v>6980</v>
      </c>
      <c r="D108" t="s">
        <v>2</v>
      </c>
      <c r="E108" s="139">
        <v>0.45</v>
      </c>
      <c r="F108" t="s">
        <v>581</v>
      </c>
    </row>
    <row r="109" spans="1:6" x14ac:dyDescent="0.25">
      <c r="A109">
        <v>93</v>
      </c>
      <c r="B109" s="41" t="s">
        <v>871</v>
      </c>
      <c r="C109" s="42">
        <v>7360</v>
      </c>
      <c r="D109" t="s">
        <v>2</v>
      </c>
      <c r="E109" s="139">
        <v>0.45</v>
      </c>
      <c r="F109" t="s">
        <v>581</v>
      </c>
    </row>
  </sheetData>
  <phoneticPr fontId="2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8336-B586-446B-B89D-0D611A92D091}">
  <sheetPr codeName="Hárok9"/>
  <dimension ref="A1:F170"/>
  <sheetViews>
    <sheetView topLeftCell="A12" zoomScale="110" zoomScaleNormal="110" workbookViewId="0">
      <selection activeCell="A89" sqref="A89"/>
    </sheetView>
  </sheetViews>
  <sheetFormatPr defaultColWidth="9.140625" defaultRowHeight="15" x14ac:dyDescent="0.25"/>
  <cols>
    <col min="1" max="1" width="31.5703125" style="22" customWidth="1"/>
    <col min="2" max="2" width="21.5703125" style="22" bestFit="1" customWidth="1"/>
    <col min="3" max="3" width="16.5703125" style="22" bestFit="1" customWidth="1"/>
    <col min="4" max="4" width="37.85546875" style="22" customWidth="1"/>
    <col min="5" max="5" width="29.7109375" style="22" bestFit="1" customWidth="1"/>
    <col min="6" max="6" width="25.7109375" style="22" customWidth="1"/>
    <col min="7" max="16384" width="9.140625" style="22"/>
  </cols>
  <sheetData>
    <row r="1" spans="1:6" x14ac:dyDescent="0.25">
      <c r="A1" s="19"/>
      <c r="B1" s="20" t="s">
        <v>23</v>
      </c>
      <c r="C1" s="21">
        <v>421910907037</v>
      </c>
      <c r="D1" s="20" t="s">
        <v>24</v>
      </c>
      <c r="E1" s="20"/>
      <c r="F1" s="20" t="s">
        <v>25</v>
      </c>
    </row>
    <row r="2" spans="1:6" x14ac:dyDescent="0.25">
      <c r="A2" s="19"/>
      <c r="B2" s="20" t="s">
        <v>674</v>
      </c>
      <c r="C2" s="21">
        <v>421905621661</v>
      </c>
      <c r="D2" t="s">
        <v>675</v>
      </c>
      <c r="E2" s="20"/>
      <c r="F2" s="20"/>
    </row>
    <row r="3" spans="1:6" x14ac:dyDescent="0.25">
      <c r="A3" s="19"/>
      <c r="B3" s="20" t="s">
        <v>26</v>
      </c>
      <c r="C3" s="21"/>
      <c r="D3" s="20" t="s">
        <v>27</v>
      </c>
      <c r="E3" s="20"/>
      <c r="F3" s="20" t="s">
        <v>28</v>
      </c>
    </row>
    <row r="4" spans="1:6" ht="15" customHeight="1" x14ac:dyDescent="0.25">
      <c r="A4" s="19"/>
      <c r="B4" s="20" t="s">
        <v>29</v>
      </c>
      <c r="C4" s="21">
        <v>421911907027</v>
      </c>
      <c r="D4" s="20" t="s">
        <v>30</v>
      </c>
      <c r="E4" s="20"/>
      <c r="F4" s="20" t="s">
        <v>609</v>
      </c>
    </row>
    <row r="5" spans="1:6" ht="15" customHeight="1" x14ac:dyDescent="0.25">
      <c r="A5" s="19"/>
      <c r="B5" s="20" t="s">
        <v>19</v>
      </c>
      <c r="C5" s="21">
        <v>421915678958</v>
      </c>
      <c r="D5" s="24" t="s">
        <v>31</v>
      </c>
      <c r="E5" s="20"/>
      <c r="F5" s="20" t="s">
        <v>32</v>
      </c>
    </row>
    <row r="6" spans="1:6" ht="15" customHeight="1" x14ac:dyDescent="0.25">
      <c r="A6" s="19"/>
      <c r="B6" s="20" t="s">
        <v>33</v>
      </c>
      <c r="C6" s="21">
        <v>421911292442</v>
      </c>
      <c r="D6" s="57" t="s">
        <v>34</v>
      </c>
      <c r="E6" s="136"/>
      <c r="F6" s="20" t="s">
        <v>641</v>
      </c>
    </row>
    <row r="7" spans="1:6" ht="15" customHeight="1" x14ac:dyDescent="0.25">
      <c r="A7" s="19"/>
      <c r="B7" s="20" t="s">
        <v>878</v>
      </c>
      <c r="C7" s="21">
        <v>421902383121</v>
      </c>
      <c r="D7" s="60" t="s">
        <v>945</v>
      </c>
      <c r="E7" s="136"/>
      <c r="F7" s="20" t="s">
        <v>946</v>
      </c>
    </row>
    <row r="8" spans="1:6" ht="15.75" thickBot="1" x14ac:dyDescent="0.3"/>
    <row r="9" spans="1:6" ht="13.5" customHeight="1" x14ac:dyDescent="0.25">
      <c r="A9" s="144" t="s">
        <v>35</v>
      </c>
      <c r="B9" s="145" t="s">
        <v>36</v>
      </c>
      <c r="C9" s="145" t="s">
        <v>37</v>
      </c>
      <c r="D9" s="145" t="s">
        <v>9</v>
      </c>
      <c r="E9" s="146" t="s">
        <v>38</v>
      </c>
      <c r="F9" s="146"/>
    </row>
    <row r="10" spans="1:6" x14ac:dyDescent="0.25">
      <c r="A10" s="20" t="s">
        <v>836</v>
      </c>
      <c r="B10" s="20" t="s">
        <v>836</v>
      </c>
      <c r="C10" s="20" t="s">
        <v>836</v>
      </c>
      <c r="D10" s="20" t="s">
        <v>836</v>
      </c>
      <c r="E10" s="20" t="s">
        <v>836</v>
      </c>
      <c r="F10" s="20"/>
    </row>
    <row r="11" spans="1:6" x14ac:dyDescent="0.25">
      <c r="A11" s="20"/>
      <c r="B11" s="20"/>
      <c r="C11" s="20"/>
      <c r="D11" s="20"/>
      <c r="E11" s="20"/>
      <c r="F11" s="20"/>
    </row>
    <row r="12" spans="1:6" x14ac:dyDescent="0.25">
      <c r="A12" s="20" t="s">
        <v>39</v>
      </c>
      <c r="B12" s="20" t="s">
        <v>876</v>
      </c>
      <c r="C12" s="21">
        <v>421905618689</v>
      </c>
      <c r="D12" s="189" t="s">
        <v>877</v>
      </c>
      <c r="E12" s="20" t="s">
        <v>40</v>
      </c>
      <c r="F12" s="20"/>
    </row>
    <row r="13" spans="1:6" x14ac:dyDescent="0.25">
      <c r="A13" s="25" t="s">
        <v>41</v>
      </c>
      <c r="B13" s="20" t="s">
        <v>42</v>
      </c>
      <c r="C13" s="21">
        <v>421905322793</v>
      </c>
      <c r="D13" s="24" t="s">
        <v>43</v>
      </c>
      <c r="E13" s="20" t="s">
        <v>40</v>
      </c>
      <c r="F13" s="20"/>
    </row>
    <row r="14" spans="1:6" x14ac:dyDescent="0.25">
      <c r="A14" s="25" t="s">
        <v>44</v>
      </c>
      <c r="B14" s="20" t="s">
        <v>45</v>
      </c>
      <c r="C14" s="21">
        <v>421918704637</v>
      </c>
      <c r="D14" s="24" t="s">
        <v>46</v>
      </c>
      <c r="E14" s="20" t="s">
        <v>40</v>
      </c>
      <c r="F14" s="20"/>
    </row>
    <row r="15" spans="1:6" x14ac:dyDescent="0.25">
      <c r="A15" s="25" t="s">
        <v>47</v>
      </c>
      <c r="B15" s="20" t="s">
        <v>48</v>
      </c>
      <c r="C15" s="21">
        <v>421905550033</v>
      </c>
      <c r="D15" s="24" t="s">
        <v>49</v>
      </c>
      <c r="E15" s="20" t="s">
        <v>40</v>
      </c>
      <c r="F15" s="20"/>
    </row>
    <row r="16" spans="1:6" x14ac:dyDescent="0.25">
      <c r="A16" s="20" t="s">
        <v>50</v>
      </c>
      <c r="B16" s="20" t="s">
        <v>51</v>
      </c>
      <c r="C16" s="21">
        <v>421910835203</v>
      </c>
      <c r="D16" s="24" t="s">
        <v>52</v>
      </c>
      <c r="E16" s="20" t="s">
        <v>53</v>
      </c>
      <c r="F16" s="20"/>
    </row>
    <row r="17" spans="1:6" x14ac:dyDescent="0.25">
      <c r="A17" s="20" t="s">
        <v>895</v>
      </c>
      <c r="B17" s="20" t="s">
        <v>896</v>
      </c>
      <c r="C17" s="21">
        <v>421904919663</v>
      </c>
      <c r="D17" s="189" t="s">
        <v>897</v>
      </c>
      <c r="E17" s="20" t="s">
        <v>898</v>
      </c>
      <c r="F17" s="20"/>
    </row>
    <row r="18" spans="1:6" x14ac:dyDescent="0.25">
      <c r="A18" s="20" t="s">
        <v>54</v>
      </c>
      <c r="B18" s="20" t="s">
        <v>55</v>
      </c>
      <c r="C18" s="21">
        <v>421907844094</v>
      </c>
      <c r="D18" s="24" t="s">
        <v>56</v>
      </c>
      <c r="E18" s="20" t="s">
        <v>57</v>
      </c>
      <c r="F18" s="20" t="s">
        <v>58</v>
      </c>
    </row>
    <row r="19" spans="1:6" x14ac:dyDescent="0.25">
      <c r="A19" s="20" t="s">
        <v>59</v>
      </c>
      <c r="B19" s="20" t="s">
        <v>60</v>
      </c>
      <c r="C19" s="26">
        <v>421903244640</v>
      </c>
      <c r="D19" s="24" t="s">
        <v>61</v>
      </c>
      <c r="E19" s="20" t="s">
        <v>62</v>
      </c>
      <c r="F19" s="20"/>
    </row>
    <row r="20" spans="1:6" x14ac:dyDescent="0.25">
      <c r="A20" s="20" t="s">
        <v>63</v>
      </c>
      <c r="B20" s="20" t="s">
        <v>64</v>
      </c>
      <c r="C20" s="21">
        <v>421918852137</v>
      </c>
      <c r="D20" s="24" t="s">
        <v>65</v>
      </c>
      <c r="E20" s="20" t="s">
        <v>57</v>
      </c>
      <c r="F20" s="20" t="s">
        <v>58</v>
      </c>
    </row>
    <row r="21" spans="1:6" x14ac:dyDescent="0.25">
      <c r="A21" s="20" t="s">
        <v>66</v>
      </c>
      <c r="B21" s="20" t="s">
        <v>67</v>
      </c>
      <c r="C21" s="21">
        <v>421917444004</v>
      </c>
      <c r="D21" s="24" t="s">
        <v>68</v>
      </c>
      <c r="E21" s="20" t="s">
        <v>69</v>
      </c>
      <c r="F21" s="20"/>
    </row>
    <row r="22" spans="1:6" x14ac:dyDescent="0.25">
      <c r="A22" s="19" t="s">
        <v>66</v>
      </c>
      <c r="B22" s="19" t="s">
        <v>70</v>
      </c>
      <c r="C22" s="27">
        <v>421918987821</v>
      </c>
      <c r="D22" s="24" t="s">
        <v>71</v>
      </c>
      <c r="E22" s="19" t="s">
        <v>69</v>
      </c>
      <c r="F22" s="19"/>
    </row>
    <row r="23" spans="1:6" x14ac:dyDescent="0.25">
      <c r="A23" s="19" t="s">
        <v>894</v>
      </c>
      <c r="B23" s="19" t="s">
        <v>891</v>
      </c>
      <c r="C23" s="27">
        <v>421914108897</v>
      </c>
      <c r="D23" s="189" t="s">
        <v>893</v>
      </c>
      <c r="E23" s="19" t="s">
        <v>892</v>
      </c>
      <c r="F23" s="19"/>
    </row>
    <row r="24" spans="1:6" x14ac:dyDescent="0.25">
      <c r="A24" s="20" t="s">
        <v>72</v>
      </c>
      <c r="B24" s="20" t="s">
        <v>73</v>
      </c>
      <c r="C24" s="21">
        <v>421905705769</v>
      </c>
      <c r="D24" s="24" t="s">
        <v>74</v>
      </c>
      <c r="E24" s="20" t="s">
        <v>75</v>
      </c>
      <c r="F24" s="20" t="s">
        <v>76</v>
      </c>
    </row>
    <row r="25" spans="1:6" x14ac:dyDescent="0.25">
      <c r="A25" s="20" t="s">
        <v>77</v>
      </c>
      <c r="B25" s="20" t="s">
        <v>78</v>
      </c>
      <c r="C25" s="21">
        <v>421903421846</v>
      </c>
      <c r="D25" s="24" t="s">
        <v>79</v>
      </c>
      <c r="E25" s="20" t="s">
        <v>80</v>
      </c>
      <c r="F25" s="20" t="s">
        <v>81</v>
      </c>
    </row>
    <row r="26" spans="1:6" s="31" customFormat="1" ht="26.25" x14ac:dyDescent="0.25">
      <c r="A26" s="28" t="s">
        <v>82</v>
      </c>
      <c r="B26" s="28" t="s">
        <v>83</v>
      </c>
      <c r="C26" s="29">
        <v>421903265554</v>
      </c>
      <c r="D26" s="24" t="s">
        <v>84</v>
      </c>
      <c r="E26" s="30" t="s">
        <v>85</v>
      </c>
      <c r="F26" s="28"/>
    </row>
    <row r="27" spans="1:6" s="31" customFormat="1" ht="26.25" x14ac:dyDescent="0.25">
      <c r="A27" s="28" t="s">
        <v>82</v>
      </c>
      <c r="B27" s="28" t="s">
        <v>86</v>
      </c>
      <c r="C27" s="29">
        <v>421903760874</v>
      </c>
      <c r="D27" s="24" t="s">
        <v>87</v>
      </c>
      <c r="E27" s="30" t="s">
        <v>85</v>
      </c>
      <c r="F27" s="28" t="s">
        <v>88</v>
      </c>
    </row>
    <row r="28" spans="1:6" x14ac:dyDescent="0.25">
      <c r="A28" s="20" t="s">
        <v>89</v>
      </c>
      <c r="B28" s="20" t="s">
        <v>90</v>
      </c>
      <c r="C28" s="21">
        <v>421455240521</v>
      </c>
      <c r="D28" s="20" t="s">
        <v>91</v>
      </c>
      <c r="E28" s="20" t="s">
        <v>92</v>
      </c>
      <c r="F28" s="20"/>
    </row>
    <row r="29" spans="1:6" x14ac:dyDescent="0.25">
      <c r="A29" s="20" t="s">
        <v>93</v>
      </c>
      <c r="B29" s="20" t="s">
        <v>94</v>
      </c>
      <c r="C29" s="21">
        <v>33620030711</v>
      </c>
      <c r="D29" s="24" t="s">
        <v>95</v>
      </c>
      <c r="E29" s="20" t="s">
        <v>96</v>
      </c>
      <c r="F29" s="20"/>
    </row>
    <row r="30" spans="1:6" x14ac:dyDescent="0.25">
      <c r="A30" s="20" t="s">
        <v>97</v>
      </c>
      <c r="B30" s="20" t="s">
        <v>98</v>
      </c>
      <c r="C30" s="21">
        <v>421911067482</v>
      </c>
      <c r="D30" s="24" t="s">
        <v>99</v>
      </c>
      <c r="E30" s="20" t="s">
        <v>100</v>
      </c>
      <c r="F30" s="20"/>
    </row>
    <row r="31" spans="1:6" x14ac:dyDescent="0.25">
      <c r="A31" s="20" t="s">
        <v>101</v>
      </c>
      <c r="B31" s="20" t="s">
        <v>102</v>
      </c>
      <c r="C31" s="21">
        <v>421907707347</v>
      </c>
      <c r="D31" s="24" t="s">
        <v>103</v>
      </c>
      <c r="E31" s="20" t="s">
        <v>104</v>
      </c>
      <c r="F31" s="20"/>
    </row>
    <row r="32" spans="1:6" x14ac:dyDescent="0.25">
      <c r="A32" s="20" t="s">
        <v>105</v>
      </c>
      <c r="B32" s="20" t="s">
        <v>106</v>
      </c>
      <c r="C32" s="21">
        <v>421903400636</v>
      </c>
      <c r="D32" s="24" t="s">
        <v>107</v>
      </c>
      <c r="E32" s="20" t="s">
        <v>108</v>
      </c>
      <c r="F32" s="20"/>
    </row>
    <row r="33" spans="1:6" x14ac:dyDescent="0.25">
      <c r="A33" s="20" t="s">
        <v>109</v>
      </c>
      <c r="B33" s="20" t="s">
        <v>540</v>
      </c>
      <c r="C33" s="21">
        <v>421903844588</v>
      </c>
      <c r="D33" s="24" t="s">
        <v>110</v>
      </c>
      <c r="E33" s="20" t="s">
        <v>111</v>
      </c>
      <c r="F33" s="20"/>
    </row>
    <row r="34" spans="1:6" x14ac:dyDescent="0.25">
      <c r="A34" s="20" t="s">
        <v>112</v>
      </c>
      <c r="B34" s="20" t="s">
        <v>113</v>
      </c>
      <c r="C34" s="21">
        <v>421903269324</v>
      </c>
      <c r="D34" s="24" t="s">
        <v>114</v>
      </c>
      <c r="E34" s="20" t="s">
        <v>111</v>
      </c>
      <c r="F34" s="20"/>
    </row>
    <row r="35" spans="1:6" x14ac:dyDescent="0.25">
      <c r="A35" s="20" t="s">
        <v>115</v>
      </c>
      <c r="B35" s="20" t="s">
        <v>116</v>
      </c>
      <c r="C35" s="21">
        <v>421903554622</v>
      </c>
      <c r="D35" s="24" t="s">
        <v>117</v>
      </c>
      <c r="E35" s="20" t="s">
        <v>111</v>
      </c>
      <c r="F35" s="20"/>
    </row>
    <row r="36" spans="1:6" x14ac:dyDescent="0.25">
      <c r="A36" s="20" t="s">
        <v>118</v>
      </c>
      <c r="B36" s="20" t="s">
        <v>119</v>
      </c>
      <c r="C36" s="21">
        <v>421903554676</v>
      </c>
      <c r="D36" s="20" t="s">
        <v>120</v>
      </c>
      <c r="E36" s="20" t="s">
        <v>111</v>
      </c>
      <c r="F36" s="20"/>
    </row>
    <row r="37" spans="1:6" x14ac:dyDescent="0.25">
      <c r="A37" s="20" t="s">
        <v>121</v>
      </c>
      <c r="B37" s="20" t="s">
        <v>122</v>
      </c>
      <c r="C37" s="21">
        <v>421902463365</v>
      </c>
      <c r="D37" s="24" t="s">
        <v>123</v>
      </c>
      <c r="E37" s="20" t="s">
        <v>111</v>
      </c>
      <c r="F37" s="20"/>
    </row>
    <row r="38" spans="1:6" x14ac:dyDescent="0.25">
      <c r="A38" s="20" t="s">
        <v>124</v>
      </c>
      <c r="B38" s="20" t="s">
        <v>125</v>
      </c>
      <c r="C38" s="21"/>
      <c r="D38" s="20" t="s">
        <v>126</v>
      </c>
      <c r="E38" s="20" t="s">
        <v>111</v>
      </c>
      <c r="F38" s="20"/>
    </row>
    <row r="39" spans="1:6" x14ac:dyDescent="0.25">
      <c r="A39" s="20" t="s">
        <v>127</v>
      </c>
      <c r="B39" s="20" t="s">
        <v>128</v>
      </c>
      <c r="C39" s="21">
        <v>421517724344</v>
      </c>
      <c r="D39" s="24" t="s">
        <v>129</v>
      </c>
      <c r="E39" s="20" t="s">
        <v>130</v>
      </c>
      <c r="F39" s="20" t="s">
        <v>131</v>
      </c>
    </row>
    <row r="40" spans="1:6" x14ac:dyDescent="0.25">
      <c r="A40" s="20" t="s">
        <v>953</v>
      </c>
      <c r="B40" s="20" t="s">
        <v>953</v>
      </c>
      <c r="C40" s="21">
        <v>421904176107</v>
      </c>
      <c r="D40" s="189" t="s">
        <v>954</v>
      </c>
      <c r="E40" s="20" t="s">
        <v>955</v>
      </c>
      <c r="F40" s="20"/>
    </row>
    <row r="41" spans="1:6" x14ac:dyDescent="0.25">
      <c r="A41" s="20" t="s">
        <v>919</v>
      </c>
      <c r="B41" s="20" t="s">
        <v>911</v>
      </c>
      <c r="C41" s="21">
        <v>421902700628</v>
      </c>
      <c r="D41" s="189" t="s">
        <v>912</v>
      </c>
      <c r="E41" s="20" t="s">
        <v>913</v>
      </c>
      <c r="F41" s="20"/>
    </row>
    <row r="42" spans="1:6" x14ac:dyDescent="0.25">
      <c r="A42" s="20" t="s">
        <v>132</v>
      </c>
      <c r="B42" s="20" t="s">
        <v>133</v>
      </c>
      <c r="C42" s="21">
        <v>421911889147</v>
      </c>
      <c r="D42" s="24" t="s">
        <v>134</v>
      </c>
      <c r="E42" s="20" t="s">
        <v>135</v>
      </c>
      <c r="F42" s="20"/>
    </row>
    <row r="43" spans="1:6" x14ac:dyDescent="0.25">
      <c r="A43" s="20" t="s">
        <v>136</v>
      </c>
      <c r="B43" s="20" t="s">
        <v>137</v>
      </c>
      <c r="C43" s="21">
        <v>421918826517</v>
      </c>
      <c r="D43" s="24" t="s">
        <v>138</v>
      </c>
      <c r="E43" s="20" t="s">
        <v>139</v>
      </c>
      <c r="F43" s="20"/>
    </row>
    <row r="44" spans="1:6" x14ac:dyDescent="0.25">
      <c r="A44" s="20" t="s">
        <v>140</v>
      </c>
      <c r="B44" s="20" t="s">
        <v>141</v>
      </c>
      <c r="C44" s="21" t="s">
        <v>142</v>
      </c>
      <c r="D44" s="24" t="s">
        <v>143</v>
      </c>
      <c r="E44" s="20" t="s">
        <v>144</v>
      </c>
      <c r="F44" s="20"/>
    </row>
    <row r="45" spans="1:6" x14ac:dyDescent="0.25">
      <c r="A45" s="20" t="s">
        <v>849</v>
      </c>
      <c r="B45" s="20" t="s">
        <v>145</v>
      </c>
      <c r="C45" s="21">
        <v>421915992414</v>
      </c>
      <c r="D45" s="24" t="s">
        <v>146</v>
      </c>
      <c r="E45" s="32" t="s">
        <v>147</v>
      </c>
      <c r="F45" s="20"/>
    </row>
    <row r="46" spans="1:6" x14ac:dyDescent="0.25">
      <c r="A46" s="20" t="s">
        <v>850</v>
      </c>
      <c r="B46" s="20" t="s">
        <v>148</v>
      </c>
      <c r="C46" s="21"/>
      <c r="D46" s="24" t="s">
        <v>149</v>
      </c>
      <c r="E46" s="32" t="s">
        <v>147</v>
      </c>
      <c r="F46" s="20"/>
    </row>
    <row r="47" spans="1:6" x14ac:dyDescent="0.25">
      <c r="A47" s="20" t="s">
        <v>150</v>
      </c>
      <c r="B47" s="20" t="s">
        <v>151</v>
      </c>
      <c r="C47" s="21">
        <v>421905965444</v>
      </c>
      <c r="D47" s="24" t="s">
        <v>152</v>
      </c>
      <c r="E47" s="20" t="s">
        <v>153</v>
      </c>
      <c r="F47" s="20"/>
    </row>
    <row r="48" spans="1:6" x14ac:dyDescent="0.25">
      <c r="A48" s="20" t="s">
        <v>154</v>
      </c>
      <c r="B48" s="20" t="s">
        <v>155</v>
      </c>
      <c r="C48" s="21"/>
      <c r="D48" s="24" t="s">
        <v>156</v>
      </c>
      <c r="E48" s="20" t="s">
        <v>153</v>
      </c>
      <c r="F48" s="20"/>
    </row>
    <row r="49" spans="1:6" x14ac:dyDescent="0.25">
      <c r="A49" s="20" t="s">
        <v>157</v>
      </c>
      <c r="B49" s="20" t="s">
        <v>158</v>
      </c>
      <c r="C49" s="21">
        <v>421911407985</v>
      </c>
      <c r="D49" s="24" t="s">
        <v>159</v>
      </c>
      <c r="E49" s="20" t="s">
        <v>153</v>
      </c>
      <c r="F49" s="20" t="s">
        <v>160</v>
      </c>
    </row>
    <row r="50" spans="1:6" x14ac:dyDescent="0.25">
      <c r="A50" s="20" t="s">
        <v>161</v>
      </c>
      <c r="B50" s="20" t="s">
        <v>162</v>
      </c>
      <c r="C50" s="21">
        <v>421907247006</v>
      </c>
      <c r="D50" s="24" t="s">
        <v>163</v>
      </c>
      <c r="E50" s="20" t="s">
        <v>164</v>
      </c>
      <c r="F50" s="20"/>
    </row>
    <row r="51" spans="1:6" x14ac:dyDescent="0.25">
      <c r="A51" s="20" t="s">
        <v>165</v>
      </c>
      <c r="B51" s="20" t="s">
        <v>166</v>
      </c>
      <c r="C51" s="21">
        <v>421907733561</v>
      </c>
      <c r="D51" s="24" t="s">
        <v>167</v>
      </c>
      <c r="E51" s="20" t="s">
        <v>164</v>
      </c>
      <c r="F51" s="20"/>
    </row>
    <row r="52" spans="1:6" x14ac:dyDescent="0.25">
      <c r="A52" s="20" t="s">
        <v>168</v>
      </c>
      <c r="B52" s="20" t="s">
        <v>169</v>
      </c>
      <c r="C52" s="21">
        <v>421911266032</v>
      </c>
      <c r="D52" s="24" t="s">
        <v>170</v>
      </c>
      <c r="E52" s="33" t="s">
        <v>171</v>
      </c>
      <c r="F52" s="20" t="s">
        <v>172</v>
      </c>
    </row>
    <row r="53" spans="1:6" x14ac:dyDescent="0.25">
      <c r="A53" s="20" t="s">
        <v>903</v>
      </c>
      <c r="B53" s="20" t="s">
        <v>903</v>
      </c>
      <c r="C53" s="21">
        <v>421905464098</v>
      </c>
      <c r="D53" s="189" t="s">
        <v>904</v>
      </c>
      <c r="E53" s="33" t="s">
        <v>905</v>
      </c>
      <c r="F53" s="20"/>
    </row>
    <row r="54" spans="1:6" x14ac:dyDescent="0.25">
      <c r="A54" s="20" t="s">
        <v>173</v>
      </c>
      <c r="B54" s="20" t="s">
        <v>174</v>
      </c>
      <c r="C54" s="21">
        <v>421905617812</v>
      </c>
      <c r="D54" s="24" t="s">
        <v>175</v>
      </c>
      <c r="E54" s="20" t="s">
        <v>176</v>
      </c>
      <c r="F54" s="20"/>
    </row>
    <row r="55" spans="1:6" x14ac:dyDescent="0.25">
      <c r="A55" s="34" t="s">
        <v>177</v>
      </c>
      <c r="B55" s="34" t="s">
        <v>178</v>
      </c>
      <c r="C55" s="35">
        <v>421908518133</v>
      </c>
      <c r="D55" s="24" t="s">
        <v>179</v>
      </c>
      <c r="E55" s="34" t="s">
        <v>180</v>
      </c>
      <c r="F55" s="34"/>
    </row>
    <row r="56" spans="1:6" x14ac:dyDescent="0.25">
      <c r="A56" s="20" t="s">
        <v>181</v>
      </c>
      <c r="B56" s="20" t="s">
        <v>182</v>
      </c>
      <c r="C56" s="21">
        <v>421948466580</v>
      </c>
      <c r="D56" s="24" t="s">
        <v>183</v>
      </c>
      <c r="E56" s="20" t="s">
        <v>184</v>
      </c>
      <c r="F56" s="20" t="s">
        <v>185</v>
      </c>
    </row>
    <row r="57" spans="1:6" x14ac:dyDescent="0.25">
      <c r="A57" s="20" t="s">
        <v>186</v>
      </c>
      <c r="B57" s="20" t="s">
        <v>187</v>
      </c>
      <c r="C57" s="21">
        <v>421911122659</v>
      </c>
      <c r="D57" s="24" t="s">
        <v>188</v>
      </c>
      <c r="E57" s="20" t="s">
        <v>189</v>
      </c>
      <c r="F57" s="20"/>
    </row>
    <row r="58" spans="1:6" x14ac:dyDescent="0.25">
      <c r="A58" s="20" t="s">
        <v>190</v>
      </c>
      <c r="B58" s="20" t="s">
        <v>191</v>
      </c>
      <c r="C58" s="21">
        <v>421948719840</v>
      </c>
      <c r="D58" s="24" t="s">
        <v>192</v>
      </c>
      <c r="E58" s="33" t="s">
        <v>193</v>
      </c>
      <c r="F58" s="20" t="s">
        <v>81</v>
      </c>
    </row>
    <row r="59" spans="1:6" x14ac:dyDescent="0.25">
      <c r="A59" s="20" t="s">
        <v>194</v>
      </c>
      <c r="B59" s="20" t="s">
        <v>195</v>
      </c>
      <c r="C59" s="21">
        <v>421905451733</v>
      </c>
      <c r="D59" s="24" t="s">
        <v>196</v>
      </c>
      <c r="E59" s="20" t="s">
        <v>197</v>
      </c>
      <c r="F59" s="20"/>
    </row>
    <row r="60" spans="1:6" x14ac:dyDescent="0.25">
      <c r="A60" s="20" t="s">
        <v>198</v>
      </c>
      <c r="B60" s="20" t="s">
        <v>199</v>
      </c>
      <c r="C60" s="21">
        <v>421911514778</v>
      </c>
      <c r="D60" s="24" t="s">
        <v>200</v>
      </c>
      <c r="E60" s="20" t="s">
        <v>201</v>
      </c>
      <c r="F60" s="20"/>
    </row>
    <row r="61" spans="1:6" x14ac:dyDescent="0.25">
      <c r="A61" s="20" t="s">
        <v>202</v>
      </c>
      <c r="B61" s="20" t="s">
        <v>203</v>
      </c>
      <c r="C61" s="21">
        <v>421917834401</v>
      </c>
      <c r="D61" s="24" t="s">
        <v>204</v>
      </c>
      <c r="E61" s="19" t="s">
        <v>205</v>
      </c>
      <c r="F61" s="20"/>
    </row>
    <row r="62" spans="1:6" x14ac:dyDescent="0.25">
      <c r="A62" s="20" t="s">
        <v>206</v>
      </c>
      <c r="B62" s="20" t="s">
        <v>207</v>
      </c>
      <c r="C62" s="21">
        <v>421918915869</v>
      </c>
      <c r="D62" s="24" t="s">
        <v>208</v>
      </c>
      <c r="E62" s="19" t="s">
        <v>209</v>
      </c>
      <c r="F62" s="20"/>
    </row>
    <row r="63" spans="1:6" x14ac:dyDescent="0.25">
      <c r="A63" s="20" t="s">
        <v>11</v>
      </c>
      <c r="B63" s="20" t="s">
        <v>210</v>
      </c>
      <c r="C63" s="21">
        <v>421903907152</v>
      </c>
      <c r="D63" s="23" t="s">
        <v>211</v>
      </c>
      <c r="E63" s="19" t="s">
        <v>209</v>
      </c>
      <c r="F63" s="20"/>
    </row>
    <row r="64" spans="1:6" x14ac:dyDescent="0.25">
      <c r="A64" s="20" t="s">
        <v>212</v>
      </c>
      <c r="B64" s="20" t="s">
        <v>213</v>
      </c>
      <c r="C64" s="21">
        <v>421905872466</v>
      </c>
      <c r="D64" s="24" t="s">
        <v>214</v>
      </c>
      <c r="E64" s="20" t="s">
        <v>215</v>
      </c>
      <c r="F64" s="20"/>
    </row>
    <row r="65" spans="1:6" x14ac:dyDescent="0.25">
      <c r="A65" s="20" t="s">
        <v>539</v>
      </c>
      <c r="B65" s="20" t="s">
        <v>94</v>
      </c>
      <c r="C65" s="21">
        <v>33620030711</v>
      </c>
      <c r="D65" s="24" t="s">
        <v>216</v>
      </c>
      <c r="E65" s="20" t="s">
        <v>217</v>
      </c>
      <c r="F65" s="20"/>
    </row>
    <row r="66" spans="1:6" x14ac:dyDescent="0.25">
      <c r="A66" s="20" t="s">
        <v>910</v>
      </c>
      <c r="B66" s="20"/>
      <c r="C66" s="21">
        <v>421902700628</v>
      </c>
      <c r="D66" s="24" t="s">
        <v>912</v>
      </c>
      <c r="E66" s="20" t="s">
        <v>913</v>
      </c>
      <c r="F66" s="20"/>
    </row>
    <row r="67" spans="1:6" x14ac:dyDescent="0.25">
      <c r="A67" s="20" t="s">
        <v>942</v>
      </c>
      <c r="B67" s="20" t="s">
        <v>942</v>
      </c>
      <c r="C67" s="21">
        <v>421907921027</v>
      </c>
      <c r="D67" s="189" t="s">
        <v>943</v>
      </c>
      <c r="E67" s="20" t="s">
        <v>944</v>
      </c>
      <c r="F67" s="20"/>
    </row>
    <row r="68" spans="1:6" x14ac:dyDescent="0.25">
      <c r="A68" s="20" t="s">
        <v>218</v>
      </c>
      <c r="B68" s="20" t="s">
        <v>219</v>
      </c>
      <c r="C68" s="21"/>
      <c r="D68" s="24" t="s">
        <v>220</v>
      </c>
      <c r="E68" s="20" t="s">
        <v>221</v>
      </c>
      <c r="F68" s="20"/>
    </row>
    <row r="69" spans="1:6" x14ac:dyDescent="0.25">
      <c r="A69" s="20" t="s">
        <v>888</v>
      </c>
      <c r="B69" s="20" t="s">
        <v>888</v>
      </c>
      <c r="C69" s="21">
        <v>421904301077</v>
      </c>
      <c r="D69" s="189" t="s">
        <v>889</v>
      </c>
      <c r="E69" s="20" t="s">
        <v>890</v>
      </c>
      <c r="F69" s="20"/>
    </row>
    <row r="70" spans="1:6" x14ac:dyDescent="0.25">
      <c r="A70" s="20" t="s">
        <v>222</v>
      </c>
      <c r="B70" s="20" t="s">
        <v>223</v>
      </c>
      <c r="C70" s="21">
        <v>421911707031</v>
      </c>
      <c r="D70" s="24" t="s">
        <v>224</v>
      </c>
      <c r="E70" s="20" t="s">
        <v>225</v>
      </c>
      <c r="F70" s="20"/>
    </row>
    <row r="71" spans="1:6" x14ac:dyDescent="0.25">
      <c r="A71" s="20" t="s">
        <v>222</v>
      </c>
      <c r="B71" s="20" t="s">
        <v>226</v>
      </c>
      <c r="C71" s="21">
        <v>421910919686</v>
      </c>
      <c r="D71" s="24" t="s">
        <v>227</v>
      </c>
      <c r="E71" s="20" t="s">
        <v>225</v>
      </c>
      <c r="F71" s="20"/>
    </row>
    <row r="72" spans="1:6" x14ac:dyDescent="0.25">
      <c r="A72" s="20" t="s">
        <v>228</v>
      </c>
      <c r="B72" s="20" t="s">
        <v>229</v>
      </c>
      <c r="C72" s="21">
        <v>421911707047</v>
      </c>
      <c r="D72" s="24" t="s">
        <v>230</v>
      </c>
      <c r="E72" s="20" t="s">
        <v>231</v>
      </c>
      <c r="F72" s="20"/>
    </row>
    <row r="73" spans="1:6" x14ac:dyDescent="0.25">
      <c r="A73" s="20" t="s">
        <v>232</v>
      </c>
      <c r="B73" s="20" t="s">
        <v>233</v>
      </c>
      <c r="C73" s="21">
        <v>421905409187</v>
      </c>
      <c r="D73" s="24" t="s">
        <v>234</v>
      </c>
      <c r="E73" s="20" t="s">
        <v>235</v>
      </c>
      <c r="F73" s="20"/>
    </row>
    <row r="74" spans="1:6" ht="15" customHeight="1" x14ac:dyDescent="0.25">
      <c r="A74" s="19" t="s">
        <v>232</v>
      </c>
      <c r="B74" s="20" t="s">
        <v>236</v>
      </c>
      <c r="C74" s="21">
        <v>421905990195</v>
      </c>
      <c r="D74" s="24" t="s">
        <v>237</v>
      </c>
      <c r="E74" s="20" t="s">
        <v>235</v>
      </c>
      <c r="F74" s="20"/>
    </row>
    <row r="75" spans="1:6" ht="15" customHeight="1" x14ac:dyDescent="0.25">
      <c r="A75" s="19" t="s">
        <v>238</v>
      </c>
      <c r="B75" s="20" t="s">
        <v>239</v>
      </c>
      <c r="C75" s="21">
        <v>421905924038</v>
      </c>
      <c r="D75" s="24" t="s">
        <v>240</v>
      </c>
      <c r="E75" s="20" t="s">
        <v>241</v>
      </c>
      <c r="F75" s="20"/>
    </row>
    <row r="76" spans="1:6" ht="15" customHeight="1" x14ac:dyDescent="0.25">
      <c r="A76" s="19" t="s">
        <v>242</v>
      </c>
      <c r="B76" s="20" t="s">
        <v>243</v>
      </c>
      <c r="C76" s="21">
        <v>421903237100</v>
      </c>
      <c r="D76" s="24" t="s">
        <v>244</v>
      </c>
      <c r="E76" s="20" t="s">
        <v>245</v>
      </c>
      <c r="F76" s="20"/>
    </row>
    <row r="77" spans="1:6" ht="15" customHeight="1" x14ac:dyDescent="0.25">
      <c r="A77" s="36" t="s">
        <v>246</v>
      </c>
      <c r="B77" s="34" t="s">
        <v>247</v>
      </c>
      <c r="C77" s="35">
        <v>421914338450</v>
      </c>
      <c r="D77" s="24" t="s">
        <v>248</v>
      </c>
      <c r="E77" s="34" t="s">
        <v>249</v>
      </c>
      <c r="F77" s="20"/>
    </row>
    <row r="78" spans="1:6" ht="15" customHeight="1" x14ac:dyDescent="0.25">
      <c r="A78" s="36" t="s">
        <v>250</v>
      </c>
      <c r="B78" s="34" t="s">
        <v>250</v>
      </c>
      <c r="C78" s="35">
        <v>421903205169</v>
      </c>
      <c r="D78" s="24" t="s">
        <v>251</v>
      </c>
      <c r="E78" s="34"/>
      <c r="F78" s="20"/>
    </row>
    <row r="79" spans="1:6" ht="15" customHeight="1" x14ac:dyDescent="0.25">
      <c r="A79" s="34" t="s">
        <v>252</v>
      </c>
      <c r="B79" s="34" t="s">
        <v>252</v>
      </c>
      <c r="C79" s="35">
        <v>421903766149</v>
      </c>
      <c r="D79" s="24" t="s">
        <v>253</v>
      </c>
      <c r="E79" s="34" t="s">
        <v>254</v>
      </c>
      <c r="F79" s="20"/>
    </row>
    <row r="80" spans="1:6" x14ac:dyDescent="0.25">
      <c r="A80" s="20" t="s">
        <v>255</v>
      </c>
      <c r="B80" s="20" t="s">
        <v>256</v>
      </c>
      <c r="C80" s="21">
        <v>421903788100</v>
      </c>
      <c r="D80" s="20" t="s">
        <v>257</v>
      </c>
      <c r="E80" s="20" t="s">
        <v>258</v>
      </c>
      <c r="F80" s="20"/>
    </row>
    <row r="81" spans="1:6" x14ac:dyDescent="0.25">
      <c r="A81" s="20" t="s">
        <v>933</v>
      </c>
      <c r="B81" s="20" t="s">
        <v>934</v>
      </c>
      <c r="C81" s="21">
        <v>421905706665</v>
      </c>
      <c r="D81" s="39" t="s">
        <v>935</v>
      </c>
      <c r="E81" s="20" t="s">
        <v>936</v>
      </c>
      <c r="F81" s="20"/>
    </row>
    <row r="82" spans="1:6" x14ac:dyDescent="0.25">
      <c r="A82" s="20" t="s">
        <v>906</v>
      </c>
      <c r="B82" s="20" t="s">
        <v>907</v>
      </c>
      <c r="C82" s="21">
        <v>421948902972</v>
      </c>
      <c r="D82" s="39" t="s">
        <v>908</v>
      </c>
      <c r="E82" s="20" t="s">
        <v>909</v>
      </c>
      <c r="F82" s="20"/>
    </row>
    <row r="83" spans="1:6" x14ac:dyDescent="0.25">
      <c r="A83" s="20" t="s">
        <v>259</v>
      </c>
      <c r="B83" s="20" t="s">
        <v>260</v>
      </c>
      <c r="C83" s="21">
        <v>421903448623</v>
      </c>
      <c r="D83" s="20" t="s">
        <v>261</v>
      </c>
      <c r="E83" s="20" t="s">
        <v>258</v>
      </c>
      <c r="F83" s="20"/>
    </row>
    <row r="84" spans="1:6" x14ac:dyDescent="0.25">
      <c r="A84" s="20" t="s">
        <v>262</v>
      </c>
      <c r="B84" s="20" t="s">
        <v>263</v>
      </c>
      <c r="C84" s="21">
        <v>421903985958</v>
      </c>
      <c r="D84" s="23" t="s">
        <v>264</v>
      </c>
      <c r="E84" s="20" t="s">
        <v>265</v>
      </c>
      <c r="F84" s="20" t="s">
        <v>266</v>
      </c>
    </row>
    <row r="85" spans="1:6" x14ac:dyDescent="0.25">
      <c r="A85" s="19" t="s">
        <v>267</v>
      </c>
      <c r="B85" s="37" t="s">
        <v>268</v>
      </c>
      <c r="C85" s="27">
        <v>421556148509</v>
      </c>
      <c r="D85" s="24" t="s">
        <v>269</v>
      </c>
      <c r="E85" s="19" t="s">
        <v>270</v>
      </c>
      <c r="F85" s="19"/>
    </row>
    <row r="86" spans="1:6" x14ac:dyDescent="0.25">
      <c r="A86" s="34" t="s">
        <v>271</v>
      </c>
      <c r="B86" s="34" t="s">
        <v>272</v>
      </c>
      <c r="C86" s="35">
        <v>421911801450</v>
      </c>
      <c r="D86" s="24" t="s">
        <v>273</v>
      </c>
      <c r="E86" s="34" t="s">
        <v>274</v>
      </c>
      <c r="F86" s="19"/>
    </row>
    <row r="87" spans="1:6" x14ac:dyDescent="0.25">
      <c r="A87" s="20" t="s">
        <v>275</v>
      </c>
      <c r="B87" s="20" t="s">
        <v>275</v>
      </c>
      <c r="C87" s="21">
        <v>421908710539</v>
      </c>
      <c r="D87" s="24" t="s">
        <v>276</v>
      </c>
      <c r="E87" s="20" t="s">
        <v>277</v>
      </c>
      <c r="F87" s="20"/>
    </row>
    <row r="88" spans="1:6" x14ac:dyDescent="0.25">
      <c r="A88" s="34" t="s">
        <v>278</v>
      </c>
      <c r="B88" s="34" t="s">
        <v>279</v>
      </c>
      <c r="C88" s="35">
        <v>421902700628</v>
      </c>
      <c r="D88" s="24" t="s">
        <v>280</v>
      </c>
      <c r="E88" s="34" t="s">
        <v>281</v>
      </c>
      <c r="F88" s="20"/>
    </row>
    <row r="89" spans="1:6" x14ac:dyDescent="0.25">
      <c r="A89" s="34" t="s">
        <v>959</v>
      </c>
      <c r="B89" s="34" t="s">
        <v>957</v>
      </c>
      <c r="C89" s="35"/>
      <c r="D89" s="24"/>
      <c r="E89" s="34" t="s">
        <v>958</v>
      </c>
      <c r="F89" s="20"/>
    </row>
    <row r="90" spans="1:6" x14ac:dyDescent="0.25">
      <c r="A90" s="20" t="s">
        <v>881</v>
      </c>
      <c r="B90" s="20" t="s">
        <v>911</v>
      </c>
      <c r="C90" s="35">
        <v>421918424050</v>
      </c>
      <c r="D90" s="57" t="s">
        <v>855</v>
      </c>
      <c r="E90" s="20" t="s">
        <v>282</v>
      </c>
      <c r="F90" s="20"/>
    </row>
    <row r="91" spans="1:6" x14ac:dyDescent="0.25">
      <c r="A91" s="20" t="s">
        <v>882</v>
      </c>
      <c r="B91" s="20" t="s">
        <v>851</v>
      </c>
      <c r="C91" s="21">
        <v>421918766265</v>
      </c>
      <c r="D91" s="57" t="s">
        <v>854</v>
      </c>
      <c r="E91" s="20" t="s">
        <v>282</v>
      </c>
      <c r="F91" s="20"/>
    </row>
    <row r="92" spans="1:6" x14ac:dyDescent="0.25">
      <c r="A92" s="34" t="s">
        <v>879</v>
      </c>
      <c r="B92" s="34" t="s">
        <v>856</v>
      </c>
      <c r="C92" s="35">
        <v>421907245641</v>
      </c>
      <c r="D92" s="57" t="s">
        <v>857</v>
      </c>
      <c r="E92" s="34" t="s">
        <v>282</v>
      </c>
      <c r="F92" s="34"/>
    </row>
    <row r="93" spans="1:6" x14ac:dyDescent="0.25">
      <c r="A93" s="34" t="s">
        <v>880</v>
      </c>
      <c r="B93" s="34" t="s">
        <v>852</v>
      </c>
      <c r="C93" s="35">
        <v>421918424322</v>
      </c>
      <c r="D93" s="57" t="s">
        <v>853</v>
      </c>
      <c r="E93" s="34" t="s">
        <v>282</v>
      </c>
      <c r="F93" s="34"/>
    </row>
    <row r="94" spans="1:6" x14ac:dyDescent="0.25">
      <c r="A94" s="20" t="s">
        <v>283</v>
      </c>
      <c r="B94" s="20" t="s">
        <v>284</v>
      </c>
      <c r="C94" s="21">
        <v>421903726925</v>
      </c>
      <c r="D94" s="24" t="s">
        <v>285</v>
      </c>
      <c r="E94" s="20" t="s">
        <v>286</v>
      </c>
      <c r="F94" s="20"/>
    </row>
    <row r="95" spans="1:6" x14ac:dyDescent="0.25">
      <c r="A95" s="20" t="s">
        <v>287</v>
      </c>
      <c r="B95" s="20" t="s">
        <v>288</v>
      </c>
      <c r="C95" s="21">
        <v>421908449581</v>
      </c>
      <c r="D95" s="24" t="s">
        <v>289</v>
      </c>
      <c r="E95" s="20" t="s">
        <v>290</v>
      </c>
      <c r="F95" s="20"/>
    </row>
    <row r="96" spans="1:6" x14ac:dyDescent="0.25">
      <c r="A96" s="20" t="s">
        <v>291</v>
      </c>
      <c r="B96" s="20" t="s">
        <v>292</v>
      </c>
      <c r="C96" s="21">
        <v>421905724096</v>
      </c>
      <c r="D96" s="24" t="s">
        <v>293</v>
      </c>
      <c r="E96" s="20" t="s">
        <v>294</v>
      </c>
      <c r="F96" s="20" t="s">
        <v>295</v>
      </c>
    </row>
    <row r="97" spans="1:6" x14ac:dyDescent="0.25">
      <c r="A97" s="20" t="s">
        <v>296</v>
      </c>
      <c r="B97" s="20" t="s">
        <v>297</v>
      </c>
      <c r="C97" s="21">
        <v>421915720059</v>
      </c>
      <c r="D97" s="20" t="s">
        <v>298</v>
      </c>
      <c r="E97" s="20" t="s">
        <v>299</v>
      </c>
      <c r="F97" s="20"/>
    </row>
    <row r="98" spans="1:6" x14ac:dyDescent="0.25">
      <c r="A98" s="20" t="s">
        <v>300</v>
      </c>
      <c r="B98" s="20" t="s">
        <v>301</v>
      </c>
      <c r="C98" s="21">
        <v>421918720388</v>
      </c>
      <c r="D98" s="24" t="s">
        <v>302</v>
      </c>
      <c r="E98" s="20" t="s">
        <v>299</v>
      </c>
      <c r="F98" s="20"/>
    </row>
    <row r="99" spans="1:6" x14ac:dyDescent="0.25">
      <c r="A99" s="20" t="s">
        <v>303</v>
      </c>
      <c r="B99" s="20" t="s">
        <v>304</v>
      </c>
      <c r="C99" s="21">
        <v>421220902788</v>
      </c>
      <c r="D99" s="24" t="s">
        <v>305</v>
      </c>
      <c r="E99" s="20" t="s">
        <v>306</v>
      </c>
      <c r="F99" s="20"/>
    </row>
    <row r="100" spans="1:6" x14ac:dyDescent="0.25">
      <c r="A100" s="20" t="s">
        <v>307</v>
      </c>
      <c r="B100" s="20" t="s">
        <v>308</v>
      </c>
      <c r="C100" s="21">
        <v>421915365743</v>
      </c>
      <c r="D100" s="24" t="s">
        <v>309</v>
      </c>
      <c r="E100" s="20" t="s">
        <v>310</v>
      </c>
      <c r="F100" s="20"/>
    </row>
    <row r="101" spans="1:6" x14ac:dyDescent="0.25">
      <c r="A101" s="20" t="s">
        <v>311</v>
      </c>
      <c r="B101" s="20" t="s">
        <v>312</v>
      </c>
      <c r="C101" s="21">
        <v>421915811819</v>
      </c>
      <c r="D101" s="24" t="s">
        <v>313</v>
      </c>
      <c r="E101" s="20" t="s">
        <v>314</v>
      </c>
      <c r="F101" s="20"/>
    </row>
    <row r="102" spans="1:6" x14ac:dyDescent="0.25">
      <c r="A102" s="20" t="s">
        <v>315</v>
      </c>
      <c r="B102" s="20" t="s">
        <v>316</v>
      </c>
      <c r="C102" s="21">
        <v>421915811806</v>
      </c>
      <c r="D102" s="24" t="s">
        <v>317</v>
      </c>
      <c r="E102" s="20" t="s">
        <v>314</v>
      </c>
      <c r="F102" s="20"/>
    </row>
    <row r="103" spans="1:6" x14ac:dyDescent="0.25">
      <c r="A103" s="20" t="s">
        <v>318</v>
      </c>
      <c r="B103" s="20" t="s">
        <v>319</v>
      </c>
      <c r="C103" s="21">
        <v>421915811821</v>
      </c>
      <c r="D103" s="24" t="s">
        <v>320</v>
      </c>
      <c r="E103" s="20" t="s">
        <v>314</v>
      </c>
      <c r="F103" s="20"/>
    </row>
    <row r="104" spans="1:6" x14ac:dyDescent="0.25">
      <c r="A104" s="20" t="s">
        <v>321</v>
      </c>
      <c r="B104" s="20" t="s">
        <v>322</v>
      </c>
      <c r="C104" s="21">
        <v>421918110142</v>
      </c>
      <c r="D104" s="24" t="s">
        <v>323</v>
      </c>
      <c r="E104" s="20" t="s">
        <v>324</v>
      </c>
      <c r="F104" s="20"/>
    </row>
    <row r="105" spans="1:6" x14ac:dyDescent="0.25">
      <c r="A105" s="20" t="s">
        <v>325</v>
      </c>
      <c r="B105" s="20" t="s">
        <v>326</v>
      </c>
      <c r="C105" s="21">
        <v>421903726621</v>
      </c>
      <c r="D105" s="24" t="s">
        <v>327</v>
      </c>
      <c r="E105" s="20" t="s">
        <v>328</v>
      </c>
      <c r="F105" s="20"/>
    </row>
    <row r="106" spans="1:6" x14ac:dyDescent="0.25">
      <c r="A106" s="20" t="s">
        <v>329</v>
      </c>
      <c r="B106" s="20" t="s">
        <v>330</v>
      </c>
      <c r="C106" s="21">
        <v>421903720164</v>
      </c>
      <c r="D106" s="24" t="s">
        <v>331</v>
      </c>
      <c r="E106" s="20" t="s">
        <v>328</v>
      </c>
      <c r="F106" s="20"/>
    </row>
    <row r="107" spans="1:6" x14ac:dyDescent="0.25">
      <c r="A107" s="20" t="s">
        <v>329</v>
      </c>
      <c r="B107" s="20" t="s">
        <v>332</v>
      </c>
      <c r="C107" s="21">
        <v>421903465034</v>
      </c>
      <c r="D107" s="24" t="s">
        <v>333</v>
      </c>
      <c r="E107" s="20" t="s">
        <v>328</v>
      </c>
      <c r="F107" s="20"/>
    </row>
    <row r="108" spans="1:6" x14ac:dyDescent="0.25">
      <c r="A108" s="20" t="s">
        <v>334</v>
      </c>
      <c r="B108" s="20" t="s">
        <v>335</v>
      </c>
      <c r="C108" s="21">
        <v>421903701100</v>
      </c>
      <c r="D108" s="24" t="s">
        <v>336</v>
      </c>
      <c r="E108" s="20" t="s">
        <v>337</v>
      </c>
      <c r="F108" s="20"/>
    </row>
    <row r="109" spans="1:6" x14ac:dyDescent="0.25">
      <c r="A109" s="20" t="s">
        <v>338</v>
      </c>
      <c r="B109" s="20" t="s">
        <v>339</v>
      </c>
      <c r="C109" s="21">
        <v>421905012740</v>
      </c>
      <c r="D109" s="24" t="s">
        <v>340</v>
      </c>
      <c r="E109" s="20" t="s">
        <v>341</v>
      </c>
      <c r="F109" s="20"/>
    </row>
    <row r="110" spans="1:6" x14ac:dyDescent="0.25">
      <c r="A110" s="20" t="s">
        <v>342</v>
      </c>
      <c r="B110" s="20" t="s">
        <v>343</v>
      </c>
      <c r="C110" s="21">
        <v>421905012570</v>
      </c>
      <c r="D110" s="24" t="s">
        <v>344</v>
      </c>
      <c r="E110" s="20" t="s">
        <v>341</v>
      </c>
      <c r="F110" s="20" t="s">
        <v>345</v>
      </c>
    </row>
    <row r="111" spans="1:6" x14ac:dyDescent="0.25">
      <c r="A111" s="20" t="s">
        <v>346</v>
      </c>
      <c r="B111" s="20" t="s">
        <v>347</v>
      </c>
      <c r="C111" s="21">
        <v>421905601718</v>
      </c>
      <c r="D111" s="24" t="s">
        <v>348</v>
      </c>
      <c r="E111" s="20" t="s">
        <v>349</v>
      </c>
      <c r="F111" s="20"/>
    </row>
    <row r="112" spans="1:6" x14ac:dyDescent="0.25">
      <c r="A112" s="20" t="s">
        <v>350</v>
      </c>
      <c r="B112" s="20" t="s">
        <v>351</v>
      </c>
      <c r="C112" s="21">
        <v>421918622223</v>
      </c>
      <c r="D112" s="24" t="s">
        <v>352</v>
      </c>
      <c r="E112" s="20" t="s">
        <v>353</v>
      </c>
      <c r="F112" s="20" t="s">
        <v>354</v>
      </c>
    </row>
    <row r="113" spans="1:6" x14ac:dyDescent="0.25">
      <c r="A113" s="20" t="s">
        <v>355</v>
      </c>
      <c r="B113" s="20" t="s">
        <v>356</v>
      </c>
      <c r="C113" s="21">
        <v>421904825108</v>
      </c>
      <c r="D113" s="20" t="s">
        <v>357</v>
      </c>
      <c r="E113" s="20" t="s">
        <v>358</v>
      </c>
      <c r="F113" s="20"/>
    </row>
    <row r="114" spans="1:6" x14ac:dyDescent="0.25">
      <c r="A114" s="20" t="s">
        <v>359</v>
      </c>
      <c r="B114" s="20" t="s">
        <v>360</v>
      </c>
      <c r="C114" s="21">
        <v>421904530591</v>
      </c>
      <c r="D114" s="20" t="s">
        <v>361</v>
      </c>
      <c r="E114" s="20" t="s">
        <v>358</v>
      </c>
      <c r="F114" s="20"/>
    </row>
    <row r="115" spans="1:6" x14ac:dyDescent="0.25">
      <c r="A115" s="20" t="s">
        <v>362</v>
      </c>
      <c r="B115" s="20" t="s">
        <v>363</v>
      </c>
      <c r="C115" s="21">
        <v>421911822236</v>
      </c>
      <c r="D115" s="24" t="s">
        <v>364</v>
      </c>
      <c r="E115" s="20" t="s">
        <v>365</v>
      </c>
      <c r="F115" s="20"/>
    </row>
    <row r="116" spans="1:6" x14ac:dyDescent="0.25">
      <c r="A116" s="20" t="s">
        <v>366</v>
      </c>
      <c r="B116" s="20" t="s">
        <v>367</v>
      </c>
      <c r="C116" s="38">
        <v>421903457272</v>
      </c>
      <c r="D116" s="20" t="s">
        <v>368</v>
      </c>
      <c r="E116" s="20" t="s">
        <v>369</v>
      </c>
      <c r="F116" s="20"/>
    </row>
    <row r="117" spans="1:6" x14ac:dyDescent="0.25">
      <c r="A117" s="20" t="s">
        <v>929</v>
      </c>
      <c r="B117" s="20"/>
      <c r="C117" s="38">
        <v>421911028909</v>
      </c>
      <c r="D117" s="39" t="s">
        <v>930</v>
      </c>
      <c r="E117" s="20" t="s">
        <v>931</v>
      </c>
      <c r="F117" s="20"/>
    </row>
    <row r="118" spans="1:6" x14ac:dyDescent="0.25">
      <c r="A118" s="20" t="s">
        <v>370</v>
      </c>
      <c r="B118" s="20" t="s">
        <v>371</v>
      </c>
      <c r="C118" s="21">
        <v>421911307365</v>
      </c>
      <c r="D118" s="24" t="s">
        <v>372</v>
      </c>
      <c r="E118" s="20" t="s">
        <v>373</v>
      </c>
      <c r="F118" s="20"/>
    </row>
    <row r="119" spans="1:6" x14ac:dyDescent="0.25">
      <c r="A119" s="20" t="s">
        <v>374</v>
      </c>
      <c r="B119" s="20" t="s">
        <v>375</v>
      </c>
      <c r="C119" s="21">
        <v>421905944689</v>
      </c>
      <c r="D119" s="24" t="s">
        <v>372</v>
      </c>
      <c r="E119" s="20" t="s">
        <v>373</v>
      </c>
      <c r="F119" s="20"/>
    </row>
    <row r="120" spans="1:6" x14ac:dyDescent="0.25">
      <c r="A120" s="20" t="s">
        <v>376</v>
      </c>
      <c r="B120" s="20" t="s">
        <v>377</v>
      </c>
      <c r="C120" s="21">
        <v>421948799669</v>
      </c>
      <c r="D120" s="24" t="s">
        <v>378</v>
      </c>
      <c r="E120" s="20" t="s">
        <v>379</v>
      </c>
      <c r="F120" s="20"/>
    </row>
    <row r="121" spans="1:6" x14ac:dyDescent="0.25">
      <c r="A121" s="20" t="s">
        <v>380</v>
      </c>
      <c r="B121" s="20" t="s">
        <v>381</v>
      </c>
      <c r="C121" s="21">
        <v>421948177989</v>
      </c>
      <c r="D121" s="24" t="s">
        <v>382</v>
      </c>
      <c r="E121" s="20" t="s">
        <v>379</v>
      </c>
      <c r="F121" s="20"/>
    </row>
    <row r="122" spans="1:6" x14ac:dyDescent="0.25">
      <c r="A122" s="20" t="s">
        <v>383</v>
      </c>
      <c r="B122" s="20" t="s">
        <v>384</v>
      </c>
      <c r="C122" s="38" t="s">
        <v>385</v>
      </c>
      <c r="D122" s="24" t="s">
        <v>386</v>
      </c>
      <c r="E122" s="20" t="s">
        <v>387</v>
      </c>
      <c r="F122" s="20"/>
    </row>
    <row r="123" spans="1:6" x14ac:dyDescent="0.25">
      <c r="A123" s="20" t="s">
        <v>388</v>
      </c>
      <c r="B123" s="20" t="s">
        <v>389</v>
      </c>
      <c r="C123" s="38">
        <v>421910663548</v>
      </c>
      <c r="D123" s="24" t="s">
        <v>390</v>
      </c>
      <c r="E123" s="20" t="s">
        <v>391</v>
      </c>
      <c r="F123" s="20"/>
    </row>
    <row r="124" spans="1:6" x14ac:dyDescent="0.25">
      <c r="A124" s="20" t="s">
        <v>392</v>
      </c>
      <c r="B124" s="20" t="s">
        <v>393</v>
      </c>
      <c r="C124" s="21">
        <v>421944070944</v>
      </c>
      <c r="D124" s="24" t="s">
        <v>394</v>
      </c>
      <c r="E124" s="20" t="s">
        <v>395</v>
      </c>
      <c r="F124" s="20"/>
    </row>
    <row r="125" spans="1:6" x14ac:dyDescent="0.25">
      <c r="A125" s="20" t="s">
        <v>899</v>
      </c>
      <c r="B125" s="20" t="s">
        <v>900</v>
      </c>
      <c r="C125" s="21">
        <v>421944070944</v>
      </c>
      <c r="D125" s="189" t="s">
        <v>901</v>
      </c>
      <c r="E125" s="20" t="s">
        <v>902</v>
      </c>
      <c r="F125" s="20"/>
    </row>
    <row r="126" spans="1:6" x14ac:dyDescent="0.25">
      <c r="A126" s="20" t="s">
        <v>925</v>
      </c>
      <c r="B126" s="20" t="s">
        <v>924</v>
      </c>
      <c r="C126" s="21">
        <v>421903463641</v>
      </c>
      <c r="D126" s="189" t="s">
        <v>926</v>
      </c>
      <c r="E126" s="20" t="s">
        <v>927</v>
      </c>
      <c r="F126" s="20"/>
    </row>
    <row r="127" spans="1:6" x14ac:dyDescent="0.25">
      <c r="A127" s="20" t="s">
        <v>396</v>
      </c>
      <c r="B127" s="34" t="s">
        <v>397</v>
      </c>
      <c r="C127" s="35">
        <v>421908528201</v>
      </c>
      <c r="D127" s="24" t="s">
        <v>398</v>
      </c>
      <c r="E127" s="34" t="s">
        <v>399</v>
      </c>
      <c r="F127" s="20"/>
    </row>
    <row r="128" spans="1:6" x14ac:dyDescent="0.25">
      <c r="A128" s="20" t="s">
        <v>400</v>
      </c>
      <c r="B128" s="20" t="s">
        <v>401</v>
      </c>
      <c r="C128" s="21">
        <v>421903902105</v>
      </c>
      <c r="D128" s="24" t="s">
        <v>402</v>
      </c>
      <c r="E128" s="20" t="s">
        <v>403</v>
      </c>
      <c r="F128" s="20"/>
    </row>
    <row r="129" spans="1:6" x14ac:dyDescent="0.25">
      <c r="A129" s="20" t="s">
        <v>404</v>
      </c>
      <c r="B129" s="20" t="s">
        <v>405</v>
      </c>
      <c r="C129" s="21">
        <v>421948584491</v>
      </c>
      <c r="D129" s="24" t="s">
        <v>406</v>
      </c>
      <c r="E129" s="20" t="s">
        <v>407</v>
      </c>
      <c r="F129" s="20"/>
    </row>
    <row r="130" spans="1:6" x14ac:dyDescent="0.25">
      <c r="A130" s="20" t="s">
        <v>408</v>
      </c>
      <c r="B130" s="20" t="s">
        <v>409</v>
      </c>
      <c r="C130" s="21">
        <v>421905299401</v>
      </c>
      <c r="D130" s="24" t="s">
        <v>410</v>
      </c>
      <c r="E130" s="20" t="s">
        <v>407</v>
      </c>
      <c r="F130" s="20"/>
    </row>
    <row r="131" spans="1:6" x14ac:dyDescent="0.25">
      <c r="A131" s="20" t="s">
        <v>411</v>
      </c>
      <c r="B131" s="20" t="s">
        <v>412</v>
      </c>
      <c r="C131" s="21">
        <v>421910638638</v>
      </c>
      <c r="D131" s="24" t="s">
        <v>413</v>
      </c>
      <c r="E131" s="20" t="s">
        <v>414</v>
      </c>
      <c r="F131" s="20"/>
    </row>
    <row r="132" spans="1:6" x14ac:dyDescent="0.25">
      <c r="A132" s="19" t="s">
        <v>415</v>
      </c>
      <c r="B132" s="20" t="s">
        <v>416</v>
      </c>
      <c r="C132" s="21">
        <v>421910444506</v>
      </c>
      <c r="D132" s="20" t="s">
        <v>417</v>
      </c>
      <c r="E132" s="20" t="s">
        <v>418</v>
      </c>
      <c r="F132" s="20"/>
    </row>
    <row r="133" spans="1:6" x14ac:dyDescent="0.25">
      <c r="A133" s="34" t="s">
        <v>419</v>
      </c>
      <c r="B133" s="34" t="s">
        <v>420</v>
      </c>
      <c r="C133" s="35">
        <v>421915710048</v>
      </c>
      <c r="D133" s="24" t="s">
        <v>421</v>
      </c>
      <c r="E133" s="34" t="s">
        <v>422</v>
      </c>
      <c r="F133" s="34"/>
    </row>
    <row r="134" spans="1:6" x14ac:dyDescent="0.25">
      <c r="A134" s="20" t="s">
        <v>423</v>
      </c>
      <c r="B134" s="20" t="s">
        <v>424</v>
      </c>
      <c r="C134" s="21">
        <v>421908674166</v>
      </c>
      <c r="D134" s="24" t="s">
        <v>425</v>
      </c>
      <c r="E134" s="20" t="s">
        <v>426</v>
      </c>
      <c r="F134" s="20"/>
    </row>
    <row r="135" spans="1:6" x14ac:dyDescent="0.25">
      <c r="A135" s="20" t="s">
        <v>427</v>
      </c>
      <c r="B135" s="20" t="s">
        <v>428</v>
      </c>
      <c r="C135" s="21">
        <v>421918669151</v>
      </c>
      <c r="D135" s="24" t="s">
        <v>429</v>
      </c>
      <c r="E135" s="20" t="s">
        <v>430</v>
      </c>
      <c r="F135" s="20"/>
    </row>
    <row r="136" spans="1:6" x14ac:dyDescent="0.25">
      <c r="A136" s="20" t="s">
        <v>431</v>
      </c>
      <c r="B136" s="20" t="s">
        <v>432</v>
      </c>
      <c r="C136" s="21">
        <v>421907287397</v>
      </c>
      <c r="D136" s="24" t="s">
        <v>433</v>
      </c>
      <c r="E136" s="20" t="s">
        <v>434</v>
      </c>
      <c r="F136" s="20"/>
    </row>
    <row r="137" spans="1:6" x14ac:dyDescent="0.25">
      <c r="A137" s="20" t="s">
        <v>435</v>
      </c>
      <c r="B137" s="20" t="s">
        <v>436</v>
      </c>
      <c r="C137" s="21">
        <v>421911831595</v>
      </c>
      <c r="D137" s="24" t="s">
        <v>437</v>
      </c>
      <c r="E137" s="20" t="s">
        <v>438</v>
      </c>
      <c r="F137" s="20"/>
    </row>
    <row r="138" spans="1:6" x14ac:dyDescent="0.25">
      <c r="A138" s="20" t="s">
        <v>439</v>
      </c>
      <c r="B138" s="20" t="s">
        <v>440</v>
      </c>
      <c r="C138" s="21">
        <v>421901710055</v>
      </c>
      <c r="D138" s="24" t="s">
        <v>441</v>
      </c>
      <c r="E138" s="20" t="s">
        <v>438</v>
      </c>
      <c r="F138" s="20"/>
    </row>
    <row r="139" spans="1:6" x14ac:dyDescent="0.25">
      <c r="A139" s="20" t="s">
        <v>442</v>
      </c>
      <c r="B139" s="20" t="s">
        <v>443</v>
      </c>
      <c r="C139" s="21">
        <v>421911046113</v>
      </c>
      <c r="D139" s="24" t="s">
        <v>444</v>
      </c>
      <c r="E139" s="20" t="s">
        <v>438</v>
      </c>
      <c r="F139" s="20"/>
    </row>
    <row r="140" spans="1:6" x14ac:dyDescent="0.25">
      <c r="A140" s="20" t="s">
        <v>445</v>
      </c>
      <c r="B140" s="20" t="s">
        <v>446</v>
      </c>
      <c r="C140" s="21">
        <v>420724058286</v>
      </c>
      <c r="D140" s="24" t="s">
        <v>447</v>
      </c>
      <c r="E140" s="20" t="s">
        <v>448</v>
      </c>
      <c r="F140" s="20"/>
    </row>
    <row r="141" spans="1:6" x14ac:dyDescent="0.25">
      <c r="A141" s="20" t="s">
        <v>449</v>
      </c>
      <c r="B141" s="20" t="s">
        <v>450</v>
      </c>
      <c r="C141" s="21">
        <v>421918117195</v>
      </c>
      <c r="D141" s="24" t="s">
        <v>451</v>
      </c>
      <c r="E141" s="20" t="s">
        <v>452</v>
      </c>
      <c r="F141" s="20" t="s">
        <v>453</v>
      </c>
    </row>
    <row r="142" spans="1:6" x14ac:dyDescent="0.25">
      <c r="A142" s="20" t="s">
        <v>941</v>
      </c>
      <c r="B142" s="20"/>
      <c r="C142" s="21"/>
      <c r="D142" s="23"/>
      <c r="E142" s="20"/>
      <c r="F142" s="20"/>
    </row>
    <row r="143" spans="1:6" x14ac:dyDescent="0.25">
      <c r="A143" s="20" t="s">
        <v>862</v>
      </c>
      <c r="B143" s="20" t="s">
        <v>863</v>
      </c>
      <c r="C143" s="20"/>
      <c r="D143" t="s">
        <v>864</v>
      </c>
      <c r="E143" s="20" t="s">
        <v>865</v>
      </c>
      <c r="F143" s="20"/>
    </row>
    <row r="144" spans="1:6" x14ac:dyDescent="0.25">
      <c r="A144" s="20" t="s">
        <v>454</v>
      </c>
      <c r="B144" s="20" t="s">
        <v>455</v>
      </c>
      <c r="C144" s="21">
        <v>421905934969</v>
      </c>
      <c r="D144" s="24" t="s">
        <v>456</v>
      </c>
      <c r="E144" s="20" t="s">
        <v>457</v>
      </c>
      <c r="F144" s="20"/>
    </row>
    <row r="145" spans="1:6" x14ac:dyDescent="0.25">
      <c r="A145" s="20" t="s">
        <v>458</v>
      </c>
      <c r="B145" s="20" t="s">
        <v>459</v>
      </c>
      <c r="C145" s="21">
        <v>421914323070</v>
      </c>
      <c r="D145" s="24" t="s">
        <v>460</v>
      </c>
      <c r="E145" s="20" t="s">
        <v>461</v>
      </c>
      <c r="F145" s="20"/>
    </row>
    <row r="146" spans="1:6" x14ac:dyDescent="0.25">
      <c r="A146" s="20" t="s">
        <v>462</v>
      </c>
      <c r="B146" s="20" t="s">
        <v>463</v>
      </c>
      <c r="C146" s="21">
        <v>421911965217</v>
      </c>
      <c r="D146" s="24" t="s">
        <v>464</v>
      </c>
      <c r="E146" s="20" t="s">
        <v>465</v>
      </c>
      <c r="F146" s="20"/>
    </row>
    <row r="147" spans="1:6" x14ac:dyDescent="0.25">
      <c r="A147" s="20" t="s">
        <v>466</v>
      </c>
      <c r="B147" s="20" t="s">
        <v>467</v>
      </c>
      <c r="C147" s="21">
        <v>421903221036</v>
      </c>
      <c r="D147" s="24" t="s">
        <v>468</v>
      </c>
      <c r="E147" s="20" t="s">
        <v>465</v>
      </c>
      <c r="F147" s="20"/>
    </row>
    <row r="148" spans="1:6" x14ac:dyDescent="0.25">
      <c r="A148" s="20" t="s">
        <v>469</v>
      </c>
      <c r="B148" s="20" t="s">
        <v>470</v>
      </c>
      <c r="C148" s="21">
        <v>421903714517</v>
      </c>
      <c r="D148" s="24" t="s">
        <v>471</v>
      </c>
      <c r="E148" s="20" t="s">
        <v>465</v>
      </c>
      <c r="F148" s="20"/>
    </row>
    <row r="149" spans="1:6" x14ac:dyDescent="0.25">
      <c r="A149" s="20" t="s">
        <v>472</v>
      </c>
      <c r="B149" s="20" t="s">
        <v>473</v>
      </c>
      <c r="C149" s="21">
        <v>421903280394</v>
      </c>
      <c r="D149" s="24" t="s">
        <v>474</v>
      </c>
      <c r="E149" s="20" t="s">
        <v>465</v>
      </c>
      <c r="F149" s="20"/>
    </row>
    <row r="150" spans="1:6" x14ac:dyDescent="0.25">
      <c r="A150" s="20" t="s">
        <v>475</v>
      </c>
      <c r="B150" s="20" t="s">
        <v>476</v>
      </c>
      <c r="C150" s="21">
        <v>421902185945</v>
      </c>
      <c r="D150" s="24" t="s">
        <v>477</v>
      </c>
      <c r="E150" s="20" t="s">
        <v>465</v>
      </c>
      <c r="F150" s="20"/>
    </row>
    <row r="151" spans="1:6" x14ac:dyDescent="0.25">
      <c r="A151" s="20" t="s">
        <v>478</v>
      </c>
      <c r="B151" s="20" t="s">
        <v>479</v>
      </c>
      <c r="C151" s="21">
        <v>421903288561</v>
      </c>
      <c r="D151" s="24" t="s">
        <v>480</v>
      </c>
      <c r="E151" s="20" t="s">
        <v>465</v>
      </c>
      <c r="F151" s="20"/>
    </row>
    <row r="152" spans="1:6" x14ac:dyDescent="0.25">
      <c r="A152" s="20" t="s">
        <v>481</v>
      </c>
      <c r="B152" s="20" t="s">
        <v>482</v>
      </c>
      <c r="C152" s="21">
        <v>421905818363</v>
      </c>
      <c r="D152" s="24" t="s">
        <v>483</v>
      </c>
      <c r="E152" s="20" t="s">
        <v>484</v>
      </c>
      <c r="F152" s="20"/>
    </row>
    <row r="153" spans="1:6" x14ac:dyDescent="0.25">
      <c r="A153" s="19" t="s">
        <v>485</v>
      </c>
      <c r="B153" s="19" t="s">
        <v>486</v>
      </c>
      <c r="C153" s="27" t="s">
        <v>487</v>
      </c>
      <c r="D153" s="24" t="s">
        <v>488</v>
      </c>
      <c r="E153" s="19" t="s">
        <v>489</v>
      </c>
      <c r="F153" s="19"/>
    </row>
    <row r="154" spans="1:6" x14ac:dyDescent="0.25">
      <c r="A154" s="19" t="s">
        <v>490</v>
      </c>
      <c r="B154" s="19" t="s">
        <v>491</v>
      </c>
      <c r="C154" s="27">
        <v>421911106996</v>
      </c>
      <c r="D154" s="24" t="s">
        <v>492</v>
      </c>
      <c r="E154" s="19" t="s">
        <v>493</v>
      </c>
      <c r="F154" s="19" t="s">
        <v>354</v>
      </c>
    </row>
    <row r="155" spans="1:6" x14ac:dyDescent="0.25">
      <c r="A155" s="20" t="s">
        <v>494</v>
      </c>
      <c r="B155" s="20" t="s">
        <v>495</v>
      </c>
      <c r="C155" s="21">
        <v>420606777208</v>
      </c>
      <c r="D155" s="24" t="s">
        <v>496</v>
      </c>
      <c r="E155" s="20" t="s">
        <v>497</v>
      </c>
      <c r="F155" s="20"/>
    </row>
    <row r="156" spans="1:6" x14ac:dyDescent="0.25">
      <c r="A156" s="20" t="s">
        <v>498</v>
      </c>
      <c r="B156" s="20" t="s">
        <v>499</v>
      </c>
      <c r="C156" s="21">
        <v>420606777241</v>
      </c>
      <c r="D156" s="24" t="s">
        <v>500</v>
      </c>
      <c r="E156" s="20" t="s">
        <v>497</v>
      </c>
      <c r="F156" s="20"/>
    </row>
    <row r="157" spans="1:6" x14ac:dyDescent="0.25">
      <c r="A157" s="20" t="s">
        <v>501</v>
      </c>
      <c r="B157" s="20" t="s">
        <v>502</v>
      </c>
      <c r="C157" s="21">
        <v>420602777178</v>
      </c>
      <c r="D157" s="24" t="s">
        <v>503</v>
      </c>
      <c r="E157" s="20" t="s">
        <v>497</v>
      </c>
      <c r="F157" s="20"/>
    </row>
    <row r="158" spans="1:6" x14ac:dyDescent="0.25">
      <c r="A158" s="34" t="s">
        <v>504</v>
      </c>
      <c r="B158" s="34" t="s">
        <v>505</v>
      </c>
      <c r="C158" s="35">
        <v>421903245906</v>
      </c>
      <c r="D158" s="24" t="s">
        <v>506</v>
      </c>
      <c r="E158" s="34" t="s">
        <v>507</v>
      </c>
      <c r="F158" s="20"/>
    </row>
    <row r="159" spans="1:6" x14ac:dyDescent="0.25">
      <c r="A159" s="20" t="s">
        <v>508</v>
      </c>
      <c r="B159" s="20" t="s">
        <v>509</v>
      </c>
      <c r="C159" s="21">
        <v>421911620352</v>
      </c>
      <c r="D159" s="20" t="s">
        <v>510</v>
      </c>
      <c r="E159" s="20" t="s">
        <v>511</v>
      </c>
      <c r="F159" s="39"/>
    </row>
    <row r="160" spans="1:6" x14ac:dyDescent="0.25">
      <c r="A160" s="20" t="s">
        <v>512</v>
      </c>
      <c r="B160" s="20" t="s">
        <v>513</v>
      </c>
      <c r="C160" s="21">
        <v>420605234634</v>
      </c>
      <c r="D160" s="20" t="s">
        <v>514</v>
      </c>
      <c r="E160" s="20" t="s">
        <v>511</v>
      </c>
      <c r="F160" s="39"/>
    </row>
    <row r="161" spans="1:6" x14ac:dyDescent="0.25">
      <c r="A161" s="20" t="s">
        <v>515</v>
      </c>
      <c r="B161" s="20" t="s">
        <v>516</v>
      </c>
      <c r="C161" s="21">
        <v>421327700288</v>
      </c>
      <c r="D161" s="24" t="s">
        <v>517</v>
      </c>
      <c r="E161" s="20" t="s">
        <v>518</v>
      </c>
      <c r="F161" s="39"/>
    </row>
    <row r="162" spans="1:6" x14ac:dyDescent="0.25">
      <c r="A162" s="20" t="s">
        <v>519</v>
      </c>
      <c r="B162" s="20" t="s">
        <v>73</v>
      </c>
      <c r="C162" s="21">
        <v>421905705769</v>
      </c>
      <c r="D162" s="24" t="s">
        <v>74</v>
      </c>
      <c r="E162" s="20" t="s">
        <v>75</v>
      </c>
      <c r="F162" s="20"/>
    </row>
    <row r="163" spans="1:6" x14ac:dyDescent="0.25">
      <c r="A163" s="20" t="s">
        <v>520</v>
      </c>
      <c r="B163" s="20" t="s">
        <v>521</v>
      </c>
      <c r="C163" s="21">
        <v>421903930093</v>
      </c>
      <c r="D163" s="24" t="s">
        <v>522</v>
      </c>
      <c r="E163" s="20" t="s">
        <v>523</v>
      </c>
      <c r="F163" s="20"/>
    </row>
    <row r="164" spans="1:6" x14ac:dyDescent="0.25">
      <c r="A164" s="20" t="s">
        <v>937</v>
      </c>
      <c r="B164" s="20" t="s">
        <v>938</v>
      </c>
      <c r="C164" s="21"/>
      <c r="D164" s="189" t="s">
        <v>939</v>
      </c>
      <c r="E164" s="20" t="s">
        <v>940</v>
      </c>
      <c r="F164" s="20"/>
    </row>
    <row r="165" spans="1:6" x14ac:dyDescent="0.25">
      <c r="A165" s="20" t="s">
        <v>947</v>
      </c>
      <c r="B165" s="20" t="s">
        <v>947</v>
      </c>
      <c r="C165" s="21">
        <v>421905348584</v>
      </c>
      <c r="D165" s="189" t="s">
        <v>948</v>
      </c>
      <c r="E165" s="20" t="s">
        <v>949</v>
      </c>
      <c r="F165" s="20"/>
    </row>
    <row r="166" spans="1:6" x14ac:dyDescent="0.25">
      <c r="A166" s="20" t="s">
        <v>524</v>
      </c>
      <c r="B166" s="20" t="s">
        <v>525</v>
      </c>
      <c r="C166" s="21">
        <v>421949471021</v>
      </c>
      <c r="D166" s="24" t="s">
        <v>526</v>
      </c>
      <c r="E166" s="20" t="s">
        <v>527</v>
      </c>
      <c r="F166" s="20"/>
    </row>
    <row r="167" spans="1:6" x14ac:dyDescent="0.25">
      <c r="A167" s="20" t="s">
        <v>528</v>
      </c>
      <c r="B167" s="20" t="s">
        <v>529</v>
      </c>
      <c r="C167" s="21">
        <v>421903800477</v>
      </c>
      <c r="D167" s="24" t="s">
        <v>530</v>
      </c>
      <c r="E167" s="20" t="s">
        <v>531</v>
      </c>
      <c r="F167" s="20"/>
    </row>
    <row r="168" spans="1:6" s="40" customFormat="1" x14ac:dyDescent="0.25">
      <c r="A168" s="19" t="s">
        <v>532</v>
      </c>
      <c r="B168" s="19" t="s">
        <v>533</v>
      </c>
      <c r="C168" s="27">
        <v>421908651835</v>
      </c>
      <c r="D168" s="24" t="s">
        <v>534</v>
      </c>
      <c r="E168" s="19" t="s">
        <v>535</v>
      </c>
      <c r="F168" s="19"/>
    </row>
    <row r="169" spans="1:6" s="40" customFormat="1" x14ac:dyDescent="0.25">
      <c r="A169" s="19" t="s">
        <v>536</v>
      </c>
      <c r="B169" s="19" t="s">
        <v>537</v>
      </c>
      <c r="C169" s="27">
        <v>421917287657</v>
      </c>
      <c r="D169" s="24" t="s">
        <v>538</v>
      </c>
      <c r="E169" s="19" t="s">
        <v>535</v>
      </c>
      <c r="F169" s="19"/>
    </row>
    <row r="170" spans="1:6" s="40" customFormat="1" x14ac:dyDescent="0.25">
      <c r="A170" s="19" t="s">
        <v>860</v>
      </c>
      <c r="B170" s="19" t="s">
        <v>858</v>
      </c>
      <c r="C170" s="27">
        <v>421915718318</v>
      </c>
      <c r="D170" s="57" t="s">
        <v>859</v>
      </c>
      <c r="E170" s="19" t="s">
        <v>861</v>
      </c>
      <c r="F170" s="19"/>
    </row>
  </sheetData>
  <hyperlinks>
    <hyperlink ref="D32" r:id="rId1" xr:uid="{CF4797DA-D892-4A15-B2E1-822E15DDEAB4}"/>
    <hyperlink ref="D12" r:id="rId2" xr:uid="{9C40F92E-FBFE-42D0-9620-2815AD877514}"/>
    <hyperlink ref="D69" r:id="rId3" xr:uid="{FD75C31D-E44D-4DE5-92E7-98CB41FF266D}"/>
    <hyperlink ref="D23" r:id="rId4" xr:uid="{EAB18939-568B-4CEF-9DD2-FF2320C09D7B}"/>
    <hyperlink ref="D17" r:id="rId5" xr:uid="{A270C5D6-13E6-473B-B3B1-7802F238217F}"/>
    <hyperlink ref="D125" r:id="rId6" xr:uid="{9857B8F7-99D4-4C46-9BFD-658C12E4E9B0}"/>
    <hyperlink ref="D53" r:id="rId7" xr:uid="{67402744-A1E5-44DE-B260-A67D431428F1}"/>
    <hyperlink ref="D82" r:id="rId8" xr:uid="{BAA32715-B862-481F-8016-9B4AD81B09F2}"/>
    <hyperlink ref="D41" r:id="rId9" xr:uid="{51B6BC6F-F099-45DB-B93D-4CE68BE21C58}"/>
    <hyperlink ref="D126" r:id="rId10" xr:uid="{F6E7092B-BE22-46EE-ADA6-DF8C6098A1AE}"/>
    <hyperlink ref="D117" r:id="rId11" xr:uid="{4BB9D574-C4F2-4FE1-B253-1A94F998F62B}"/>
    <hyperlink ref="D81" r:id="rId12" xr:uid="{E6916D92-227F-449C-A809-CDD03E38CF44}"/>
    <hyperlink ref="D164" r:id="rId13" xr:uid="{E02920A8-4579-4265-B18D-86A99E3AC99C}"/>
    <hyperlink ref="D67" r:id="rId14" xr:uid="{D032A5BD-C84C-402C-9FE9-F5474EA140D0}"/>
    <hyperlink ref="D7" r:id="rId15" xr:uid="{49F81FFF-79A9-4461-809F-D741E7F2F65B}"/>
    <hyperlink ref="D165" r:id="rId16" xr:uid="{B307BFA0-9161-4A9A-A830-9E26553B42E1}"/>
    <hyperlink ref="D40" r:id="rId17" xr:uid="{76B95AA7-0FFB-49D6-83B9-9A55168ED0A0}"/>
  </hyperlinks>
  <pageMargins left="0.7" right="0.7" top="0.75" bottom="0.75" header="0.3" footer="0.3"/>
  <pageSetup paperSize="9" orientation="portrait"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034B3-97D9-42C7-B254-0961E3C60C12}">
  <sheetPr codeName="Hárok10"/>
  <dimension ref="A1:F40"/>
  <sheetViews>
    <sheetView workbookViewId="0">
      <selection activeCell="A3" sqref="A3:XFD3"/>
    </sheetView>
  </sheetViews>
  <sheetFormatPr defaultRowHeight="15" x14ac:dyDescent="0.25"/>
  <cols>
    <col min="2" max="2" width="79.42578125" style="41" bestFit="1" customWidth="1"/>
    <col min="3" max="3" width="9.42578125" style="42" bestFit="1" customWidth="1"/>
    <col min="6" max="6" width="9.7109375" bestFit="1" customWidth="1"/>
  </cols>
  <sheetData>
    <row r="1" spans="1:6" s="49" customFormat="1" x14ac:dyDescent="0.25">
      <c r="A1" s="47" t="s">
        <v>541</v>
      </c>
      <c r="B1" s="142" t="s">
        <v>819</v>
      </c>
      <c r="C1" s="48" t="s">
        <v>624</v>
      </c>
      <c r="D1" s="49" t="s">
        <v>745</v>
      </c>
      <c r="E1" s="49" t="s">
        <v>612</v>
      </c>
      <c r="F1" s="49" t="s">
        <v>613</v>
      </c>
    </row>
    <row r="2" spans="1:6" s="45" customFormat="1" x14ac:dyDescent="0.25">
      <c r="B2" s="50" t="s">
        <v>680</v>
      </c>
      <c r="C2" s="46"/>
    </row>
    <row r="3" spans="1:6" x14ac:dyDescent="0.25">
      <c r="A3">
        <v>1</v>
      </c>
      <c r="B3" s="41" t="s">
        <v>747</v>
      </c>
      <c r="C3" s="42">
        <v>820</v>
      </c>
      <c r="D3" t="s">
        <v>2</v>
      </c>
      <c r="E3" s="139">
        <v>0.39</v>
      </c>
      <c r="F3" t="s">
        <v>757</v>
      </c>
    </row>
    <row r="4" spans="1:6" x14ac:dyDescent="0.25">
      <c r="A4">
        <v>2</v>
      </c>
      <c r="B4" s="41" t="s">
        <v>749</v>
      </c>
      <c r="C4" s="42">
        <v>944</v>
      </c>
      <c r="D4" t="s">
        <v>2</v>
      </c>
      <c r="E4" s="139">
        <v>0.39</v>
      </c>
      <c r="F4" t="s">
        <v>757</v>
      </c>
    </row>
    <row r="5" spans="1:6" x14ac:dyDescent="0.25">
      <c r="A5">
        <v>3</v>
      </c>
      <c r="B5" s="41" t="s">
        <v>748</v>
      </c>
      <c r="C5" s="42">
        <v>1228</v>
      </c>
      <c r="D5" t="s">
        <v>2</v>
      </c>
      <c r="E5" s="139">
        <v>0.39</v>
      </c>
      <c r="F5" t="s">
        <v>757</v>
      </c>
    </row>
    <row r="6" spans="1:6" x14ac:dyDescent="0.25">
      <c r="A6">
        <v>4</v>
      </c>
      <c r="B6" s="41" t="s">
        <v>750</v>
      </c>
      <c r="C6" s="42">
        <v>1237</v>
      </c>
      <c r="D6" t="s">
        <v>2</v>
      </c>
      <c r="E6" s="139">
        <v>0.39</v>
      </c>
      <c r="F6" t="s">
        <v>757</v>
      </c>
    </row>
    <row r="7" spans="1:6" x14ac:dyDescent="0.25">
      <c r="A7">
        <v>5</v>
      </c>
      <c r="B7" s="41" t="s">
        <v>751</v>
      </c>
      <c r="C7" s="42">
        <v>1304</v>
      </c>
      <c r="D7" t="s">
        <v>2</v>
      </c>
      <c r="E7" s="139">
        <v>0.39</v>
      </c>
      <c r="F7" t="s">
        <v>757</v>
      </c>
    </row>
    <row r="8" spans="1:6" x14ac:dyDescent="0.25">
      <c r="A8">
        <v>6</v>
      </c>
      <c r="B8" s="41" t="s">
        <v>752</v>
      </c>
      <c r="C8" s="42">
        <v>1502</v>
      </c>
      <c r="D8" t="s">
        <v>2</v>
      </c>
      <c r="E8" s="139">
        <v>0.39</v>
      </c>
      <c r="F8" t="s">
        <v>757</v>
      </c>
    </row>
    <row r="9" spans="1:6" x14ac:dyDescent="0.25">
      <c r="A9">
        <v>7</v>
      </c>
      <c r="B9" s="41" t="s">
        <v>753</v>
      </c>
      <c r="C9" s="42">
        <v>1590</v>
      </c>
      <c r="D9" t="s">
        <v>2</v>
      </c>
      <c r="E9" s="139">
        <v>0.39</v>
      </c>
      <c r="F9" t="s">
        <v>757</v>
      </c>
    </row>
    <row r="10" spans="1:6" x14ac:dyDescent="0.25">
      <c r="A10">
        <v>8</v>
      </c>
      <c r="B10" s="41" t="s">
        <v>754</v>
      </c>
      <c r="C10" s="42">
        <v>1704</v>
      </c>
      <c r="D10" t="s">
        <v>2</v>
      </c>
      <c r="E10" s="139">
        <v>0.39</v>
      </c>
      <c r="F10" t="s">
        <v>757</v>
      </c>
    </row>
    <row r="11" spans="1:6" x14ac:dyDescent="0.25">
      <c r="A11">
        <v>9</v>
      </c>
      <c r="B11" s="41" t="s">
        <v>755</v>
      </c>
      <c r="C11" s="42">
        <v>1929</v>
      </c>
      <c r="D11" t="s">
        <v>2</v>
      </c>
      <c r="E11" s="139">
        <v>0.39</v>
      </c>
      <c r="F11" t="s">
        <v>757</v>
      </c>
    </row>
    <row r="12" spans="1:6" x14ac:dyDescent="0.25">
      <c r="A12">
        <v>10</v>
      </c>
      <c r="B12" s="41" t="s">
        <v>756</v>
      </c>
      <c r="C12" s="42">
        <v>2369</v>
      </c>
      <c r="D12" t="s">
        <v>2</v>
      </c>
      <c r="E12" s="139">
        <v>0.39</v>
      </c>
      <c r="F12" t="s">
        <v>757</v>
      </c>
    </row>
    <row r="13" spans="1:6" x14ac:dyDescent="0.25">
      <c r="A13">
        <v>11</v>
      </c>
      <c r="B13" s="41" t="s">
        <v>758</v>
      </c>
      <c r="C13" s="42">
        <v>1547</v>
      </c>
      <c r="D13" t="s">
        <v>2</v>
      </c>
      <c r="E13" s="139">
        <v>0.39</v>
      </c>
      <c r="F13" t="s">
        <v>757</v>
      </c>
    </row>
    <row r="14" spans="1:6" x14ac:dyDescent="0.25">
      <c r="A14">
        <v>12</v>
      </c>
      <c r="B14" s="41" t="s">
        <v>759</v>
      </c>
      <c r="C14" s="42">
        <v>1842</v>
      </c>
      <c r="D14" t="s">
        <v>2</v>
      </c>
      <c r="E14" s="139">
        <v>0.39</v>
      </c>
      <c r="F14" t="s">
        <v>757</v>
      </c>
    </row>
    <row r="15" spans="1:6" x14ac:dyDescent="0.25">
      <c r="A15">
        <v>13</v>
      </c>
      <c r="B15" s="41" t="s">
        <v>760</v>
      </c>
      <c r="C15" s="42">
        <v>2021</v>
      </c>
      <c r="D15" t="s">
        <v>2</v>
      </c>
      <c r="E15" s="139">
        <v>0.39</v>
      </c>
      <c r="F15" t="s">
        <v>757</v>
      </c>
    </row>
    <row r="16" spans="1:6" x14ac:dyDescent="0.25">
      <c r="A16">
        <v>14</v>
      </c>
      <c r="B16" s="41" t="s">
        <v>761</v>
      </c>
      <c r="C16" s="42">
        <v>2215</v>
      </c>
      <c r="D16" t="s">
        <v>2</v>
      </c>
      <c r="E16" s="139">
        <v>0.39</v>
      </c>
      <c r="F16" t="s">
        <v>757</v>
      </c>
    </row>
    <row r="17" spans="1:6" x14ac:dyDescent="0.25">
      <c r="A17">
        <v>15</v>
      </c>
      <c r="B17" s="41" t="s">
        <v>762</v>
      </c>
      <c r="C17" s="42">
        <v>1576</v>
      </c>
      <c r="D17" t="s">
        <v>2</v>
      </c>
      <c r="E17" s="139">
        <v>0.39</v>
      </c>
      <c r="F17" t="s">
        <v>757</v>
      </c>
    </row>
    <row r="18" spans="1:6" x14ac:dyDescent="0.25">
      <c r="A18">
        <v>16</v>
      </c>
      <c r="B18" s="41" t="s">
        <v>763</v>
      </c>
      <c r="C18" s="42">
        <v>1853</v>
      </c>
      <c r="D18" t="s">
        <v>2</v>
      </c>
      <c r="E18" s="139">
        <v>0.39</v>
      </c>
      <c r="F18" t="s">
        <v>757</v>
      </c>
    </row>
    <row r="19" spans="1:6" x14ac:dyDescent="0.25">
      <c r="A19">
        <v>17</v>
      </c>
      <c r="B19" s="41" t="s">
        <v>764</v>
      </c>
      <c r="C19" s="42">
        <v>2021</v>
      </c>
      <c r="D19" t="s">
        <v>2</v>
      </c>
      <c r="E19" s="139">
        <v>0.39</v>
      </c>
      <c r="F19" t="s">
        <v>757</v>
      </c>
    </row>
    <row r="20" spans="1:6" x14ac:dyDescent="0.25">
      <c r="A20">
        <v>18</v>
      </c>
      <c r="B20" s="41" t="s">
        <v>765</v>
      </c>
      <c r="C20" s="42">
        <v>2215</v>
      </c>
      <c r="D20" t="s">
        <v>2</v>
      </c>
      <c r="E20" s="139">
        <v>0.39</v>
      </c>
      <c r="F20" t="s">
        <v>757</v>
      </c>
    </row>
    <row r="21" spans="1:6" x14ac:dyDescent="0.25">
      <c r="A21">
        <v>19</v>
      </c>
      <c r="B21" s="41" t="s">
        <v>766</v>
      </c>
      <c r="C21" s="42">
        <v>1576</v>
      </c>
      <c r="D21" t="s">
        <v>2</v>
      </c>
      <c r="E21" s="139">
        <v>0.39</v>
      </c>
      <c r="F21" t="s">
        <v>757</v>
      </c>
    </row>
    <row r="22" spans="1:6" x14ac:dyDescent="0.25">
      <c r="A22">
        <v>20</v>
      </c>
      <c r="B22" s="41" t="s">
        <v>767</v>
      </c>
      <c r="C22" s="42">
        <v>1895</v>
      </c>
      <c r="D22" t="s">
        <v>2</v>
      </c>
      <c r="E22" s="139">
        <v>0.39</v>
      </c>
      <c r="F22" t="s">
        <v>757</v>
      </c>
    </row>
    <row r="23" spans="1:6" x14ac:dyDescent="0.25">
      <c r="A23">
        <v>21</v>
      </c>
      <c r="B23" s="41" t="s">
        <v>768</v>
      </c>
      <c r="C23" s="42">
        <v>2081</v>
      </c>
      <c r="D23" t="s">
        <v>2</v>
      </c>
      <c r="E23" s="139">
        <v>0.39</v>
      </c>
      <c r="F23" t="s">
        <v>757</v>
      </c>
    </row>
    <row r="24" spans="1:6" x14ac:dyDescent="0.25">
      <c r="A24">
        <v>22</v>
      </c>
      <c r="B24" s="41" t="s">
        <v>769</v>
      </c>
      <c r="C24" s="42">
        <v>2264</v>
      </c>
      <c r="D24" t="s">
        <v>2</v>
      </c>
      <c r="E24" s="139">
        <v>0.39</v>
      </c>
      <c r="F24" t="s">
        <v>757</v>
      </c>
    </row>
    <row r="25" spans="1:6" x14ac:dyDescent="0.25">
      <c r="A25">
        <v>23</v>
      </c>
      <c r="B25" s="41" t="s">
        <v>770</v>
      </c>
      <c r="C25" s="42">
        <v>2163</v>
      </c>
      <c r="D25" t="s">
        <v>2</v>
      </c>
      <c r="E25" s="139">
        <v>0.39</v>
      </c>
      <c r="F25" t="s">
        <v>757</v>
      </c>
    </row>
    <row r="26" spans="1:6" x14ac:dyDescent="0.25">
      <c r="A26">
        <v>24</v>
      </c>
      <c r="B26" s="41" t="s">
        <v>771</v>
      </c>
      <c r="C26" s="42">
        <v>2659</v>
      </c>
      <c r="D26" t="s">
        <v>2</v>
      </c>
      <c r="E26" s="139">
        <v>0.39</v>
      </c>
      <c r="F26" t="s">
        <v>757</v>
      </c>
    </row>
    <row r="27" spans="1:6" x14ac:dyDescent="0.25">
      <c r="A27">
        <v>25</v>
      </c>
      <c r="B27" s="41" t="s">
        <v>772</v>
      </c>
      <c r="C27" s="42">
        <v>3077</v>
      </c>
      <c r="D27" t="s">
        <v>2</v>
      </c>
      <c r="E27" s="139">
        <v>0.39</v>
      </c>
      <c r="F27" t="s">
        <v>757</v>
      </c>
    </row>
    <row r="28" spans="1:6" x14ac:dyDescent="0.25">
      <c r="A28">
        <v>26</v>
      </c>
      <c r="B28" s="41" t="s">
        <v>773</v>
      </c>
      <c r="C28" s="42">
        <v>3375</v>
      </c>
      <c r="D28" t="s">
        <v>2</v>
      </c>
      <c r="E28" s="139">
        <v>0.39</v>
      </c>
      <c r="F28" t="s">
        <v>757</v>
      </c>
    </row>
    <row r="29" spans="1:6" x14ac:dyDescent="0.25">
      <c r="A29">
        <v>27</v>
      </c>
      <c r="B29" s="41" t="s">
        <v>782</v>
      </c>
      <c r="C29" s="42">
        <v>2163</v>
      </c>
      <c r="D29" t="s">
        <v>2</v>
      </c>
      <c r="E29" s="139">
        <v>0.39</v>
      </c>
      <c r="F29" t="s">
        <v>757</v>
      </c>
    </row>
    <row r="30" spans="1:6" x14ac:dyDescent="0.25">
      <c r="A30">
        <v>28</v>
      </c>
      <c r="B30" s="41" t="s">
        <v>783</v>
      </c>
      <c r="C30" s="42">
        <v>2659</v>
      </c>
      <c r="D30" t="s">
        <v>2</v>
      </c>
      <c r="E30" s="139">
        <v>0.39</v>
      </c>
      <c r="F30" t="s">
        <v>757</v>
      </c>
    </row>
    <row r="31" spans="1:6" x14ac:dyDescent="0.25">
      <c r="A31">
        <v>29</v>
      </c>
      <c r="B31" s="41" t="s">
        <v>784</v>
      </c>
      <c r="C31" s="42">
        <v>3077</v>
      </c>
      <c r="D31" t="s">
        <v>2</v>
      </c>
      <c r="E31" s="139">
        <v>0.39</v>
      </c>
      <c r="F31" t="s">
        <v>757</v>
      </c>
    </row>
    <row r="32" spans="1:6" x14ac:dyDescent="0.25">
      <c r="A32">
        <v>30</v>
      </c>
      <c r="B32" s="41" t="s">
        <v>785</v>
      </c>
      <c r="C32" s="42">
        <v>3375</v>
      </c>
      <c r="D32" t="s">
        <v>2</v>
      </c>
      <c r="E32" s="139">
        <v>0.39</v>
      </c>
      <c r="F32" t="s">
        <v>757</v>
      </c>
    </row>
    <row r="33" spans="1:6" x14ac:dyDescent="0.25">
      <c r="A33">
        <v>31</v>
      </c>
      <c r="B33" s="41" t="s">
        <v>774</v>
      </c>
      <c r="C33" s="42">
        <v>2163</v>
      </c>
      <c r="D33" t="s">
        <v>2</v>
      </c>
      <c r="E33" s="139">
        <v>0.39</v>
      </c>
      <c r="F33" t="s">
        <v>757</v>
      </c>
    </row>
    <row r="34" spans="1:6" x14ac:dyDescent="0.25">
      <c r="A34">
        <v>32</v>
      </c>
      <c r="B34" s="41" t="s">
        <v>775</v>
      </c>
      <c r="C34" s="42">
        <v>2659</v>
      </c>
      <c r="D34" t="s">
        <v>2</v>
      </c>
      <c r="E34" s="139">
        <v>0.39</v>
      </c>
      <c r="F34" t="s">
        <v>757</v>
      </c>
    </row>
    <row r="35" spans="1:6" x14ac:dyDescent="0.25">
      <c r="A35">
        <v>33</v>
      </c>
      <c r="B35" s="41" t="s">
        <v>776</v>
      </c>
      <c r="C35" s="42">
        <v>3077</v>
      </c>
      <c r="D35" t="s">
        <v>2</v>
      </c>
      <c r="E35" s="139">
        <v>0.39</v>
      </c>
      <c r="F35" t="s">
        <v>757</v>
      </c>
    </row>
    <row r="36" spans="1:6" x14ac:dyDescent="0.25">
      <c r="A36">
        <v>34</v>
      </c>
      <c r="B36" s="41" t="s">
        <v>777</v>
      </c>
      <c r="C36" s="42">
        <v>3375</v>
      </c>
      <c r="D36" t="s">
        <v>2</v>
      </c>
      <c r="E36" s="139">
        <v>0.39</v>
      </c>
      <c r="F36" t="s">
        <v>757</v>
      </c>
    </row>
    <row r="37" spans="1:6" x14ac:dyDescent="0.25">
      <c r="A37">
        <v>35</v>
      </c>
      <c r="B37" s="41" t="s">
        <v>778</v>
      </c>
      <c r="C37" s="42">
        <v>2044</v>
      </c>
      <c r="D37" t="s">
        <v>2</v>
      </c>
      <c r="E37" s="139">
        <v>0.39</v>
      </c>
      <c r="F37" t="s">
        <v>757</v>
      </c>
    </row>
    <row r="38" spans="1:6" x14ac:dyDescent="0.25">
      <c r="A38">
        <v>36</v>
      </c>
      <c r="B38" s="41" t="s">
        <v>779</v>
      </c>
      <c r="C38" s="42">
        <v>2491</v>
      </c>
      <c r="D38" t="s">
        <v>2</v>
      </c>
      <c r="E38" s="139">
        <v>0.39</v>
      </c>
      <c r="F38" t="s">
        <v>757</v>
      </c>
    </row>
    <row r="39" spans="1:6" x14ac:dyDescent="0.25">
      <c r="A39">
        <v>37</v>
      </c>
      <c r="B39" s="41" t="s">
        <v>780</v>
      </c>
      <c r="C39" s="42">
        <v>2859</v>
      </c>
      <c r="D39" t="s">
        <v>2</v>
      </c>
      <c r="E39" s="139">
        <v>0.39</v>
      </c>
      <c r="F39" t="s">
        <v>757</v>
      </c>
    </row>
    <row r="40" spans="1:6" x14ac:dyDescent="0.25">
      <c r="A40">
        <v>38</v>
      </c>
      <c r="B40" s="41" t="s">
        <v>781</v>
      </c>
      <c r="C40" s="42">
        <v>3156</v>
      </c>
      <c r="D40" t="s">
        <v>2</v>
      </c>
      <c r="E40" s="139">
        <v>0.39</v>
      </c>
      <c r="F40" t="s">
        <v>757</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1F8C-EEA3-43B5-9290-6B9FDF176465}">
  <sheetPr codeName="Hárok11"/>
  <dimension ref="A1:I218"/>
  <sheetViews>
    <sheetView topLeftCell="A46" workbookViewId="0">
      <selection activeCell="K209" sqref="K209"/>
    </sheetView>
  </sheetViews>
  <sheetFormatPr defaultRowHeight="15" x14ac:dyDescent="0.25"/>
  <cols>
    <col min="1" max="1" width="9.5703125" customWidth="1"/>
    <col min="2" max="2" width="62" bestFit="1" customWidth="1"/>
    <col min="3" max="3" width="9.5703125" customWidth="1"/>
    <col min="4" max="4" width="18.85546875" bestFit="1" customWidth="1"/>
    <col min="5" max="5" width="12.140625" bestFit="1" customWidth="1"/>
    <col min="6" max="6" width="11" bestFit="1" customWidth="1"/>
  </cols>
  <sheetData>
    <row r="1" spans="1:9" x14ac:dyDescent="0.25">
      <c r="A1" s="292" t="s">
        <v>1181</v>
      </c>
      <c r="B1" s="293" t="s">
        <v>1182</v>
      </c>
      <c r="C1" s="293" t="s">
        <v>1183</v>
      </c>
      <c r="D1" s="294" t="s">
        <v>1184</v>
      </c>
      <c r="E1" s="294" t="s">
        <v>1185</v>
      </c>
      <c r="F1" s="295" t="s">
        <v>1186</v>
      </c>
      <c r="G1" s="285"/>
      <c r="H1" s="285"/>
      <c r="I1" s="286"/>
    </row>
    <row r="2" spans="1:9" ht="18.75" customHeight="1" x14ac:dyDescent="0.25">
      <c r="A2" s="289" t="s">
        <v>541</v>
      </c>
      <c r="B2" s="279" t="s">
        <v>1188</v>
      </c>
      <c r="C2" s="279" t="s">
        <v>624</v>
      </c>
      <c r="D2" s="280" t="s">
        <v>745</v>
      </c>
      <c r="E2" s="280" t="s">
        <v>612</v>
      </c>
      <c r="F2" s="291" t="s">
        <v>613</v>
      </c>
      <c r="G2" s="285"/>
      <c r="H2" s="285"/>
      <c r="I2" s="286"/>
    </row>
    <row r="3" spans="1:9" ht="18.75" x14ac:dyDescent="0.3">
      <c r="A3" s="290">
        <v>1</v>
      </c>
      <c r="B3" s="276" t="s">
        <v>1160</v>
      </c>
      <c r="C3" s="282"/>
      <c r="D3" s="277" t="s">
        <v>2</v>
      </c>
      <c r="E3" s="284">
        <v>0.5</v>
      </c>
      <c r="F3" s="278" t="s">
        <v>1187</v>
      </c>
      <c r="G3" s="285"/>
      <c r="H3" s="285"/>
      <c r="I3" s="286"/>
    </row>
    <row r="4" spans="1:9" x14ac:dyDescent="0.25">
      <c r="A4" s="290">
        <v>2</v>
      </c>
      <c r="B4" s="57" t="s">
        <v>1005</v>
      </c>
      <c r="C4" s="282" t="s">
        <v>1006</v>
      </c>
      <c r="D4" s="277" t="s">
        <v>2</v>
      </c>
      <c r="E4" s="284">
        <v>0.5</v>
      </c>
      <c r="F4" s="278" t="s">
        <v>1187</v>
      </c>
      <c r="G4" s="285"/>
      <c r="H4" s="285"/>
      <c r="I4" s="286"/>
    </row>
    <row r="5" spans="1:9" x14ac:dyDescent="0.25">
      <c r="A5" s="290">
        <v>3</v>
      </c>
      <c r="B5" s="57" t="s">
        <v>1007</v>
      </c>
      <c r="C5" s="282"/>
      <c r="D5" s="277" t="s">
        <v>2</v>
      </c>
      <c r="E5" s="284">
        <v>0.5</v>
      </c>
      <c r="F5" s="278" t="s">
        <v>1187</v>
      </c>
      <c r="G5" s="285"/>
      <c r="H5" s="285"/>
      <c r="I5" s="286"/>
    </row>
    <row r="6" spans="1:9" x14ac:dyDescent="0.25">
      <c r="A6" s="290">
        <v>4</v>
      </c>
      <c r="B6" s="57" t="s">
        <v>1161</v>
      </c>
      <c r="C6" s="282"/>
      <c r="D6" s="277" t="s">
        <v>2</v>
      </c>
      <c r="E6" s="284">
        <v>0.5</v>
      </c>
      <c r="F6" s="278" t="s">
        <v>1187</v>
      </c>
      <c r="G6" s="285"/>
      <c r="H6" s="285"/>
      <c r="I6" s="286"/>
    </row>
    <row r="7" spans="1:9" x14ac:dyDescent="0.25">
      <c r="A7" s="290">
        <v>5</v>
      </c>
      <c r="B7" s="57" t="s">
        <v>1008</v>
      </c>
      <c r="C7" s="282" t="s">
        <v>1009</v>
      </c>
      <c r="D7" s="277" t="s">
        <v>2</v>
      </c>
      <c r="E7" s="284">
        <v>0.5</v>
      </c>
      <c r="F7" s="278" t="s">
        <v>1187</v>
      </c>
      <c r="G7" s="285"/>
      <c r="H7" s="285"/>
      <c r="I7" s="286"/>
    </row>
    <row r="8" spans="1:9" ht="18.75" customHeight="1" x14ac:dyDescent="0.25">
      <c r="A8" s="290">
        <v>6</v>
      </c>
      <c r="B8" s="57"/>
      <c r="C8" s="282"/>
      <c r="D8" s="277" t="s">
        <v>2</v>
      </c>
      <c r="E8" s="284">
        <v>0.5</v>
      </c>
      <c r="F8" s="278" t="s">
        <v>1187</v>
      </c>
      <c r="G8" s="285"/>
      <c r="H8" s="285"/>
      <c r="I8" s="286"/>
    </row>
    <row r="9" spans="1:9" ht="18.75" x14ac:dyDescent="0.3">
      <c r="A9" s="290">
        <v>7</v>
      </c>
      <c r="B9" s="276" t="s">
        <v>1162</v>
      </c>
      <c r="C9" s="282"/>
      <c r="D9" s="277" t="s">
        <v>2</v>
      </c>
      <c r="E9" s="284">
        <v>0.5</v>
      </c>
      <c r="F9" s="278" t="s">
        <v>1187</v>
      </c>
      <c r="G9" s="285"/>
      <c r="H9" s="285"/>
      <c r="I9" s="286"/>
    </row>
    <row r="10" spans="1:9" x14ac:dyDescent="0.25">
      <c r="A10" s="290">
        <v>8</v>
      </c>
      <c r="B10" s="57" t="s">
        <v>1010</v>
      </c>
      <c r="C10" s="282" t="s">
        <v>1011</v>
      </c>
      <c r="D10" s="277" t="s">
        <v>2</v>
      </c>
      <c r="E10" s="284">
        <v>0.5</v>
      </c>
      <c r="F10" s="278" t="s">
        <v>1187</v>
      </c>
      <c r="G10" s="285"/>
      <c r="H10" s="285"/>
      <c r="I10" s="286"/>
    </row>
    <row r="11" spans="1:9" x14ac:dyDescent="0.25">
      <c r="A11" s="290">
        <v>9</v>
      </c>
      <c r="B11" s="57" t="s">
        <v>1012</v>
      </c>
      <c r="C11" s="282" t="s">
        <v>1013</v>
      </c>
      <c r="D11" s="277" t="s">
        <v>2</v>
      </c>
      <c r="E11" s="284">
        <v>0.5</v>
      </c>
      <c r="F11" s="278" t="s">
        <v>1187</v>
      </c>
      <c r="G11" s="285"/>
      <c r="H11" s="285"/>
      <c r="I11" s="286"/>
    </row>
    <row r="12" spans="1:9" x14ac:dyDescent="0.25">
      <c r="A12" s="290">
        <v>10</v>
      </c>
      <c r="B12" s="57" t="s">
        <v>1014</v>
      </c>
      <c r="C12" s="282"/>
      <c r="D12" s="277" t="s">
        <v>2</v>
      </c>
      <c r="E12" s="284">
        <v>0.5</v>
      </c>
      <c r="F12" s="278" t="s">
        <v>1187</v>
      </c>
      <c r="G12" s="285"/>
      <c r="H12" s="285"/>
      <c r="I12" s="286"/>
    </row>
    <row r="13" spans="1:9" x14ac:dyDescent="0.25">
      <c r="A13" s="290">
        <v>11</v>
      </c>
      <c r="B13" s="57" t="s">
        <v>1015</v>
      </c>
      <c r="C13" s="282" t="s">
        <v>1016</v>
      </c>
      <c r="D13" s="277" t="s">
        <v>2</v>
      </c>
      <c r="E13" s="284">
        <v>0.5</v>
      </c>
      <c r="F13" s="278" t="s">
        <v>1187</v>
      </c>
      <c r="G13" s="285"/>
      <c r="H13" s="285"/>
      <c r="I13" s="286"/>
    </row>
    <row r="14" spans="1:9" x14ac:dyDescent="0.25">
      <c r="A14" s="290">
        <v>12</v>
      </c>
      <c r="B14" s="57" t="s">
        <v>1014</v>
      </c>
      <c r="C14" s="282"/>
      <c r="D14" s="277" t="s">
        <v>2</v>
      </c>
      <c r="E14" s="284">
        <v>0.5</v>
      </c>
      <c r="F14" s="278" t="s">
        <v>1187</v>
      </c>
      <c r="G14" s="285"/>
      <c r="H14" s="285"/>
      <c r="I14" s="286"/>
    </row>
    <row r="15" spans="1:9" x14ac:dyDescent="0.25">
      <c r="A15" s="290">
        <v>13</v>
      </c>
      <c r="B15" s="57" t="s">
        <v>1017</v>
      </c>
      <c r="C15" s="282" t="s">
        <v>1016</v>
      </c>
      <c r="D15" s="277" t="s">
        <v>2</v>
      </c>
      <c r="E15" s="284">
        <v>0.5</v>
      </c>
      <c r="F15" s="278" t="s">
        <v>1187</v>
      </c>
      <c r="G15" s="285"/>
      <c r="H15" s="285"/>
      <c r="I15" s="286"/>
    </row>
    <row r="16" spans="1:9" x14ac:dyDescent="0.25">
      <c r="A16" s="290">
        <v>14</v>
      </c>
      <c r="B16" s="57" t="s">
        <v>1014</v>
      </c>
      <c r="C16" s="282"/>
      <c r="D16" s="277" t="s">
        <v>2</v>
      </c>
      <c r="E16" s="284">
        <v>0.5</v>
      </c>
      <c r="F16" s="278" t="s">
        <v>1187</v>
      </c>
      <c r="G16" s="285"/>
      <c r="H16" s="285"/>
      <c r="I16" s="286"/>
    </row>
    <row r="17" spans="1:9" x14ac:dyDescent="0.25">
      <c r="A17" s="290">
        <v>15</v>
      </c>
      <c r="B17" s="57" t="s">
        <v>1018</v>
      </c>
      <c r="C17" s="282" t="s">
        <v>1019</v>
      </c>
      <c r="D17" s="277" t="s">
        <v>2</v>
      </c>
      <c r="E17" s="284">
        <v>0.5</v>
      </c>
      <c r="F17" s="278" t="s">
        <v>1187</v>
      </c>
      <c r="G17" s="285"/>
      <c r="H17" s="285"/>
      <c r="I17" s="286"/>
    </row>
    <row r="18" spans="1:9" x14ac:dyDescent="0.25">
      <c r="A18" s="290">
        <v>16</v>
      </c>
      <c r="B18" s="57" t="s">
        <v>1014</v>
      </c>
      <c r="C18" s="282"/>
      <c r="D18" s="277" t="s">
        <v>2</v>
      </c>
      <c r="E18" s="284">
        <v>0.5</v>
      </c>
      <c r="F18" s="278" t="s">
        <v>1187</v>
      </c>
      <c r="G18" s="285"/>
      <c r="H18" s="285"/>
      <c r="I18" s="286"/>
    </row>
    <row r="19" spans="1:9" x14ac:dyDescent="0.25">
      <c r="A19" s="290">
        <v>17</v>
      </c>
      <c r="B19" s="57" t="s">
        <v>1020</v>
      </c>
      <c r="C19" s="282" t="s">
        <v>1021</v>
      </c>
      <c r="D19" s="277" t="s">
        <v>2</v>
      </c>
      <c r="E19" s="284">
        <v>0.5</v>
      </c>
      <c r="F19" s="278" t="s">
        <v>1187</v>
      </c>
      <c r="G19" s="285"/>
      <c r="H19" s="285"/>
      <c r="I19" s="286"/>
    </row>
    <row r="20" spans="1:9" x14ac:dyDescent="0.25">
      <c r="A20" s="290">
        <v>18</v>
      </c>
      <c r="B20" s="57" t="s">
        <v>1022</v>
      </c>
      <c r="C20" s="282"/>
      <c r="D20" s="277" t="s">
        <v>2</v>
      </c>
      <c r="E20" s="284">
        <v>0.5</v>
      </c>
      <c r="F20" s="278" t="s">
        <v>1187</v>
      </c>
      <c r="G20" s="285"/>
      <c r="H20" s="285"/>
      <c r="I20" s="286"/>
    </row>
    <row r="21" spans="1:9" x14ac:dyDescent="0.25">
      <c r="A21" s="290">
        <v>19</v>
      </c>
      <c r="B21" s="57" t="s">
        <v>1023</v>
      </c>
      <c r="C21" s="282" t="s">
        <v>1024</v>
      </c>
      <c r="D21" s="277" t="s">
        <v>2</v>
      </c>
      <c r="E21" s="284">
        <v>0.5</v>
      </c>
      <c r="F21" s="278" t="s">
        <v>1187</v>
      </c>
      <c r="G21" s="285"/>
      <c r="H21" s="285"/>
      <c r="I21" s="286"/>
    </row>
    <row r="22" spans="1:9" x14ac:dyDescent="0.25">
      <c r="A22" s="290">
        <v>20</v>
      </c>
      <c r="B22" s="57" t="s">
        <v>1022</v>
      </c>
      <c r="C22" s="282"/>
      <c r="D22" s="277" t="s">
        <v>2</v>
      </c>
      <c r="E22" s="284">
        <v>0.5</v>
      </c>
      <c r="F22" s="278" t="s">
        <v>1187</v>
      </c>
      <c r="G22" s="285"/>
      <c r="H22" s="285"/>
      <c r="I22" s="286"/>
    </row>
    <row r="23" spans="1:9" x14ac:dyDescent="0.25">
      <c r="A23" s="290">
        <v>21</v>
      </c>
      <c r="B23" s="57" t="s">
        <v>1025</v>
      </c>
      <c r="C23" s="282" t="s">
        <v>1024</v>
      </c>
      <c r="D23" s="277" t="s">
        <v>2</v>
      </c>
      <c r="E23" s="284">
        <v>0.5</v>
      </c>
      <c r="F23" s="278" t="s">
        <v>1187</v>
      </c>
      <c r="G23" s="285"/>
      <c r="H23" s="285"/>
      <c r="I23" s="286"/>
    </row>
    <row r="24" spans="1:9" x14ac:dyDescent="0.25">
      <c r="A24" s="290">
        <v>22</v>
      </c>
      <c r="B24" s="57" t="s">
        <v>1022</v>
      </c>
      <c r="C24" s="282"/>
      <c r="D24" s="277" t="s">
        <v>2</v>
      </c>
      <c r="E24" s="284">
        <v>0.5</v>
      </c>
      <c r="F24" s="278" t="s">
        <v>1187</v>
      </c>
      <c r="G24" s="285"/>
      <c r="H24" s="285"/>
      <c r="I24" s="286"/>
    </row>
    <row r="25" spans="1:9" x14ac:dyDescent="0.25">
      <c r="A25" s="290">
        <v>23</v>
      </c>
      <c r="B25" s="57" t="s">
        <v>1026</v>
      </c>
      <c r="C25" s="282" t="s">
        <v>1027</v>
      </c>
      <c r="D25" s="277" t="s">
        <v>2</v>
      </c>
      <c r="E25" s="284">
        <v>0.5</v>
      </c>
      <c r="F25" s="278" t="s">
        <v>1187</v>
      </c>
      <c r="G25" s="285"/>
      <c r="H25" s="285"/>
      <c r="I25" s="286"/>
    </row>
    <row r="26" spans="1:9" x14ac:dyDescent="0.25">
      <c r="A26" s="290">
        <v>24</v>
      </c>
      <c r="B26" s="57" t="s">
        <v>1022</v>
      </c>
      <c r="C26" s="282"/>
      <c r="D26" s="277" t="s">
        <v>2</v>
      </c>
      <c r="E26" s="284">
        <v>0.5</v>
      </c>
      <c r="F26" s="278" t="s">
        <v>1187</v>
      </c>
      <c r="G26" s="285"/>
      <c r="H26" s="285"/>
      <c r="I26" s="286"/>
    </row>
    <row r="27" spans="1:9" ht="18.75" customHeight="1" x14ac:dyDescent="0.25">
      <c r="A27" s="290">
        <v>25</v>
      </c>
      <c r="B27" s="57"/>
      <c r="C27" s="282"/>
      <c r="D27" s="277" t="s">
        <v>2</v>
      </c>
      <c r="E27" s="284">
        <v>0.5</v>
      </c>
      <c r="F27" s="278" t="s">
        <v>1187</v>
      </c>
      <c r="G27" s="285"/>
      <c r="H27" s="285"/>
      <c r="I27" s="286"/>
    </row>
    <row r="28" spans="1:9" ht="18.75" customHeight="1" x14ac:dyDescent="0.3">
      <c r="A28" s="290">
        <v>26</v>
      </c>
      <c r="B28" s="276" t="s">
        <v>1028</v>
      </c>
      <c r="C28" s="282"/>
      <c r="D28" s="277" t="s">
        <v>2</v>
      </c>
      <c r="E28" s="284">
        <v>0.5</v>
      </c>
      <c r="F28" s="278" t="s">
        <v>1187</v>
      </c>
      <c r="G28" s="285"/>
      <c r="H28" s="285"/>
      <c r="I28" s="286"/>
    </row>
    <row r="29" spans="1:9" ht="18.75" x14ac:dyDescent="0.3">
      <c r="A29" s="290">
        <v>27</v>
      </c>
      <c r="B29" s="276" t="s">
        <v>1163</v>
      </c>
      <c r="C29" s="282"/>
      <c r="D29" s="277" t="s">
        <v>2</v>
      </c>
      <c r="E29" s="284">
        <v>0.5</v>
      </c>
      <c r="F29" s="278" t="s">
        <v>1187</v>
      </c>
      <c r="G29" s="285"/>
      <c r="H29" s="285"/>
      <c r="I29" s="286"/>
    </row>
    <row r="30" spans="1:9" x14ac:dyDescent="0.25">
      <c r="A30" s="290">
        <v>28</v>
      </c>
      <c r="B30" s="57" t="s">
        <v>1029</v>
      </c>
      <c r="C30" s="282">
        <v>732.04</v>
      </c>
      <c r="D30" s="277" t="s">
        <v>2</v>
      </c>
      <c r="E30" s="284">
        <v>0.5</v>
      </c>
      <c r="F30" s="278" t="s">
        <v>1187</v>
      </c>
      <c r="G30" s="285"/>
      <c r="H30" s="285"/>
      <c r="I30" s="286"/>
    </row>
    <row r="31" spans="1:9" x14ac:dyDescent="0.25">
      <c r="A31" s="290">
        <v>29</v>
      </c>
      <c r="B31" s="57" t="s">
        <v>1030</v>
      </c>
      <c r="C31" s="282"/>
      <c r="D31" s="277" t="s">
        <v>2</v>
      </c>
      <c r="E31" s="284">
        <v>0.5</v>
      </c>
      <c r="F31" s="278" t="s">
        <v>1187</v>
      </c>
      <c r="G31" s="285"/>
      <c r="H31" s="285"/>
      <c r="I31" s="286"/>
    </row>
    <row r="32" spans="1:9" x14ac:dyDescent="0.25">
      <c r="A32" s="290">
        <v>30</v>
      </c>
      <c r="B32" s="57" t="s">
        <v>1031</v>
      </c>
      <c r="C32" s="282">
        <v>764.61</v>
      </c>
      <c r="D32" s="277" t="s">
        <v>2</v>
      </c>
      <c r="E32" s="284">
        <v>0.5</v>
      </c>
      <c r="F32" s="278" t="s">
        <v>1187</v>
      </c>
      <c r="G32" s="285"/>
      <c r="H32" s="285"/>
      <c r="I32" s="286"/>
    </row>
    <row r="33" spans="1:9" x14ac:dyDescent="0.25">
      <c r="A33" s="290">
        <v>31</v>
      </c>
      <c r="B33" s="57" t="s">
        <v>1030</v>
      </c>
      <c r="C33" s="282"/>
      <c r="D33" s="277" t="s">
        <v>2</v>
      </c>
      <c r="E33" s="284">
        <v>0.5</v>
      </c>
      <c r="F33" s="278" t="s">
        <v>1187</v>
      </c>
      <c r="G33" s="285"/>
      <c r="H33" s="285"/>
      <c r="I33" s="286"/>
    </row>
    <row r="34" spans="1:9" x14ac:dyDescent="0.25">
      <c r="A34" s="290">
        <v>32</v>
      </c>
      <c r="B34" s="57" t="s">
        <v>1032</v>
      </c>
      <c r="C34" s="282">
        <v>764.61</v>
      </c>
      <c r="D34" s="277" t="s">
        <v>2</v>
      </c>
      <c r="E34" s="284">
        <v>0.5</v>
      </c>
      <c r="F34" s="278" t="s">
        <v>1187</v>
      </c>
      <c r="G34" s="285"/>
      <c r="H34" s="285"/>
      <c r="I34" s="286"/>
    </row>
    <row r="35" spans="1:9" x14ac:dyDescent="0.25">
      <c r="A35" s="290">
        <v>33</v>
      </c>
      <c r="B35" s="57" t="s">
        <v>1030</v>
      </c>
      <c r="C35" s="282"/>
      <c r="D35" s="277" t="s">
        <v>2</v>
      </c>
      <c r="E35" s="284">
        <v>0.5</v>
      </c>
      <c r="F35" s="278" t="s">
        <v>1187</v>
      </c>
      <c r="G35" s="285"/>
      <c r="H35" s="285"/>
      <c r="I35" s="286"/>
    </row>
    <row r="36" spans="1:9" x14ac:dyDescent="0.25">
      <c r="A36" s="290">
        <v>34</v>
      </c>
      <c r="B36" s="57" t="s">
        <v>1033</v>
      </c>
      <c r="C36" s="282">
        <v>762.34</v>
      </c>
      <c r="D36" s="277" t="s">
        <v>2</v>
      </c>
      <c r="E36" s="284">
        <v>0.5</v>
      </c>
      <c r="F36" s="278" t="s">
        <v>1187</v>
      </c>
      <c r="G36" s="285"/>
      <c r="H36" s="285"/>
      <c r="I36" s="286"/>
    </row>
    <row r="37" spans="1:9" x14ac:dyDescent="0.25">
      <c r="A37" s="290">
        <v>35</v>
      </c>
      <c r="B37" s="57" t="s">
        <v>1034</v>
      </c>
      <c r="C37" s="282"/>
      <c r="D37" s="277" t="s">
        <v>2</v>
      </c>
      <c r="E37" s="284">
        <v>0.5</v>
      </c>
      <c r="F37" s="278" t="s">
        <v>1187</v>
      </c>
      <c r="G37" s="285"/>
      <c r="H37" s="285"/>
      <c r="I37" s="286"/>
    </row>
    <row r="38" spans="1:9" x14ac:dyDescent="0.25">
      <c r="A38" s="290">
        <v>36</v>
      </c>
      <c r="B38" s="57" t="s">
        <v>1035</v>
      </c>
      <c r="C38" s="282">
        <v>816.3</v>
      </c>
      <c r="D38" s="277" t="s">
        <v>2</v>
      </c>
      <c r="E38" s="284">
        <v>0.5</v>
      </c>
      <c r="F38" s="278" t="s">
        <v>1187</v>
      </c>
      <c r="G38" s="285"/>
      <c r="H38" s="285"/>
      <c r="I38" s="286"/>
    </row>
    <row r="39" spans="1:9" x14ac:dyDescent="0.25">
      <c r="A39" s="290">
        <v>37</v>
      </c>
      <c r="B39" s="57" t="s">
        <v>1034</v>
      </c>
      <c r="C39" s="282"/>
      <c r="D39" s="277" t="s">
        <v>2</v>
      </c>
      <c r="E39" s="284">
        <v>0.5</v>
      </c>
      <c r="F39" s="278" t="s">
        <v>1187</v>
      </c>
      <c r="G39" s="285"/>
      <c r="H39" s="285"/>
      <c r="I39" s="286"/>
    </row>
    <row r="40" spans="1:9" x14ac:dyDescent="0.25">
      <c r="A40" s="290">
        <v>38</v>
      </c>
      <c r="B40" s="57" t="s">
        <v>1036</v>
      </c>
      <c r="C40" s="282">
        <v>816.3</v>
      </c>
      <c r="D40" s="277" t="s">
        <v>2</v>
      </c>
      <c r="E40" s="284">
        <v>0.5</v>
      </c>
      <c r="F40" s="278" t="s">
        <v>1187</v>
      </c>
      <c r="G40" s="285"/>
      <c r="H40" s="285"/>
      <c r="I40" s="286"/>
    </row>
    <row r="41" spans="1:9" x14ac:dyDescent="0.25">
      <c r="A41" s="290">
        <v>39</v>
      </c>
      <c r="B41" s="57" t="s">
        <v>1034</v>
      </c>
      <c r="C41" s="282"/>
      <c r="D41" s="277" t="s">
        <v>2</v>
      </c>
      <c r="E41" s="284">
        <v>0.5</v>
      </c>
      <c r="F41" s="278" t="s">
        <v>1187</v>
      </c>
      <c r="G41" s="285"/>
      <c r="H41" s="285"/>
      <c r="I41" s="286"/>
    </row>
    <row r="42" spans="1:9" x14ac:dyDescent="0.25">
      <c r="A42" s="290">
        <v>40</v>
      </c>
      <c r="B42" s="57" t="s">
        <v>1037</v>
      </c>
      <c r="C42" s="282">
        <v>816.3</v>
      </c>
      <c r="D42" s="277" t="s">
        <v>2</v>
      </c>
      <c r="E42" s="284">
        <v>0.5</v>
      </c>
      <c r="F42" s="278" t="s">
        <v>1187</v>
      </c>
      <c r="G42" s="285"/>
      <c r="H42" s="285"/>
      <c r="I42" s="286"/>
    </row>
    <row r="43" spans="1:9" x14ac:dyDescent="0.25">
      <c r="A43" s="290">
        <v>41</v>
      </c>
      <c r="B43" s="57" t="s">
        <v>1038</v>
      </c>
      <c r="C43" s="282"/>
      <c r="D43" s="277" t="s">
        <v>2</v>
      </c>
      <c r="E43" s="284">
        <v>0.5</v>
      </c>
      <c r="F43" s="278" t="s">
        <v>1187</v>
      </c>
      <c r="G43" s="285"/>
      <c r="H43" s="285"/>
      <c r="I43" s="286"/>
    </row>
    <row r="44" spans="1:9" x14ac:dyDescent="0.25">
      <c r="A44" s="290">
        <v>42</v>
      </c>
      <c r="B44" s="57" t="s">
        <v>1039</v>
      </c>
      <c r="C44" s="282">
        <v>816.3</v>
      </c>
      <c r="D44" s="277" t="s">
        <v>2</v>
      </c>
      <c r="E44" s="284">
        <v>0.5</v>
      </c>
      <c r="F44" s="278" t="s">
        <v>1187</v>
      </c>
      <c r="G44" s="285"/>
      <c r="H44" s="285"/>
      <c r="I44" s="286"/>
    </row>
    <row r="45" spans="1:9" x14ac:dyDescent="0.25">
      <c r="A45" s="290">
        <v>43</v>
      </c>
      <c r="B45" s="57" t="s">
        <v>1034</v>
      </c>
      <c r="C45" s="282"/>
      <c r="D45" s="277" t="s">
        <v>2</v>
      </c>
      <c r="E45" s="284">
        <v>0.5</v>
      </c>
      <c r="F45" s="278" t="s">
        <v>1187</v>
      </c>
      <c r="G45" s="285"/>
      <c r="H45" s="285"/>
      <c r="I45" s="286"/>
    </row>
    <row r="46" spans="1:9" x14ac:dyDescent="0.25">
      <c r="A46" s="290">
        <v>44</v>
      </c>
      <c r="B46" s="57" t="s">
        <v>1040</v>
      </c>
      <c r="C46" s="282">
        <v>1167.9000000000001</v>
      </c>
      <c r="D46" s="277" t="s">
        <v>2</v>
      </c>
      <c r="E46" s="284">
        <v>0.5</v>
      </c>
      <c r="F46" s="278" t="s">
        <v>1187</v>
      </c>
      <c r="G46" s="285"/>
      <c r="H46" s="285"/>
      <c r="I46" s="286"/>
    </row>
    <row r="47" spans="1:9" x14ac:dyDescent="0.25">
      <c r="A47" s="290">
        <v>45</v>
      </c>
      <c r="B47" s="57" t="s">
        <v>1041</v>
      </c>
      <c r="C47" s="282"/>
      <c r="D47" s="277" t="s">
        <v>2</v>
      </c>
      <c r="E47" s="284">
        <v>0.5</v>
      </c>
      <c r="F47" s="278" t="s">
        <v>1187</v>
      </c>
      <c r="G47" s="285"/>
      <c r="H47" s="285"/>
      <c r="I47" s="286"/>
    </row>
    <row r="48" spans="1:9" x14ac:dyDescent="0.25">
      <c r="A48" s="290">
        <v>46</v>
      </c>
      <c r="B48" s="57" t="s">
        <v>1042</v>
      </c>
      <c r="C48" s="282"/>
      <c r="D48" s="277" t="s">
        <v>2</v>
      </c>
      <c r="E48" s="284">
        <v>0.5</v>
      </c>
      <c r="F48" s="278" t="s">
        <v>1187</v>
      </c>
      <c r="G48" s="285"/>
      <c r="H48" s="285"/>
      <c r="I48" s="286"/>
    </row>
    <row r="49" spans="1:9" x14ac:dyDescent="0.25">
      <c r="A49" s="290">
        <v>47</v>
      </c>
      <c r="B49" s="57" t="s">
        <v>1043</v>
      </c>
      <c r="C49" s="282">
        <v>1226.44</v>
      </c>
      <c r="D49" s="277" t="s">
        <v>2</v>
      </c>
      <c r="E49" s="284">
        <v>0.5</v>
      </c>
      <c r="F49" s="278" t="s">
        <v>1187</v>
      </c>
      <c r="G49" s="285"/>
      <c r="H49" s="285"/>
      <c r="I49" s="286"/>
    </row>
    <row r="50" spans="1:9" x14ac:dyDescent="0.25">
      <c r="A50" s="290">
        <v>48</v>
      </c>
      <c r="B50" s="57" t="s">
        <v>1044</v>
      </c>
      <c r="C50" s="282">
        <v>1568.7</v>
      </c>
      <c r="D50" s="277" t="s">
        <v>2</v>
      </c>
      <c r="E50" s="284">
        <v>0.5</v>
      </c>
      <c r="F50" s="278" t="s">
        <v>1187</v>
      </c>
      <c r="G50" s="285"/>
      <c r="H50" s="285"/>
      <c r="I50" s="286"/>
    </row>
    <row r="51" spans="1:9" x14ac:dyDescent="0.25">
      <c r="A51" s="290">
        <v>49</v>
      </c>
      <c r="B51" s="57" t="s">
        <v>1045</v>
      </c>
      <c r="C51" s="282"/>
      <c r="D51" s="277" t="s">
        <v>2</v>
      </c>
      <c r="E51" s="284">
        <v>0.5</v>
      </c>
      <c r="F51" s="278" t="s">
        <v>1187</v>
      </c>
      <c r="G51" s="285"/>
      <c r="H51" s="285"/>
      <c r="I51" s="286"/>
    </row>
    <row r="52" spans="1:9" ht="18.75" customHeight="1" x14ac:dyDescent="0.25">
      <c r="A52" s="290">
        <v>50</v>
      </c>
      <c r="B52" s="57"/>
      <c r="C52" s="282"/>
      <c r="D52" s="277" t="s">
        <v>2</v>
      </c>
      <c r="E52" s="284">
        <v>0.5</v>
      </c>
      <c r="F52" s="278" t="s">
        <v>1187</v>
      </c>
      <c r="G52" s="285"/>
      <c r="H52" s="285"/>
      <c r="I52" s="286"/>
    </row>
    <row r="53" spans="1:9" ht="18.75" x14ac:dyDescent="0.3">
      <c r="A53" s="290">
        <v>51</v>
      </c>
      <c r="B53" s="276" t="s">
        <v>1164</v>
      </c>
      <c r="C53" s="282"/>
      <c r="D53" s="277" t="s">
        <v>2</v>
      </c>
      <c r="E53" s="284">
        <v>0.5</v>
      </c>
      <c r="F53" s="278" t="s">
        <v>1187</v>
      </c>
      <c r="G53" s="285"/>
      <c r="H53" s="285"/>
      <c r="I53" s="286"/>
    </row>
    <row r="54" spans="1:9" x14ac:dyDescent="0.25">
      <c r="A54" s="290">
        <v>52</v>
      </c>
      <c r="B54" s="57" t="s">
        <v>1046</v>
      </c>
      <c r="C54" s="282">
        <v>599.86</v>
      </c>
      <c r="D54" s="277" t="s">
        <v>2</v>
      </c>
      <c r="E54" s="284">
        <v>0.5</v>
      </c>
      <c r="F54" s="278" t="s">
        <v>1187</v>
      </c>
      <c r="G54" s="285"/>
      <c r="H54" s="285"/>
      <c r="I54" s="286"/>
    </row>
    <row r="55" spans="1:9" x14ac:dyDescent="0.25">
      <c r="A55" s="290">
        <v>53</v>
      </c>
      <c r="B55" s="57" t="s">
        <v>1047</v>
      </c>
      <c r="C55" s="282"/>
      <c r="D55" s="277" t="s">
        <v>2</v>
      </c>
      <c r="E55" s="284">
        <v>0.5</v>
      </c>
      <c r="F55" s="278" t="s">
        <v>1187</v>
      </c>
      <c r="G55" s="285"/>
      <c r="H55" s="285"/>
      <c r="I55" s="286"/>
    </row>
    <row r="56" spans="1:9" x14ac:dyDescent="0.25">
      <c r="A56" s="290">
        <v>54</v>
      </c>
      <c r="B56" s="57" t="s">
        <v>1048</v>
      </c>
      <c r="C56" s="282">
        <v>634.63</v>
      </c>
      <c r="D56" s="277" t="s">
        <v>2</v>
      </c>
      <c r="E56" s="284">
        <v>0.5</v>
      </c>
      <c r="F56" s="278" t="s">
        <v>1187</v>
      </c>
      <c r="G56" s="285"/>
      <c r="H56" s="285"/>
      <c r="I56" s="286"/>
    </row>
    <row r="57" spans="1:9" x14ac:dyDescent="0.25">
      <c r="A57" s="290">
        <v>55</v>
      </c>
      <c r="B57" s="57" t="s">
        <v>1049</v>
      </c>
      <c r="C57" s="282"/>
      <c r="D57" s="277" t="s">
        <v>2</v>
      </c>
      <c r="E57" s="284">
        <v>0.5</v>
      </c>
      <c r="F57" s="278" t="s">
        <v>1187</v>
      </c>
      <c r="G57" s="285"/>
      <c r="H57" s="285"/>
      <c r="I57" s="286"/>
    </row>
    <row r="58" spans="1:9" x14ac:dyDescent="0.25">
      <c r="A58" s="290">
        <v>56</v>
      </c>
      <c r="B58" s="57" t="s">
        <v>1050</v>
      </c>
      <c r="C58" s="282">
        <v>1002.54</v>
      </c>
      <c r="D58" s="277" t="s">
        <v>2</v>
      </c>
      <c r="E58" s="284">
        <v>0.5</v>
      </c>
      <c r="F58" s="278" t="s">
        <v>1187</v>
      </c>
      <c r="G58" s="285"/>
      <c r="H58" s="285"/>
      <c r="I58" s="286"/>
    </row>
    <row r="59" spans="1:9" x14ac:dyDescent="0.25">
      <c r="A59" s="290">
        <v>57</v>
      </c>
      <c r="B59" s="57" t="s">
        <v>1051</v>
      </c>
      <c r="C59" s="282"/>
      <c r="D59" s="277" t="s">
        <v>2</v>
      </c>
      <c r="E59" s="284">
        <v>0.5</v>
      </c>
      <c r="F59" s="278" t="s">
        <v>1187</v>
      </c>
      <c r="G59" s="285"/>
      <c r="H59" s="285"/>
      <c r="I59" s="286"/>
    </row>
    <row r="60" spans="1:9" x14ac:dyDescent="0.25">
      <c r="A60" s="290">
        <v>58</v>
      </c>
      <c r="B60" s="57" t="s">
        <v>1052</v>
      </c>
      <c r="C60" s="282">
        <v>1348.86</v>
      </c>
      <c r="D60" s="277" t="s">
        <v>2</v>
      </c>
      <c r="E60" s="284">
        <v>0.5</v>
      </c>
      <c r="F60" s="278" t="s">
        <v>1187</v>
      </c>
      <c r="G60" s="285"/>
      <c r="H60" s="285"/>
      <c r="I60" s="286"/>
    </row>
    <row r="61" spans="1:9" x14ac:dyDescent="0.25">
      <c r="A61" s="290">
        <v>59</v>
      </c>
      <c r="B61" s="57" t="s">
        <v>1053</v>
      </c>
      <c r="C61" s="282"/>
      <c r="D61" s="277" t="s">
        <v>2</v>
      </c>
      <c r="E61" s="284">
        <v>0.5</v>
      </c>
      <c r="F61" s="278" t="s">
        <v>1187</v>
      </c>
      <c r="G61" s="285"/>
      <c r="H61" s="285"/>
      <c r="I61" s="286"/>
    </row>
    <row r="62" spans="1:9" ht="18.75" customHeight="1" x14ac:dyDescent="0.25">
      <c r="A62" s="290">
        <v>60</v>
      </c>
      <c r="B62" s="57"/>
      <c r="C62" s="282"/>
      <c r="D62" s="277" t="s">
        <v>2</v>
      </c>
      <c r="E62" s="284">
        <v>0.5</v>
      </c>
      <c r="F62" s="278" t="s">
        <v>1187</v>
      </c>
      <c r="G62" s="285"/>
      <c r="H62" s="285"/>
      <c r="I62" s="286"/>
    </row>
    <row r="63" spans="1:9" ht="18.75" x14ac:dyDescent="0.3">
      <c r="A63" s="290">
        <v>61</v>
      </c>
      <c r="B63" s="276" t="s">
        <v>1165</v>
      </c>
      <c r="C63" s="282"/>
      <c r="D63" s="277" t="s">
        <v>2</v>
      </c>
      <c r="E63" s="284">
        <v>0.5</v>
      </c>
      <c r="F63" s="278" t="s">
        <v>1187</v>
      </c>
      <c r="G63" s="285"/>
      <c r="H63" s="285"/>
      <c r="I63" s="286"/>
    </row>
    <row r="64" spans="1:9" x14ac:dyDescent="0.25">
      <c r="A64" s="290">
        <v>62</v>
      </c>
      <c r="B64" s="57" t="s">
        <v>1054</v>
      </c>
      <c r="C64" s="282">
        <v>577.46</v>
      </c>
      <c r="D64" s="277" t="s">
        <v>2</v>
      </c>
      <c r="E64" s="284">
        <v>0.5</v>
      </c>
      <c r="F64" s="278" t="s">
        <v>1187</v>
      </c>
      <c r="G64" s="285"/>
      <c r="H64" s="285"/>
      <c r="I64" s="286"/>
    </row>
    <row r="65" spans="1:9" x14ac:dyDescent="0.25">
      <c r="A65" s="290">
        <v>63</v>
      </c>
      <c r="B65" s="57" t="s">
        <v>1055</v>
      </c>
      <c r="C65" s="282"/>
      <c r="D65" s="277" t="s">
        <v>2</v>
      </c>
      <c r="E65" s="284">
        <v>0.5</v>
      </c>
      <c r="F65" s="278" t="s">
        <v>1187</v>
      </c>
      <c r="G65" s="285"/>
      <c r="H65" s="285"/>
      <c r="I65" s="286"/>
    </row>
    <row r="66" spans="1:9" x14ac:dyDescent="0.25">
      <c r="A66" s="290">
        <v>64</v>
      </c>
      <c r="B66" s="57" t="s">
        <v>1056</v>
      </c>
      <c r="C66" s="282">
        <v>602.20000000000005</v>
      </c>
      <c r="D66" s="277" t="s">
        <v>2</v>
      </c>
      <c r="E66" s="284">
        <v>0.5</v>
      </c>
      <c r="F66" s="278" t="s">
        <v>1187</v>
      </c>
      <c r="G66" s="285"/>
      <c r="H66" s="285"/>
      <c r="I66" s="286"/>
    </row>
    <row r="67" spans="1:9" x14ac:dyDescent="0.25">
      <c r="A67" s="290">
        <v>65</v>
      </c>
      <c r="B67" s="57" t="s">
        <v>1057</v>
      </c>
      <c r="C67" s="282"/>
      <c r="D67" s="277" t="s">
        <v>2</v>
      </c>
      <c r="E67" s="284">
        <v>0.5</v>
      </c>
      <c r="F67" s="278" t="s">
        <v>1187</v>
      </c>
      <c r="G67" s="285"/>
      <c r="H67" s="285"/>
      <c r="I67" s="286"/>
    </row>
    <row r="68" spans="1:9" x14ac:dyDescent="0.25">
      <c r="A68" s="290">
        <v>66</v>
      </c>
      <c r="B68" s="57" t="s">
        <v>1058</v>
      </c>
      <c r="C68" s="282">
        <v>952.28</v>
      </c>
      <c r="D68" s="277" t="s">
        <v>2</v>
      </c>
      <c r="E68" s="284">
        <v>0.5</v>
      </c>
      <c r="F68" s="278" t="s">
        <v>1187</v>
      </c>
      <c r="G68" s="285"/>
      <c r="H68" s="285"/>
      <c r="I68" s="286"/>
    </row>
    <row r="69" spans="1:9" x14ac:dyDescent="0.25">
      <c r="A69" s="290">
        <v>67</v>
      </c>
      <c r="B69" s="57" t="s">
        <v>1059</v>
      </c>
      <c r="C69" s="282"/>
      <c r="D69" s="277" t="s">
        <v>2</v>
      </c>
      <c r="E69" s="284">
        <v>0.5</v>
      </c>
      <c r="F69" s="278" t="s">
        <v>1187</v>
      </c>
      <c r="G69" s="285"/>
      <c r="H69" s="285"/>
      <c r="I69" s="286"/>
    </row>
    <row r="70" spans="1:9" x14ac:dyDescent="0.25">
      <c r="A70" s="290">
        <v>68</v>
      </c>
      <c r="B70" s="57" t="s">
        <v>1060</v>
      </c>
      <c r="C70" s="282">
        <v>1302.3800000000001</v>
      </c>
      <c r="D70" s="277" t="s">
        <v>2</v>
      </c>
      <c r="E70" s="284">
        <v>0.5</v>
      </c>
      <c r="F70" s="278" t="s">
        <v>1187</v>
      </c>
      <c r="G70" s="285"/>
      <c r="H70" s="285"/>
      <c r="I70" s="286"/>
    </row>
    <row r="71" spans="1:9" x14ac:dyDescent="0.25">
      <c r="A71" s="290">
        <v>69</v>
      </c>
      <c r="B71" s="57" t="s">
        <v>1061</v>
      </c>
      <c r="C71" s="282"/>
      <c r="D71" s="277" t="s">
        <v>2</v>
      </c>
      <c r="E71" s="284">
        <v>0.5</v>
      </c>
      <c r="F71" s="278" t="s">
        <v>1187</v>
      </c>
      <c r="G71" s="285"/>
      <c r="H71" s="285"/>
      <c r="I71" s="286"/>
    </row>
    <row r="72" spans="1:9" ht="18.75" customHeight="1" x14ac:dyDescent="0.25">
      <c r="A72" s="290">
        <v>70</v>
      </c>
      <c r="B72" s="57"/>
      <c r="C72" s="282"/>
      <c r="D72" s="277" t="s">
        <v>2</v>
      </c>
      <c r="E72" s="284">
        <v>0.5</v>
      </c>
      <c r="F72" s="278" t="s">
        <v>1187</v>
      </c>
      <c r="G72" s="285"/>
      <c r="H72" s="285"/>
      <c r="I72" s="286"/>
    </row>
    <row r="73" spans="1:9" ht="18.75" x14ac:dyDescent="0.3">
      <c r="A73" s="290">
        <v>71</v>
      </c>
      <c r="B73" s="276" t="s">
        <v>1166</v>
      </c>
      <c r="C73" s="282"/>
      <c r="D73" s="277" t="s">
        <v>2</v>
      </c>
      <c r="E73" s="284">
        <v>0.5</v>
      </c>
      <c r="F73" s="278" t="s">
        <v>1187</v>
      </c>
      <c r="G73" s="285"/>
      <c r="H73" s="285"/>
      <c r="I73" s="286"/>
    </row>
    <row r="74" spans="1:9" x14ac:dyDescent="0.25">
      <c r="A74" s="290">
        <v>72</v>
      </c>
      <c r="B74" s="57" t="s">
        <v>1062</v>
      </c>
      <c r="C74" s="282">
        <v>277.48</v>
      </c>
      <c r="D74" s="277" t="s">
        <v>2</v>
      </c>
      <c r="E74" s="284">
        <v>0.5</v>
      </c>
      <c r="F74" s="278" t="s">
        <v>1187</v>
      </c>
      <c r="G74" s="285"/>
      <c r="H74" s="285"/>
      <c r="I74" s="286"/>
    </row>
    <row r="75" spans="1:9" x14ac:dyDescent="0.25">
      <c r="A75" s="290">
        <v>73</v>
      </c>
      <c r="B75" s="57" t="s">
        <v>1063</v>
      </c>
      <c r="C75" s="282">
        <v>310.05</v>
      </c>
      <c r="D75" s="277" t="s">
        <v>2</v>
      </c>
      <c r="E75" s="284">
        <v>0.5</v>
      </c>
      <c r="F75" s="278" t="s">
        <v>1187</v>
      </c>
      <c r="G75" s="285"/>
      <c r="H75" s="285"/>
      <c r="I75" s="286"/>
    </row>
    <row r="76" spans="1:9" x14ac:dyDescent="0.25">
      <c r="A76" s="290">
        <v>74</v>
      </c>
      <c r="B76" s="57" t="s">
        <v>1064</v>
      </c>
      <c r="C76" s="282">
        <v>310.05</v>
      </c>
      <c r="D76" s="277" t="s">
        <v>2</v>
      </c>
      <c r="E76" s="284">
        <v>0.5</v>
      </c>
      <c r="F76" s="278" t="s">
        <v>1187</v>
      </c>
      <c r="G76" s="285"/>
      <c r="H76" s="285"/>
      <c r="I76" s="286"/>
    </row>
    <row r="77" spans="1:9" x14ac:dyDescent="0.25">
      <c r="A77" s="290">
        <v>75</v>
      </c>
      <c r="B77" s="57" t="s">
        <v>1065</v>
      </c>
      <c r="C77" s="282">
        <v>288.89999999999998</v>
      </c>
      <c r="D77" s="277" t="s">
        <v>2</v>
      </c>
      <c r="E77" s="284">
        <v>0.5</v>
      </c>
      <c r="F77" s="278" t="s">
        <v>1187</v>
      </c>
      <c r="G77" s="285"/>
      <c r="H77" s="285"/>
      <c r="I77" s="286"/>
    </row>
    <row r="78" spans="1:9" x14ac:dyDescent="0.25">
      <c r="A78" s="290">
        <v>76</v>
      </c>
      <c r="B78" s="57" t="s">
        <v>1066</v>
      </c>
      <c r="C78" s="282">
        <v>335.76</v>
      </c>
      <c r="D78" s="277" t="s">
        <v>2</v>
      </c>
      <c r="E78" s="284">
        <v>0.5</v>
      </c>
      <c r="F78" s="278" t="s">
        <v>1187</v>
      </c>
      <c r="G78" s="285"/>
      <c r="H78" s="285"/>
      <c r="I78" s="286"/>
    </row>
    <row r="79" spans="1:9" x14ac:dyDescent="0.25">
      <c r="A79" s="290">
        <v>77</v>
      </c>
      <c r="B79" s="57" t="s">
        <v>1067</v>
      </c>
      <c r="C79" s="282">
        <v>335.76</v>
      </c>
      <c r="D79" s="277" t="s">
        <v>2</v>
      </c>
      <c r="E79" s="284">
        <v>0.5</v>
      </c>
      <c r="F79" s="278" t="s">
        <v>1187</v>
      </c>
      <c r="G79" s="285"/>
      <c r="H79" s="285"/>
      <c r="I79" s="286"/>
    </row>
    <row r="80" spans="1:9" x14ac:dyDescent="0.25">
      <c r="A80" s="290">
        <v>78</v>
      </c>
      <c r="B80" s="57" t="s">
        <v>1068</v>
      </c>
      <c r="C80" s="282">
        <v>335.76</v>
      </c>
      <c r="D80" s="277" t="s">
        <v>2</v>
      </c>
      <c r="E80" s="284">
        <v>0.5</v>
      </c>
      <c r="F80" s="278" t="s">
        <v>1187</v>
      </c>
      <c r="G80" s="285"/>
      <c r="H80" s="285"/>
      <c r="I80" s="286"/>
    </row>
    <row r="81" spans="1:9" x14ac:dyDescent="0.25">
      <c r="A81" s="290">
        <v>79</v>
      </c>
      <c r="B81" s="57" t="s">
        <v>1069</v>
      </c>
      <c r="C81" s="282">
        <v>335.76</v>
      </c>
      <c r="D81" s="277" t="s">
        <v>2</v>
      </c>
      <c r="E81" s="284">
        <v>0.5</v>
      </c>
      <c r="F81" s="278" t="s">
        <v>1187</v>
      </c>
      <c r="G81" s="285"/>
      <c r="H81" s="285"/>
      <c r="I81" s="286"/>
    </row>
    <row r="82" spans="1:9" x14ac:dyDescent="0.25">
      <c r="A82" s="290">
        <v>80</v>
      </c>
      <c r="B82" s="57" t="s">
        <v>1070</v>
      </c>
      <c r="C82" s="282">
        <v>408.28</v>
      </c>
      <c r="D82" s="277" t="s">
        <v>2</v>
      </c>
      <c r="E82" s="284">
        <v>0.5</v>
      </c>
      <c r="F82" s="278" t="s">
        <v>1187</v>
      </c>
      <c r="G82" s="285"/>
      <c r="H82" s="285"/>
      <c r="I82" s="286"/>
    </row>
    <row r="83" spans="1:9" x14ac:dyDescent="0.25">
      <c r="A83" s="290">
        <v>81</v>
      </c>
      <c r="B83" s="57" t="s">
        <v>1071</v>
      </c>
      <c r="C83" s="282">
        <v>466.82</v>
      </c>
      <c r="D83" s="277" t="s">
        <v>2</v>
      </c>
      <c r="E83" s="284">
        <v>0.5</v>
      </c>
      <c r="F83" s="278" t="s">
        <v>1187</v>
      </c>
      <c r="G83" s="285"/>
      <c r="H83" s="285"/>
      <c r="I83" s="286"/>
    </row>
    <row r="84" spans="1:9" ht="18.75" customHeight="1" x14ac:dyDescent="0.25">
      <c r="A84" s="290">
        <v>82</v>
      </c>
      <c r="B84" s="57"/>
      <c r="C84" s="282"/>
      <c r="D84" s="277" t="s">
        <v>2</v>
      </c>
      <c r="E84" s="284">
        <v>0.5</v>
      </c>
      <c r="F84" s="278" t="s">
        <v>1187</v>
      </c>
      <c r="G84" s="285"/>
      <c r="H84" s="285"/>
      <c r="I84" s="286"/>
    </row>
    <row r="85" spans="1:9" ht="18.75" x14ac:dyDescent="0.3">
      <c r="A85" s="290">
        <v>83</v>
      </c>
      <c r="B85" s="276" t="s">
        <v>1167</v>
      </c>
      <c r="C85" s="282"/>
      <c r="D85" s="277" t="s">
        <v>2</v>
      </c>
      <c r="E85" s="284">
        <v>0.5</v>
      </c>
      <c r="F85" s="278" t="s">
        <v>1187</v>
      </c>
      <c r="G85" s="285"/>
      <c r="H85" s="285"/>
      <c r="I85" s="286"/>
    </row>
    <row r="86" spans="1:9" x14ac:dyDescent="0.25">
      <c r="A86" s="290">
        <v>84</v>
      </c>
      <c r="B86" s="57" t="s">
        <v>1008</v>
      </c>
      <c r="C86" s="282">
        <v>216.36</v>
      </c>
      <c r="D86" s="277" t="s">
        <v>2</v>
      </c>
      <c r="E86" s="284">
        <v>0.5</v>
      </c>
      <c r="F86" s="278" t="s">
        <v>1187</v>
      </c>
      <c r="G86" s="285"/>
      <c r="H86" s="285"/>
      <c r="I86" s="286"/>
    </row>
    <row r="87" spans="1:9" x14ac:dyDescent="0.25">
      <c r="A87" s="290">
        <v>85</v>
      </c>
      <c r="B87" s="57"/>
      <c r="C87" s="282"/>
      <c r="D87" s="277" t="s">
        <v>2</v>
      </c>
      <c r="E87" s="284">
        <v>0.5</v>
      </c>
      <c r="F87" s="278" t="s">
        <v>1187</v>
      </c>
      <c r="G87" s="285"/>
      <c r="H87" s="285"/>
      <c r="I87" s="286"/>
    </row>
    <row r="88" spans="1:9" x14ac:dyDescent="0.25">
      <c r="A88" s="290">
        <v>86</v>
      </c>
      <c r="B88" s="57" t="s">
        <v>1168</v>
      </c>
      <c r="C88" s="282"/>
      <c r="D88" s="277" t="s">
        <v>2</v>
      </c>
      <c r="E88" s="284">
        <v>0.5</v>
      </c>
      <c r="F88" s="278" t="s">
        <v>1187</v>
      </c>
      <c r="G88" s="285"/>
      <c r="H88" s="285"/>
      <c r="I88" s="286"/>
    </row>
    <row r="89" spans="1:9" x14ac:dyDescent="0.25">
      <c r="A89" s="290">
        <v>87</v>
      </c>
      <c r="B89" s="57" t="s">
        <v>1072</v>
      </c>
      <c r="C89" s="282">
        <v>547.55999999999995</v>
      </c>
      <c r="D89" s="277" t="s">
        <v>2</v>
      </c>
      <c r="E89" s="284">
        <v>0.5</v>
      </c>
      <c r="F89" s="278" t="s">
        <v>1187</v>
      </c>
      <c r="G89" s="285"/>
      <c r="H89" s="285"/>
      <c r="I89" s="286"/>
    </row>
    <row r="90" spans="1:9" x14ac:dyDescent="0.25">
      <c r="A90" s="290">
        <v>88</v>
      </c>
      <c r="B90" s="57" t="s">
        <v>1073</v>
      </c>
      <c r="C90" s="282">
        <v>576.6</v>
      </c>
      <c r="D90" s="277" t="s">
        <v>2</v>
      </c>
      <c r="E90" s="284">
        <v>0.5</v>
      </c>
      <c r="F90" s="278" t="s">
        <v>1187</v>
      </c>
      <c r="G90" s="285"/>
      <c r="H90" s="285"/>
      <c r="I90" s="286"/>
    </row>
    <row r="91" spans="1:9" x14ac:dyDescent="0.25">
      <c r="A91" s="290">
        <v>89</v>
      </c>
      <c r="B91" s="57" t="s">
        <v>1074</v>
      </c>
      <c r="C91" s="282">
        <v>628.25</v>
      </c>
      <c r="D91" s="277" t="s">
        <v>2</v>
      </c>
      <c r="E91" s="284">
        <v>0.5</v>
      </c>
      <c r="F91" s="278" t="s">
        <v>1187</v>
      </c>
      <c r="G91" s="285"/>
      <c r="H91" s="285"/>
      <c r="I91" s="286"/>
    </row>
    <row r="92" spans="1:9" ht="18.75" customHeight="1" x14ac:dyDescent="0.25">
      <c r="A92" s="290">
        <v>90</v>
      </c>
      <c r="B92" s="57"/>
      <c r="C92" s="282"/>
      <c r="D92" s="277" t="s">
        <v>2</v>
      </c>
      <c r="E92" s="284">
        <v>0.5</v>
      </c>
      <c r="F92" s="278" t="s">
        <v>1187</v>
      </c>
      <c r="G92" s="285"/>
      <c r="H92" s="285"/>
      <c r="I92" s="286"/>
    </row>
    <row r="93" spans="1:9" ht="18.75" x14ac:dyDescent="0.3">
      <c r="A93" s="290">
        <v>91</v>
      </c>
      <c r="B93" s="276" t="s">
        <v>1169</v>
      </c>
      <c r="C93" s="282"/>
      <c r="D93" s="277" t="s">
        <v>2</v>
      </c>
      <c r="E93" s="284">
        <v>0.5</v>
      </c>
      <c r="F93" s="278" t="s">
        <v>1187</v>
      </c>
      <c r="G93" s="285"/>
      <c r="H93" s="285"/>
      <c r="I93" s="286"/>
    </row>
    <row r="94" spans="1:9" x14ac:dyDescent="0.25">
      <c r="A94" s="290">
        <v>92</v>
      </c>
      <c r="B94" s="57" t="s">
        <v>1075</v>
      </c>
      <c r="C94" s="282">
        <v>450.96</v>
      </c>
      <c r="D94" s="277" t="s">
        <v>2</v>
      </c>
      <c r="E94" s="284">
        <v>0.5</v>
      </c>
      <c r="F94" s="278" t="s">
        <v>1187</v>
      </c>
      <c r="G94" s="285"/>
      <c r="H94" s="285"/>
      <c r="I94" s="286"/>
    </row>
    <row r="95" spans="1:9" x14ac:dyDescent="0.25">
      <c r="A95" s="290">
        <v>93</v>
      </c>
      <c r="B95" s="57" t="s">
        <v>1076</v>
      </c>
      <c r="C95" s="282">
        <v>484.82</v>
      </c>
      <c r="D95" s="277" t="s">
        <v>2</v>
      </c>
      <c r="E95" s="284">
        <v>0.5</v>
      </c>
      <c r="F95" s="278" t="s">
        <v>1187</v>
      </c>
      <c r="G95" s="285"/>
      <c r="H95" s="285"/>
      <c r="I95" s="286"/>
    </row>
    <row r="96" spans="1:9" x14ac:dyDescent="0.25">
      <c r="A96" s="290">
        <v>94</v>
      </c>
      <c r="B96" s="57" t="s">
        <v>1077</v>
      </c>
      <c r="C96" s="282">
        <v>487.74</v>
      </c>
      <c r="D96" s="277" t="s">
        <v>2</v>
      </c>
      <c r="E96" s="284">
        <v>0.5</v>
      </c>
      <c r="F96" s="278" t="s">
        <v>1187</v>
      </c>
      <c r="G96" s="285"/>
      <c r="H96" s="285"/>
      <c r="I96" s="286"/>
    </row>
    <row r="97" spans="1:9" ht="18.75" customHeight="1" x14ac:dyDescent="0.25">
      <c r="A97" s="290">
        <v>95</v>
      </c>
      <c r="B97" s="57"/>
      <c r="C97" s="282"/>
      <c r="D97" s="277" t="s">
        <v>2</v>
      </c>
      <c r="E97" s="284">
        <v>0.5</v>
      </c>
      <c r="F97" s="278" t="s">
        <v>1187</v>
      </c>
      <c r="G97" s="285"/>
      <c r="H97" s="285"/>
      <c r="I97" s="286"/>
    </row>
    <row r="98" spans="1:9" ht="18.75" x14ac:dyDescent="0.3">
      <c r="A98" s="290">
        <v>96</v>
      </c>
      <c r="B98" s="276" t="s">
        <v>1170</v>
      </c>
      <c r="C98" s="282"/>
      <c r="D98" s="277" t="s">
        <v>2</v>
      </c>
      <c r="E98" s="284">
        <v>0.5</v>
      </c>
      <c r="F98" s="278" t="s">
        <v>1187</v>
      </c>
      <c r="G98" s="285"/>
      <c r="H98" s="285"/>
      <c r="I98" s="286"/>
    </row>
    <row r="99" spans="1:9" x14ac:dyDescent="0.25">
      <c r="A99" s="290">
        <v>97</v>
      </c>
      <c r="B99" s="57" t="s">
        <v>1078</v>
      </c>
      <c r="C99" s="282">
        <v>637.08000000000004</v>
      </c>
      <c r="D99" s="277" t="s">
        <v>2</v>
      </c>
      <c r="E99" s="284">
        <v>0.5</v>
      </c>
      <c r="F99" s="278" t="s">
        <v>1187</v>
      </c>
      <c r="G99" s="285"/>
      <c r="H99" s="285"/>
      <c r="I99" s="286"/>
    </row>
    <row r="100" spans="1:9" x14ac:dyDescent="0.25">
      <c r="A100" s="290">
        <v>98</v>
      </c>
      <c r="B100" s="57" t="s">
        <v>1079</v>
      </c>
      <c r="C100" s="282">
        <v>802.09</v>
      </c>
      <c r="D100" s="277" t="s">
        <v>2</v>
      </c>
      <c r="E100" s="284">
        <v>0.5</v>
      </c>
      <c r="F100" s="278" t="s">
        <v>1187</v>
      </c>
      <c r="G100" s="285"/>
      <c r="H100" s="285"/>
      <c r="I100" s="286"/>
    </row>
    <row r="101" spans="1:9" ht="18.75" customHeight="1" x14ac:dyDescent="0.25">
      <c r="A101" s="290">
        <v>99</v>
      </c>
      <c r="B101" s="57"/>
      <c r="C101" s="282"/>
      <c r="D101" s="277" t="s">
        <v>2</v>
      </c>
      <c r="E101" s="284">
        <v>0.5</v>
      </c>
      <c r="F101" s="278" t="s">
        <v>1187</v>
      </c>
      <c r="G101" s="285"/>
      <c r="H101" s="285"/>
      <c r="I101" s="286"/>
    </row>
    <row r="102" spans="1:9" ht="18.75" x14ac:dyDescent="0.3">
      <c r="A102" s="290">
        <v>100</v>
      </c>
      <c r="B102" s="276" t="s">
        <v>1171</v>
      </c>
      <c r="C102" s="282"/>
      <c r="D102" s="277" t="s">
        <v>2</v>
      </c>
      <c r="E102" s="284">
        <v>0.5</v>
      </c>
      <c r="F102" s="278" t="s">
        <v>1187</v>
      </c>
      <c r="G102" s="285"/>
      <c r="H102" s="285"/>
      <c r="I102" s="286"/>
    </row>
    <row r="103" spans="1:9" x14ac:dyDescent="0.25">
      <c r="A103" s="290">
        <v>101</v>
      </c>
      <c r="B103" s="57" t="s">
        <v>1080</v>
      </c>
      <c r="C103" s="282">
        <v>709.51</v>
      </c>
      <c r="D103" s="277" t="s">
        <v>2</v>
      </c>
      <c r="E103" s="284">
        <v>0.5</v>
      </c>
      <c r="F103" s="278" t="s">
        <v>1187</v>
      </c>
      <c r="G103" s="285"/>
      <c r="H103" s="285"/>
      <c r="I103" s="286"/>
    </row>
    <row r="104" spans="1:9" ht="18.75" customHeight="1" x14ac:dyDescent="0.25">
      <c r="A104" s="290">
        <v>102</v>
      </c>
      <c r="B104" s="57"/>
      <c r="C104" s="282"/>
      <c r="D104" s="277" t="s">
        <v>2</v>
      </c>
      <c r="E104" s="284">
        <v>0.5</v>
      </c>
      <c r="F104" s="278" t="s">
        <v>1187</v>
      </c>
      <c r="G104" s="285"/>
      <c r="H104" s="285"/>
      <c r="I104" s="286"/>
    </row>
    <row r="105" spans="1:9" ht="18.75" x14ac:dyDescent="0.3">
      <c r="A105" s="290">
        <v>103</v>
      </c>
      <c r="B105" s="276" t="s">
        <v>1172</v>
      </c>
      <c r="C105" s="282"/>
      <c r="D105" s="277" t="s">
        <v>2</v>
      </c>
      <c r="E105" s="284">
        <v>0.5</v>
      </c>
      <c r="F105" s="278" t="s">
        <v>1187</v>
      </c>
      <c r="G105" s="285"/>
      <c r="H105" s="285"/>
      <c r="I105" s="286"/>
    </row>
    <row r="106" spans="1:9" x14ac:dyDescent="0.25">
      <c r="A106" s="290">
        <v>104</v>
      </c>
      <c r="B106" s="57" t="s">
        <v>1081</v>
      </c>
      <c r="C106" s="282">
        <v>998.98</v>
      </c>
      <c r="D106" s="277" t="s">
        <v>2</v>
      </c>
      <c r="E106" s="284">
        <v>0.5</v>
      </c>
      <c r="F106" s="278" t="s">
        <v>1187</v>
      </c>
      <c r="G106" s="285"/>
      <c r="H106" s="285"/>
      <c r="I106" s="286"/>
    </row>
    <row r="107" spans="1:9" x14ac:dyDescent="0.25">
      <c r="A107" s="290">
        <v>105</v>
      </c>
      <c r="B107" s="57" t="s">
        <v>1082</v>
      </c>
      <c r="C107" s="282">
        <v>1102.75</v>
      </c>
      <c r="D107" s="277" t="s">
        <v>2</v>
      </c>
      <c r="E107" s="284">
        <v>0.5</v>
      </c>
      <c r="F107" s="278" t="s">
        <v>1187</v>
      </c>
      <c r="G107" s="285"/>
      <c r="H107" s="285"/>
      <c r="I107" s="286"/>
    </row>
    <row r="108" spans="1:9" x14ac:dyDescent="0.25">
      <c r="A108" s="290">
        <v>106</v>
      </c>
      <c r="B108" s="57" t="s">
        <v>1083</v>
      </c>
      <c r="C108" s="282">
        <v>1224.68</v>
      </c>
      <c r="D108" s="277" t="s">
        <v>2</v>
      </c>
      <c r="E108" s="284">
        <v>0.5</v>
      </c>
      <c r="F108" s="278" t="s">
        <v>1187</v>
      </c>
      <c r="G108" s="285"/>
      <c r="H108" s="285"/>
      <c r="I108" s="286"/>
    </row>
    <row r="109" spans="1:9" x14ac:dyDescent="0.25">
      <c r="A109" s="290">
        <v>107</v>
      </c>
      <c r="B109" s="57" t="s">
        <v>1084</v>
      </c>
      <c r="C109" s="282">
        <v>1447.14</v>
      </c>
      <c r="D109" s="277" t="s">
        <v>2</v>
      </c>
      <c r="E109" s="284">
        <v>0.5</v>
      </c>
      <c r="F109" s="278" t="s">
        <v>1187</v>
      </c>
      <c r="G109" s="285"/>
      <c r="H109" s="285"/>
      <c r="I109" s="286"/>
    </row>
    <row r="110" spans="1:9" x14ac:dyDescent="0.25">
      <c r="A110" s="290">
        <v>108</v>
      </c>
      <c r="B110" s="57" t="s">
        <v>1085</v>
      </c>
      <c r="C110" s="282">
        <v>1739.69</v>
      </c>
      <c r="D110" s="277" t="s">
        <v>2</v>
      </c>
      <c r="E110" s="284">
        <v>0.5</v>
      </c>
      <c r="F110" s="278" t="s">
        <v>1187</v>
      </c>
      <c r="G110" s="285"/>
      <c r="H110" s="285"/>
      <c r="I110" s="286"/>
    </row>
    <row r="111" spans="1:9" x14ac:dyDescent="0.25">
      <c r="A111" s="290">
        <v>109</v>
      </c>
      <c r="B111" s="57" t="s">
        <v>1086</v>
      </c>
      <c r="C111" s="282">
        <v>2265.94</v>
      </c>
      <c r="D111" s="277" t="s">
        <v>2</v>
      </c>
      <c r="E111" s="284">
        <v>0.5</v>
      </c>
      <c r="F111" s="278" t="s">
        <v>1187</v>
      </c>
      <c r="G111" s="285"/>
      <c r="H111" s="285"/>
      <c r="I111" s="286"/>
    </row>
    <row r="112" spans="1:9" x14ac:dyDescent="0.25">
      <c r="A112" s="290">
        <v>110</v>
      </c>
      <c r="B112" s="57" t="s">
        <v>1087</v>
      </c>
      <c r="C112" s="282">
        <v>2460.9</v>
      </c>
      <c r="D112" s="277" t="s">
        <v>2</v>
      </c>
      <c r="E112" s="284">
        <v>0.5</v>
      </c>
      <c r="F112" s="278" t="s">
        <v>1187</v>
      </c>
      <c r="G112" s="285"/>
      <c r="H112" s="285"/>
      <c r="I112" s="286"/>
    </row>
    <row r="113" spans="1:9" ht="18.75" customHeight="1" x14ac:dyDescent="0.25">
      <c r="A113" s="290">
        <v>111</v>
      </c>
      <c r="B113" s="57"/>
      <c r="C113" s="282"/>
      <c r="D113" s="277" t="s">
        <v>2</v>
      </c>
      <c r="E113" s="284">
        <v>0.5</v>
      </c>
      <c r="F113" s="278" t="s">
        <v>1187</v>
      </c>
      <c r="G113" s="285"/>
      <c r="H113" s="285"/>
      <c r="I113" s="286"/>
    </row>
    <row r="114" spans="1:9" ht="18.75" x14ac:dyDescent="0.3">
      <c r="A114" s="290">
        <v>112</v>
      </c>
      <c r="B114" s="276" t="s">
        <v>1173</v>
      </c>
      <c r="C114" s="282"/>
      <c r="D114" s="277" t="s">
        <v>2</v>
      </c>
      <c r="E114" s="284">
        <v>0.5</v>
      </c>
      <c r="F114" s="278" t="s">
        <v>1187</v>
      </c>
      <c r="G114" s="285"/>
      <c r="H114" s="285"/>
      <c r="I114" s="286"/>
    </row>
    <row r="115" spans="1:9" x14ac:dyDescent="0.25">
      <c r="A115" s="290">
        <v>113</v>
      </c>
      <c r="B115" s="57" t="s">
        <v>1088</v>
      </c>
      <c r="C115" s="282">
        <v>1241.25</v>
      </c>
      <c r="D115" s="277" t="s">
        <v>2</v>
      </c>
      <c r="E115" s="284">
        <v>0.5</v>
      </c>
      <c r="F115" s="278" t="s">
        <v>1187</v>
      </c>
      <c r="G115" s="285"/>
      <c r="H115" s="285"/>
      <c r="I115" s="286"/>
    </row>
    <row r="116" spans="1:9" x14ac:dyDescent="0.25">
      <c r="A116" s="290">
        <v>114</v>
      </c>
      <c r="B116" s="57" t="s">
        <v>1089</v>
      </c>
      <c r="C116" s="282"/>
      <c r="D116" s="277" t="s">
        <v>2</v>
      </c>
      <c r="E116" s="284">
        <v>0.5</v>
      </c>
      <c r="F116" s="278" t="s">
        <v>1187</v>
      </c>
      <c r="G116" s="285"/>
      <c r="H116" s="285"/>
      <c r="I116" s="286"/>
    </row>
    <row r="117" spans="1:9" x14ac:dyDescent="0.25">
      <c r="A117" s="290">
        <v>115</v>
      </c>
      <c r="B117" s="57" t="s">
        <v>1090</v>
      </c>
      <c r="C117" s="282"/>
      <c r="D117" s="277" t="s">
        <v>2</v>
      </c>
      <c r="E117" s="284">
        <v>0.5</v>
      </c>
      <c r="F117" s="278" t="s">
        <v>1187</v>
      </c>
      <c r="G117" s="285"/>
      <c r="H117" s="285"/>
      <c r="I117" s="286"/>
    </row>
    <row r="118" spans="1:9" x14ac:dyDescent="0.25">
      <c r="A118" s="290">
        <v>116</v>
      </c>
      <c r="B118" s="57" t="s">
        <v>1091</v>
      </c>
      <c r="C118" s="282">
        <v>1546.49</v>
      </c>
      <c r="D118" s="277" t="s">
        <v>2</v>
      </c>
      <c r="E118" s="284">
        <v>0.5</v>
      </c>
      <c r="F118" s="278" t="s">
        <v>1187</v>
      </c>
      <c r="G118" s="285"/>
      <c r="H118" s="285"/>
      <c r="I118" s="286"/>
    </row>
    <row r="119" spans="1:9" x14ac:dyDescent="0.25">
      <c r="A119" s="290">
        <v>117</v>
      </c>
      <c r="B119" s="57" t="s">
        <v>1092</v>
      </c>
      <c r="C119" s="282"/>
      <c r="D119" s="277" t="s">
        <v>2</v>
      </c>
      <c r="E119" s="284">
        <v>0.5</v>
      </c>
      <c r="F119" s="278" t="s">
        <v>1187</v>
      </c>
      <c r="G119" s="285"/>
      <c r="H119" s="285"/>
      <c r="I119" s="286"/>
    </row>
    <row r="120" spans="1:9" x14ac:dyDescent="0.25">
      <c r="A120" s="290">
        <v>118</v>
      </c>
      <c r="B120" s="57" t="s">
        <v>1093</v>
      </c>
      <c r="C120" s="282"/>
      <c r="D120" s="277" t="s">
        <v>2</v>
      </c>
      <c r="E120" s="284">
        <v>0.5</v>
      </c>
      <c r="F120" s="278" t="s">
        <v>1187</v>
      </c>
      <c r="G120" s="285"/>
      <c r="H120" s="285"/>
      <c r="I120" s="286"/>
    </row>
    <row r="121" spans="1:9" x14ac:dyDescent="0.25">
      <c r="A121" s="290">
        <v>119</v>
      </c>
      <c r="B121" s="57" t="s">
        <v>1094</v>
      </c>
      <c r="C121" s="282">
        <v>2055.84</v>
      </c>
      <c r="D121" s="277" t="s">
        <v>2</v>
      </c>
      <c r="E121" s="284">
        <v>0.5</v>
      </c>
      <c r="F121" s="278" t="s">
        <v>1187</v>
      </c>
      <c r="G121" s="285"/>
      <c r="H121" s="285"/>
      <c r="I121" s="286"/>
    </row>
    <row r="122" spans="1:9" x14ac:dyDescent="0.25">
      <c r="A122" s="290">
        <v>120</v>
      </c>
      <c r="B122" s="57" t="s">
        <v>1095</v>
      </c>
      <c r="C122" s="282"/>
      <c r="D122" s="277" t="s">
        <v>2</v>
      </c>
      <c r="E122" s="284">
        <v>0.5</v>
      </c>
      <c r="F122" s="278" t="s">
        <v>1187</v>
      </c>
      <c r="G122" s="285"/>
      <c r="H122" s="285"/>
      <c r="I122" s="286"/>
    </row>
    <row r="123" spans="1:9" x14ac:dyDescent="0.25">
      <c r="A123" s="290">
        <v>121</v>
      </c>
      <c r="B123" s="57" t="s">
        <v>1096</v>
      </c>
      <c r="C123" s="282"/>
      <c r="D123" s="277" t="s">
        <v>2</v>
      </c>
      <c r="E123" s="284">
        <v>0.5</v>
      </c>
      <c r="F123" s="278" t="s">
        <v>1187</v>
      </c>
      <c r="G123" s="285"/>
      <c r="H123" s="285"/>
      <c r="I123" s="286"/>
    </row>
    <row r="124" spans="1:9" x14ac:dyDescent="0.25">
      <c r="A124" s="290">
        <v>122</v>
      </c>
      <c r="B124" s="57" t="s">
        <v>1097</v>
      </c>
      <c r="C124" s="282">
        <v>3057.42</v>
      </c>
      <c r="D124" s="277" t="s">
        <v>2</v>
      </c>
      <c r="E124" s="284">
        <v>0.5</v>
      </c>
      <c r="F124" s="278" t="s">
        <v>1187</v>
      </c>
      <c r="G124" s="285"/>
      <c r="H124" s="285"/>
      <c r="I124" s="286"/>
    </row>
    <row r="125" spans="1:9" x14ac:dyDescent="0.25">
      <c r="A125" s="290">
        <v>123</v>
      </c>
      <c r="B125" s="57" t="s">
        <v>1098</v>
      </c>
      <c r="C125" s="282"/>
      <c r="D125" s="277" t="s">
        <v>2</v>
      </c>
      <c r="E125" s="284">
        <v>0.5</v>
      </c>
      <c r="F125" s="278" t="s">
        <v>1187</v>
      </c>
      <c r="G125" s="285"/>
      <c r="H125" s="285"/>
      <c r="I125" s="286"/>
    </row>
    <row r="126" spans="1:9" x14ac:dyDescent="0.25">
      <c r="A126" s="290">
        <v>124</v>
      </c>
      <c r="B126" s="57" t="s">
        <v>1099</v>
      </c>
      <c r="C126" s="282"/>
      <c r="D126" s="277" t="s">
        <v>2</v>
      </c>
      <c r="E126" s="284">
        <v>0.5</v>
      </c>
      <c r="F126" s="278" t="s">
        <v>1187</v>
      </c>
      <c r="G126" s="285"/>
      <c r="H126" s="285"/>
      <c r="I126" s="286"/>
    </row>
    <row r="127" spans="1:9" x14ac:dyDescent="0.25">
      <c r="A127" s="290">
        <v>125</v>
      </c>
      <c r="B127" s="57" t="s">
        <v>1100</v>
      </c>
      <c r="C127" s="282">
        <v>3922.36</v>
      </c>
      <c r="D127" s="277" t="s">
        <v>2</v>
      </c>
      <c r="E127" s="284">
        <v>0.5</v>
      </c>
      <c r="F127" s="278" t="s">
        <v>1187</v>
      </c>
      <c r="G127" s="285"/>
      <c r="H127" s="285"/>
      <c r="I127" s="286"/>
    </row>
    <row r="128" spans="1:9" x14ac:dyDescent="0.25">
      <c r="A128" s="290">
        <v>126</v>
      </c>
      <c r="B128" s="57" t="s">
        <v>1101</v>
      </c>
      <c r="C128" s="282"/>
      <c r="D128" s="277" t="s">
        <v>2</v>
      </c>
      <c r="E128" s="284">
        <v>0.5</v>
      </c>
      <c r="F128" s="278" t="s">
        <v>1187</v>
      </c>
      <c r="G128" s="285"/>
      <c r="H128" s="285"/>
      <c r="I128" s="286"/>
    </row>
    <row r="129" spans="1:9" x14ac:dyDescent="0.25">
      <c r="A129" s="290">
        <v>127</v>
      </c>
      <c r="B129" s="57" t="s">
        <v>1102</v>
      </c>
      <c r="C129" s="282"/>
      <c r="D129" s="277" t="s">
        <v>2</v>
      </c>
      <c r="E129" s="284">
        <v>0.5</v>
      </c>
      <c r="F129" s="278" t="s">
        <v>1187</v>
      </c>
      <c r="G129" s="285"/>
      <c r="H129" s="285"/>
      <c r="I129" s="286"/>
    </row>
    <row r="130" spans="1:9" x14ac:dyDescent="0.25">
      <c r="A130" s="290">
        <v>128</v>
      </c>
      <c r="B130" s="57" t="s">
        <v>1103</v>
      </c>
      <c r="C130" s="282">
        <v>4218.25</v>
      </c>
      <c r="D130" s="277" t="s">
        <v>2</v>
      </c>
      <c r="E130" s="284">
        <v>0.5</v>
      </c>
      <c r="F130" s="278" t="s">
        <v>1187</v>
      </c>
      <c r="G130" s="285"/>
      <c r="H130" s="285"/>
      <c r="I130" s="286"/>
    </row>
    <row r="131" spans="1:9" x14ac:dyDescent="0.25">
      <c r="A131" s="290">
        <v>129</v>
      </c>
      <c r="B131" s="57" t="s">
        <v>1104</v>
      </c>
      <c r="C131" s="282"/>
      <c r="D131" s="277" t="s">
        <v>2</v>
      </c>
      <c r="E131" s="284">
        <v>0.5</v>
      </c>
      <c r="F131" s="278" t="s">
        <v>1187</v>
      </c>
      <c r="G131" s="285"/>
      <c r="H131" s="285"/>
      <c r="I131" s="286"/>
    </row>
    <row r="132" spans="1:9" x14ac:dyDescent="0.25">
      <c r="A132" s="290">
        <v>130</v>
      </c>
      <c r="B132" s="57" t="s">
        <v>1105</v>
      </c>
      <c r="C132" s="282"/>
      <c r="D132" s="277" t="s">
        <v>2</v>
      </c>
      <c r="E132" s="284">
        <v>0.5</v>
      </c>
      <c r="F132" s="278" t="s">
        <v>1187</v>
      </c>
      <c r="G132" s="285"/>
      <c r="H132" s="285"/>
      <c r="I132" s="286"/>
    </row>
    <row r="133" spans="1:9" ht="18.75" customHeight="1" x14ac:dyDescent="0.25">
      <c r="A133" s="290">
        <v>131</v>
      </c>
      <c r="B133" s="57"/>
      <c r="C133" s="282"/>
      <c r="D133" s="277" t="s">
        <v>2</v>
      </c>
      <c r="E133" s="284">
        <v>0.5</v>
      </c>
      <c r="F133" s="278" t="s">
        <v>1187</v>
      </c>
      <c r="G133" s="285"/>
      <c r="H133" s="285"/>
      <c r="I133" s="286"/>
    </row>
    <row r="134" spans="1:9" ht="18.75" x14ac:dyDescent="0.3">
      <c r="A134" s="290">
        <v>132</v>
      </c>
      <c r="B134" s="276" t="s">
        <v>1174</v>
      </c>
      <c r="C134" s="282"/>
      <c r="D134" s="277" t="s">
        <v>2</v>
      </c>
      <c r="E134" s="284">
        <v>0.5</v>
      </c>
      <c r="F134" s="278" t="s">
        <v>1187</v>
      </c>
      <c r="G134" s="285"/>
      <c r="H134" s="285"/>
      <c r="I134" s="286"/>
    </row>
    <row r="135" spans="1:9" x14ac:dyDescent="0.25">
      <c r="A135" s="290">
        <v>133</v>
      </c>
      <c r="B135" s="57" t="s">
        <v>1106</v>
      </c>
      <c r="C135" s="282">
        <v>1301.73</v>
      </c>
      <c r="D135" s="277" t="s">
        <v>2</v>
      </c>
      <c r="E135" s="284">
        <v>0.5</v>
      </c>
      <c r="F135" s="278" t="s">
        <v>1187</v>
      </c>
      <c r="G135" s="285"/>
      <c r="H135" s="285"/>
      <c r="I135" s="286"/>
    </row>
    <row r="136" spans="1:9" x14ac:dyDescent="0.25">
      <c r="A136" s="290">
        <v>134</v>
      </c>
      <c r="B136" s="57" t="s">
        <v>1089</v>
      </c>
      <c r="C136" s="282"/>
      <c r="D136" s="277" t="s">
        <v>2</v>
      </c>
      <c r="E136" s="284">
        <v>0.5</v>
      </c>
      <c r="F136" s="278" t="s">
        <v>1187</v>
      </c>
      <c r="G136" s="285"/>
      <c r="H136" s="285"/>
      <c r="I136" s="286"/>
    </row>
    <row r="137" spans="1:9" x14ac:dyDescent="0.25">
      <c r="A137" s="290">
        <v>135</v>
      </c>
      <c r="B137" s="57" t="s">
        <v>1107</v>
      </c>
      <c r="C137" s="282">
        <v>1720.33</v>
      </c>
      <c r="D137" s="277" t="s">
        <v>2</v>
      </c>
      <c r="E137" s="284">
        <v>0.5</v>
      </c>
      <c r="F137" s="278" t="s">
        <v>1187</v>
      </c>
      <c r="G137" s="285"/>
      <c r="H137" s="285"/>
      <c r="I137" s="286"/>
    </row>
    <row r="138" spans="1:9" x14ac:dyDescent="0.25">
      <c r="A138" s="290">
        <v>136</v>
      </c>
      <c r="B138" s="57" t="s">
        <v>1092</v>
      </c>
      <c r="C138" s="282"/>
      <c r="D138" s="277" t="s">
        <v>2</v>
      </c>
      <c r="E138" s="284">
        <v>0.5</v>
      </c>
      <c r="F138" s="278" t="s">
        <v>1187</v>
      </c>
      <c r="G138" s="285"/>
      <c r="H138" s="285"/>
      <c r="I138" s="286"/>
    </row>
    <row r="139" spans="1:9" x14ac:dyDescent="0.25">
      <c r="A139" s="290">
        <v>137</v>
      </c>
      <c r="B139" s="57" t="s">
        <v>1108</v>
      </c>
      <c r="C139" s="282">
        <v>2210.65</v>
      </c>
      <c r="D139" s="277" t="s">
        <v>2</v>
      </c>
      <c r="E139" s="284">
        <v>0.5</v>
      </c>
      <c r="F139" s="278" t="s">
        <v>1187</v>
      </c>
      <c r="G139" s="285"/>
      <c r="H139" s="285"/>
      <c r="I139" s="286"/>
    </row>
    <row r="140" spans="1:9" x14ac:dyDescent="0.25">
      <c r="A140" s="290">
        <v>138</v>
      </c>
      <c r="B140" s="57" t="s">
        <v>1095</v>
      </c>
      <c r="C140" s="282"/>
      <c r="D140" s="277" t="s">
        <v>2</v>
      </c>
      <c r="E140" s="284">
        <v>0.5</v>
      </c>
      <c r="F140" s="278" t="s">
        <v>1187</v>
      </c>
      <c r="G140" s="285"/>
      <c r="H140" s="285"/>
      <c r="I140" s="286"/>
    </row>
    <row r="141" spans="1:9" x14ac:dyDescent="0.25">
      <c r="A141" s="290">
        <v>139</v>
      </c>
      <c r="B141" s="57" t="s">
        <v>1109</v>
      </c>
      <c r="C141" s="282">
        <v>3072.57</v>
      </c>
      <c r="D141" s="277" t="s">
        <v>2</v>
      </c>
      <c r="E141" s="284">
        <v>0.5</v>
      </c>
      <c r="F141" s="278" t="s">
        <v>1187</v>
      </c>
      <c r="G141" s="285"/>
      <c r="H141" s="285"/>
      <c r="I141" s="286"/>
    </row>
    <row r="142" spans="1:9" x14ac:dyDescent="0.25">
      <c r="A142" s="290">
        <v>140</v>
      </c>
      <c r="B142" s="57" t="s">
        <v>1098</v>
      </c>
      <c r="C142" s="282"/>
      <c r="D142" s="277" t="s">
        <v>2</v>
      </c>
      <c r="E142" s="284">
        <v>0.5</v>
      </c>
      <c r="F142" s="278" t="s">
        <v>1187</v>
      </c>
      <c r="G142" s="285"/>
      <c r="H142" s="285"/>
      <c r="I142" s="286"/>
    </row>
    <row r="143" spans="1:9" x14ac:dyDescent="0.25">
      <c r="A143" s="290">
        <v>141</v>
      </c>
      <c r="B143" s="57" t="s">
        <v>1110</v>
      </c>
      <c r="C143" s="282">
        <v>3936.28</v>
      </c>
      <c r="D143" s="277" t="s">
        <v>2</v>
      </c>
      <c r="E143" s="284">
        <v>0.5</v>
      </c>
      <c r="F143" s="278" t="s">
        <v>1187</v>
      </c>
      <c r="G143" s="285"/>
      <c r="H143" s="285"/>
      <c r="I143" s="286"/>
    </row>
    <row r="144" spans="1:9" x14ac:dyDescent="0.25">
      <c r="A144" s="290">
        <v>142</v>
      </c>
      <c r="B144" s="57" t="s">
        <v>1101</v>
      </c>
      <c r="C144" s="282"/>
      <c r="D144" s="277" t="s">
        <v>2</v>
      </c>
      <c r="E144" s="284">
        <v>0.5</v>
      </c>
      <c r="F144" s="278" t="s">
        <v>1187</v>
      </c>
      <c r="G144" s="285"/>
      <c r="H144" s="285"/>
      <c r="I144" s="286"/>
    </row>
    <row r="145" spans="1:9" x14ac:dyDescent="0.25">
      <c r="A145" s="290">
        <v>143</v>
      </c>
      <c r="B145" s="57" t="s">
        <v>1111</v>
      </c>
      <c r="C145" s="282">
        <v>4272.6499999999996</v>
      </c>
      <c r="D145" s="277" t="s">
        <v>2</v>
      </c>
      <c r="E145" s="284">
        <v>0.5</v>
      </c>
      <c r="F145" s="278" t="s">
        <v>1187</v>
      </c>
      <c r="G145" s="285"/>
      <c r="H145" s="285"/>
      <c r="I145" s="286"/>
    </row>
    <row r="146" spans="1:9" x14ac:dyDescent="0.25">
      <c r="A146" s="290">
        <v>144</v>
      </c>
      <c r="B146" s="57" t="s">
        <v>1104</v>
      </c>
      <c r="C146" s="282"/>
      <c r="D146" s="277" t="s">
        <v>2</v>
      </c>
      <c r="E146" s="284">
        <v>0.5</v>
      </c>
      <c r="F146" s="278" t="s">
        <v>1187</v>
      </c>
      <c r="G146" s="285"/>
      <c r="H146" s="285"/>
      <c r="I146" s="286"/>
    </row>
    <row r="147" spans="1:9" ht="18.75" customHeight="1" x14ac:dyDescent="0.25">
      <c r="A147" s="290">
        <v>145</v>
      </c>
      <c r="B147" s="57"/>
      <c r="C147" s="282"/>
      <c r="D147" s="277" t="s">
        <v>2</v>
      </c>
      <c r="E147" s="284">
        <v>0.5</v>
      </c>
      <c r="F147" s="278" t="s">
        <v>1187</v>
      </c>
      <c r="G147" s="285"/>
      <c r="H147" s="285"/>
      <c r="I147" s="286"/>
    </row>
    <row r="148" spans="1:9" ht="18.75" x14ac:dyDescent="0.3">
      <c r="A148" s="290">
        <v>146</v>
      </c>
      <c r="B148" s="276" t="s">
        <v>1175</v>
      </c>
      <c r="C148" s="282"/>
      <c r="D148" s="277" t="s">
        <v>2</v>
      </c>
      <c r="E148" s="284">
        <v>0.5</v>
      </c>
      <c r="F148" s="278" t="s">
        <v>1187</v>
      </c>
      <c r="G148" s="285"/>
      <c r="H148" s="285"/>
      <c r="I148" s="286"/>
    </row>
    <row r="149" spans="1:9" x14ac:dyDescent="0.25">
      <c r="A149" s="290">
        <v>147</v>
      </c>
      <c r="B149" s="57" t="s">
        <v>1112</v>
      </c>
      <c r="C149" s="282">
        <v>1627.75</v>
      </c>
      <c r="D149" s="277" t="s">
        <v>2</v>
      </c>
      <c r="E149" s="284">
        <v>0.5</v>
      </c>
      <c r="F149" s="278" t="s">
        <v>1187</v>
      </c>
      <c r="G149" s="285"/>
      <c r="H149" s="285"/>
      <c r="I149" s="286"/>
    </row>
    <row r="150" spans="1:9" x14ac:dyDescent="0.25">
      <c r="A150" s="290">
        <v>148</v>
      </c>
      <c r="B150" s="57" t="s">
        <v>1092</v>
      </c>
      <c r="C150" s="282"/>
      <c r="D150" s="277" t="s">
        <v>2</v>
      </c>
      <c r="E150" s="284">
        <v>0.5</v>
      </c>
      <c r="F150" s="278" t="s">
        <v>1187</v>
      </c>
      <c r="G150" s="285"/>
      <c r="H150" s="285"/>
      <c r="I150" s="286"/>
    </row>
    <row r="151" spans="1:9" x14ac:dyDescent="0.25">
      <c r="A151" s="290">
        <v>149</v>
      </c>
      <c r="B151" s="57" t="s">
        <v>1113</v>
      </c>
      <c r="C151" s="282">
        <v>2125.9899999999998</v>
      </c>
      <c r="D151" s="277" t="s">
        <v>2</v>
      </c>
      <c r="E151" s="284">
        <v>0.5</v>
      </c>
      <c r="F151" s="278" t="s">
        <v>1187</v>
      </c>
      <c r="G151" s="285"/>
      <c r="H151" s="285"/>
      <c r="I151" s="286"/>
    </row>
    <row r="152" spans="1:9" x14ac:dyDescent="0.25">
      <c r="A152" s="290">
        <v>150</v>
      </c>
      <c r="B152" s="57" t="s">
        <v>1095</v>
      </c>
      <c r="C152" s="282"/>
      <c r="D152" s="277" t="s">
        <v>2</v>
      </c>
      <c r="E152" s="284">
        <v>0.5</v>
      </c>
      <c r="F152" s="278" t="s">
        <v>1187</v>
      </c>
      <c r="G152" s="285"/>
      <c r="H152" s="285"/>
      <c r="I152" s="286"/>
    </row>
    <row r="153" spans="1:9" x14ac:dyDescent="0.25">
      <c r="A153" s="290">
        <v>151</v>
      </c>
      <c r="B153" s="57" t="s">
        <v>1114</v>
      </c>
      <c r="C153" s="282">
        <v>3124.64</v>
      </c>
      <c r="D153" s="277" t="s">
        <v>2</v>
      </c>
      <c r="E153" s="284">
        <v>0.5</v>
      </c>
      <c r="F153" s="278" t="s">
        <v>1187</v>
      </c>
      <c r="G153" s="285"/>
      <c r="H153" s="285"/>
      <c r="I153" s="286"/>
    </row>
    <row r="154" spans="1:9" x14ac:dyDescent="0.25">
      <c r="A154" s="290">
        <v>152</v>
      </c>
      <c r="B154" s="57" t="s">
        <v>1098</v>
      </c>
      <c r="C154" s="282"/>
      <c r="D154" s="277" t="s">
        <v>2</v>
      </c>
      <c r="E154" s="284">
        <v>0.5</v>
      </c>
      <c r="F154" s="278" t="s">
        <v>1187</v>
      </c>
      <c r="G154" s="285"/>
      <c r="H154" s="285"/>
      <c r="I154" s="286"/>
    </row>
    <row r="155" spans="1:9" x14ac:dyDescent="0.25">
      <c r="A155" s="290">
        <v>153</v>
      </c>
      <c r="B155" s="57" t="s">
        <v>1115</v>
      </c>
      <c r="C155" s="282">
        <v>3929.33</v>
      </c>
      <c r="D155" s="277" t="s">
        <v>2</v>
      </c>
      <c r="E155" s="284">
        <v>0.5</v>
      </c>
      <c r="F155" s="278" t="s">
        <v>1187</v>
      </c>
      <c r="G155" s="285"/>
      <c r="H155" s="285"/>
      <c r="I155" s="286"/>
    </row>
    <row r="156" spans="1:9" x14ac:dyDescent="0.25">
      <c r="A156" s="290">
        <v>154</v>
      </c>
      <c r="B156" s="57" t="s">
        <v>1101</v>
      </c>
      <c r="C156" s="282"/>
      <c r="D156" s="277" t="s">
        <v>2</v>
      </c>
      <c r="E156" s="284">
        <v>0.5</v>
      </c>
      <c r="F156" s="278" t="s">
        <v>1187</v>
      </c>
      <c r="G156" s="285"/>
      <c r="H156" s="285"/>
      <c r="I156" s="286"/>
    </row>
    <row r="157" spans="1:9" x14ac:dyDescent="0.25">
      <c r="A157" s="290">
        <v>155</v>
      </c>
      <c r="B157" s="57" t="s">
        <v>1116</v>
      </c>
      <c r="C157" s="282">
        <v>4208.87</v>
      </c>
      <c r="D157" s="277" t="s">
        <v>2</v>
      </c>
      <c r="E157" s="284">
        <v>0.5</v>
      </c>
      <c r="F157" s="278" t="s">
        <v>1187</v>
      </c>
      <c r="G157" s="285"/>
      <c r="H157" s="285"/>
      <c r="I157" s="286"/>
    </row>
    <row r="158" spans="1:9" x14ac:dyDescent="0.25">
      <c r="A158" s="290">
        <v>156</v>
      </c>
      <c r="B158" s="57" t="s">
        <v>1104</v>
      </c>
      <c r="C158" s="282"/>
      <c r="D158" s="277" t="s">
        <v>2</v>
      </c>
      <c r="E158" s="284">
        <v>0.5</v>
      </c>
      <c r="F158" s="278" t="s">
        <v>1187</v>
      </c>
      <c r="G158" s="285"/>
      <c r="H158" s="285"/>
      <c r="I158" s="286"/>
    </row>
    <row r="159" spans="1:9" x14ac:dyDescent="0.25">
      <c r="A159" s="290">
        <v>157</v>
      </c>
      <c r="B159" s="57"/>
      <c r="C159" s="282"/>
      <c r="D159" s="277" t="s">
        <v>2</v>
      </c>
      <c r="E159" s="284">
        <v>0.5</v>
      </c>
      <c r="F159" s="278" t="s">
        <v>1187</v>
      </c>
      <c r="G159" s="285"/>
      <c r="H159" s="285"/>
      <c r="I159" s="286"/>
    </row>
    <row r="160" spans="1:9" x14ac:dyDescent="0.25">
      <c r="A160" s="290">
        <v>158</v>
      </c>
      <c r="B160" s="57" t="s">
        <v>1176</v>
      </c>
      <c r="C160" s="282"/>
      <c r="D160" s="277" t="s">
        <v>2</v>
      </c>
      <c r="E160" s="284">
        <v>0.5</v>
      </c>
      <c r="F160" s="278" t="s">
        <v>1187</v>
      </c>
      <c r="G160" s="285"/>
      <c r="H160" s="285"/>
      <c r="I160" s="286"/>
    </row>
    <row r="161" spans="1:9" x14ac:dyDescent="0.25">
      <c r="A161" s="290">
        <v>159</v>
      </c>
      <c r="B161" s="57" t="s">
        <v>1075</v>
      </c>
      <c r="C161" s="282">
        <v>905.52</v>
      </c>
      <c r="D161" s="277" t="s">
        <v>2</v>
      </c>
      <c r="E161" s="284">
        <v>0.5</v>
      </c>
      <c r="F161" s="278" t="s">
        <v>1187</v>
      </c>
      <c r="G161" s="285"/>
      <c r="H161" s="285"/>
      <c r="I161" s="286"/>
    </row>
    <row r="162" spans="1:9" x14ac:dyDescent="0.25">
      <c r="A162" s="290">
        <v>160</v>
      </c>
      <c r="B162" s="57" t="s">
        <v>1117</v>
      </c>
      <c r="C162" s="282"/>
      <c r="D162" s="277" t="s">
        <v>2</v>
      </c>
      <c r="E162" s="284">
        <v>0.5</v>
      </c>
      <c r="F162" s="278" t="s">
        <v>1187</v>
      </c>
      <c r="G162" s="285"/>
      <c r="H162" s="285"/>
      <c r="I162" s="286"/>
    </row>
    <row r="163" spans="1:9" x14ac:dyDescent="0.25">
      <c r="A163" s="290">
        <v>161</v>
      </c>
      <c r="B163" s="57" t="s">
        <v>1118</v>
      </c>
      <c r="C163" s="282">
        <v>1149.47</v>
      </c>
      <c r="D163" s="277" t="s">
        <v>2</v>
      </c>
      <c r="E163" s="284">
        <v>0.5</v>
      </c>
      <c r="F163" s="278" t="s">
        <v>1187</v>
      </c>
      <c r="G163" s="285"/>
      <c r="H163" s="285"/>
      <c r="I163" s="286"/>
    </row>
    <row r="164" spans="1:9" x14ac:dyDescent="0.25">
      <c r="A164" s="290">
        <v>162</v>
      </c>
      <c r="B164" s="57" t="s">
        <v>1089</v>
      </c>
      <c r="C164" s="282"/>
      <c r="D164" s="277" t="s">
        <v>2</v>
      </c>
      <c r="E164" s="284">
        <v>0.5</v>
      </c>
      <c r="F164" s="278" t="s">
        <v>1187</v>
      </c>
      <c r="G164" s="285"/>
      <c r="H164" s="285"/>
      <c r="I164" s="286"/>
    </row>
    <row r="165" spans="1:9" x14ac:dyDescent="0.25">
      <c r="A165" s="290">
        <v>163</v>
      </c>
      <c r="B165" s="57" t="s">
        <v>1119</v>
      </c>
      <c r="C165" s="282">
        <v>1505.98</v>
      </c>
      <c r="D165" s="277" t="s">
        <v>2</v>
      </c>
      <c r="E165" s="284">
        <v>0.5</v>
      </c>
      <c r="F165" s="278" t="s">
        <v>1187</v>
      </c>
      <c r="G165" s="285"/>
      <c r="H165" s="285"/>
      <c r="I165" s="286"/>
    </row>
    <row r="166" spans="1:9" x14ac:dyDescent="0.25">
      <c r="A166" s="290">
        <v>164</v>
      </c>
      <c r="B166" s="57" t="s">
        <v>1092</v>
      </c>
      <c r="C166" s="282"/>
      <c r="D166" s="277" t="s">
        <v>2</v>
      </c>
      <c r="E166" s="284">
        <v>0.5</v>
      </c>
      <c r="F166" s="278" t="s">
        <v>1187</v>
      </c>
      <c r="I166" s="287"/>
    </row>
    <row r="167" spans="1:9" ht="18.75" customHeight="1" x14ac:dyDescent="0.25">
      <c r="A167" s="290">
        <v>165</v>
      </c>
      <c r="B167" s="281" t="s">
        <v>1159</v>
      </c>
      <c r="C167" s="283"/>
      <c r="D167" s="277" t="s">
        <v>2</v>
      </c>
      <c r="E167" s="284">
        <v>0.5</v>
      </c>
      <c r="F167" s="278" t="s">
        <v>1187</v>
      </c>
      <c r="G167" s="285"/>
      <c r="H167" s="285"/>
      <c r="I167" s="286"/>
    </row>
    <row r="168" spans="1:9" ht="18.75" x14ac:dyDescent="0.3">
      <c r="A168" s="290">
        <v>166</v>
      </c>
      <c r="B168" s="276" t="s">
        <v>1177</v>
      </c>
      <c r="C168" s="282"/>
      <c r="D168" s="277" t="s">
        <v>2</v>
      </c>
      <c r="E168" s="284">
        <v>0.5</v>
      </c>
      <c r="F168" s="278" t="s">
        <v>1187</v>
      </c>
      <c r="G168" s="285"/>
      <c r="H168" s="285"/>
      <c r="I168" s="286"/>
    </row>
    <row r="169" spans="1:9" x14ac:dyDescent="0.25">
      <c r="A169" s="290">
        <v>167</v>
      </c>
      <c r="B169" s="57" t="s">
        <v>1120</v>
      </c>
      <c r="C169" s="282">
        <v>1837.85</v>
      </c>
      <c r="D169" s="277" t="s">
        <v>2</v>
      </c>
      <c r="E169" s="284">
        <v>0.5</v>
      </c>
      <c r="F169" s="278" t="s">
        <v>1187</v>
      </c>
      <c r="G169" s="285"/>
      <c r="H169" s="285"/>
      <c r="I169" s="286"/>
    </row>
    <row r="170" spans="1:9" x14ac:dyDescent="0.25">
      <c r="A170" s="290">
        <v>168</v>
      </c>
      <c r="B170" s="57" t="s">
        <v>1121</v>
      </c>
      <c r="C170" s="282">
        <v>1974.89</v>
      </c>
      <c r="D170" s="277" t="s">
        <v>2</v>
      </c>
      <c r="E170" s="284">
        <v>0.5</v>
      </c>
      <c r="F170" s="278" t="s">
        <v>1187</v>
      </c>
      <c r="G170" s="285"/>
      <c r="H170" s="285"/>
      <c r="I170" s="286"/>
    </row>
    <row r="171" spans="1:9" x14ac:dyDescent="0.25">
      <c r="A171" s="290">
        <v>169</v>
      </c>
      <c r="B171" s="57" t="s">
        <v>1122</v>
      </c>
      <c r="C171" s="282">
        <v>2109.4899999999998</v>
      </c>
      <c r="D171" s="277" t="s">
        <v>2</v>
      </c>
      <c r="E171" s="284">
        <v>0.5</v>
      </c>
      <c r="F171" s="278" t="s">
        <v>1187</v>
      </c>
      <c r="G171" s="285"/>
      <c r="H171" s="285"/>
      <c r="I171" s="286"/>
    </row>
    <row r="172" spans="1:9" x14ac:dyDescent="0.25">
      <c r="A172" s="290">
        <v>170</v>
      </c>
      <c r="B172" s="57" t="s">
        <v>1123</v>
      </c>
      <c r="C172" s="282">
        <v>2315.0500000000002</v>
      </c>
      <c r="D172" s="277" t="s">
        <v>2</v>
      </c>
      <c r="E172" s="284">
        <v>0.5</v>
      </c>
      <c r="F172" s="278" t="s">
        <v>1187</v>
      </c>
      <c r="G172" s="285"/>
      <c r="H172" s="285"/>
      <c r="I172" s="286"/>
    </row>
    <row r="173" spans="1:9" ht="18.75" customHeight="1" x14ac:dyDescent="0.25">
      <c r="A173" s="290">
        <v>171</v>
      </c>
      <c r="B173" s="57"/>
      <c r="C173" s="282"/>
      <c r="D173" s="277" t="s">
        <v>2</v>
      </c>
      <c r="E173" s="284">
        <v>0.5</v>
      </c>
      <c r="F173" s="278" t="s">
        <v>1187</v>
      </c>
      <c r="G173" s="285"/>
      <c r="H173" s="285"/>
      <c r="I173" s="286"/>
    </row>
    <row r="174" spans="1:9" ht="18.75" x14ac:dyDescent="0.3">
      <c r="A174" s="290">
        <v>172</v>
      </c>
      <c r="B174" s="276" t="s">
        <v>1178</v>
      </c>
      <c r="C174" s="282"/>
      <c r="D174" s="277" t="s">
        <v>2</v>
      </c>
      <c r="E174" s="284">
        <v>0.5</v>
      </c>
      <c r="F174" s="278" t="s">
        <v>1187</v>
      </c>
      <c r="G174" s="285"/>
      <c r="H174" s="285"/>
      <c r="I174" s="286"/>
    </row>
    <row r="175" spans="1:9" x14ac:dyDescent="0.25">
      <c r="A175" s="290">
        <v>173</v>
      </c>
      <c r="B175" s="57" t="s">
        <v>1124</v>
      </c>
      <c r="C175" s="282">
        <v>3541.1</v>
      </c>
      <c r="D175" s="277" t="s">
        <v>2</v>
      </c>
      <c r="E175" s="284">
        <v>0.5</v>
      </c>
      <c r="F175" s="278" t="s">
        <v>1187</v>
      </c>
      <c r="G175" s="285"/>
      <c r="H175" s="285"/>
      <c r="I175" s="286"/>
    </row>
    <row r="176" spans="1:9" x14ac:dyDescent="0.25">
      <c r="A176" s="290">
        <v>174</v>
      </c>
      <c r="B176" s="57" t="s">
        <v>1125</v>
      </c>
      <c r="C176" s="282">
        <v>3675.69</v>
      </c>
      <c r="D176" s="277" t="s">
        <v>2</v>
      </c>
      <c r="E176" s="284">
        <v>0.5</v>
      </c>
      <c r="F176" s="278" t="s">
        <v>1187</v>
      </c>
      <c r="G176" s="285"/>
      <c r="H176" s="285"/>
      <c r="I176" s="286"/>
    </row>
    <row r="177" spans="1:9" x14ac:dyDescent="0.25">
      <c r="A177" s="290">
        <v>175</v>
      </c>
      <c r="B177" s="57" t="s">
        <v>1126</v>
      </c>
      <c r="C177" s="282">
        <v>3812.74</v>
      </c>
      <c r="D177" s="277" t="s">
        <v>2</v>
      </c>
      <c r="E177" s="284">
        <v>0.5</v>
      </c>
      <c r="F177" s="278" t="s">
        <v>1187</v>
      </c>
      <c r="G177" s="285"/>
      <c r="H177" s="285"/>
      <c r="I177" s="286"/>
    </row>
    <row r="178" spans="1:9" x14ac:dyDescent="0.25">
      <c r="A178" s="290">
        <v>176</v>
      </c>
      <c r="B178" s="57"/>
      <c r="C178" s="282"/>
      <c r="D178" s="277" t="s">
        <v>2</v>
      </c>
      <c r="E178" s="284">
        <v>0.5</v>
      </c>
      <c r="F178" s="278" t="s">
        <v>1187</v>
      </c>
      <c r="G178" s="285"/>
      <c r="H178" s="285"/>
      <c r="I178" s="286"/>
    </row>
    <row r="179" spans="1:9" x14ac:dyDescent="0.25">
      <c r="A179" s="290">
        <v>177</v>
      </c>
      <c r="B179" s="57" t="s">
        <v>1127</v>
      </c>
      <c r="C179" s="282">
        <v>2315.0500000000002</v>
      </c>
      <c r="D179" s="277" t="s">
        <v>2</v>
      </c>
      <c r="E179" s="284">
        <v>0.5</v>
      </c>
      <c r="F179" s="278" t="s">
        <v>1187</v>
      </c>
      <c r="G179" s="285"/>
      <c r="H179" s="285"/>
      <c r="I179" s="286"/>
    </row>
    <row r="180" spans="1:9" x14ac:dyDescent="0.25">
      <c r="A180" s="290">
        <v>178</v>
      </c>
      <c r="B180" s="57" t="s">
        <v>1128</v>
      </c>
      <c r="C180" s="282">
        <v>2586.69</v>
      </c>
      <c r="D180" s="277" t="s">
        <v>2</v>
      </c>
      <c r="E180" s="284">
        <v>0.5</v>
      </c>
      <c r="F180" s="278" t="s">
        <v>1187</v>
      </c>
      <c r="G180" s="285"/>
      <c r="H180" s="285"/>
      <c r="I180" s="286"/>
    </row>
    <row r="181" spans="1:9" x14ac:dyDescent="0.25">
      <c r="A181" s="290">
        <v>179</v>
      </c>
      <c r="B181" s="57" t="s">
        <v>1129</v>
      </c>
      <c r="C181" s="282">
        <v>2723.73</v>
      </c>
      <c r="D181" s="277" t="s">
        <v>2</v>
      </c>
      <c r="E181" s="284">
        <v>0.5</v>
      </c>
      <c r="F181" s="278" t="s">
        <v>1187</v>
      </c>
      <c r="G181" s="285"/>
      <c r="H181" s="285"/>
      <c r="I181" s="286"/>
    </row>
    <row r="182" spans="1:9" x14ac:dyDescent="0.25">
      <c r="A182" s="290">
        <v>180</v>
      </c>
      <c r="B182" s="57"/>
      <c r="C182" s="282"/>
      <c r="D182" s="277" t="s">
        <v>2</v>
      </c>
      <c r="E182" s="284">
        <v>0.5</v>
      </c>
      <c r="F182" s="278" t="s">
        <v>1187</v>
      </c>
      <c r="G182" s="285"/>
      <c r="H182" s="285"/>
      <c r="I182" s="286"/>
    </row>
    <row r="183" spans="1:9" x14ac:dyDescent="0.25">
      <c r="A183" s="290">
        <v>181</v>
      </c>
      <c r="B183" s="57" t="s">
        <v>1130</v>
      </c>
      <c r="C183" s="282">
        <v>2586.69</v>
      </c>
      <c r="D183" s="277" t="s">
        <v>2</v>
      </c>
      <c r="E183" s="284">
        <v>0.5</v>
      </c>
      <c r="F183" s="278" t="s">
        <v>1187</v>
      </c>
      <c r="G183" s="285"/>
      <c r="H183" s="285"/>
      <c r="I183" s="286"/>
    </row>
    <row r="184" spans="1:9" x14ac:dyDescent="0.25">
      <c r="A184" s="290">
        <v>182</v>
      </c>
      <c r="B184" s="57" t="s">
        <v>1131</v>
      </c>
      <c r="C184" s="282">
        <v>2723.73</v>
      </c>
      <c r="D184" s="277" t="s">
        <v>2</v>
      </c>
      <c r="E184" s="284">
        <v>0.5</v>
      </c>
      <c r="F184" s="278" t="s">
        <v>1187</v>
      </c>
      <c r="G184" s="285"/>
      <c r="H184" s="285"/>
      <c r="I184" s="286"/>
    </row>
    <row r="185" spans="1:9" x14ac:dyDescent="0.25">
      <c r="A185" s="290">
        <v>183</v>
      </c>
      <c r="B185" s="57"/>
      <c r="C185" s="282"/>
      <c r="D185" s="277" t="s">
        <v>2</v>
      </c>
      <c r="E185" s="284">
        <v>0.5</v>
      </c>
      <c r="F185" s="278" t="s">
        <v>1187</v>
      </c>
      <c r="G185" s="285"/>
      <c r="H185" s="285"/>
      <c r="I185" s="286"/>
    </row>
    <row r="186" spans="1:9" x14ac:dyDescent="0.25">
      <c r="A186" s="290">
        <v>184</v>
      </c>
      <c r="B186" s="57" t="s">
        <v>1132</v>
      </c>
      <c r="C186" s="282">
        <v>2858.33</v>
      </c>
      <c r="D186" s="277" t="s">
        <v>2</v>
      </c>
      <c r="E186" s="284">
        <v>0.5</v>
      </c>
      <c r="F186" s="278" t="s">
        <v>1187</v>
      </c>
      <c r="G186" s="285"/>
      <c r="H186" s="285"/>
      <c r="I186" s="286"/>
    </row>
    <row r="187" spans="1:9" x14ac:dyDescent="0.25">
      <c r="A187" s="290">
        <v>185</v>
      </c>
      <c r="B187" s="57" t="s">
        <v>1133</v>
      </c>
      <c r="C187" s="282">
        <v>2995.37</v>
      </c>
      <c r="D187" s="277" t="s">
        <v>2</v>
      </c>
      <c r="E187" s="284">
        <v>0.5</v>
      </c>
      <c r="F187" s="278" t="s">
        <v>1187</v>
      </c>
      <c r="G187" s="285"/>
      <c r="H187" s="285"/>
      <c r="I187" s="286"/>
    </row>
    <row r="188" spans="1:9" x14ac:dyDescent="0.25">
      <c r="A188" s="290">
        <v>186</v>
      </c>
      <c r="B188" s="57"/>
      <c r="C188" s="282"/>
      <c r="D188" s="277" t="s">
        <v>2</v>
      </c>
      <c r="E188" s="284">
        <v>0.5</v>
      </c>
      <c r="F188" s="278" t="s">
        <v>1187</v>
      </c>
      <c r="G188" s="285"/>
      <c r="H188" s="285"/>
      <c r="I188" s="286"/>
    </row>
    <row r="189" spans="1:9" x14ac:dyDescent="0.25">
      <c r="A189" s="290">
        <v>187</v>
      </c>
      <c r="B189" s="57" t="s">
        <v>1134</v>
      </c>
      <c r="C189" s="282">
        <v>4991</v>
      </c>
      <c r="D189" s="277" t="s">
        <v>2</v>
      </c>
      <c r="E189" s="284">
        <v>0.5</v>
      </c>
      <c r="F189" s="278" t="s">
        <v>1187</v>
      </c>
      <c r="G189" s="285"/>
      <c r="H189" s="285"/>
      <c r="I189" s="286"/>
    </row>
    <row r="190" spans="1:9" x14ac:dyDescent="0.25">
      <c r="A190" s="290">
        <v>188</v>
      </c>
      <c r="B190" s="57" t="s">
        <v>1135</v>
      </c>
      <c r="C190" s="282">
        <v>5246.3</v>
      </c>
      <c r="D190" s="277" t="s">
        <v>2</v>
      </c>
      <c r="E190" s="284">
        <v>0.5</v>
      </c>
      <c r="F190" s="278" t="s">
        <v>1187</v>
      </c>
      <c r="G190" s="285"/>
      <c r="H190" s="285"/>
      <c r="I190" s="286"/>
    </row>
    <row r="191" spans="1:9" x14ac:dyDescent="0.25">
      <c r="A191" s="290">
        <v>189</v>
      </c>
      <c r="B191" s="57" t="s">
        <v>1136</v>
      </c>
      <c r="C191" s="282">
        <v>5759.2</v>
      </c>
      <c r="D191" s="277" t="s">
        <v>2</v>
      </c>
      <c r="E191" s="284">
        <v>0.5</v>
      </c>
      <c r="F191" s="278" t="s">
        <v>1187</v>
      </c>
      <c r="G191" s="285"/>
      <c r="H191" s="285"/>
      <c r="I191" s="286"/>
    </row>
    <row r="192" spans="1:9" ht="18.75" customHeight="1" x14ac:dyDescent="0.25">
      <c r="A192" s="290">
        <v>190</v>
      </c>
      <c r="B192" s="57"/>
      <c r="C192" s="282"/>
      <c r="D192" s="277" t="s">
        <v>2</v>
      </c>
      <c r="E192" s="284">
        <v>0.5</v>
      </c>
      <c r="F192" s="278" t="s">
        <v>1187</v>
      </c>
      <c r="G192" s="285"/>
      <c r="H192" s="285"/>
      <c r="I192" s="286"/>
    </row>
    <row r="193" spans="1:9" ht="18.75" x14ac:dyDescent="0.3">
      <c r="A193" s="290">
        <v>191</v>
      </c>
      <c r="B193" s="276" t="s">
        <v>1179</v>
      </c>
      <c r="C193" s="282"/>
      <c r="D193" s="277" t="s">
        <v>2</v>
      </c>
      <c r="E193" s="284">
        <v>0.5</v>
      </c>
      <c r="F193" s="278" t="s">
        <v>1187</v>
      </c>
      <c r="G193" s="285"/>
      <c r="H193" s="285"/>
      <c r="I193" s="286"/>
    </row>
    <row r="194" spans="1:9" x14ac:dyDescent="0.25">
      <c r="A194" s="290">
        <v>192</v>
      </c>
      <c r="B194" s="57" t="s">
        <v>1137</v>
      </c>
      <c r="C194" s="282">
        <v>3726.74</v>
      </c>
      <c r="D194" s="277" t="s">
        <v>2</v>
      </c>
      <c r="E194" s="284">
        <v>0.5</v>
      </c>
      <c r="F194" s="278" t="s">
        <v>1187</v>
      </c>
      <c r="G194" s="285"/>
      <c r="H194" s="285"/>
      <c r="I194" s="286"/>
    </row>
    <row r="195" spans="1:9" x14ac:dyDescent="0.25">
      <c r="A195" s="290">
        <v>193</v>
      </c>
      <c r="B195" s="57" t="s">
        <v>1138</v>
      </c>
      <c r="C195" s="282">
        <v>3992.25</v>
      </c>
      <c r="D195" s="277" t="s">
        <v>2</v>
      </c>
      <c r="E195" s="284">
        <v>0.5</v>
      </c>
      <c r="F195" s="278" t="s">
        <v>1187</v>
      </c>
      <c r="G195" s="285"/>
      <c r="H195" s="285"/>
      <c r="I195" s="286"/>
    </row>
    <row r="196" spans="1:9" x14ac:dyDescent="0.25">
      <c r="A196" s="290">
        <v>194</v>
      </c>
      <c r="B196" s="57" t="s">
        <v>1139</v>
      </c>
      <c r="C196" s="282">
        <v>4257.76</v>
      </c>
      <c r="D196" s="277" t="s">
        <v>2</v>
      </c>
      <c r="E196" s="284">
        <v>0.5</v>
      </c>
      <c r="F196" s="278" t="s">
        <v>1187</v>
      </c>
      <c r="G196" s="285"/>
      <c r="H196" s="285"/>
      <c r="I196" s="286"/>
    </row>
    <row r="197" spans="1:9" x14ac:dyDescent="0.25">
      <c r="A197" s="290">
        <v>195</v>
      </c>
      <c r="B197" s="57" t="s">
        <v>1140</v>
      </c>
      <c r="C197" s="282">
        <v>4525.66</v>
      </c>
      <c r="D197" s="277" t="s">
        <v>2</v>
      </c>
      <c r="E197" s="284">
        <v>0.5</v>
      </c>
      <c r="F197" s="278" t="s">
        <v>1187</v>
      </c>
      <c r="G197" s="285"/>
      <c r="H197" s="285"/>
      <c r="I197" s="286"/>
    </row>
    <row r="198" spans="1:9" x14ac:dyDescent="0.25">
      <c r="A198" s="290">
        <v>196</v>
      </c>
      <c r="B198" s="57" t="s">
        <v>1141</v>
      </c>
      <c r="C198" s="282">
        <v>5855.62</v>
      </c>
      <c r="D198" s="277" t="s">
        <v>2</v>
      </c>
      <c r="E198" s="284">
        <v>0.5</v>
      </c>
      <c r="F198" s="278" t="s">
        <v>1187</v>
      </c>
      <c r="G198" s="285"/>
      <c r="H198" s="285"/>
      <c r="I198" s="286"/>
    </row>
    <row r="199" spans="1:9" x14ac:dyDescent="0.25">
      <c r="A199" s="290">
        <v>197</v>
      </c>
      <c r="B199" s="57" t="s">
        <v>1142</v>
      </c>
      <c r="C199" s="282">
        <v>6255.08</v>
      </c>
      <c r="D199" s="277" t="s">
        <v>2</v>
      </c>
      <c r="E199" s="284">
        <v>0.5</v>
      </c>
      <c r="F199" s="278" t="s">
        <v>1187</v>
      </c>
      <c r="G199" s="285"/>
      <c r="H199" s="285"/>
      <c r="I199" s="286"/>
    </row>
    <row r="200" spans="1:9" x14ac:dyDescent="0.25">
      <c r="A200" s="290">
        <v>198</v>
      </c>
      <c r="B200" s="57" t="s">
        <v>1143</v>
      </c>
      <c r="C200" s="282">
        <v>6654.54</v>
      </c>
      <c r="D200" s="277" t="s">
        <v>2</v>
      </c>
      <c r="E200" s="284">
        <v>0.5</v>
      </c>
      <c r="F200" s="278" t="s">
        <v>1187</v>
      </c>
      <c r="G200" s="285"/>
      <c r="H200" s="285"/>
      <c r="I200" s="286"/>
    </row>
    <row r="201" spans="1:9" x14ac:dyDescent="0.25">
      <c r="A201" s="290">
        <v>199</v>
      </c>
      <c r="B201" s="57" t="s">
        <v>1144</v>
      </c>
      <c r="C201" s="282">
        <v>8917.3799999999992</v>
      </c>
      <c r="D201" s="277" t="s">
        <v>2</v>
      </c>
      <c r="E201" s="284">
        <v>0.5</v>
      </c>
      <c r="F201" s="278" t="s">
        <v>1187</v>
      </c>
      <c r="G201" s="285"/>
      <c r="H201" s="285"/>
      <c r="I201" s="286"/>
    </row>
    <row r="202" spans="1:9" x14ac:dyDescent="0.25">
      <c r="A202" s="290">
        <v>200</v>
      </c>
      <c r="B202" s="57" t="s">
        <v>1145</v>
      </c>
      <c r="C202" s="282">
        <v>9316.84</v>
      </c>
      <c r="D202" s="277" t="s">
        <v>2</v>
      </c>
      <c r="E202" s="284">
        <v>0.5</v>
      </c>
      <c r="F202" s="278" t="s">
        <v>1187</v>
      </c>
      <c r="G202" s="285"/>
      <c r="H202" s="285"/>
      <c r="I202" s="286"/>
    </row>
    <row r="203" spans="1:9" x14ac:dyDescent="0.25">
      <c r="A203" s="290">
        <v>201</v>
      </c>
      <c r="B203" s="57" t="s">
        <v>1146</v>
      </c>
      <c r="C203" s="282">
        <v>9448.4</v>
      </c>
      <c r="D203" s="277" t="s">
        <v>2</v>
      </c>
      <c r="E203" s="284">
        <v>0.5</v>
      </c>
      <c r="F203" s="278" t="s">
        <v>1187</v>
      </c>
      <c r="G203" s="285"/>
      <c r="H203" s="285"/>
      <c r="I203" s="286"/>
    </row>
    <row r="204" spans="1:9" x14ac:dyDescent="0.25">
      <c r="A204" s="290">
        <v>202</v>
      </c>
      <c r="B204" s="57" t="s">
        <v>1147</v>
      </c>
      <c r="C204" s="282">
        <v>9847.86</v>
      </c>
      <c r="D204" s="277" t="s">
        <v>2</v>
      </c>
      <c r="E204" s="284">
        <v>0.5</v>
      </c>
      <c r="F204" s="278" t="s">
        <v>1187</v>
      </c>
      <c r="G204" s="285"/>
      <c r="H204" s="285"/>
      <c r="I204" s="286"/>
    </row>
    <row r="205" spans="1:9" x14ac:dyDescent="0.25">
      <c r="A205" s="290">
        <v>203</v>
      </c>
      <c r="B205" s="57" t="s">
        <v>1148</v>
      </c>
      <c r="C205" s="282">
        <v>3992.25</v>
      </c>
      <c r="D205" s="277" t="s">
        <v>2</v>
      </c>
      <c r="E205" s="284">
        <v>0.5</v>
      </c>
      <c r="F205" s="278" t="s">
        <v>1187</v>
      </c>
      <c r="G205" s="285"/>
      <c r="H205" s="285"/>
      <c r="I205" s="286"/>
    </row>
    <row r="206" spans="1:9" x14ac:dyDescent="0.25">
      <c r="A206" s="290">
        <v>204</v>
      </c>
      <c r="B206" s="57" t="s">
        <v>1149</v>
      </c>
      <c r="C206" s="282">
        <v>4391.71</v>
      </c>
      <c r="D206" s="277" t="s">
        <v>2</v>
      </c>
      <c r="E206" s="284">
        <v>0.5</v>
      </c>
      <c r="F206" s="278" t="s">
        <v>1187</v>
      </c>
      <c r="G206" s="285"/>
      <c r="H206" s="285"/>
      <c r="I206" s="286"/>
    </row>
    <row r="207" spans="1:9" x14ac:dyDescent="0.25">
      <c r="A207" s="290">
        <v>205</v>
      </c>
      <c r="B207" s="57" t="s">
        <v>1150</v>
      </c>
      <c r="C207" s="282">
        <v>4791.18</v>
      </c>
      <c r="D207" s="277" t="s">
        <v>2</v>
      </c>
      <c r="E207" s="284">
        <v>0.5</v>
      </c>
      <c r="F207" s="278" t="s">
        <v>1187</v>
      </c>
      <c r="G207" s="285"/>
      <c r="H207" s="285"/>
      <c r="I207" s="286"/>
    </row>
    <row r="208" spans="1:9" x14ac:dyDescent="0.25">
      <c r="A208" s="290">
        <v>206</v>
      </c>
      <c r="B208" s="57" t="s">
        <v>1151</v>
      </c>
      <c r="C208" s="282">
        <v>5056.6899999999996</v>
      </c>
      <c r="D208" s="277" t="s">
        <v>2</v>
      </c>
      <c r="E208" s="284">
        <v>0.5</v>
      </c>
      <c r="F208" s="278" t="s">
        <v>1187</v>
      </c>
      <c r="G208" s="285"/>
      <c r="H208" s="285"/>
      <c r="I208" s="286"/>
    </row>
    <row r="209" spans="1:9" x14ac:dyDescent="0.25">
      <c r="A209" s="290">
        <v>207</v>
      </c>
      <c r="B209" s="57" t="s">
        <v>1152</v>
      </c>
      <c r="C209" s="282">
        <v>6389.03</v>
      </c>
      <c r="D209" s="277" t="s">
        <v>2</v>
      </c>
      <c r="E209" s="284">
        <v>0.5</v>
      </c>
      <c r="F209" s="278" t="s">
        <v>1187</v>
      </c>
      <c r="G209" s="285"/>
      <c r="H209" s="285"/>
      <c r="I209" s="286"/>
    </row>
    <row r="210" spans="1:9" x14ac:dyDescent="0.25">
      <c r="A210" s="290">
        <v>208</v>
      </c>
      <c r="B210" s="57" t="s">
        <v>1153</v>
      </c>
      <c r="C210" s="282">
        <v>6654.54</v>
      </c>
      <c r="D210" s="277" t="s">
        <v>2</v>
      </c>
      <c r="E210" s="284">
        <v>0.5</v>
      </c>
      <c r="F210" s="278" t="s">
        <v>1187</v>
      </c>
      <c r="G210" s="285"/>
      <c r="H210" s="285"/>
      <c r="I210" s="286"/>
    </row>
    <row r="211" spans="1:9" x14ac:dyDescent="0.25">
      <c r="A211" s="290">
        <v>209</v>
      </c>
      <c r="B211" s="57" t="s">
        <v>1154</v>
      </c>
      <c r="C211" s="282">
        <v>7319.52</v>
      </c>
      <c r="D211" s="277" t="s">
        <v>2</v>
      </c>
      <c r="E211" s="284">
        <v>0.5</v>
      </c>
      <c r="F211" s="278" t="s">
        <v>1187</v>
      </c>
      <c r="G211" s="285"/>
      <c r="H211" s="285"/>
      <c r="I211" s="286"/>
    </row>
    <row r="212" spans="1:9" ht="18.75" customHeight="1" x14ac:dyDescent="0.25">
      <c r="A212" s="290">
        <v>210</v>
      </c>
      <c r="B212" s="57"/>
      <c r="C212" s="282"/>
      <c r="D212" s="277" t="s">
        <v>2</v>
      </c>
      <c r="E212" s="284">
        <v>0.5</v>
      </c>
      <c r="F212" s="278" t="s">
        <v>1187</v>
      </c>
      <c r="G212" s="285"/>
      <c r="H212" s="285"/>
      <c r="I212" s="286"/>
    </row>
    <row r="213" spans="1:9" ht="18.75" customHeight="1" x14ac:dyDescent="0.3">
      <c r="A213" s="290">
        <v>211</v>
      </c>
      <c r="B213" s="276" t="s">
        <v>1155</v>
      </c>
      <c r="C213" s="282">
        <v>837.2</v>
      </c>
      <c r="D213" s="277" t="s">
        <v>2</v>
      </c>
      <c r="E213" s="284">
        <v>0.5</v>
      </c>
      <c r="F213" s="278" t="s">
        <v>1187</v>
      </c>
      <c r="G213" s="285"/>
      <c r="H213" s="285"/>
      <c r="I213" s="286"/>
    </row>
    <row r="214" spans="1:9" ht="18.75" x14ac:dyDescent="0.3">
      <c r="A214" s="290">
        <v>212</v>
      </c>
      <c r="B214" s="276" t="s">
        <v>1180</v>
      </c>
      <c r="C214" s="282"/>
      <c r="D214" s="277" t="s">
        <v>2</v>
      </c>
      <c r="E214" s="284">
        <v>0.5</v>
      </c>
      <c r="F214" s="278" t="s">
        <v>1187</v>
      </c>
      <c r="G214" s="285"/>
      <c r="H214" s="285"/>
      <c r="I214" s="286"/>
    </row>
    <row r="215" spans="1:9" x14ac:dyDescent="0.25">
      <c r="A215" s="290">
        <v>213</v>
      </c>
      <c r="B215" s="57" t="s">
        <v>1156</v>
      </c>
      <c r="C215" s="282"/>
      <c r="D215" s="277" t="s">
        <v>2</v>
      </c>
      <c r="E215" s="284">
        <v>0.5</v>
      </c>
      <c r="F215" s="278" t="s">
        <v>1187</v>
      </c>
      <c r="G215" s="285"/>
      <c r="H215" s="285"/>
      <c r="I215" s="286"/>
    </row>
    <row r="216" spans="1:9" x14ac:dyDescent="0.25">
      <c r="A216" s="290">
        <v>214</v>
      </c>
      <c r="B216" s="57" t="s">
        <v>1157</v>
      </c>
      <c r="C216" s="282"/>
      <c r="D216" s="277" t="s">
        <v>2</v>
      </c>
      <c r="E216" s="284">
        <v>0.5</v>
      </c>
      <c r="F216" s="278" t="s">
        <v>1187</v>
      </c>
      <c r="G216" s="285"/>
      <c r="H216" s="285"/>
      <c r="I216" s="286"/>
    </row>
    <row r="217" spans="1:9" x14ac:dyDescent="0.25">
      <c r="A217" s="296">
        <v>215</v>
      </c>
      <c r="B217" s="199" t="s">
        <v>1158</v>
      </c>
      <c r="C217" s="297" cm="1">
        <f t="array" aca="1" ref="C217" ca="1">C169:C217</f>
        <v>0</v>
      </c>
      <c r="D217" s="298" t="s">
        <v>2</v>
      </c>
      <c r="E217" s="299">
        <v>0.5</v>
      </c>
      <c r="F217" s="288" t="s">
        <v>1187</v>
      </c>
    </row>
    <row r="218" spans="1:9" x14ac:dyDescent="0.25">
      <c r="F218" s="28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35FE1-1D5D-4032-9588-66E8D4987BEF}">
  <sheetPr codeName="Hárok12"/>
  <dimension ref="A1:DP13204"/>
  <sheetViews>
    <sheetView tabSelected="1" topLeftCell="A844" workbookViewId="0">
      <selection activeCell="A42" sqref="A42"/>
    </sheetView>
  </sheetViews>
  <sheetFormatPr defaultRowHeight="15" x14ac:dyDescent="0.25"/>
  <cols>
    <col min="1" max="1" width="81.140625" bestFit="1" customWidth="1"/>
    <col min="2" max="2" width="43" bestFit="1" customWidth="1"/>
    <col min="3" max="3" width="81.140625" bestFit="1" customWidth="1"/>
    <col min="4" max="4" width="11.140625" bestFit="1" customWidth="1"/>
    <col min="5" max="5" width="42.7109375" bestFit="1" customWidth="1"/>
    <col min="6" max="12" width="81.140625" bestFit="1" customWidth="1"/>
    <col min="13" max="13" width="43.7109375" bestFit="1" customWidth="1"/>
    <col min="14" max="15" width="81.140625" bestFit="1" customWidth="1"/>
    <col min="16" max="16" width="67.85546875" bestFit="1" customWidth="1"/>
    <col min="17" max="17" width="37.140625" bestFit="1" customWidth="1"/>
    <col min="18" max="19" width="81.140625" bestFit="1" customWidth="1"/>
    <col min="20" max="20" width="17" bestFit="1" customWidth="1"/>
    <col min="21" max="26" width="81.140625" bestFit="1" customWidth="1"/>
    <col min="27" max="27" width="12.140625" bestFit="1" customWidth="1"/>
    <col min="28" max="28" width="81.140625" bestFit="1" customWidth="1"/>
    <col min="29" max="29" width="68.7109375" bestFit="1" customWidth="1"/>
    <col min="30" max="30" width="12.140625" bestFit="1" customWidth="1"/>
    <col min="31" max="34" width="81.140625" bestFit="1" customWidth="1"/>
    <col min="35" max="35" width="79.140625" bestFit="1" customWidth="1"/>
    <col min="36" max="37" width="81.140625" bestFit="1" customWidth="1"/>
    <col min="38" max="38" width="34" bestFit="1" customWidth="1"/>
    <col min="39" max="39" width="81.140625" bestFit="1" customWidth="1"/>
    <col min="40" max="40" width="12.140625" bestFit="1" customWidth="1"/>
    <col min="41" max="47" width="81.140625" bestFit="1" customWidth="1"/>
    <col min="48" max="48" width="34.28515625" bestFit="1" customWidth="1"/>
    <col min="49" max="53" width="81.140625" bestFit="1" customWidth="1"/>
    <col min="54" max="56" width="12.140625" bestFit="1" customWidth="1"/>
    <col min="57" max="57" width="81.140625" bestFit="1" customWidth="1"/>
    <col min="58" max="58" width="13.28515625" bestFit="1" customWidth="1"/>
    <col min="59" max="59" width="81.140625" bestFit="1" customWidth="1"/>
    <col min="60" max="60" width="72.42578125" bestFit="1" customWidth="1"/>
    <col min="61" max="61" width="30.5703125" bestFit="1" customWidth="1"/>
    <col min="62" max="65" width="81.140625" bestFit="1" customWidth="1"/>
    <col min="66" max="66" width="28.42578125" bestFit="1" customWidth="1"/>
    <col min="67" max="69" width="81.140625" bestFit="1" customWidth="1"/>
    <col min="70" max="70" width="19.5703125" bestFit="1" customWidth="1"/>
    <col min="71" max="73" width="81.140625" bestFit="1" customWidth="1"/>
    <col min="74" max="74" width="13.85546875" bestFit="1" customWidth="1"/>
    <col min="75" max="75" width="81.140625" bestFit="1" customWidth="1"/>
    <col min="76" max="76" width="69.5703125" bestFit="1" customWidth="1"/>
    <col min="77" max="77" width="38.5703125" bestFit="1" customWidth="1"/>
    <col min="78" max="78" width="34.28515625" bestFit="1" customWidth="1"/>
    <col min="79" max="79" width="81.140625" bestFit="1" customWidth="1"/>
    <col min="80" max="80" width="15.5703125" bestFit="1" customWidth="1"/>
    <col min="81" max="81" width="39.85546875" bestFit="1" customWidth="1"/>
    <col min="82" max="82" width="75.85546875" bestFit="1" customWidth="1"/>
    <col min="83" max="83" width="12.140625" bestFit="1" customWidth="1"/>
    <col min="84" max="84" width="35.5703125" bestFit="1" customWidth="1"/>
    <col min="85" max="85" width="12.140625" bestFit="1" customWidth="1"/>
    <col min="86" max="86" width="81.140625" bestFit="1" customWidth="1"/>
    <col min="87" max="87" width="12.140625" bestFit="1" customWidth="1"/>
    <col min="88" max="88" width="23.5703125" bestFit="1" customWidth="1"/>
    <col min="89" max="89" width="16.85546875" bestFit="1" customWidth="1"/>
    <col min="90" max="90" width="45.7109375" bestFit="1" customWidth="1"/>
    <col min="91" max="91" width="35.28515625" bestFit="1" customWidth="1"/>
    <col min="92" max="92" width="12.140625" bestFit="1" customWidth="1"/>
    <col min="93" max="93" width="74" bestFit="1" customWidth="1"/>
    <col min="94" max="94" width="12.140625" bestFit="1" customWidth="1"/>
    <col min="95" max="96" width="81.140625" bestFit="1" customWidth="1"/>
    <col min="97" max="97" width="14.7109375" bestFit="1" customWidth="1"/>
    <col min="98" max="98" width="17.85546875" bestFit="1" customWidth="1"/>
    <col min="99" max="99" width="20.42578125" bestFit="1" customWidth="1"/>
    <col min="100" max="100" width="81.140625" bestFit="1" customWidth="1"/>
    <col min="101" max="101" width="17.5703125" bestFit="1" customWidth="1"/>
    <col min="102" max="104" width="13.140625" bestFit="1" customWidth="1"/>
    <col min="105" max="105" width="21.85546875" bestFit="1" customWidth="1"/>
    <col min="106" max="106" width="26.85546875" bestFit="1" customWidth="1"/>
    <col min="107" max="114" width="13.140625" bestFit="1" customWidth="1"/>
    <col min="115" max="115" width="16.85546875" bestFit="1" customWidth="1"/>
    <col min="116" max="118" width="13.140625" bestFit="1" customWidth="1"/>
    <col min="119" max="119" width="16.85546875" bestFit="1" customWidth="1"/>
    <col min="120" max="120" width="13.140625" bestFit="1" customWidth="1"/>
  </cols>
  <sheetData>
    <row r="1" spans="1:120" x14ac:dyDescent="0.25">
      <c r="A1" t="s">
        <v>1497</v>
      </c>
      <c r="B1" t="s">
        <v>1498</v>
      </c>
      <c r="C1" t="s">
        <v>1499</v>
      </c>
      <c r="D1" t="s">
        <v>1500</v>
      </c>
      <c r="E1" t="s">
        <v>1501</v>
      </c>
      <c r="F1" t="s">
        <v>1502</v>
      </c>
      <c r="G1" t="s">
        <v>1503</v>
      </c>
      <c r="H1" t="s">
        <v>1504</v>
      </c>
      <c r="I1" t="s">
        <v>1505</v>
      </c>
      <c r="J1" t="s">
        <v>1506</v>
      </c>
      <c r="K1" t="s">
        <v>1507</v>
      </c>
      <c r="L1" t="s">
        <v>1508</v>
      </c>
      <c r="M1" t="s">
        <v>1509</v>
      </c>
      <c r="N1" t="s">
        <v>1510</v>
      </c>
      <c r="O1" t="s">
        <v>1511</v>
      </c>
      <c r="P1" t="s">
        <v>1512</v>
      </c>
      <c r="Q1" t="s">
        <v>1513</v>
      </c>
      <c r="R1" t="s">
        <v>1514</v>
      </c>
      <c r="S1" t="s">
        <v>1515</v>
      </c>
      <c r="T1" t="s">
        <v>1516</v>
      </c>
      <c r="U1" t="s">
        <v>1517</v>
      </c>
      <c r="V1" t="s">
        <v>1518</v>
      </c>
      <c r="W1" t="s">
        <v>1519</v>
      </c>
      <c r="X1" t="s">
        <v>1520</v>
      </c>
      <c r="Y1" t="s">
        <v>1521</v>
      </c>
      <c r="Z1" t="s">
        <v>1522</v>
      </c>
      <c r="AA1" t="s">
        <v>1523</v>
      </c>
      <c r="AB1" t="s">
        <v>1524</v>
      </c>
      <c r="AC1" t="s">
        <v>1525</v>
      </c>
      <c r="AD1" t="s">
        <v>1526</v>
      </c>
      <c r="AE1" t="s">
        <v>1527</v>
      </c>
      <c r="AF1" t="s">
        <v>1528</v>
      </c>
      <c r="AG1" t="s">
        <v>1529</v>
      </c>
      <c r="AH1" t="s">
        <v>1530</v>
      </c>
      <c r="AI1" t="s">
        <v>1531</v>
      </c>
      <c r="AJ1" t="s">
        <v>1532</v>
      </c>
      <c r="AK1" t="s">
        <v>1533</v>
      </c>
      <c r="AL1" t="s">
        <v>1534</v>
      </c>
      <c r="AM1" t="s">
        <v>1535</v>
      </c>
      <c r="AN1" t="s">
        <v>1536</v>
      </c>
      <c r="AO1" t="s">
        <v>1537</v>
      </c>
      <c r="AP1" t="s">
        <v>1538</v>
      </c>
      <c r="AQ1" t="s">
        <v>1539</v>
      </c>
      <c r="AR1" t="s">
        <v>1540</v>
      </c>
      <c r="AS1" t="s">
        <v>1541</v>
      </c>
      <c r="AT1" t="s">
        <v>1542</v>
      </c>
      <c r="AU1" t="s">
        <v>1543</v>
      </c>
      <c r="AV1" t="s">
        <v>1544</v>
      </c>
      <c r="AW1" t="s">
        <v>1545</v>
      </c>
      <c r="AX1" t="s">
        <v>1546</v>
      </c>
      <c r="AY1" t="s">
        <v>1547</v>
      </c>
      <c r="AZ1" t="s">
        <v>1548</v>
      </c>
      <c r="BA1" t="s">
        <v>1549</v>
      </c>
      <c r="BB1" t="s">
        <v>1550</v>
      </c>
      <c r="BC1" t="s">
        <v>1551</v>
      </c>
      <c r="BD1" t="s">
        <v>1552</v>
      </c>
      <c r="BE1" t="s">
        <v>1553</v>
      </c>
      <c r="BF1" t="s">
        <v>1554</v>
      </c>
      <c r="BG1" t="s">
        <v>1555</v>
      </c>
      <c r="BH1" t="s">
        <v>1556</v>
      </c>
      <c r="BI1" t="s">
        <v>1557</v>
      </c>
      <c r="BJ1" t="s">
        <v>1558</v>
      </c>
      <c r="BK1" t="s">
        <v>1559</v>
      </c>
      <c r="BL1" t="s">
        <v>1560</v>
      </c>
      <c r="BM1" t="s">
        <v>1561</v>
      </c>
      <c r="BN1" t="s">
        <v>1562</v>
      </c>
      <c r="BO1" t="s">
        <v>1563</v>
      </c>
      <c r="BP1" t="s">
        <v>1564</v>
      </c>
      <c r="BQ1" t="s">
        <v>1565</v>
      </c>
      <c r="BR1" t="s">
        <v>1566</v>
      </c>
      <c r="BS1" t="s">
        <v>1567</v>
      </c>
      <c r="BT1" t="s">
        <v>1568</v>
      </c>
      <c r="BU1" t="s">
        <v>1569</v>
      </c>
      <c r="BV1" t="s">
        <v>1570</v>
      </c>
      <c r="BW1" t="s">
        <v>1571</v>
      </c>
      <c r="BX1" t="s">
        <v>1572</v>
      </c>
      <c r="BY1" t="s">
        <v>1573</v>
      </c>
      <c r="BZ1" t="s">
        <v>1574</v>
      </c>
      <c r="CA1" t="s">
        <v>1575</v>
      </c>
      <c r="CB1" t="s">
        <v>1576</v>
      </c>
      <c r="CC1" t="s">
        <v>1577</v>
      </c>
      <c r="CD1" t="s">
        <v>1578</v>
      </c>
      <c r="CE1" t="s">
        <v>1579</v>
      </c>
      <c r="CF1" t="s">
        <v>1580</v>
      </c>
      <c r="CG1" t="s">
        <v>1581</v>
      </c>
      <c r="CH1" t="s">
        <v>1582</v>
      </c>
      <c r="CI1" t="s">
        <v>1583</v>
      </c>
      <c r="CJ1" t="s">
        <v>1584</v>
      </c>
      <c r="CK1" t="s">
        <v>1585</v>
      </c>
      <c r="CL1" t="s">
        <v>1586</v>
      </c>
      <c r="CM1" t="s">
        <v>1587</v>
      </c>
      <c r="CN1" t="s">
        <v>1588</v>
      </c>
      <c r="CO1" t="s">
        <v>1589</v>
      </c>
      <c r="CP1" t="s">
        <v>1590</v>
      </c>
      <c r="CQ1" t="s">
        <v>1591</v>
      </c>
      <c r="CR1" t="s">
        <v>1592</v>
      </c>
      <c r="CS1" t="s">
        <v>1593</v>
      </c>
      <c r="CT1" t="s">
        <v>1594</v>
      </c>
      <c r="CU1" t="s">
        <v>1595</v>
      </c>
      <c r="CV1" t="s">
        <v>1596</v>
      </c>
      <c r="CW1" t="s">
        <v>1597</v>
      </c>
      <c r="CX1" t="s">
        <v>1598</v>
      </c>
      <c r="CY1" t="s">
        <v>1599</v>
      </c>
      <c r="CZ1" t="s">
        <v>1600</v>
      </c>
      <c r="DA1" t="s">
        <v>1601</v>
      </c>
      <c r="DB1" t="s">
        <v>1602</v>
      </c>
      <c r="DC1" t="s">
        <v>1603</v>
      </c>
      <c r="DD1" t="s">
        <v>1604</v>
      </c>
      <c r="DE1" t="s">
        <v>1605</v>
      </c>
      <c r="DF1" t="s">
        <v>1606</v>
      </c>
      <c r="DG1" t="s">
        <v>1607</v>
      </c>
      <c r="DH1" t="s">
        <v>1608</v>
      </c>
      <c r="DI1" t="s">
        <v>1609</v>
      </c>
      <c r="DJ1" t="s">
        <v>1610</v>
      </c>
      <c r="DK1" t="s">
        <v>1611</v>
      </c>
      <c r="DL1" t="s">
        <v>1612</v>
      </c>
      <c r="DM1" t="s">
        <v>1613</v>
      </c>
      <c r="DN1" t="s">
        <v>1614</v>
      </c>
      <c r="DO1" t="s">
        <v>1615</v>
      </c>
      <c r="DP1" t="s">
        <v>1616</v>
      </c>
    </row>
    <row r="3" spans="1:120" x14ac:dyDescent="0.25">
      <c r="A3" t="s">
        <v>1617</v>
      </c>
    </row>
    <row r="4" spans="1:120" x14ac:dyDescent="0.25">
      <c r="V4" t="s">
        <v>1618</v>
      </c>
      <c r="AB4" t="s">
        <v>1619</v>
      </c>
      <c r="AH4" t="s">
        <v>615</v>
      </c>
      <c r="BS4" t="s">
        <v>1620</v>
      </c>
      <c r="BU4" t="s">
        <v>1621</v>
      </c>
    </row>
    <row r="5" spans="1:120" x14ac:dyDescent="0.25">
      <c r="AH5" t="s">
        <v>1622</v>
      </c>
    </row>
    <row r="6" spans="1:120" x14ac:dyDescent="0.25">
      <c r="A6">
        <v>2000</v>
      </c>
      <c r="AB6" t="s">
        <v>1623</v>
      </c>
      <c r="AH6" t="s">
        <v>1624</v>
      </c>
      <c r="BS6" t="s">
        <v>551</v>
      </c>
      <c r="BU6">
        <v>1.91</v>
      </c>
    </row>
    <row r="7" spans="1:120" x14ac:dyDescent="0.25">
      <c r="A7">
        <v>2002</v>
      </c>
      <c r="AB7" t="s">
        <v>1623</v>
      </c>
      <c r="AH7" t="s">
        <v>1625</v>
      </c>
      <c r="BS7" t="s">
        <v>551</v>
      </c>
      <c r="BU7">
        <v>2.54</v>
      </c>
    </row>
    <row r="8" spans="1:120" x14ac:dyDescent="0.25">
      <c r="A8">
        <v>2004</v>
      </c>
      <c r="AB8" t="s">
        <v>1623</v>
      </c>
      <c r="AH8" t="s">
        <v>1626</v>
      </c>
      <c r="BS8" t="s">
        <v>551</v>
      </c>
      <c r="BU8">
        <v>4.1500000000000004</v>
      </c>
    </row>
    <row r="9" spans="1:120" x14ac:dyDescent="0.25">
      <c r="A9">
        <v>2001</v>
      </c>
      <c r="AB9" t="s">
        <v>1627</v>
      </c>
      <c r="AH9" t="s">
        <v>1628</v>
      </c>
      <c r="BS9" t="s">
        <v>551</v>
      </c>
      <c r="BU9">
        <v>2.29</v>
      </c>
    </row>
    <row r="10" spans="1:120" x14ac:dyDescent="0.25">
      <c r="A10">
        <v>2003</v>
      </c>
      <c r="AB10" t="s">
        <v>1627</v>
      </c>
      <c r="AH10" t="s">
        <v>1629</v>
      </c>
      <c r="BS10" t="s">
        <v>551</v>
      </c>
      <c r="BU10">
        <v>3.25</v>
      </c>
    </row>
    <row r="11" spans="1:120" x14ac:dyDescent="0.25">
      <c r="A11">
        <v>2005</v>
      </c>
      <c r="AB11" t="s">
        <v>1627</v>
      </c>
      <c r="AH11" t="s">
        <v>1630</v>
      </c>
      <c r="BS11" t="s">
        <v>551</v>
      </c>
      <c r="BU11">
        <v>5.89</v>
      </c>
    </row>
    <row r="12" spans="1:120" x14ac:dyDescent="0.25">
      <c r="A12">
        <v>2006</v>
      </c>
      <c r="AB12" t="s">
        <v>1623</v>
      </c>
      <c r="AH12" t="s">
        <v>1631</v>
      </c>
      <c r="BS12" t="s">
        <v>551</v>
      </c>
      <c r="BU12">
        <v>6.35</v>
      </c>
    </row>
    <row r="13" spans="1:120" x14ac:dyDescent="0.25">
      <c r="A13">
        <v>2007</v>
      </c>
      <c r="AB13" t="s">
        <v>1623</v>
      </c>
      <c r="AH13" t="s">
        <v>1632</v>
      </c>
      <c r="BS13" t="s">
        <v>551</v>
      </c>
      <c r="BU13">
        <v>8.3800000000000008</v>
      </c>
    </row>
    <row r="14" spans="1:120" x14ac:dyDescent="0.25">
      <c r="A14">
        <v>2008</v>
      </c>
      <c r="AB14" t="s">
        <v>1623</v>
      </c>
      <c r="AH14" t="s">
        <v>1633</v>
      </c>
      <c r="BS14" t="s">
        <v>551</v>
      </c>
      <c r="BU14">
        <v>9.2100000000000009</v>
      </c>
    </row>
    <row r="15" spans="1:120" x14ac:dyDescent="0.25">
      <c r="AH15" t="s">
        <v>1634</v>
      </c>
    </row>
    <row r="16" spans="1:120" x14ac:dyDescent="0.25">
      <c r="A16">
        <v>2010</v>
      </c>
      <c r="AB16" t="s">
        <v>1623</v>
      </c>
      <c r="AH16" t="s">
        <v>1635</v>
      </c>
      <c r="BS16" t="s">
        <v>551</v>
      </c>
      <c r="BU16">
        <v>4.2</v>
      </c>
    </row>
    <row r="17" spans="1:73" x14ac:dyDescent="0.25">
      <c r="A17">
        <v>2011</v>
      </c>
      <c r="AB17" t="s">
        <v>1623</v>
      </c>
      <c r="AH17" t="s">
        <v>1636</v>
      </c>
      <c r="BS17" t="s">
        <v>551</v>
      </c>
      <c r="BU17">
        <v>5.36</v>
      </c>
    </row>
    <row r="18" spans="1:73" x14ac:dyDescent="0.25">
      <c r="A18">
        <v>2012</v>
      </c>
      <c r="AB18" t="s">
        <v>1623</v>
      </c>
      <c r="AH18" t="s">
        <v>1637</v>
      </c>
      <c r="BS18" t="s">
        <v>551</v>
      </c>
      <c r="BU18">
        <v>8.9499999999999993</v>
      </c>
    </row>
    <row r="19" spans="1:73" x14ac:dyDescent="0.25">
      <c r="A19">
        <v>2013</v>
      </c>
      <c r="AB19" t="s">
        <v>1627</v>
      </c>
      <c r="AH19" t="s">
        <v>1638</v>
      </c>
      <c r="BS19" t="s">
        <v>551</v>
      </c>
      <c r="BU19">
        <v>6.39</v>
      </c>
    </row>
    <row r="20" spans="1:73" x14ac:dyDescent="0.25">
      <c r="A20">
        <v>2014</v>
      </c>
      <c r="AB20" t="s">
        <v>1627</v>
      </c>
      <c r="AH20" t="s">
        <v>1639</v>
      </c>
      <c r="BS20" t="s">
        <v>551</v>
      </c>
      <c r="BU20">
        <v>7.34</v>
      </c>
    </row>
    <row r="21" spans="1:73" x14ac:dyDescent="0.25">
      <c r="AH21" t="s">
        <v>1640</v>
      </c>
    </row>
    <row r="22" spans="1:73" x14ac:dyDescent="0.25">
      <c r="A22">
        <v>201430</v>
      </c>
      <c r="AB22" t="s">
        <v>1623</v>
      </c>
      <c r="AH22" t="s">
        <v>1635</v>
      </c>
      <c r="BS22" t="s">
        <v>551</v>
      </c>
      <c r="BU22">
        <v>4.4400000000000004</v>
      </c>
    </row>
    <row r="23" spans="1:73" x14ac:dyDescent="0.25">
      <c r="A23">
        <v>201431</v>
      </c>
      <c r="AB23" t="s">
        <v>1623</v>
      </c>
      <c r="AH23" t="s">
        <v>1636</v>
      </c>
      <c r="BS23" t="s">
        <v>551</v>
      </c>
      <c r="BU23">
        <v>5.49</v>
      </c>
    </row>
    <row r="24" spans="1:73" x14ac:dyDescent="0.25">
      <c r="AH24" t="s">
        <v>1641</v>
      </c>
    </row>
    <row r="25" spans="1:73" x14ac:dyDescent="0.25">
      <c r="A25">
        <v>2015</v>
      </c>
      <c r="AB25" t="s">
        <v>1623</v>
      </c>
      <c r="AH25" t="s">
        <v>1642</v>
      </c>
      <c r="BS25" t="s">
        <v>2</v>
      </c>
      <c r="BU25">
        <v>7.8</v>
      </c>
    </row>
    <row r="26" spans="1:73" x14ac:dyDescent="0.25">
      <c r="A26">
        <v>2016</v>
      </c>
      <c r="AB26" t="s">
        <v>1623</v>
      </c>
      <c r="AH26" t="s">
        <v>1643</v>
      </c>
      <c r="BS26" t="s">
        <v>2</v>
      </c>
      <c r="BU26">
        <v>13.4</v>
      </c>
    </row>
    <row r="27" spans="1:73" x14ac:dyDescent="0.25">
      <c r="A27">
        <v>2017</v>
      </c>
      <c r="AB27" t="s">
        <v>1623</v>
      </c>
      <c r="AH27" t="s">
        <v>1644</v>
      </c>
      <c r="BS27" t="s">
        <v>2</v>
      </c>
      <c r="BU27">
        <v>5.7</v>
      </c>
    </row>
    <row r="28" spans="1:73" x14ac:dyDescent="0.25">
      <c r="A28">
        <v>2018</v>
      </c>
      <c r="AB28" t="s">
        <v>1623</v>
      </c>
      <c r="AH28" t="s">
        <v>1645</v>
      </c>
      <c r="BS28" t="s">
        <v>2</v>
      </c>
      <c r="BU28">
        <v>8.8000000000000007</v>
      </c>
    </row>
    <row r="29" spans="1:73" x14ac:dyDescent="0.25">
      <c r="AH29" t="s">
        <v>1646</v>
      </c>
    </row>
    <row r="30" spans="1:73" x14ac:dyDescent="0.25">
      <c r="A30">
        <v>5001</v>
      </c>
      <c r="AB30" t="s">
        <v>1623</v>
      </c>
      <c r="AH30" t="s">
        <v>1647</v>
      </c>
      <c r="BS30" t="s">
        <v>2</v>
      </c>
      <c r="BU30">
        <v>21.8</v>
      </c>
    </row>
    <row r="31" spans="1:73" x14ac:dyDescent="0.25">
      <c r="A31">
        <v>5002</v>
      </c>
      <c r="AB31" t="s">
        <v>1623</v>
      </c>
      <c r="AH31" t="s">
        <v>1648</v>
      </c>
      <c r="BS31" t="s">
        <v>2</v>
      </c>
      <c r="BU31">
        <v>24.6</v>
      </c>
    </row>
    <row r="32" spans="1:73" x14ac:dyDescent="0.25">
      <c r="A32">
        <v>5004</v>
      </c>
      <c r="AB32" t="s">
        <v>1623</v>
      </c>
      <c r="AH32" t="s">
        <v>1649</v>
      </c>
      <c r="BS32" t="s">
        <v>2</v>
      </c>
      <c r="BU32">
        <v>42.2</v>
      </c>
    </row>
    <row r="33" spans="1:73" x14ac:dyDescent="0.25">
      <c r="A33">
        <v>5017</v>
      </c>
      <c r="AB33" t="s">
        <v>1623</v>
      </c>
      <c r="AH33" t="s">
        <v>1650</v>
      </c>
      <c r="BS33" t="s">
        <v>2</v>
      </c>
      <c r="BU33">
        <v>86.9</v>
      </c>
    </row>
    <row r="34" spans="1:73" x14ac:dyDescent="0.25">
      <c r="A34">
        <v>5008</v>
      </c>
      <c r="AB34" t="s">
        <v>1623</v>
      </c>
      <c r="AH34" t="s">
        <v>1651</v>
      </c>
      <c r="BS34" t="s">
        <v>2</v>
      </c>
      <c r="BU34">
        <v>14.1</v>
      </c>
    </row>
    <row r="35" spans="1:73" x14ac:dyDescent="0.25">
      <c r="A35">
        <v>5015</v>
      </c>
      <c r="AB35" t="s">
        <v>1623</v>
      </c>
      <c r="AH35" t="s">
        <v>1652</v>
      </c>
      <c r="BS35" t="s">
        <v>2</v>
      </c>
      <c r="BU35">
        <v>2.8</v>
      </c>
    </row>
    <row r="36" spans="1:73" x14ac:dyDescent="0.25">
      <c r="A36">
        <v>5016</v>
      </c>
      <c r="AB36" t="s">
        <v>1627</v>
      </c>
      <c r="AH36" t="s">
        <v>1653</v>
      </c>
      <c r="BS36" t="s">
        <v>2</v>
      </c>
      <c r="BU36">
        <v>15.9</v>
      </c>
    </row>
    <row r="37" spans="1:73" x14ac:dyDescent="0.25">
      <c r="AH37" t="s">
        <v>1654</v>
      </c>
    </row>
    <row r="38" spans="1:73" x14ac:dyDescent="0.25">
      <c r="A38">
        <v>6011</v>
      </c>
      <c r="AB38" t="s">
        <v>1623</v>
      </c>
      <c r="AH38" t="s">
        <v>1655</v>
      </c>
      <c r="BS38" t="s">
        <v>1656</v>
      </c>
      <c r="BU38">
        <v>18</v>
      </c>
    </row>
    <row r="39" spans="1:73" x14ac:dyDescent="0.25">
      <c r="A39">
        <v>6002</v>
      </c>
      <c r="AB39" t="s">
        <v>1623</v>
      </c>
      <c r="AH39" t="s">
        <v>1657</v>
      </c>
      <c r="BS39" t="s">
        <v>1656</v>
      </c>
      <c r="BU39">
        <v>20</v>
      </c>
    </row>
    <row r="40" spans="1:73" x14ac:dyDescent="0.25">
      <c r="A40">
        <v>6003</v>
      </c>
      <c r="AB40" t="s">
        <v>1623</v>
      </c>
      <c r="AH40" t="s">
        <v>1658</v>
      </c>
      <c r="BS40" t="s">
        <v>1656</v>
      </c>
      <c r="BU40">
        <v>28</v>
      </c>
    </row>
    <row r="41" spans="1:73" x14ac:dyDescent="0.25">
      <c r="A41">
        <v>6004</v>
      </c>
      <c r="AB41" t="s">
        <v>1623</v>
      </c>
      <c r="AH41" t="s">
        <v>1659</v>
      </c>
      <c r="BS41" t="s">
        <v>1656</v>
      </c>
      <c r="BU41">
        <v>44</v>
      </c>
    </row>
    <row r="42" spans="1:73" x14ac:dyDescent="0.25">
      <c r="A42">
        <v>6005</v>
      </c>
      <c r="AB42" t="s">
        <v>1623</v>
      </c>
      <c r="AH42" t="s">
        <v>1660</v>
      </c>
      <c r="BS42" t="s">
        <v>1656</v>
      </c>
      <c r="BU42">
        <v>21</v>
      </c>
    </row>
    <row r="43" spans="1:73" x14ac:dyDescent="0.25">
      <c r="A43">
        <v>6006</v>
      </c>
      <c r="AB43" t="s">
        <v>1623</v>
      </c>
      <c r="AH43" t="s">
        <v>1661</v>
      </c>
      <c r="BS43" t="s">
        <v>1656</v>
      </c>
      <c r="BU43">
        <v>24</v>
      </c>
    </row>
    <row r="44" spans="1:73" x14ac:dyDescent="0.25">
      <c r="A44">
        <v>6020</v>
      </c>
      <c r="AB44" t="s">
        <v>1623</v>
      </c>
      <c r="AH44" t="s">
        <v>1662</v>
      </c>
      <c r="BS44" t="s">
        <v>1656</v>
      </c>
      <c r="BU44">
        <v>45</v>
      </c>
    </row>
    <row r="45" spans="1:73" x14ac:dyDescent="0.25">
      <c r="A45">
        <v>6008</v>
      </c>
      <c r="AB45" t="s">
        <v>1627</v>
      </c>
      <c r="AH45" t="s">
        <v>1663</v>
      </c>
      <c r="BS45" t="s">
        <v>1656</v>
      </c>
      <c r="BU45">
        <v>31</v>
      </c>
    </row>
    <row r="46" spans="1:73" x14ac:dyDescent="0.25">
      <c r="A46">
        <v>6009</v>
      </c>
      <c r="AB46" t="s">
        <v>1627</v>
      </c>
      <c r="AH46" t="s">
        <v>1664</v>
      </c>
      <c r="BS46" t="s">
        <v>1656</v>
      </c>
      <c r="BU46">
        <v>32</v>
      </c>
    </row>
    <row r="47" spans="1:73" x14ac:dyDescent="0.25">
      <c r="A47">
        <v>6016</v>
      </c>
      <c r="AB47" t="s">
        <v>1627</v>
      </c>
      <c r="AH47" t="s">
        <v>1665</v>
      </c>
      <c r="BS47" t="s">
        <v>1656</v>
      </c>
      <c r="BU47">
        <v>108</v>
      </c>
    </row>
    <row r="48" spans="1:73" x14ac:dyDescent="0.25">
      <c r="A48" t="s">
        <v>1666</v>
      </c>
    </row>
    <row r="49" spans="1:73" x14ac:dyDescent="0.25">
      <c r="A49">
        <v>6021</v>
      </c>
      <c r="AB49" t="s">
        <v>1623</v>
      </c>
      <c r="AH49" t="s">
        <v>1667</v>
      </c>
      <c r="BS49" t="s">
        <v>1668</v>
      </c>
      <c r="BU49">
        <v>3.32</v>
      </c>
    </row>
    <row r="50" spans="1:73" x14ac:dyDescent="0.25">
      <c r="A50">
        <v>6023</v>
      </c>
      <c r="AB50" t="s">
        <v>1623</v>
      </c>
      <c r="AH50" t="s">
        <v>1669</v>
      </c>
      <c r="BS50" t="s">
        <v>1670</v>
      </c>
      <c r="BU50">
        <v>16.8</v>
      </c>
    </row>
    <row r="51" spans="1:73" x14ac:dyDescent="0.25">
      <c r="A51">
        <v>6023</v>
      </c>
      <c r="AB51" t="s">
        <v>1623</v>
      </c>
      <c r="AH51" t="s">
        <v>1671</v>
      </c>
      <c r="BS51" t="s">
        <v>1670</v>
      </c>
      <c r="BU51">
        <v>16.8</v>
      </c>
    </row>
    <row r="52" spans="1:73" x14ac:dyDescent="0.25">
      <c r="A52">
        <v>6024</v>
      </c>
      <c r="AB52" t="s">
        <v>1623</v>
      </c>
      <c r="AH52" t="s">
        <v>1672</v>
      </c>
      <c r="BS52" t="s">
        <v>1670</v>
      </c>
      <c r="BU52">
        <v>6.1</v>
      </c>
    </row>
    <row r="53" spans="1:73" x14ac:dyDescent="0.25">
      <c r="AH53" t="s">
        <v>1673</v>
      </c>
    </row>
    <row r="54" spans="1:73" x14ac:dyDescent="0.25">
      <c r="A54">
        <v>6055</v>
      </c>
      <c r="AB54" t="s">
        <v>1623</v>
      </c>
      <c r="AH54" t="s">
        <v>1674</v>
      </c>
      <c r="BS54" t="s">
        <v>2</v>
      </c>
      <c r="BU54">
        <v>3.1</v>
      </c>
    </row>
    <row r="55" spans="1:73" x14ac:dyDescent="0.25">
      <c r="A55">
        <v>6056</v>
      </c>
      <c r="AB55" t="s">
        <v>1623</v>
      </c>
      <c r="AH55" t="s">
        <v>1675</v>
      </c>
      <c r="BS55" t="s">
        <v>2</v>
      </c>
      <c r="BU55">
        <v>6.3</v>
      </c>
    </row>
    <row r="56" spans="1:73" x14ac:dyDescent="0.25">
      <c r="A56">
        <v>6061</v>
      </c>
      <c r="AB56" t="s">
        <v>1623</v>
      </c>
      <c r="AH56" t="s">
        <v>1676</v>
      </c>
      <c r="BS56" t="s">
        <v>2</v>
      </c>
      <c r="BU56">
        <v>0.6</v>
      </c>
    </row>
    <row r="57" spans="1:73" x14ac:dyDescent="0.25">
      <c r="A57">
        <v>6065</v>
      </c>
      <c r="AB57" t="s">
        <v>1623</v>
      </c>
      <c r="AH57" t="s">
        <v>1677</v>
      </c>
      <c r="BS57" t="s">
        <v>2</v>
      </c>
      <c r="BU57">
        <v>13.2</v>
      </c>
    </row>
    <row r="58" spans="1:73" x14ac:dyDescent="0.25">
      <c r="A58">
        <v>6066</v>
      </c>
      <c r="AB58" t="s">
        <v>1623</v>
      </c>
      <c r="AH58" t="s">
        <v>1678</v>
      </c>
      <c r="BS58" t="s">
        <v>2</v>
      </c>
      <c r="BU58">
        <v>17.899999999999999</v>
      </c>
    </row>
    <row r="59" spans="1:73" x14ac:dyDescent="0.25">
      <c r="A59">
        <v>6067</v>
      </c>
      <c r="AB59" t="s">
        <v>1623</v>
      </c>
      <c r="AH59" t="s">
        <v>1679</v>
      </c>
      <c r="BS59" t="s">
        <v>2</v>
      </c>
      <c r="BU59">
        <v>30.3</v>
      </c>
    </row>
    <row r="62" spans="1:73" x14ac:dyDescent="0.25">
      <c r="A62" t="s">
        <v>1680</v>
      </c>
    </row>
    <row r="63" spans="1:73" x14ac:dyDescent="0.25">
      <c r="A63">
        <v>7000</v>
      </c>
      <c r="J63" t="s">
        <v>1623</v>
      </c>
      <c r="N63" t="s">
        <v>1681</v>
      </c>
      <c r="AX63" t="s">
        <v>2</v>
      </c>
      <c r="BC63">
        <v>51</v>
      </c>
    </row>
    <row r="64" spans="1:73" x14ac:dyDescent="0.25">
      <c r="A64">
        <v>7010</v>
      </c>
      <c r="J64" t="s">
        <v>1623</v>
      </c>
      <c r="N64" t="s">
        <v>1682</v>
      </c>
      <c r="AX64" t="s">
        <v>2</v>
      </c>
      <c r="BC64">
        <v>96</v>
      </c>
    </row>
    <row r="65" spans="1:55" x14ac:dyDescent="0.25">
      <c r="A65">
        <v>7012</v>
      </c>
      <c r="J65" t="s">
        <v>1623</v>
      </c>
      <c r="N65" t="s">
        <v>1683</v>
      </c>
      <c r="AX65" t="s">
        <v>2</v>
      </c>
      <c r="BC65">
        <v>79</v>
      </c>
    </row>
    <row r="66" spans="1:55" x14ac:dyDescent="0.25">
      <c r="A66">
        <v>7014</v>
      </c>
      <c r="J66" t="s">
        <v>1623</v>
      </c>
      <c r="N66" t="s">
        <v>1684</v>
      </c>
      <c r="AX66" t="s">
        <v>2</v>
      </c>
      <c r="BC66">
        <v>102</v>
      </c>
    </row>
    <row r="67" spans="1:55" x14ac:dyDescent="0.25">
      <c r="A67">
        <v>7028</v>
      </c>
      <c r="J67" t="s">
        <v>1623</v>
      </c>
      <c r="N67" t="s">
        <v>1685</v>
      </c>
      <c r="AX67" t="s">
        <v>2</v>
      </c>
      <c r="BC67">
        <v>101</v>
      </c>
    </row>
    <row r="68" spans="1:55" x14ac:dyDescent="0.25">
      <c r="A68">
        <v>7035</v>
      </c>
      <c r="J68" t="s">
        <v>1623</v>
      </c>
      <c r="N68" t="s">
        <v>1686</v>
      </c>
      <c r="AX68" t="s">
        <v>2</v>
      </c>
      <c r="BC68">
        <v>91</v>
      </c>
    </row>
    <row r="69" spans="1:55" x14ac:dyDescent="0.25">
      <c r="A69">
        <v>7036</v>
      </c>
      <c r="J69" t="s">
        <v>1623</v>
      </c>
      <c r="N69" t="s">
        <v>1687</v>
      </c>
      <c r="AX69" t="s">
        <v>2</v>
      </c>
      <c r="BC69">
        <v>108</v>
      </c>
    </row>
    <row r="70" spans="1:55" x14ac:dyDescent="0.25">
      <c r="A70" t="s">
        <v>1688</v>
      </c>
    </row>
    <row r="71" spans="1:55" x14ac:dyDescent="0.25">
      <c r="A71">
        <v>7015</v>
      </c>
      <c r="J71" t="s">
        <v>1623</v>
      </c>
      <c r="N71" t="s">
        <v>1689</v>
      </c>
      <c r="AX71" t="s">
        <v>2</v>
      </c>
      <c r="BC71">
        <v>15.8</v>
      </c>
    </row>
    <row r="72" spans="1:55" x14ac:dyDescent="0.25">
      <c r="A72">
        <v>7100</v>
      </c>
      <c r="J72" t="s">
        <v>1623</v>
      </c>
      <c r="N72" t="s">
        <v>1690</v>
      </c>
      <c r="AX72" t="s">
        <v>2</v>
      </c>
      <c r="BC72">
        <v>23.4</v>
      </c>
    </row>
    <row r="73" spans="1:55" x14ac:dyDescent="0.25">
      <c r="A73">
        <v>7101</v>
      </c>
      <c r="J73" t="s">
        <v>1623</v>
      </c>
      <c r="N73" t="s">
        <v>1691</v>
      </c>
      <c r="AX73" t="s">
        <v>2</v>
      </c>
      <c r="BC73">
        <v>0.9</v>
      </c>
    </row>
    <row r="74" spans="1:55" x14ac:dyDescent="0.25">
      <c r="A74">
        <v>7102</v>
      </c>
      <c r="J74" t="s">
        <v>1623</v>
      </c>
      <c r="N74" t="s">
        <v>1692</v>
      </c>
      <c r="AX74" t="s">
        <v>2</v>
      </c>
      <c r="BC74">
        <v>7.2</v>
      </c>
    </row>
    <row r="75" spans="1:55" x14ac:dyDescent="0.25">
      <c r="A75">
        <v>7103</v>
      </c>
      <c r="J75" t="s">
        <v>1623</v>
      </c>
      <c r="N75" t="s">
        <v>1693</v>
      </c>
      <c r="AX75" t="s">
        <v>2</v>
      </c>
      <c r="BC75">
        <v>31.1</v>
      </c>
    </row>
    <row r="76" spans="1:55" x14ac:dyDescent="0.25">
      <c r="A76">
        <v>7110</v>
      </c>
      <c r="J76" t="s">
        <v>1623</v>
      </c>
      <c r="N76" t="s">
        <v>1694</v>
      </c>
      <c r="AX76" t="s">
        <v>2</v>
      </c>
      <c r="BC76">
        <v>1.65</v>
      </c>
    </row>
    <row r="77" spans="1:55" x14ac:dyDescent="0.25">
      <c r="A77">
        <v>7111</v>
      </c>
      <c r="J77" t="s">
        <v>1623</v>
      </c>
      <c r="N77" t="s">
        <v>1695</v>
      </c>
      <c r="AX77" t="s">
        <v>2</v>
      </c>
      <c r="BC77">
        <v>1.65</v>
      </c>
    </row>
    <row r="78" spans="1:55" x14ac:dyDescent="0.25">
      <c r="A78">
        <v>7112</v>
      </c>
      <c r="J78" t="s">
        <v>1623</v>
      </c>
      <c r="N78" t="s">
        <v>1696</v>
      </c>
      <c r="AX78" t="s">
        <v>2</v>
      </c>
      <c r="BC78">
        <v>1.65</v>
      </c>
    </row>
    <row r="79" spans="1:55" x14ac:dyDescent="0.25">
      <c r="A79">
        <v>7113</v>
      </c>
      <c r="J79" t="s">
        <v>1623</v>
      </c>
      <c r="N79" t="s">
        <v>1697</v>
      </c>
      <c r="AX79" t="s">
        <v>2</v>
      </c>
      <c r="BC79">
        <v>1.86</v>
      </c>
    </row>
    <row r="80" spans="1:55" x14ac:dyDescent="0.25">
      <c r="A80">
        <v>7114</v>
      </c>
      <c r="J80" t="s">
        <v>1623</v>
      </c>
      <c r="N80" t="s">
        <v>1698</v>
      </c>
      <c r="AX80" t="s">
        <v>2</v>
      </c>
      <c r="BC80">
        <v>1.86</v>
      </c>
    </row>
    <row r="81" spans="1:55" x14ac:dyDescent="0.25">
      <c r="A81">
        <v>7150</v>
      </c>
      <c r="J81" t="s">
        <v>1627</v>
      </c>
      <c r="N81" t="s">
        <v>1699</v>
      </c>
      <c r="AX81" t="s">
        <v>551</v>
      </c>
      <c r="BC81">
        <v>0.77</v>
      </c>
    </row>
    <row r="82" spans="1:55" x14ac:dyDescent="0.25">
      <c r="A82">
        <v>7151</v>
      </c>
      <c r="J82" t="s">
        <v>1627</v>
      </c>
      <c r="N82" t="s">
        <v>1700</v>
      </c>
      <c r="AX82" t="s">
        <v>2</v>
      </c>
      <c r="BC82">
        <v>1.52</v>
      </c>
    </row>
    <row r="83" spans="1:55" x14ac:dyDescent="0.25">
      <c r="A83">
        <v>7152</v>
      </c>
      <c r="J83" t="s">
        <v>1627</v>
      </c>
      <c r="N83" t="s">
        <v>1701</v>
      </c>
      <c r="AX83" t="s">
        <v>2</v>
      </c>
      <c r="BC83">
        <v>1.52</v>
      </c>
    </row>
    <row r="84" spans="1:55" x14ac:dyDescent="0.25">
      <c r="A84">
        <v>7153</v>
      </c>
      <c r="J84" t="s">
        <v>1627</v>
      </c>
      <c r="N84" t="s">
        <v>1702</v>
      </c>
      <c r="AX84" t="s">
        <v>2</v>
      </c>
      <c r="BC84">
        <v>1.25</v>
      </c>
    </row>
    <row r="85" spans="1:55" x14ac:dyDescent="0.25">
      <c r="A85">
        <v>7154</v>
      </c>
      <c r="J85" t="s">
        <v>1627</v>
      </c>
      <c r="N85" t="s">
        <v>1703</v>
      </c>
      <c r="AX85" t="s">
        <v>2</v>
      </c>
      <c r="BC85">
        <v>1.79</v>
      </c>
    </row>
    <row r="86" spans="1:55" x14ac:dyDescent="0.25">
      <c r="A86">
        <v>7155</v>
      </c>
      <c r="J86" t="s">
        <v>1627</v>
      </c>
      <c r="N86" t="s">
        <v>1704</v>
      </c>
      <c r="AX86" t="s">
        <v>2</v>
      </c>
      <c r="BC86">
        <v>1.53</v>
      </c>
    </row>
    <row r="87" spans="1:55" x14ac:dyDescent="0.25">
      <c r="A87">
        <v>7156</v>
      </c>
      <c r="J87" t="s">
        <v>1627</v>
      </c>
      <c r="N87" t="s">
        <v>1705</v>
      </c>
      <c r="AX87" t="s">
        <v>2</v>
      </c>
      <c r="BC87">
        <v>0.26</v>
      </c>
    </row>
    <row r="88" spans="1:55" x14ac:dyDescent="0.25">
      <c r="A88">
        <v>7160</v>
      </c>
      <c r="J88" t="s">
        <v>1627</v>
      </c>
      <c r="N88" t="s">
        <v>1706</v>
      </c>
      <c r="AX88" t="s">
        <v>551</v>
      </c>
      <c r="BC88">
        <v>1.1299999999999999</v>
      </c>
    </row>
    <row r="89" spans="1:55" x14ac:dyDescent="0.25">
      <c r="A89">
        <v>7161</v>
      </c>
      <c r="J89" t="s">
        <v>1627</v>
      </c>
      <c r="N89" t="s">
        <v>1707</v>
      </c>
      <c r="AX89" t="s">
        <v>2</v>
      </c>
      <c r="BC89">
        <v>1.7</v>
      </c>
    </row>
    <row r="90" spans="1:55" x14ac:dyDescent="0.25">
      <c r="A90">
        <v>7162</v>
      </c>
      <c r="J90" t="s">
        <v>1627</v>
      </c>
      <c r="N90" t="s">
        <v>1708</v>
      </c>
      <c r="AX90" t="s">
        <v>2</v>
      </c>
      <c r="BC90">
        <v>1.7</v>
      </c>
    </row>
    <row r="91" spans="1:55" x14ac:dyDescent="0.25">
      <c r="A91">
        <v>7163</v>
      </c>
      <c r="J91" t="s">
        <v>1627</v>
      </c>
      <c r="N91" t="s">
        <v>1709</v>
      </c>
      <c r="AX91" t="s">
        <v>2</v>
      </c>
      <c r="BC91">
        <v>1.38</v>
      </c>
    </row>
    <row r="92" spans="1:55" x14ac:dyDescent="0.25">
      <c r="A92">
        <v>7164</v>
      </c>
      <c r="J92" t="s">
        <v>1627</v>
      </c>
      <c r="N92" t="s">
        <v>1710</v>
      </c>
      <c r="AX92" t="s">
        <v>2</v>
      </c>
      <c r="BC92">
        <v>1.98</v>
      </c>
    </row>
    <row r="93" spans="1:55" x14ac:dyDescent="0.25">
      <c r="A93">
        <v>7165</v>
      </c>
      <c r="J93" t="s">
        <v>1627</v>
      </c>
      <c r="N93" t="s">
        <v>1711</v>
      </c>
      <c r="AX93" t="s">
        <v>2</v>
      </c>
      <c r="BC93">
        <v>1.53</v>
      </c>
    </row>
    <row r="94" spans="1:55" x14ac:dyDescent="0.25">
      <c r="A94">
        <v>7166</v>
      </c>
      <c r="J94" t="s">
        <v>1627</v>
      </c>
      <c r="N94" t="s">
        <v>1712</v>
      </c>
      <c r="AX94" t="s">
        <v>2</v>
      </c>
      <c r="BC94">
        <v>0.3</v>
      </c>
    </row>
    <row r="95" spans="1:55" x14ac:dyDescent="0.25">
      <c r="A95" t="s">
        <v>1713</v>
      </c>
    </row>
    <row r="96" spans="1:55" x14ac:dyDescent="0.25">
      <c r="A96">
        <v>8000</v>
      </c>
      <c r="J96" t="s">
        <v>1623</v>
      </c>
      <c r="N96" t="s">
        <v>1714</v>
      </c>
      <c r="AX96" t="s">
        <v>551</v>
      </c>
      <c r="BC96">
        <v>6.36</v>
      </c>
    </row>
    <row r="97" spans="1:55" x14ac:dyDescent="0.25">
      <c r="A97">
        <v>8001</v>
      </c>
      <c r="J97" t="s">
        <v>1623</v>
      </c>
      <c r="N97" t="s">
        <v>1715</v>
      </c>
      <c r="AX97" t="s">
        <v>2</v>
      </c>
      <c r="BC97">
        <v>1.94</v>
      </c>
    </row>
    <row r="98" spans="1:55" x14ac:dyDescent="0.25">
      <c r="A98">
        <v>8002</v>
      </c>
      <c r="J98" t="s">
        <v>1623</v>
      </c>
      <c r="N98" t="s">
        <v>1716</v>
      </c>
      <c r="AX98" t="s">
        <v>2</v>
      </c>
      <c r="BC98">
        <v>1.94</v>
      </c>
    </row>
    <row r="99" spans="1:55" x14ac:dyDescent="0.25">
      <c r="A99">
        <v>8003</v>
      </c>
      <c r="J99" t="s">
        <v>1623</v>
      </c>
      <c r="N99" t="s">
        <v>1717</v>
      </c>
      <c r="AX99" t="s">
        <v>2</v>
      </c>
      <c r="BC99">
        <v>1.94</v>
      </c>
    </row>
    <row r="100" spans="1:55" x14ac:dyDescent="0.25">
      <c r="A100">
        <v>8004</v>
      </c>
      <c r="J100" t="s">
        <v>1623</v>
      </c>
      <c r="N100" t="s">
        <v>1718</v>
      </c>
      <c r="AX100" t="s">
        <v>2</v>
      </c>
      <c r="BC100">
        <v>1.94</v>
      </c>
    </row>
    <row r="101" spans="1:55" x14ac:dyDescent="0.25">
      <c r="A101">
        <v>8005</v>
      </c>
      <c r="J101" t="s">
        <v>1623</v>
      </c>
      <c r="N101" t="s">
        <v>1719</v>
      </c>
      <c r="AX101" t="s">
        <v>2</v>
      </c>
      <c r="BC101">
        <v>0.99</v>
      </c>
    </row>
    <row r="102" spans="1:55" x14ac:dyDescent="0.25">
      <c r="A102">
        <v>8006</v>
      </c>
      <c r="J102" t="s">
        <v>1623</v>
      </c>
      <c r="N102" t="s">
        <v>1720</v>
      </c>
      <c r="AX102" t="s">
        <v>2</v>
      </c>
      <c r="BC102">
        <v>1.94</v>
      </c>
    </row>
    <row r="103" spans="1:55" x14ac:dyDescent="0.25">
      <c r="A103">
        <v>8007</v>
      </c>
      <c r="J103" t="s">
        <v>1623</v>
      </c>
      <c r="N103" t="s">
        <v>1721</v>
      </c>
      <c r="AX103" t="s">
        <v>2</v>
      </c>
      <c r="BC103">
        <v>1.94</v>
      </c>
    </row>
    <row r="104" spans="1:55" x14ac:dyDescent="0.25">
      <c r="A104">
        <v>8009</v>
      </c>
      <c r="J104" t="s">
        <v>1623</v>
      </c>
      <c r="N104" t="s">
        <v>1722</v>
      </c>
      <c r="AX104" t="s">
        <v>2</v>
      </c>
      <c r="BC104">
        <v>2.19</v>
      </c>
    </row>
    <row r="105" spans="1:55" x14ac:dyDescent="0.25">
      <c r="A105" t="s">
        <v>1723</v>
      </c>
    </row>
    <row r="106" spans="1:55" x14ac:dyDescent="0.25">
      <c r="A106" t="s">
        <v>1724</v>
      </c>
    </row>
    <row r="107" spans="1:55" x14ac:dyDescent="0.25">
      <c r="A107">
        <v>8020</v>
      </c>
      <c r="J107" t="s">
        <v>1623</v>
      </c>
      <c r="N107" t="s">
        <v>1725</v>
      </c>
      <c r="AX107" t="s">
        <v>551</v>
      </c>
      <c r="BC107">
        <v>3.3</v>
      </c>
    </row>
    <row r="108" spans="1:55" x14ac:dyDescent="0.25">
      <c r="A108">
        <v>8021</v>
      </c>
      <c r="J108" t="s">
        <v>1623</v>
      </c>
      <c r="N108" t="s">
        <v>1726</v>
      </c>
      <c r="AX108" t="s">
        <v>2</v>
      </c>
      <c r="BC108">
        <v>1.37</v>
      </c>
    </row>
    <row r="109" spans="1:55" x14ac:dyDescent="0.25">
      <c r="A109">
        <v>8022</v>
      </c>
      <c r="J109" t="s">
        <v>1623</v>
      </c>
      <c r="N109" t="s">
        <v>1727</v>
      </c>
      <c r="AX109" t="s">
        <v>2</v>
      </c>
      <c r="BC109">
        <v>1.37</v>
      </c>
    </row>
    <row r="110" spans="1:55" x14ac:dyDescent="0.25">
      <c r="A110">
        <v>8023</v>
      </c>
      <c r="J110" t="s">
        <v>1623</v>
      </c>
      <c r="N110" t="s">
        <v>1728</v>
      </c>
      <c r="AX110" t="s">
        <v>2</v>
      </c>
      <c r="BC110">
        <v>1.79</v>
      </c>
    </row>
    <row r="111" spans="1:55" x14ac:dyDescent="0.25">
      <c r="A111">
        <v>8024</v>
      </c>
      <c r="J111" t="s">
        <v>1623</v>
      </c>
      <c r="N111" t="s">
        <v>1729</v>
      </c>
      <c r="AX111" t="s">
        <v>2</v>
      </c>
      <c r="BC111">
        <v>3.29</v>
      </c>
    </row>
    <row r="112" spans="1:55" x14ac:dyDescent="0.25">
      <c r="A112">
        <v>8025</v>
      </c>
      <c r="J112" t="s">
        <v>1623</v>
      </c>
      <c r="N112" t="s">
        <v>1730</v>
      </c>
      <c r="AX112" t="s">
        <v>2</v>
      </c>
      <c r="BC112">
        <v>0.81</v>
      </c>
    </row>
    <row r="113" spans="1:73" x14ac:dyDescent="0.25">
      <c r="A113">
        <v>8026</v>
      </c>
      <c r="J113" t="s">
        <v>1623</v>
      </c>
      <c r="N113" t="s">
        <v>1731</v>
      </c>
      <c r="AX113" t="s">
        <v>2</v>
      </c>
      <c r="BC113">
        <v>1.29</v>
      </c>
    </row>
    <row r="114" spans="1:73" x14ac:dyDescent="0.25">
      <c r="A114">
        <v>8027</v>
      </c>
      <c r="J114" t="s">
        <v>1623</v>
      </c>
      <c r="N114" t="s">
        <v>1732</v>
      </c>
      <c r="AX114" t="s">
        <v>2</v>
      </c>
      <c r="BC114">
        <v>2.0099999999999998</v>
      </c>
    </row>
    <row r="115" spans="1:73" x14ac:dyDescent="0.25">
      <c r="A115">
        <v>8028</v>
      </c>
      <c r="J115" t="s">
        <v>1623</v>
      </c>
      <c r="N115" t="s">
        <v>1733</v>
      </c>
      <c r="AX115" t="s">
        <v>2</v>
      </c>
      <c r="BC115">
        <v>1.25</v>
      </c>
    </row>
    <row r="116" spans="1:73" x14ac:dyDescent="0.25">
      <c r="A116">
        <v>8029</v>
      </c>
      <c r="J116" t="s">
        <v>1623</v>
      </c>
      <c r="N116" t="s">
        <v>1734</v>
      </c>
      <c r="AX116" t="s">
        <v>2</v>
      </c>
      <c r="BC116">
        <v>1.62</v>
      </c>
    </row>
    <row r="117" spans="1:73" x14ac:dyDescent="0.25">
      <c r="A117" t="s">
        <v>1735</v>
      </c>
    </row>
    <row r="118" spans="1:73" x14ac:dyDescent="0.25">
      <c r="A118" t="s">
        <v>1736</v>
      </c>
    </row>
    <row r="119" spans="1:73" x14ac:dyDescent="0.25">
      <c r="A119">
        <v>8100</v>
      </c>
      <c r="J119" t="s">
        <v>1627</v>
      </c>
      <c r="N119" t="s">
        <v>1737</v>
      </c>
      <c r="AX119" t="s">
        <v>2</v>
      </c>
      <c r="BC119">
        <v>10.1</v>
      </c>
    </row>
    <row r="120" spans="1:73" x14ac:dyDescent="0.25">
      <c r="A120">
        <v>8102</v>
      </c>
      <c r="J120" t="s">
        <v>1623</v>
      </c>
      <c r="N120" t="s">
        <v>1738</v>
      </c>
      <c r="AX120" t="s">
        <v>2</v>
      </c>
      <c r="BC120">
        <v>6.2</v>
      </c>
    </row>
    <row r="121" spans="1:73" x14ac:dyDescent="0.25">
      <c r="A121" t="s">
        <v>1739</v>
      </c>
    </row>
    <row r="122" spans="1:73" x14ac:dyDescent="0.25">
      <c r="A122" t="s">
        <v>1740</v>
      </c>
    </row>
    <row r="123" spans="1:73" x14ac:dyDescent="0.25">
      <c r="A123" t="s">
        <v>1741</v>
      </c>
    </row>
    <row r="124" spans="1:73" x14ac:dyDescent="0.25">
      <c r="AH124" t="s">
        <v>1742</v>
      </c>
    </row>
    <row r="126" spans="1:73" x14ac:dyDescent="0.25">
      <c r="BU126" t="s">
        <v>1743</v>
      </c>
    </row>
    <row r="128" spans="1:73" x14ac:dyDescent="0.25">
      <c r="I128" t="s">
        <v>1744</v>
      </c>
    </row>
    <row r="132" spans="1:43" x14ac:dyDescent="0.25">
      <c r="J132" t="s">
        <v>1745</v>
      </c>
    </row>
    <row r="133" spans="1:43" x14ac:dyDescent="0.25">
      <c r="L133" t="s">
        <v>1746</v>
      </c>
    </row>
    <row r="134" spans="1:43" x14ac:dyDescent="0.25">
      <c r="V134" t="s">
        <v>1747</v>
      </c>
      <c r="AQ134" t="s">
        <v>1748</v>
      </c>
    </row>
    <row r="135" spans="1:43" x14ac:dyDescent="0.25">
      <c r="AJ135">
        <v>2.6</v>
      </c>
    </row>
    <row r="137" spans="1:43" x14ac:dyDescent="0.25">
      <c r="A137" t="s">
        <v>1749</v>
      </c>
      <c r="V137" t="s">
        <v>1750</v>
      </c>
    </row>
    <row r="138" spans="1:43" x14ac:dyDescent="0.25">
      <c r="J138" t="s">
        <v>1751</v>
      </c>
    </row>
    <row r="139" spans="1:43" x14ac:dyDescent="0.25">
      <c r="A139" t="s">
        <v>1752</v>
      </c>
    </row>
    <row r="140" spans="1:43" x14ac:dyDescent="0.25">
      <c r="V140" t="s">
        <v>1753</v>
      </c>
      <c r="AQ140" t="s">
        <v>1754</v>
      </c>
    </row>
    <row r="141" spans="1:43" x14ac:dyDescent="0.25">
      <c r="J141" t="s">
        <v>1755</v>
      </c>
    </row>
    <row r="143" spans="1:43" x14ac:dyDescent="0.25">
      <c r="J143" t="s">
        <v>1756</v>
      </c>
    </row>
    <row r="144" spans="1:43" x14ac:dyDescent="0.25">
      <c r="A144" t="s">
        <v>1757</v>
      </c>
    </row>
    <row r="145" spans="4:54" x14ac:dyDescent="0.25">
      <c r="V145" t="s">
        <v>1758</v>
      </c>
      <c r="AQ145" t="s">
        <v>1759</v>
      </c>
    </row>
    <row r="146" spans="4:54" x14ac:dyDescent="0.25">
      <c r="BB146">
        <v>896</v>
      </c>
    </row>
    <row r="147" spans="4:54" x14ac:dyDescent="0.25">
      <c r="AJ147">
        <v>2.6</v>
      </c>
    </row>
    <row r="151" spans="4:54" x14ac:dyDescent="0.25">
      <c r="J151" t="s">
        <v>1760</v>
      </c>
    </row>
    <row r="153" spans="4:54" x14ac:dyDescent="0.25">
      <c r="J153" t="s">
        <v>1761</v>
      </c>
    </row>
    <row r="155" spans="4:54" x14ac:dyDescent="0.25">
      <c r="J155" t="s">
        <v>1762</v>
      </c>
    </row>
    <row r="157" spans="4:54" x14ac:dyDescent="0.25">
      <c r="J157" t="s">
        <v>1763</v>
      </c>
    </row>
    <row r="159" spans="4:54" x14ac:dyDescent="0.25">
      <c r="D159">
        <v>1</v>
      </c>
    </row>
    <row r="160" spans="4:54" x14ac:dyDescent="0.25">
      <c r="L160" t="s">
        <v>1764</v>
      </c>
    </row>
    <row r="161" spans="1:73" x14ac:dyDescent="0.25">
      <c r="AB161" t="s">
        <v>655</v>
      </c>
    </row>
    <row r="163" spans="1:73" x14ac:dyDescent="0.25">
      <c r="J163" t="s">
        <v>1765</v>
      </c>
    </row>
    <row r="166" spans="1:73" x14ac:dyDescent="0.25">
      <c r="AH166" t="s">
        <v>1742</v>
      </c>
    </row>
    <row r="168" spans="1:73" x14ac:dyDescent="0.25">
      <c r="BU168" t="s">
        <v>1743</v>
      </c>
    </row>
    <row r="170" spans="1:73" x14ac:dyDescent="0.25">
      <c r="I170" t="s">
        <v>1744</v>
      </c>
    </row>
    <row r="174" spans="1:73" x14ac:dyDescent="0.25">
      <c r="J174" t="s">
        <v>1766</v>
      </c>
    </row>
    <row r="175" spans="1:73" x14ac:dyDescent="0.25">
      <c r="A175" t="s">
        <v>1767</v>
      </c>
    </row>
    <row r="176" spans="1:73" x14ac:dyDescent="0.25">
      <c r="X176" t="s">
        <v>1768</v>
      </c>
      <c r="AQ176" t="s">
        <v>1769</v>
      </c>
    </row>
    <row r="177" spans="1:36" x14ac:dyDescent="0.25">
      <c r="J177" t="s">
        <v>1770</v>
      </c>
    </row>
    <row r="179" spans="1:36" x14ac:dyDescent="0.25">
      <c r="J179" t="s">
        <v>1771</v>
      </c>
    </row>
    <row r="181" spans="1:36" x14ac:dyDescent="0.25">
      <c r="J181" t="s">
        <v>1772</v>
      </c>
    </row>
    <row r="182" spans="1:36" x14ac:dyDescent="0.25">
      <c r="A182" t="s">
        <v>1773</v>
      </c>
      <c r="AJ182" t="s">
        <v>1774</v>
      </c>
    </row>
    <row r="183" spans="1:36" x14ac:dyDescent="0.25">
      <c r="X183" t="s">
        <v>1775</v>
      </c>
    </row>
    <row r="186" spans="1:36" x14ac:dyDescent="0.25">
      <c r="J186" t="s">
        <v>1776</v>
      </c>
    </row>
    <row r="188" spans="1:36" x14ac:dyDescent="0.25">
      <c r="J188" t="s">
        <v>1777</v>
      </c>
    </row>
    <row r="189" spans="1:36" x14ac:dyDescent="0.25">
      <c r="A189" t="s">
        <v>1778</v>
      </c>
    </row>
    <row r="190" spans="1:36" x14ac:dyDescent="0.25">
      <c r="X190" t="s">
        <v>1779</v>
      </c>
      <c r="AJ190" t="s">
        <v>1780</v>
      </c>
    </row>
    <row r="192" spans="1:36" x14ac:dyDescent="0.25">
      <c r="J192" t="s">
        <v>1781</v>
      </c>
    </row>
    <row r="194" spans="4:73" x14ac:dyDescent="0.25">
      <c r="D194">
        <v>2</v>
      </c>
    </row>
    <row r="195" spans="4:73" x14ac:dyDescent="0.25">
      <c r="L195" t="s">
        <v>1764</v>
      </c>
    </row>
    <row r="196" spans="4:73" x14ac:dyDescent="0.25">
      <c r="AB196" t="s">
        <v>655</v>
      </c>
    </row>
    <row r="198" spans="4:73" x14ac:dyDescent="0.25">
      <c r="J198" t="s">
        <v>1765</v>
      </c>
    </row>
    <row r="201" spans="4:73" x14ac:dyDescent="0.25">
      <c r="AH201" t="s">
        <v>1742</v>
      </c>
    </row>
    <row r="203" spans="4:73" x14ac:dyDescent="0.25">
      <c r="BU203" t="s">
        <v>1743</v>
      </c>
    </row>
    <row r="205" spans="4:73" x14ac:dyDescent="0.25">
      <c r="I205" t="s">
        <v>1744</v>
      </c>
    </row>
    <row r="209" spans="1:54" x14ac:dyDescent="0.25">
      <c r="J209" t="s">
        <v>1782</v>
      </c>
    </row>
    <row r="210" spans="1:54" x14ac:dyDescent="0.25">
      <c r="A210" t="s">
        <v>1783</v>
      </c>
      <c r="V210" t="s">
        <v>1784</v>
      </c>
      <c r="AQ210" t="s">
        <v>1785</v>
      </c>
    </row>
    <row r="211" spans="1:54" x14ac:dyDescent="0.25">
      <c r="AJ211">
        <v>2.6</v>
      </c>
      <c r="BB211">
        <v>1501</v>
      </c>
    </row>
    <row r="212" spans="1:54" x14ac:dyDescent="0.25">
      <c r="A212" t="s">
        <v>1749</v>
      </c>
      <c r="V212" t="s">
        <v>1786</v>
      </c>
    </row>
    <row r="214" spans="1:54" x14ac:dyDescent="0.25">
      <c r="J214" t="s">
        <v>1787</v>
      </c>
    </row>
    <row r="216" spans="1:54" x14ac:dyDescent="0.25">
      <c r="J216" t="s">
        <v>1788</v>
      </c>
    </row>
    <row r="217" spans="1:54" x14ac:dyDescent="0.25">
      <c r="V217" t="s">
        <v>1789</v>
      </c>
    </row>
    <row r="218" spans="1:54" x14ac:dyDescent="0.25">
      <c r="A218" t="s">
        <v>1790</v>
      </c>
    </row>
    <row r="219" spans="1:54" x14ac:dyDescent="0.25">
      <c r="A219" t="s">
        <v>1749</v>
      </c>
      <c r="V219" t="s">
        <v>1791</v>
      </c>
    </row>
    <row r="221" spans="1:54" x14ac:dyDescent="0.25">
      <c r="J221" t="s">
        <v>1792</v>
      </c>
    </row>
    <row r="223" spans="1:54" x14ac:dyDescent="0.25">
      <c r="D223">
        <v>3</v>
      </c>
    </row>
    <row r="224" spans="1:54" x14ac:dyDescent="0.25">
      <c r="L224" t="s">
        <v>1764</v>
      </c>
    </row>
    <row r="225" spans="1:73" x14ac:dyDescent="0.25">
      <c r="AB225" t="s">
        <v>655</v>
      </c>
    </row>
    <row r="227" spans="1:73" x14ac:dyDescent="0.25">
      <c r="J227" t="s">
        <v>1765</v>
      </c>
    </row>
    <row r="229" spans="1:73" x14ac:dyDescent="0.25">
      <c r="AH229" t="s">
        <v>1742</v>
      </c>
    </row>
    <row r="231" spans="1:73" x14ac:dyDescent="0.25">
      <c r="BU231" t="s">
        <v>1743</v>
      </c>
    </row>
    <row r="233" spans="1:73" x14ac:dyDescent="0.25">
      <c r="I233" t="s">
        <v>1744</v>
      </c>
    </row>
    <row r="237" spans="1:73" x14ac:dyDescent="0.25">
      <c r="J237" t="s">
        <v>1793</v>
      </c>
    </row>
    <row r="238" spans="1:73" x14ac:dyDescent="0.25">
      <c r="A238" t="s">
        <v>1794</v>
      </c>
      <c r="BB238">
        <v>36</v>
      </c>
    </row>
    <row r="240" spans="1:73" x14ac:dyDescent="0.25">
      <c r="J240" t="s">
        <v>1795</v>
      </c>
      <c r="AU240">
        <v>140</v>
      </c>
    </row>
    <row r="241" spans="4:81" x14ac:dyDescent="0.25">
      <c r="CC241" t="s">
        <v>1796</v>
      </c>
    </row>
    <row r="242" spans="4:81" x14ac:dyDescent="0.25">
      <c r="BY242" t="s">
        <v>1797</v>
      </c>
    </row>
    <row r="243" spans="4:81" x14ac:dyDescent="0.25">
      <c r="J243" t="s">
        <v>1798</v>
      </c>
      <c r="AU243">
        <v>89</v>
      </c>
    </row>
    <row r="244" spans="4:81" x14ac:dyDescent="0.25">
      <c r="J244" t="s">
        <v>1799</v>
      </c>
      <c r="AB244" t="s">
        <v>1800</v>
      </c>
      <c r="AU244">
        <v>114</v>
      </c>
    </row>
    <row r="245" spans="4:81" x14ac:dyDescent="0.25">
      <c r="J245" t="s">
        <v>1801</v>
      </c>
      <c r="AU245">
        <v>123</v>
      </c>
    </row>
    <row r="247" spans="4:81" x14ac:dyDescent="0.25">
      <c r="L247" t="s">
        <v>1764</v>
      </c>
      <c r="S247" t="s">
        <v>655</v>
      </c>
    </row>
    <row r="248" spans="4:81" x14ac:dyDescent="0.25">
      <c r="D248">
        <v>4</v>
      </c>
    </row>
    <row r="249" spans="4:81" x14ac:dyDescent="0.25">
      <c r="J249" t="s">
        <v>1765</v>
      </c>
    </row>
    <row r="251" spans="4:81" x14ac:dyDescent="0.25">
      <c r="AH251" t="s">
        <v>1742</v>
      </c>
    </row>
    <row r="253" spans="4:81" x14ac:dyDescent="0.25">
      <c r="BU253" t="s">
        <v>1743</v>
      </c>
    </row>
    <row r="255" spans="4:81" x14ac:dyDescent="0.25">
      <c r="I255" t="s">
        <v>1744</v>
      </c>
    </row>
    <row r="259" spans="1:47" x14ac:dyDescent="0.25">
      <c r="J259" t="s">
        <v>1802</v>
      </c>
    </row>
    <row r="260" spans="1:47" x14ac:dyDescent="0.25">
      <c r="AK260" t="s">
        <v>1803</v>
      </c>
    </row>
    <row r="261" spans="1:47" x14ac:dyDescent="0.25">
      <c r="A261" t="s">
        <v>1804</v>
      </c>
    </row>
    <row r="262" spans="1:47" x14ac:dyDescent="0.25">
      <c r="AU262" t="s">
        <v>1805</v>
      </c>
    </row>
    <row r="264" spans="1:47" x14ac:dyDescent="0.25">
      <c r="J264" t="s">
        <v>1806</v>
      </c>
    </row>
    <row r="265" spans="1:47" x14ac:dyDescent="0.25">
      <c r="AK265" t="s">
        <v>1803</v>
      </c>
    </row>
    <row r="266" spans="1:47" x14ac:dyDescent="0.25">
      <c r="AU266" t="s">
        <v>1807</v>
      </c>
    </row>
    <row r="267" spans="1:47" x14ac:dyDescent="0.25">
      <c r="A267" t="s">
        <v>1808</v>
      </c>
    </row>
    <row r="270" spans="1:47" x14ac:dyDescent="0.25">
      <c r="J270" t="s">
        <v>1809</v>
      </c>
    </row>
    <row r="271" spans="1:47" x14ac:dyDescent="0.25">
      <c r="AK271" t="s">
        <v>1803</v>
      </c>
    </row>
    <row r="272" spans="1:47" x14ac:dyDescent="0.25">
      <c r="A272" t="s">
        <v>1810</v>
      </c>
      <c r="AU272" t="s">
        <v>1811</v>
      </c>
    </row>
    <row r="274" spans="1:86" x14ac:dyDescent="0.25">
      <c r="J274" t="s">
        <v>1812</v>
      </c>
    </row>
    <row r="275" spans="1:86" x14ac:dyDescent="0.25">
      <c r="AK275" t="s">
        <v>1803</v>
      </c>
    </row>
    <row r="276" spans="1:86" x14ac:dyDescent="0.25">
      <c r="A276" t="s">
        <v>1813</v>
      </c>
      <c r="AU276" t="s">
        <v>1814</v>
      </c>
    </row>
    <row r="278" spans="1:86" x14ac:dyDescent="0.25">
      <c r="J278" t="s">
        <v>1815</v>
      </c>
      <c r="AB278" t="s">
        <v>1816</v>
      </c>
      <c r="AK278" t="s">
        <v>1817</v>
      </c>
      <c r="AT278" t="s">
        <v>1818</v>
      </c>
      <c r="BE278" t="s">
        <v>1819</v>
      </c>
      <c r="BO278" t="s">
        <v>1820</v>
      </c>
      <c r="BY278" t="s">
        <v>1821</v>
      </c>
    </row>
    <row r="279" spans="1:86" x14ac:dyDescent="0.25">
      <c r="J279" t="s">
        <v>1822</v>
      </c>
      <c r="AB279" t="s">
        <v>1823</v>
      </c>
      <c r="AK279" t="s">
        <v>1823</v>
      </c>
      <c r="AU279" t="s">
        <v>1823</v>
      </c>
      <c r="BE279" t="s">
        <v>1823</v>
      </c>
      <c r="BO279" t="s">
        <v>1823</v>
      </c>
      <c r="BY279" t="s">
        <v>1823</v>
      </c>
      <c r="CH279" t="s">
        <v>1823</v>
      </c>
    </row>
    <row r="280" spans="1:86" x14ac:dyDescent="0.25">
      <c r="J280" t="s">
        <v>1824</v>
      </c>
      <c r="AB280" t="s">
        <v>1823</v>
      </c>
      <c r="AK280" t="s">
        <v>1823</v>
      </c>
      <c r="AU280" t="s">
        <v>1823</v>
      </c>
      <c r="BE280" t="s">
        <v>1823</v>
      </c>
      <c r="BO280" t="s">
        <v>1823</v>
      </c>
      <c r="BY280" t="s">
        <v>1823</v>
      </c>
      <c r="CH280" t="s">
        <v>1823</v>
      </c>
    </row>
    <row r="281" spans="1:86" x14ac:dyDescent="0.25">
      <c r="J281" t="s">
        <v>1825</v>
      </c>
      <c r="AB281" t="s">
        <v>1823</v>
      </c>
      <c r="AK281" t="s">
        <v>1823</v>
      </c>
      <c r="AU281" t="s">
        <v>1823</v>
      </c>
      <c r="BE281" t="s">
        <v>1823</v>
      </c>
      <c r="BO281" t="s">
        <v>1823</v>
      </c>
      <c r="BY281" t="s">
        <v>1823</v>
      </c>
      <c r="CH281" t="s">
        <v>1823</v>
      </c>
    </row>
    <row r="282" spans="1:86" x14ac:dyDescent="0.25">
      <c r="J282" t="s">
        <v>1826</v>
      </c>
      <c r="AB282" t="s">
        <v>1823</v>
      </c>
      <c r="AK282" t="s">
        <v>1823</v>
      </c>
      <c r="AU282" t="s">
        <v>1823</v>
      </c>
      <c r="BE282" t="s">
        <v>1823</v>
      </c>
      <c r="BO282" t="s">
        <v>1823</v>
      </c>
      <c r="BY282" t="s">
        <v>1823</v>
      </c>
      <c r="CH282" t="s">
        <v>1823</v>
      </c>
    </row>
    <row r="283" spans="1:86" x14ac:dyDescent="0.25">
      <c r="J283" t="s">
        <v>1827</v>
      </c>
      <c r="AB283" t="s">
        <v>1823</v>
      </c>
      <c r="AK283" t="s">
        <v>1823</v>
      </c>
      <c r="AU283" t="s">
        <v>1823</v>
      </c>
      <c r="BE283" t="s">
        <v>1823</v>
      </c>
      <c r="BO283" t="s">
        <v>1823</v>
      </c>
      <c r="BY283" t="s">
        <v>1823</v>
      </c>
      <c r="CH283" t="s">
        <v>1823</v>
      </c>
    </row>
    <row r="284" spans="1:86" x14ac:dyDescent="0.25">
      <c r="J284" t="s">
        <v>1828</v>
      </c>
      <c r="AB284" t="s">
        <v>1823</v>
      </c>
      <c r="AK284" t="s">
        <v>1823</v>
      </c>
      <c r="AU284" t="s">
        <v>1823</v>
      </c>
      <c r="BE284" t="s">
        <v>1823</v>
      </c>
      <c r="BO284" t="s">
        <v>1823</v>
      </c>
      <c r="BY284" t="s">
        <v>1823</v>
      </c>
      <c r="CH284" t="s">
        <v>1823</v>
      </c>
    </row>
    <row r="285" spans="1:86" x14ac:dyDescent="0.25">
      <c r="J285" t="s">
        <v>1829</v>
      </c>
      <c r="AB285" t="s">
        <v>1823</v>
      </c>
      <c r="AK285" t="s">
        <v>1823</v>
      </c>
      <c r="AU285" t="s">
        <v>1823</v>
      </c>
      <c r="BE285" t="s">
        <v>1823</v>
      </c>
      <c r="BO285" t="s">
        <v>1823</v>
      </c>
      <c r="BY285" t="s">
        <v>1823</v>
      </c>
      <c r="CH285" t="s">
        <v>1823</v>
      </c>
    </row>
    <row r="287" spans="1:86" x14ac:dyDescent="0.25">
      <c r="D287">
        <v>5</v>
      </c>
    </row>
    <row r="288" spans="1:86" x14ac:dyDescent="0.25">
      <c r="J288" t="s">
        <v>1830</v>
      </c>
    </row>
    <row r="290" spans="9:77" x14ac:dyDescent="0.25">
      <c r="AH290" t="s">
        <v>1742</v>
      </c>
    </row>
    <row r="292" spans="9:77" x14ac:dyDescent="0.25">
      <c r="BU292" t="s">
        <v>1743</v>
      </c>
    </row>
    <row r="294" spans="9:77" x14ac:dyDescent="0.25">
      <c r="I294" t="s">
        <v>1744</v>
      </c>
    </row>
    <row r="298" spans="9:77" x14ac:dyDescent="0.25">
      <c r="BY298" t="s">
        <v>1831</v>
      </c>
    </row>
    <row r="299" spans="9:77" x14ac:dyDescent="0.25">
      <c r="J299" t="s">
        <v>1832</v>
      </c>
    </row>
    <row r="300" spans="9:77" x14ac:dyDescent="0.25">
      <c r="J300" t="s">
        <v>573</v>
      </c>
      <c r="U300" t="s">
        <v>1833</v>
      </c>
      <c r="AH300" t="s">
        <v>1834</v>
      </c>
    </row>
    <row r="301" spans="9:77" x14ac:dyDescent="0.25">
      <c r="U301" t="s">
        <v>1835</v>
      </c>
    </row>
    <row r="302" spans="9:77" x14ac:dyDescent="0.25">
      <c r="J302" t="s">
        <v>1747</v>
      </c>
      <c r="U302">
        <v>2.6</v>
      </c>
      <c r="AH302" t="s">
        <v>1836</v>
      </c>
    </row>
    <row r="303" spans="9:77" x14ac:dyDescent="0.25">
      <c r="J303" t="s">
        <v>1837</v>
      </c>
      <c r="U303">
        <v>3.5</v>
      </c>
      <c r="AH303" t="s">
        <v>1838</v>
      </c>
    </row>
    <row r="304" spans="9:77" x14ac:dyDescent="0.25">
      <c r="J304" t="s">
        <v>1753</v>
      </c>
      <c r="U304">
        <v>5.3</v>
      </c>
      <c r="AH304" t="s">
        <v>1839</v>
      </c>
    </row>
    <row r="305" spans="1:34" x14ac:dyDescent="0.25">
      <c r="J305" t="s">
        <v>1840</v>
      </c>
      <c r="U305">
        <v>7.1</v>
      </c>
      <c r="AH305" t="s">
        <v>1841</v>
      </c>
    </row>
    <row r="307" spans="1:34" x14ac:dyDescent="0.25">
      <c r="A307" t="s">
        <v>1842</v>
      </c>
    </row>
    <row r="309" spans="1:34" x14ac:dyDescent="0.25">
      <c r="J309" t="s">
        <v>1843</v>
      </c>
    </row>
    <row r="310" spans="1:34" x14ac:dyDescent="0.25">
      <c r="J310" t="s">
        <v>1844</v>
      </c>
      <c r="U310">
        <v>2.6</v>
      </c>
      <c r="AH310" t="s">
        <v>1845</v>
      </c>
    </row>
    <row r="311" spans="1:34" x14ac:dyDescent="0.25">
      <c r="J311" t="s">
        <v>1846</v>
      </c>
      <c r="U311">
        <v>3.5</v>
      </c>
      <c r="AH311" t="s">
        <v>1847</v>
      </c>
    </row>
    <row r="313" spans="1:34" x14ac:dyDescent="0.25">
      <c r="J313" t="s">
        <v>573</v>
      </c>
      <c r="S313" t="s">
        <v>1848</v>
      </c>
      <c r="AH313" t="s">
        <v>1849</v>
      </c>
    </row>
    <row r="314" spans="1:34" x14ac:dyDescent="0.25">
      <c r="S314" t="s">
        <v>1850</v>
      </c>
      <c r="AH314" t="s">
        <v>1834</v>
      </c>
    </row>
    <row r="315" spans="1:34" x14ac:dyDescent="0.25">
      <c r="J315" t="s">
        <v>1768</v>
      </c>
      <c r="S315">
        <v>2.6</v>
      </c>
      <c r="AH315" t="s">
        <v>1851</v>
      </c>
    </row>
    <row r="316" spans="1:34" x14ac:dyDescent="0.25">
      <c r="J316" t="s">
        <v>1852</v>
      </c>
      <c r="S316">
        <v>3.5</v>
      </c>
      <c r="AH316" t="s">
        <v>1853</v>
      </c>
    </row>
    <row r="317" spans="1:34" x14ac:dyDescent="0.25">
      <c r="J317" t="s">
        <v>1854</v>
      </c>
      <c r="S317">
        <v>5.3</v>
      </c>
      <c r="AH317" t="s">
        <v>1855</v>
      </c>
    </row>
    <row r="318" spans="1:34" x14ac:dyDescent="0.25">
      <c r="J318" t="s">
        <v>1856</v>
      </c>
      <c r="S318">
        <v>7.1</v>
      </c>
      <c r="AH318" t="s">
        <v>1857</v>
      </c>
    </row>
    <row r="319" spans="1:34" x14ac:dyDescent="0.25">
      <c r="J319" t="s">
        <v>1858</v>
      </c>
      <c r="X319" t="s">
        <v>1859</v>
      </c>
      <c r="AH319" t="s">
        <v>1860</v>
      </c>
    </row>
    <row r="320" spans="1:34" x14ac:dyDescent="0.25">
      <c r="J320" t="s">
        <v>1861</v>
      </c>
      <c r="X320" t="s">
        <v>1862</v>
      </c>
      <c r="AH320" t="s">
        <v>1863</v>
      </c>
    </row>
    <row r="321" spans="1:73" x14ac:dyDescent="0.25">
      <c r="D321">
        <v>6</v>
      </c>
    </row>
    <row r="323" spans="1:73" x14ac:dyDescent="0.25">
      <c r="J323" t="s">
        <v>1864</v>
      </c>
    </row>
    <row r="325" spans="1:73" x14ac:dyDescent="0.25">
      <c r="AH325" t="s">
        <v>1742</v>
      </c>
    </row>
    <row r="327" spans="1:73" x14ac:dyDescent="0.25">
      <c r="BU327" t="s">
        <v>1743</v>
      </c>
    </row>
    <row r="329" spans="1:73" x14ac:dyDescent="0.25">
      <c r="I329" t="s">
        <v>1744</v>
      </c>
    </row>
    <row r="333" spans="1:73" x14ac:dyDescent="0.25">
      <c r="A333" t="s">
        <v>1865</v>
      </c>
      <c r="BE333" t="s">
        <v>1866</v>
      </c>
    </row>
    <row r="334" spans="1:73" x14ac:dyDescent="0.25">
      <c r="J334" t="s">
        <v>1867</v>
      </c>
    </row>
    <row r="335" spans="1:73" x14ac:dyDescent="0.25">
      <c r="J335" t="s">
        <v>1868</v>
      </c>
      <c r="X335" t="s">
        <v>1859</v>
      </c>
      <c r="AH335" t="s">
        <v>1869</v>
      </c>
    </row>
    <row r="336" spans="1:73" x14ac:dyDescent="0.25">
      <c r="J336" t="s">
        <v>1870</v>
      </c>
      <c r="X336" t="s">
        <v>1862</v>
      </c>
      <c r="AH336" t="s">
        <v>1871</v>
      </c>
    </row>
    <row r="337" spans="1:36" x14ac:dyDescent="0.25">
      <c r="J337" t="s">
        <v>1872</v>
      </c>
      <c r="X337" t="s">
        <v>1873</v>
      </c>
      <c r="AH337" t="s">
        <v>1874</v>
      </c>
    </row>
    <row r="338" spans="1:36" x14ac:dyDescent="0.25">
      <c r="J338" t="s">
        <v>1875</v>
      </c>
      <c r="X338" t="s">
        <v>1876</v>
      </c>
      <c r="AH338" t="s">
        <v>1877</v>
      </c>
    </row>
    <row r="340" spans="1:36" x14ac:dyDescent="0.25">
      <c r="J340" t="s">
        <v>1878</v>
      </c>
    </row>
    <row r="341" spans="1:36" x14ac:dyDescent="0.25">
      <c r="J341" t="s">
        <v>1784</v>
      </c>
      <c r="X341" t="s">
        <v>1859</v>
      </c>
      <c r="AH341" t="s">
        <v>1879</v>
      </c>
    </row>
    <row r="342" spans="1:36" x14ac:dyDescent="0.25">
      <c r="J342" t="s">
        <v>1880</v>
      </c>
      <c r="X342" t="s">
        <v>1862</v>
      </c>
      <c r="AH342" t="s">
        <v>1881</v>
      </c>
    </row>
    <row r="344" spans="1:36" x14ac:dyDescent="0.25">
      <c r="J344" t="s">
        <v>1882</v>
      </c>
    </row>
    <row r="345" spans="1:36" x14ac:dyDescent="0.25">
      <c r="A345" t="s">
        <v>1883</v>
      </c>
      <c r="AJ345">
        <v>831</v>
      </c>
    </row>
    <row r="347" spans="1:36" x14ac:dyDescent="0.25">
      <c r="J347" t="s">
        <v>1884</v>
      </c>
    </row>
    <row r="349" spans="1:36" x14ac:dyDescent="0.25">
      <c r="D349">
        <v>7</v>
      </c>
    </row>
    <row r="350" spans="1:36" x14ac:dyDescent="0.25">
      <c r="J350" t="s">
        <v>1864</v>
      </c>
    </row>
    <row r="353" spans="1:50" x14ac:dyDescent="0.25">
      <c r="A353" t="s">
        <v>1742</v>
      </c>
    </row>
    <row r="355" spans="1:50" x14ac:dyDescent="0.25">
      <c r="A355" t="s">
        <v>1744</v>
      </c>
      <c r="AX355" t="s">
        <v>1743</v>
      </c>
    </row>
    <row r="358" spans="1:50" x14ac:dyDescent="0.25">
      <c r="A358" t="s">
        <v>1885</v>
      </c>
    </row>
    <row r="359" spans="1:50" x14ac:dyDescent="0.25">
      <c r="P359" t="s">
        <v>1835</v>
      </c>
    </row>
    <row r="360" spans="1:50" x14ac:dyDescent="0.25">
      <c r="A360" t="s">
        <v>1886</v>
      </c>
      <c r="P360">
        <v>2.6</v>
      </c>
      <c r="U360" t="s">
        <v>1887</v>
      </c>
    </row>
    <row r="361" spans="1:50" x14ac:dyDescent="0.25">
      <c r="A361" t="s">
        <v>1888</v>
      </c>
      <c r="P361">
        <v>3.5</v>
      </c>
      <c r="U361" t="s">
        <v>1889</v>
      </c>
    </row>
    <row r="362" spans="1:50" x14ac:dyDescent="0.25">
      <c r="A362" t="s">
        <v>1890</v>
      </c>
      <c r="P362">
        <v>5.3</v>
      </c>
      <c r="U362" t="s">
        <v>1891</v>
      </c>
    </row>
    <row r="363" spans="1:50" x14ac:dyDescent="0.25">
      <c r="A363" t="s">
        <v>1892</v>
      </c>
    </row>
    <row r="364" spans="1:50" x14ac:dyDescent="0.25">
      <c r="A364" t="s">
        <v>573</v>
      </c>
      <c r="V364" t="s">
        <v>1893</v>
      </c>
      <c r="AB364" t="s">
        <v>1894</v>
      </c>
    </row>
    <row r="365" spans="1:50" x14ac:dyDescent="0.25">
      <c r="A365" t="s">
        <v>1895</v>
      </c>
      <c r="V365" t="s">
        <v>1859</v>
      </c>
      <c r="AB365" t="s">
        <v>1896</v>
      </c>
    </row>
    <row r="366" spans="1:50" x14ac:dyDescent="0.25">
      <c r="A366" t="s">
        <v>1897</v>
      </c>
      <c r="V366" t="s">
        <v>1862</v>
      </c>
      <c r="AB366" t="s">
        <v>1898</v>
      </c>
    </row>
    <row r="367" spans="1:50" x14ac:dyDescent="0.25">
      <c r="A367" t="s">
        <v>1897</v>
      </c>
      <c r="V367" t="s">
        <v>1873</v>
      </c>
      <c r="AB367" t="s">
        <v>1899</v>
      </c>
    </row>
    <row r="368" spans="1:50" x14ac:dyDescent="0.25">
      <c r="A368" t="s">
        <v>1900</v>
      </c>
    </row>
    <row r="369" spans="1:73" x14ac:dyDescent="0.25">
      <c r="A369" t="s">
        <v>573</v>
      </c>
      <c r="V369" t="s">
        <v>1850</v>
      </c>
      <c r="Z369" t="s">
        <v>1834</v>
      </c>
    </row>
    <row r="370" spans="1:73" x14ac:dyDescent="0.25">
      <c r="A370" t="s">
        <v>1901</v>
      </c>
      <c r="V370" t="s">
        <v>1862</v>
      </c>
      <c r="Z370">
        <v>552</v>
      </c>
    </row>
    <row r="371" spans="1:73" x14ac:dyDescent="0.25">
      <c r="A371" t="s">
        <v>1902</v>
      </c>
      <c r="V371" t="s">
        <v>1903</v>
      </c>
      <c r="Z371">
        <v>584</v>
      </c>
    </row>
    <row r="372" spans="1:73" x14ac:dyDescent="0.25">
      <c r="A372">
        <v>8</v>
      </c>
    </row>
    <row r="373" spans="1:73" x14ac:dyDescent="0.25">
      <c r="A373" t="s">
        <v>1765</v>
      </c>
    </row>
    <row r="379" spans="1:73" x14ac:dyDescent="0.25">
      <c r="AH379" t="s">
        <v>1742</v>
      </c>
    </row>
    <row r="381" spans="1:73" x14ac:dyDescent="0.25">
      <c r="BU381" t="s">
        <v>1743</v>
      </c>
    </row>
    <row r="383" spans="1:73" x14ac:dyDescent="0.25">
      <c r="I383" t="s">
        <v>1744</v>
      </c>
    </row>
    <row r="387" spans="1:73" x14ac:dyDescent="0.25">
      <c r="J387" t="s">
        <v>1904</v>
      </c>
    </row>
    <row r="388" spans="1:73" x14ac:dyDescent="0.25">
      <c r="A388" t="s">
        <v>1905</v>
      </c>
    </row>
    <row r="389" spans="1:73" x14ac:dyDescent="0.25">
      <c r="J389" t="s">
        <v>1906</v>
      </c>
      <c r="BC389">
        <v>140</v>
      </c>
    </row>
    <row r="390" spans="1:73" x14ac:dyDescent="0.25">
      <c r="J390" t="s">
        <v>1907</v>
      </c>
      <c r="BC390">
        <v>89</v>
      </c>
    </row>
    <row r="391" spans="1:73" x14ac:dyDescent="0.25">
      <c r="J391" t="s">
        <v>1908</v>
      </c>
      <c r="AB391" t="s">
        <v>1909</v>
      </c>
      <c r="BC391">
        <v>114</v>
      </c>
    </row>
    <row r="392" spans="1:73" x14ac:dyDescent="0.25">
      <c r="J392" t="s">
        <v>1910</v>
      </c>
      <c r="BC392">
        <v>123</v>
      </c>
    </row>
    <row r="393" spans="1:73" x14ac:dyDescent="0.25">
      <c r="J393" t="s">
        <v>1911</v>
      </c>
      <c r="BC393">
        <v>134</v>
      </c>
    </row>
    <row r="394" spans="1:73" x14ac:dyDescent="0.25">
      <c r="AM394" t="s">
        <v>1912</v>
      </c>
    </row>
    <row r="395" spans="1:73" x14ac:dyDescent="0.25">
      <c r="BJ395">
        <v>156</v>
      </c>
    </row>
    <row r="396" spans="1:73" x14ac:dyDescent="0.25">
      <c r="A396" t="s">
        <v>1913</v>
      </c>
    </row>
    <row r="399" spans="1:73" x14ac:dyDescent="0.25">
      <c r="BU399" t="s">
        <v>1914</v>
      </c>
    </row>
    <row r="400" spans="1:73" x14ac:dyDescent="0.25">
      <c r="J400" t="s">
        <v>1915</v>
      </c>
    </row>
    <row r="402" spans="1:73" x14ac:dyDescent="0.25">
      <c r="A402" t="s">
        <v>1916</v>
      </c>
      <c r="BG402" t="s">
        <v>1917</v>
      </c>
    </row>
    <row r="403" spans="1:73" x14ac:dyDescent="0.25">
      <c r="AB403" t="s">
        <v>1918</v>
      </c>
      <c r="AT403" t="s">
        <v>1919</v>
      </c>
    </row>
    <row r="406" spans="1:73" x14ac:dyDescent="0.25">
      <c r="J406" t="s">
        <v>1765</v>
      </c>
    </row>
    <row r="407" spans="1:73" x14ac:dyDescent="0.25">
      <c r="D407">
        <v>9</v>
      </c>
    </row>
    <row r="409" spans="1:73" x14ac:dyDescent="0.25">
      <c r="AH409" t="s">
        <v>1742</v>
      </c>
    </row>
    <row r="411" spans="1:73" x14ac:dyDescent="0.25">
      <c r="BU411" t="s">
        <v>1743</v>
      </c>
    </row>
    <row r="413" spans="1:73" x14ac:dyDescent="0.25">
      <c r="I413" t="s">
        <v>1744</v>
      </c>
    </row>
    <row r="417" spans="1:77" x14ac:dyDescent="0.25">
      <c r="J417" t="s">
        <v>1920</v>
      </c>
    </row>
    <row r="418" spans="1:77" x14ac:dyDescent="0.25">
      <c r="V418" t="s">
        <v>1921</v>
      </c>
    </row>
    <row r="419" spans="1:77" x14ac:dyDescent="0.25">
      <c r="AQ419" t="s">
        <v>1922</v>
      </c>
    </row>
    <row r="420" spans="1:77" x14ac:dyDescent="0.25">
      <c r="BB420">
        <v>1579</v>
      </c>
    </row>
    <row r="421" spans="1:77" x14ac:dyDescent="0.25">
      <c r="A421" t="s">
        <v>1923</v>
      </c>
      <c r="AJ421">
        <v>3.5</v>
      </c>
    </row>
    <row r="425" spans="1:77" x14ac:dyDescent="0.25">
      <c r="J425" t="s">
        <v>1924</v>
      </c>
    </row>
    <row r="426" spans="1:77" x14ac:dyDescent="0.25">
      <c r="X426" t="s">
        <v>1925</v>
      </c>
    </row>
    <row r="427" spans="1:77" x14ac:dyDescent="0.25">
      <c r="AQ427" t="s">
        <v>1926</v>
      </c>
    </row>
    <row r="428" spans="1:77" x14ac:dyDescent="0.25">
      <c r="BB428">
        <v>2440</v>
      </c>
    </row>
    <row r="429" spans="1:77" x14ac:dyDescent="0.25">
      <c r="A429" t="s">
        <v>1927</v>
      </c>
      <c r="AJ429" t="s">
        <v>1876</v>
      </c>
    </row>
    <row r="430" spans="1:77" x14ac:dyDescent="0.25">
      <c r="BY430" t="s">
        <v>1928</v>
      </c>
    </row>
    <row r="431" spans="1:77" x14ac:dyDescent="0.25">
      <c r="A431" t="s">
        <v>1929</v>
      </c>
      <c r="AH431" t="s">
        <v>1930</v>
      </c>
    </row>
    <row r="432" spans="1:77" x14ac:dyDescent="0.25">
      <c r="AU432" t="s">
        <v>1931</v>
      </c>
    </row>
    <row r="433" spans="1:68" x14ac:dyDescent="0.25">
      <c r="J433" t="s">
        <v>1932</v>
      </c>
    </row>
    <row r="434" spans="1:68" x14ac:dyDescent="0.25">
      <c r="X434" t="s">
        <v>1933</v>
      </c>
    </row>
    <row r="435" spans="1:68" x14ac:dyDescent="0.25">
      <c r="AQ435" t="s">
        <v>1934</v>
      </c>
    </row>
    <row r="436" spans="1:68" x14ac:dyDescent="0.25">
      <c r="BB436">
        <v>4461</v>
      </c>
    </row>
    <row r="437" spans="1:68" x14ac:dyDescent="0.25">
      <c r="A437" t="s">
        <v>1935</v>
      </c>
      <c r="AJ437" t="s">
        <v>1936</v>
      </c>
    </row>
    <row r="440" spans="1:68" x14ac:dyDescent="0.25">
      <c r="AQ440" t="s">
        <v>1930</v>
      </c>
    </row>
    <row r="441" spans="1:68" x14ac:dyDescent="0.25">
      <c r="A441" t="s">
        <v>1937</v>
      </c>
    </row>
    <row r="443" spans="1:68" x14ac:dyDescent="0.25">
      <c r="J443" t="s">
        <v>1938</v>
      </c>
    </row>
    <row r="444" spans="1:68" x14ac:dyDescent="0.25">
      <c r="A444" t="s">
        <v>1939</v>
      </c>
    </row>
    <row r="445" spans="1:68" x14ac:dyDescent="0.25">
      <c r="J445" t="s">
        <v>1765</v>
      </c>
      <c r="BP445" t="s">
        <v>1764</v>
      </c>
    </row>
    <row r="446" spans="1:68" x14ac:dyDescent="0.25">
      <c r="D446">
        <v>10</v>
      </c>
    </row>
    <row r="448" spans="1:68" x14ac:dyDescent="0.25">
      <c r="AH448" t="s">
        <v>1742</v>
      </c>
    </row>
    <row r="450" spans="1:78" x14ac:dyDescent="0.25">
      <c r="BU450" t="s">
        <v>1743</v>
      </c>
    </row>
    <row r="452" spans="1:78" x14ac:dyDescent="0.25">
      <c r="I452" t="s">
        <v>1744</v>
      </c>
    </row>
    <row r="456" spans="1:78" x14ac:dyDescent="0.25">
      <c r="BZ456" t="s">
        <v>1940</v>
      </c>
    </row>
    <row r="457" spans="1:78" x14ac:dyDescent="0.25">
      <c r="J457" t="s">
        <v>1941</v>
      </c>
    </row>
    <row r="459" spans="1:78" x14ac:dyDescent="0.25">
      <c r="A459" t="s">
        <v>1942</v>
      </c>
    </row>
    <row r="461" spans="1:78" x14ac:dyDescent="0.25">
      <c r="J461" t="s">
        <v>1943</v>
      </c>
    </row>
    <row r="463" spans="1:78" x14ac:dyDescent="0.25">
      <c r="A463" t="s">
        <v>1944</v>
      </c>
    </row>
    <row r="465" spans="1:68" x14ac:dyDescent="0.25">
      <c r="J465" t="s">
        <v>1945</v>
      </c>
    </row>
    <row r="466" spans="1:68" x14ac:dyDescent="0.25">
      <c r="BO466" t="s">
        <v>1946</v>
      </c>
    </row>
    <row r="468" spans="1:68" x14ac:dyDescent="0.25">
      <c r="A468" t="s">
        <v>1947</v>
      </c>
    </row>
    <row r="469" spans="1:68" x14ac:dyDescent="0.25">
      <c r="A469" t="s">
        <v>1948</v>
      </c>
      <c r="AX469" t="s">
        <v>1949</v>
      </c>
    </row>
    <row r="470" spans="1:68" x14ac:dyDescent="0.25">
      <c r="J470" t="s">
        <v>1950</v>
      </c>
    </row>
    <row r="471" spans="1:68" x14ac:dyDescent="0.25">
      <c r="A471" t="s">
        <v>1951</v>
      </c>
      <c r="AJ471" t="s">
        <v>1952</v>
      </c>
    </row>
    <row r="472" spans="1:68" x14ac:dyDescent="0.25">
      <c r="BB472">
        <v>1568</v>
      </c>
    </row>
    <row r="474" spans="1:68" x14ac:dyDescent="0.25">
      <c r="J474" t="s">
        <v>1953</v>
      </c>
    </row>
    <row r="476" spans="1:68" x14ac:dyDescent="0.25">
      <c r="D476">
        <v>11</v>
      </c>
    </row>
    <row r="477" spans="1:68" x14ac:dyDescent="0.25">
      <c r="J477" t="s">
        <v>1830</v>
      </c>
    </row>
    <row r="479" spans="1:68" x14ac:dyDescent="0.25">
      <c r="AH479" t="s">
        <v>1742</v>
      </c>
      <c r="BP479" t="s">
        <v>1743</v>
      </c>
    </row>
    <row r="482" spans="1:77" x14ac:dyDescent="0.25">
      <c r="I482" t="s">
        <v>1744</v>
      </c>
    </row>
    <row r="486" spans="1:77" x14ac:dyDescent="0.25">
      <c r="A486" t="s">
        <v>1954</v>
      </c>
      <c r="BG486" t="s">
        <v>1955</v>
      </c>
    </row>
    <row r="488" spans="1:77" x14ac:dyDescent="0.25">
      <c r="BG488" t="s">
        <v>1956</v>
      </c>
    </row>
    <row r="489" spans="1:77" x14ac:dyDescent="0.25">
      <c r="J489" t="s">
        <v>1957</v>
      </c>
    </row>
    <row r="490" spans="1:77" x14ac:dyDescent="0.25">
      <c r="A490" t="s">
        <v>1958</v>
      </c>
    </row>
    <row r="491" spans="1:77" x14ac:dyDescent="0.25">
      <c r="J491" t="s">
        <v>1959</v>
      </c>
    </row>
    <row r="492" spans="1:77" x14ac:dyDescent="0.25">
      <c r="A492" t="s">
        <v>1960</v>
      </c>
    </row>
    <row r="493" spans="1:77" x14ac:dyDescent="0.25">
      <c r="BY493" t="s">
        <v>1961</v>
      </c>
    </row>
    <row r="494" spans="1:77" x14ac:dyDescent="0.25">
      <c r="J494" t="s">
        <v>1962</v>
      </c>
    </row>
    <row r="496" spans="1:77" x14ac:dyDescent="0.25">
      <c r="A496" t="s">
        <v>1963</v>
      </c>
    </row>
    <row r="497" spans="1:73" x14ac:dyDescent="0.25">
      <c r="J497" t="s">
        <v>1964</v>
      </c>
    </row>
    <row r="498" spans="1:73" x14ac:dyDescent="0.25">
      <c r="A498" t="s">
        <v>1965</v>
      </c>
    </row>
    <row r="499" spans="1:73" x14ac:dyDescent="0.25">
      <c r="J499" t="s">
        <v>1966</v>
      </c>
    </row>
    <row r="500" spans="1:73" x14ac:dyDescent="0.25">
      <c r="A500" t="s">
        <v>1967</v>
      </c>
    </row>
    <row r="501" spans="1:73" x14ac:dyDescent="0.25">
      <c r="BA501" t="s">
        <v>1968</v>
      </c>
    </row>
    <row r="502" spans="1:73" x14ac:dyDescent="0.25">
      <c r="AT502" t="s">
        <v>1969</v>
      </c>
    </row>
    <row r="503" spans="1:73" x14ac:dyDescent="0.25">
      <c r="V503" t="s">
        <v>1970</v>
      </c>
      <c r="AE503" t="s">
        <v>1971</v>
      </c>
    </row>
    <row r="504" spans="1:73" x14ac:dyDescent="0.25">
      <c r="J504" t="s">
        <v>1830</v>
      </c>
    </row>
    <row r="505" spans="1:73" x14ac:dyDescent="0.25">
      <c r="D505">
        <v>12</v>
      </c>
    </row>
    <row r="508" spans="1:73" x14ac:dyDescent="0.25">
      <c r="AH508" t="s">
        <v>1742</v>
      </c>
    </row>
    <row r="510" spans="1:73" x14ac:dyDescent="0.25">
      <c r="BU510" t="s">
        <v>1743</v>
      </c>
    </row>
    <row r="512" spans="1:73" x14ac:dyDescent="0.25">
      <c r="I512" t="s">
        <v>1744</v>
      </c>
    </row>
    <row r="516" spans="1:72" x14ac:dyDescent="0.25">
      <c r="J516" t="s">
        <v>1972</v>
      </c>
    </row>
    <row r="517" spans="1:72" x14ac:dyDescent="0.25">
      <c r="J517" t="s">
        <v>1973</v>
      </c>
      <c r="BC517">
        <v>87</v>
      </c>
    </row>
    <row r="518" spans="1:72" x14ac:dyDescent="0.25">
      <c r="J518" t="s">
        <v>1974</v>
      </c>
      <c r="BC518">
        <v>140</v>
      </c>
    </row>
    <row r="519" spans="1:72" x14ac:dyDescent="0.25">
      <c r="J519" t="s">
        <v>1975</v>
      </c>
      <c r="AE519" t="s">
        <v>1976</v>
      </c>
      <c r="BC519">
        <v>120</v>
      </c>
    </row>
    <row r="520" spans="1:72" x14ac:dyDescent="0.25">
      <c r="J520" t="s">
        <v>1977</v>
      </c>
    </row>
    <row r="521" spans="1:72" x14ac:dyDescent="0.25">
      <c r="AF521" t="s">
        <v>1917</v>
      </c>
      <c r="BA521" t="s">
        <v>1914</v>
      </c>
    </row>
    <row r="522" spans="1:72" x14ac:dyDescent="0.25">
      <c r="A522" t="s">
        <v>1978</v>
      </c>
      <c r="BT522" t="s">
        <v>1919</v>
      </c>
    </row>
    <row r="523" spans="1:72" x14ac:dyDescent="0.25">
      <c r="J523" t="s">
        <v>1765</v>
      </c>
    </row>
    <row r="524" spans="1:72" x14ac:dyDescent="0.25">
      <c r="D524">
        <v>13</v>
      </c>
    </row>
    <row r="526" spans="1:72" x14ac:dyDescent="0.25">
      <c r="A526" t="s">
        <v>1742</v>
      </c>
    </row>
    <row r="528" spans="1:72" x14ac:dyDescent="0.25">
      <c r="A528" t="s">
        <v>1744</v>
      </c>
      <c r="AX528" t="s">
        <v>1743</v>
      </c>
    </row>
    <row r="531" spans="1:72" x14ac:dyDescent="0.25">
      <c r="A531" t="s">
        <v>1979</v>
      </c>
    </row>
    <row r="532" spans="1:72" x14ac:dyDescent="0.25">
      <c r="A532" t="s">
        <v>1980</v>
      </c>
    </row>
    <row r="533" spans="1:72" x14ac:dyDescent="0.25">
      <c r="A533" t="s">
        <v>1981</v>
      </c>
      <c r="AB533" t="s">
        <v>1982</v>
      </c>
      <c r="AM533" t="s">
        <v>1983</v>
      </c>
      <c r="AX533" t="s">
        <v>1984</v>
      </c>
    </row>
    <row r="534" spans="1:72" x14ac:dyDescent="0.25">
      <c r="A534" t="s">
        <v>1985</v>
      </c>
    </row>
    <row r="535" spans="1:72" x14ac:dyDescent="0.25">
      <c r="A535" t="s">
        <v>1986</v>
      </c>
      <c r="AB535" t="s">
        <v>1987</v>
      </c>
      <c r="AM535" t="s">
        <v>1988</v>
      </c>
      <c r="AX535" t="s">
        <v>1989</v>
      </c>
      <c r="BP535" t="s">
        <v>1990</v>
      </c>
    </row>
    <row r="536" spans="1:72" x14ac:dyDescent="0.25">
      <c r="A536" t="s">
        <v>1991</v>
      </c>
    </row>
    <row r="537" spans="1:72" x14ac:dyDescent="0.25">
      <c r="A537" t="s">
        <v>1992</v>
      </c>
      <c r="AB537" t="s">
        <v>1993</v>
      </c>
      <c r="AM537" t="s">
        <v>1994</v>
      </c>
      <c r="AX537" t="s">
        <v>1995</v>
      </c>
      <c r="BT537" t="s">
        <v>1996</v>
      </c>
    </row>
    <row r="538" spans="1:72" x14ac:dyDescent="0.25">
      <c r="A538" t="s">
        <v>1997</v>
      </c>
    </row>
    <row r="539" spans="1:72" x14ac:dyDescent="0.25">
      <c r="A539" t="s">
        <v>1998</v>
      </c>
      <c r="AB539" t="s">
        <v>1999</v>
      </c>
      <c r="AM539" t="s">
        <v>2000</v>
      </c>
      <c r="AX539" t="s">
        <v>2001</v>
      </c>
      <c r="BP539" t="s">
        <v>2002</v>
      </c>
    </row>
    <row r="540" spans="1:72" x14ac:dyDescent="0.25">
      <c r="A540" t="s">
        <v>2003</v>
      </c>
    </row>
    <row r="541" spans="1:72" x14ac:dyDescent="0.25">
      <c r="A541" t="s">
        <v>2004</v>
      </c>
    </row>
    <row r="542" spans="1:72" x14ac:dyDescent="0.25">
      <c r="A542" t="s">
        <v>2005</v>
      </c>
      <c r="U542" t="s">
        <v>2006</v>
      </c>
      <c r="Z542" t="s">
        <v>2007</v>
      </c>
      <c r="AO542" t="s">
        <v>2008</v>
      </c>
    </row>
    <row r="543" spans="1:72" x14ac:dyDescent="0.25">
      <c r="A543" t="s">
        <v>2009</v>
      </c>
      <c r="U543" t="s">
        <v>2010</v>
      </c>
      <c r="Z543" t="s">
        <v>1983</v>
      </c>
      <c r="AO543" t="s">
        <v>2011</v>
      </c>
    </row>
    <row r="544" spans="1:72" x14ac:dyDescent="0.25">
      <c r="A544" t="s">
        <v>2012</v>
      </c>
      <c r="U544" t="s">
        <v>1987</v>
      </c>
      <c r="Z544" t="s">
        <v>1988</v>
      </c>
      <c r="AO544" t="s">
        <v>2013</v>
      </c>
    </row>
    <row r="545" spans="1:73" x14ac:dyDescent="0.25">
      <c r="A545" t="s">
        <v>2014</v>
      </c>
      <c r="U545" t="s">
        <v>2015</v>
      </c>
      <c r="Z545" t="s">
        <v>2016</v>
      </c>
      <c r="AO545" t="s">
        <v>2017</v>
      </c>
    </row>
    <row r="546" spans="1:73" x14ac:dyDescent="0.25">
      <c r="A546" t="s">
        <v>2018</v>
      </c>
      <c r="U546" t="s">
        <v>1993</v>
      </c>
      <c r="Z546" t="s">
        <v>1994</v>
      </c>
      <c r="AO546" t="s">
        <v>2019</v>
      </c>
    </row>
    <row r="547" spans="1:73" x14ac:dyDescent="0.25">
      <c r="A547" t="s">
        <v>2020</v>
      </c>
      <c r="U547" t="s">
        <v>2021</v>
      </c>
      <c r="Z547" t="s">
        <v>2022</v>
      </c>
      <c r="AO547" t="s">
        <v>2023</v>
      </c>
    </row>
    <row r="548" spans="1:73" x14ac:dyDescent="0.25">
      <c r="A548" t="s">
        <v>2024</v>
      </c>
      <c r="U548" t="s">
        <v>1999</v>
      </c>
      <c r="Z548" t="s">
        <v>2000</v>
      </c>
      <c r="AO548" t="s">
        <v>2025</v>
      </c>
    </row>
    <row r="549" spans="1:73" x14ac:dyDescent="0.25">
      <c r="A549" t="s">
        <v>2026</v>
      </c>
      <c r="U549" t="s">
        <v>2027</v>
      </c>
      <c r="Z549" t="s">
        <v>2000</v>
      </c>
      <c r="AO549" t="s">
        <v>2028</v>
      </c>
    </row>
    <row r="550" spans="1:73" x14ac:dyDescent="0.25">
      <c r="A550" t="s">
        <v>2029</v>
      </c>
    </row>
    <row r="551" spans="1:73" x14ac:dyDescent="0.25">
      <c r="A551" t="s">
        <v>2029</v>
      </c>
    </row>
    <row r="552" spans="1:73" x14ac:dyDescent="0.25">
      <c r="A552" t="s">
        <v>2030</v>
      </c>
      <c r="BU552" t="s">
        <v>2031</v>
      </c>
    </row>
    <row r="553" spans="1:73" x14ac:dyDescent="0.25">
      <c r="A553">
        <v>14</v>
      </c>
    </row>
    <row r="555" spans="1:73" x14ac:dyDescent="0.25">
      <c r="A555" t="s">
        <v>1742</v>
      </c>
    </row>
    <row r="557" spans="1:73" x14ac:dyDescent="0.25">
      <c r="A557" t="s">
        <v>1744</v>
      </c>
      <c r="AX557" t="s">
        <v>1743</v>
      </c>
    </row>
    <row r="560" spans="1:73" x14ac:dyDescent="0.25">
      <c r="A560" t="s">
        <v>2032</v>
      </c>
    </row>
    <row r="561" spans="1:54" x14ac:dyDescent="0.25">
      <c r="A561" t="s">
        <v>2033</v>
      </c>
      <c r="V561" t="s">
        <v>2034</v>
      </c>
      <c r="BB561">
        <v>4904</v>
      </c>
    </row>
    <row r="562" spans="1:54" x14ac:dyDescent="0.25">
      <c r="A562" t="s">
        <v>2035</v>
      </c>
      <c r="S562" t="s">
        <v>2036</v>
      </c>
      <c r="AQ562" t="s">
        <v>2037</v>
      </c>
    </row>
    <row r="563" spans="1:54" x14ac:dyDescent="0.25">
      <c r="AK563" t="s">
        <v>2038</v>
      </c>
      <c r="AQ563" t="s">
        <v>2039</v>
      </c>
    </row>
    <row r="564" spans="1:54" x14ac:dyDescent="0.25">
      <c r="A564" t="s">
        <v>2040</v>
      </c>
      <c r="L564" t="s">
        <v>2041</v>
      </c>
      <c r="Y564" t="s">
        <v>2042</v>
      </c>
    </row>
    <row r="565" spans="1:54" x14ac:dyDescent="0.25">
      <c r="L565" t="s">
        <v>2043</v>
      </c>
      <c r="Y565" t="s">
        <v>2044</v>
      </c>
      <c r="AK565" t="s">
        <v>2038</v>
      </c>
      <c r="AQ565" t="s">
        <v>2045</v>
      </c>
    </row>
    <row r="566" spans="1:54" x14ac:dyDescent="0.25">
      <c r="A566" t="s">
        <v>2046</v>
      </c>
      <c r="L566" t="s">
        <v>2041</v>
      </c>
      <c r="Y566" t="s">
        <v>2047</v>
      </c>
    </row>
    <row r="567" spans="1:54" x14ac:dyDescent="0.25">
      <c r="A567" t="s">
        <v>2048</v>
      </c>
      <c r="L567" t="s">
        <v>2049</v>
      </c>
      <c r="Y567" t="s">
        <v>2050</v>
      </c>
      <c r="AK567" t="s">
        <v>2051</v>
      </c>
      <c r="AQ567" t="s">
        <v>2052</v>
      </c>
    </row>
    <row r="569" spans="1:54" x14ac:dyDescent="0.25">
      <c r="L569" t="s">
        <v>2053</v>
      </c>
      <c r="Y569" t="s">
        <v>2054</v>
      </c>
      <c r="AK569" t="s">
        <v>2051</v>
      </c>
      <c r="AQ569" t="s">
        <v>2055</v>
      </c>
    </row>
    <row r="570" spans="1:54" x14ac:dyDescent="0.25">
      <c r="A570" t="s">
        <v>2056</v>
      </c>
      <c r="L570" t="s">
        <v>2057</v>
      </c>
      <c r="Y570" t="s">
        <v>2058</v>
      </c>
    </row>
    <row r="571" spans="1:54" x14ac:dyDescent="0.25">
      <c r="A571" t="s">
        <v>2059</v>
      </c>
      <c r="L571" t="s">
        <v>2060</v>
      </c>
      <c r="Y571" t="s">
        <v>2061</v>
      </c>
      <c r="AK571" t="s">
        <v>2062</v>
      </c>
      <c r="AQ571" t="s">
        <v>2063</v>
      </c>
    </row>
    <row r="573" spans="1:54" x14ac:dyDescent="0.25">
      <c r="L573" t="s">
        <v>2064</v>
      </c>
      <c r="Y573" t="s">
        <v>2054</v>
      </c>
      <c r="AK573" t="s">
        <v>2062</v>
      </c>
      <c r="AQ573" t="s">
        <v>2065</v>
      </c>
    </row>
    <row r="574" spans="1:54" x14ac:dyDescent="0.25">
      <c r="A574" t="s">
        <v>2066</v>
      </c>
      <c r="L574" t="s">
        <v>2057</v>
      </c>
      <c r="Y574" t="s">
        <v>2067</v>
      </c>
    </row>
    <row r="575" spans="1:54" x14ac:dyDescent="0.25">
      <c r="A575">
        <v>15</v>
      </c>
    </row>
    <row r="576" spans="1:54" x14ac:dyDescent="0.25">
      <c r="A576" t="s">
        <v>2068</v>
      </c>
    </row>
    <row r="578" spans="1:73" x14ac:dyDescent="0.25">
      <c r="AH578" t="s">
        <v>1742</v>
      </c>
    </row>
    <row r="580" spans="1:73" x14ac:dyDescent="0.25">
      <c r="BU580" t="s">
        <v>1743</v>
      </c>
    </row>
    <row r="582" spans="1:73" x14ac:dyDescent="0.25">
      <c r="I582" t="s">
        <v>1744</v>
      </c>
    </row>
    <row r="586" spans="1:73" x14ac:dyDescent="0.25">
      <c r="J586" t="s">
        <v>2069</v>
      </c>
    </row>
    <row r="587" spans="1:73" x14ac:dyDescent="0.25">
      <c r="V587" t="s">
        <v>2070</v>
      </c>
    </row>
    <row r="588" spans="1:73" x14ac:dyDescent="0.25">
      <c r="A588" t="s">
        <v>2071</v>
      </c>
    </row>
    <row r="589" spans="1:73" x14ac:dyDescent="0.25">
      <c r="BG589" t="s">
        <v>2072</v>
      </c>
    </row>
    <row r="592" spans="1:73" x14ac:dyDescent="0.25">
      <c r="J592" t="s">
        <v>2073</v>
      </c>
    </row>
    <row r="593" spans="1:59" x14ac:dyDescent="0.25">
      <c r="V593" t="s">
        <v>2074</v>
      </c>
    </row>
    <row r="594" spans="1:59" x14ac:dyDescent="0.25">
      <c r="A594" t="s">
        <v>2075</v>
      </c>
    </row>
    <row r="595" spans="1:59" x14ac:dyDescent="0.25">
      <c r="BG595" t="s">
        <v>2076</v>
      </c>
    </row>
    <row r="598" spans="1:59" x14ac:dyDescent="0.25">
      <c r="J598" t="s">
        <v>2077</v>
      </c>
    </row>
    <row r="599" spans="1:59" x14ac:dyDescent="0.25">
      <c r="V599" t="s">
        <v>2078</v>
      </c>
    </row>
    <row r="600" spans="1:59" x14ac:dyDescent="0.25">
      <c r="A600" t="s">
        <v>2079</v>
      </c>
    </row>
    <row r="601" spans="1:59" x14ac:dyDescent="0.25">
      <c r="BG601" t="s">
        <v>2080</v>
      </c>
    </row>
    <row r="604" spans="1:59" x14ac:dyDescent="0.25">
      <c r="J604" t="s">
        <v>2081</v>
      </c>
    </row>
    <row r="605" spans="1:59" x14ac:dyDescent="0.25">
      <c r="V605" t="s">
        <v>2082</v>
      </c>
    </row>
    <row r="606" spans="1:59" x14ac:dyDescent="0.25">
      <c r="A606" t="s">
        <v>2083</v>
      </c>
    </row>
    <row r="607" spans="1:59" x14ac:dyDescent="0.25">
      <c r="BG607" t="s">
        <v>2084</v>
      </c>
    </row>
    <row r="610" spans="1:73" x14ac:dyDescent="0.25">
      <c r="J610" t="s">
        <v>2085</v>
      </c>
    </row>
    <row r="611" spans="1:73" x14ac:dyDescent="0.25">
      <c r="V611" t="s">
        <v>2086</v>
      </c>
    </row>
    <row r="612" spans="1:73" x14ac:dyDescent="0.25">
      <c r="A612" t="s">
        <v>2087</v>
      </c>
    </row>
    <row r="613" spans="1:73" x14ac:dyDescent="0.25">
      <c r="BG613" t="s">
        <v>2088</v>
      </c>
    </row>
    <row r="616" spans="1:73" x14ac:dyDescent="0.25">
      <c r="J616" t="s">
        <v>2089</v>
      </c>
    </row>
    <row r="617" spans="1:73" x14ac:dyDescent="0.25">
      <c r="A617" t="s">
        <v>2090</v>
      </c>
    </row>
    <row r="618" spans="1:73" x14ac:dyDescent="0.25">
      <c r="L618" t="s">
        <v>1764</v>
      </c>
      <c r="S618" t="s">
        <v>655</v>
      </c>
    </row>
    <row r="619" spans="1:73" x14ac:dyDescent="0.25">
      <c r="D619">
        <v>16</v>
      </c>
    </row>
    <row r="621" spans="1:73" x14ac:dyDescent="0.25">
      <c r="AH621" t="s">
        <v>1742</v>
      </c>
    </row>
    <row r="623" spans="1:73" x14ac:dyDescent="0.25">
      <c r="BU623" t="s">
        <v>1743</v>
      </c>
    </row>
    <row r="625" spans="1:53" x14ac:dyDescent="0.25">
      <c r="I625" t="s">
        <v>1744</v>
      </c>
    </row>
    <row r="629" spans="1:53" x14ac:dyDescent="0.25">
      <c r="J629" t="s">
        <v>2091</v>
      </c>
    </row>
    <row r="630" spans="1:53" x14ac:dyDescent="0.25">
      <c r="AB630" t="s">
        <v>2092</v>
      </c>
    </row>
    <row r="631" spans="1:53" x14ac:dyDescent="0.25">
      <c r="A631" t="s">
        <v>2093</v>
      </c>
      <c r="BA631" t="s">
        <v>2094</v>
      </c>
    </row>
    <row r="632" spans="1:53" x14ac:dyDescent="0.25">
      <c r="V632" t="s">
        <v>2095</v>
      </c>
      <c r="AH632" t="s">
        <v>2096</v>
      </c>
    </row>
    <row r="633" spans="1:53" x14ac:dyDescent="0.25">
      <c r="J633" t="s">
        <v>2097</v>
      </c>
      <c r="Y633" t="s">
        <v>2098</v>
      </c>
      <c r="AQ633" t="s">
        <v>2038</v>
      </c>
      <c r="BA633" t="s">
        <v>2099</v>
      </c>
    </row>
    <row r="635" spans="1:53" x14ac:dyDescent="0.25">
      <c r="J635" t="s">
        <v>2100</v>
      </c>
      <c r="Y635" t="s">
        <v>2101</v>
      </c>
      <c r="AQ635" t="s">
        <v>2038</v>
      </c>
      <c r="BA635" t="s">
        <v>2102</v>
      </c>
    </row>
    <row r="637" spans="1:53" x14ac:dyDescent="0.25">
      <c r="J637" t="s">
        <v>2103</v>
      </c>
      <c r="Y637" t="s">
        <v>2050</v>
      </c>
      <c r="AQ637" t="s">
        <v>2051</v>
      </c>
      <c r="BA637" t="s">
        <v>2104</v>
      </c>
    </row>
    <row r="639" spans="1:53" x14ac:dyDescent="0.25">
      <c r="J639" t="s">
        <v>2105</v>
      </c>
      <c r="Y639" t="s">
        <v>2106</v>
      </c>
      <c r="AQ639" t="s">
        <v>2051</v>
      </c>
      <c r="BA639" t="s">
        <v>2104</v>
      </c>
    </row>
    <row r="641" spans="1:54" x14ac:dyDescent="0.25">
      <c r="J641" t="s">
        <v>2107</v>
      </c>
      <c r="Y641" t="s">
        <v>2061</v>
      </c>
      <c r="AQ641" t="s">
        <v>2062</v>
      </c>
      <c r="BA641" t="s">
        <v>2108</v>
      </c>
    </row>
    <row r="643" spans="1:54" x14ac:dyDescent="0.25">
      <c r="J643" t="s">
        <v>2109</v>
      </c>
      <c r="Y643" t="s">
        <v>2110</v>
      </c>
      <c r="AQ643" t="s">
        <v>2062</v>
      </c>
      <c r="BA643" t="s">
        <v>2111</v>
      </c>
    </row>
    <row r="646" spans="1:54" x14ac:dyDescent="0.25">
      <c r="J646" t="s">
        <v>2112</v>
      </c>
    </row>
    <row r="648" spans="1:54" x14ac:dyDescent="0.25">
      <c r="J648" t="s">
        <v>2113</v>
      </c>
    </row>
    <row r="649" spans="1:54" x14ac:dyDescent="0.25">
      <c r="A649" t="s">
        <v>2114</v>
      </c>
    </row>
    <row r="650" spans="1:54" x14ac:dyDescent="0.25">
      <c r="BB650">
        <v>7222</v>
      </c>
    </row>
    <row r="652" spans="1:54" x14ac:dyDescent="0.25">
      <c r="N652" t="s">
        <v>2035</v>
      </c>
      <c r="S652" t="s">
        <v>2058</v>
      </c>
      <c r="AJ652" t="s">
        <v>2037</v>
      </c>
    </row>
    <row r="653" spans="1:54" x14ac:dyDescent="0.25">
      <c r="J653" t="s">
        <v>2115</v>
      </c>
    </row>
    <row r="654" spans="1:54" x14ac:dyDescent="0.25">
      <c r="J654" t="s">
        <v>2116</v>
      </c>
    </row>
    <row r="656" spans="1:54" x14ac:dyDescent="0.25">
      <c r="D656">
        <v>17</v>
      </c>
    </row>
    <row r="657" spans="1:73" x14ac:dyDescent="0.25">
      <c r="L657" t="s">
        <v>1765</v>
      </c>
    </row>
    <row r="659" spans="1:73" x14ac:dyDescent="0.25">
      <c r="AH659" t="s">
        <v>1742</v>
      </c>
    </row>
    <row r="661" spans="1:73" x14ac:dyDescent="0.25">
      <c r="BU661" t="s">
        <v>1743</v>
      </c>
    </row>
    <row r="663" spans="1:73" x14ac:dyDescent="0.25">
      <c r="I663" t="s">
        <v>1744</v>
      </c>
    </row>
    <row r="667" spans="1:73" x14ac:dyDescent="0.25">
      <c r="J667" t="s">
        <v>2117</v>
      </c>
    </row>
    <row r="668" spans="1:73" x14ac:dyDescent="0.25">
      <c r="AH668" t="s">
        <v>2118</v>
      </c>
    </row>
    <row r="669" spans="1:73" x14ac:dyDescent="0.25">
      <c r="A669" t="s">
        <v>2119</v>
      </c>
    </row>
    <row r="670" spans="1:73" x14ac:dyDescent="0.25">
      <c r="BA670" t="s">
        <v>2120</v>
      </c>
    </row>
    <row r="672" spans="1:73" x14ac:dyDescent="0.25">
      <c r="J672" t="s">
        <v>2121</v>
      </c>
    </row>
    <row r="675" spans="4:73" x14ac:dyDescent="0.25">
      <c r="D675">
        <v>18</v>
      </c>
    </row>
    <row r="676" spans="4:73" x14ac:dyDescent="0.25">
      <c r="AH676" t="s">
        <v>1742</v>
      </c>
    </row>
    <row r="678" spans="4:73" x14ac:dyDescent="0.25">
      <c r="BU678" t="s">
        <v>1743</v>
      </c>
    </row>
    <row r="680" spans="4:73" x14ac:dyDescent="0.25">
      <c r="I680" t="s">
        <v>1744</v>
      </c>
    </row>
    <row r="684" spans="4:73" x14ac:dyDescent="0.25">
      <c r="J684" t="s">
        <v>2122</v>
      </c>
    </row>
    <row r="685" spans="4:73" x14ac:dyDescent="0.25">
      <c r="L685" t="s">
        <v>1746</v>
      </c>
    </row>
    <row r="686" spans="4:73" x14ac:dyDescent="0.25">
      <c r="V686" t="s">
        <v>1747</v>
      </c>
      <c r="AQ686" t="s">
        <v>1748</v>
      </c>
    </row>
    <row r="687" spans="4:73" x14ac:dyDescent="0.25">
      <c r="BO687">
        <v>347</v>
      </c>
    </row>
    <row r="688" spans="4:73" x14ac:dyDescent="0.25">
      <c r="AJ688">
        <v>2.6</v>
      </c>
    </row>
    <row r="689" spans="1:67" x14ac:dyDescent="0.25">
      <c r="A689" t="s">
        <v>1749</v>
      </c>
      <c r="U689" t="s">
        <v>1750</v>
      </c>
    </row>
    <row r="690" spans="1:67" x14ac:dyDescent="0.25">
      <c r="J690" t="s">
        <v>2123</v>
      </c>
    </row>
    <row r="692" spans="1:67" x14ac:dyDescent="0.25">
      <c r="J692" t="s">
        <v>2124</v>
      </c>
    </row>
    <row r="694" spans="1:67" x14ac:dyDescent="0.25">
      <c r="J694" t="s">
        <v>2125</v>
      </c>
    </row>
    <row r="695" spans="1:67" x14ac:dyDescent="0.25">
      <c r="A695" t="s">
        <v>1757</v>
      </c>
    </row>
    <row r="696" spans="1:67" x14ac:dyDescent="0.25">
      <c r="V696" t="s">
        <v>1758</v>
      </c>
      <c r="AQ696" t="s">
        <v>1759</v>
      </c>
    </row>
    <row r="697" spans="1:67" x14ac:dyDescent="0.25">
      <c r="BB697">
        <v>896</v>
      </c>
      <c r="BO697">
        <v>417</v>
      </c>
    </row>
    <row r="698" spans="1:67" x14ac:dyDescent="0.25">
      <c r="AJ698">
        <v>2.6</v>
      </c>
    </row>
    <row r="699" spans="1:67" x14ac:dyDescent="0.25">
      <c r="AJ699">
        <v>2.6</v>
      </c>
    </row>
    <row r="702" spans="1:67" x14ac:dyDescent="0.25">
      <c r="J702" t="s">
        <v>2126</v>
      </c>
    </row>
    <row r="704" spans="1:67" x14ac:dyDescent="0.25">
      <c r="J704" t="s">
        <v>2127</v>
      </c>
    </row>
    <row r="706" spans="4:73" x14ac:dyDescent="0.25">
      <c r="J706" t="s">
        <v>2128</v>
      </c>
    </row>
    <row r="708" spans="4:73" x14ac:dyDescent="0.25">
      <c r="J708" t="s">
        <v>2129</v>
      </c>
    </row>
    <row r="710" spans="4:73" x14ac:dyDescent="0.25">
      <c r="D710">
        <v>1</v>
      </c>
    </row>
    <row r="711" spans="4:73" x14ac:dyDescent="0.25">
      <c r="L711" t="s">
        <v>1764</v>
      </c>
    </row>
    <row r="712" spans="4:73" x14ac:dyDescent="0.25">
      <c r="AB712" t="s">
        <v>655</v>
      </c>
    </row>
    <row r="715" spans="4:73" x14ac:dyDescent="0.25">
      <c r="AH715" t="s">
        <v>1742</v>
      </c>
    </row>
    <row r="717" spans="4:73" x14ac:dyDescent="0.25">
      <c r="BU717" t="s">
        <v>1743</v>
      </c>
    </row>
    <row r="719" spans="4:73" x14ac:dyDescent="0.25">
      <c r="I719" t="s">
        <v>1744</v>
      </c>
    </row>
    <row r="723" spans="1:62" x14ac:dyDescent="0.25">
      <c r="J723" t="s">
        <v>2130</v>
      </c>
    </row>
    <row r="724" spans="1:62" x14ac:dyDescent="0.25">
      <c r="A724" t="s">
        <v>1767</v>
      </c>
    </row>
    <row r="725" spans="1:62" x14ac:dyDescent="0.25">
      <c r="X725" t="s">
        <v>1768</v>
      </c>
      <c r="AQ725" t="s">
        <v>1769</v>
      </c>
    </row>
    <row r="726" spans="1:62" x14ac:dyDescent="0.25">
      <c r="J726" t="s">
        <v>2131</v>
      </c>
    </row>
    <row r="728" spans="1:62" x14ac:dyDescent="0.25">
      <c r="J728" t="s">
        <v>2132</v>
      </c>
    </row>
    <row r="730" spans="1:62" x14ac:dyDescent="0.25">
      <c r="J730" t="s">
        <v>2133</v>
      </c>
    </row>
    <row r="731" spans="1:62" x14ac:dyDescent="0.25">
      <c r="A731" t="s">
        <v>1773</v>
      </c>
      <c r="AJ731" t="s">
        <v>1774</v>
      </c>
    </row>
    <row r="732" spans="1:62" x14ac:dyDescent="0.25">
      <c r="X732" t="s">
        <v>1775</v>
      </c>
    </row>
    <row r="733" spans="1:62" x14ac:dyDescent="0.25">
      <c r="BJ733">
        <v>509</v>
      </c>
    </row>
    <row r="737" spans="1:62" x14ac:dyDescent="0.25">
      <c r="J737" t="s">
        <v>2134</v>
      </c>
    </row>
    <row r="739" spans="1:62" x14ac:dyDescent="0.25">
      <c r="J739" t="s">
        <v>2135</v>
      </c>
    </row>
    <row r="740" spans="1:62" x14ac:dyDescent="0.25">
      <c r="A740" t="s">
        <v>1778</v>
      </c>
    </row>
    <row r="741" spans="1:62" x14ac:dyDescent="0.25">
      <c r="X741" t="s">
        <v>1779</v>
      </c>
      <c r="AJ741" t="s">
        <v>1780</v>
      </c>
    </row>
    <row r="742" spans="1:62" x14ac:dyDescent="0.25">
      <c r="BJ742">
        <v>613</v>
      </c>
    </row>
    <row r="745" spans="1:62" x14ac:dyDescent="0.25">
      <c r="J745" t="s">
        <v>2136</v>
      </c>
    </row>
    <row r="747" spans="1:62" x14ac:dyDescent="0.25">
      <c r="D747">
        <v>2</v>
      </c>
    </row>
    <row r="748" spans="1:62" x14ac:dyDescent="0.25">
      <c r="L748" t="s">
        <v>1764</v>
      </c>
    </row>
    <row r="749" spans="1:62" x14ac:dyDescent="0.25">
      <c r="AB749" t="s">
        <v>655</v>
      </c>
    </row>
    <row r="751" spans="1:62" x14ac:dyDescent="0.25">
      <c r="J751" t="s">
        <v>1765</v>
      </c>
    </row>
    <row r="754" spans="1:62" x14ac:dyDescent="0.25">
      <c r="A754" t="s">
        <v>1742</v>
      </c>
    </row>
    <row r="756" spans="1:62" x14ac:dyDescent="0.25">
      <c r="A756" t="s">
        <v>1744</v>
      </c>
      <c r="AX756" t="s">
        <v>1743</v>
      </c>
    </row>
    <row r="759" spans="1:62" x14ac:dyDescent="0.25">
      <c r="A759" t="s">
        <v>1894</v>
      </c>
      <c r="BJ759" t="s">
        <v>2137</v>
      </c>
    </row>
    <row r="760" spans="1:62" x14ac:dyDescent="0.25">
      <c r="A760" t="s">
        <v>2138</v>
      </c>
      <c r="BJ760">
        <v>698</v>
      </c>
    </row>
    <row r="761" spans="1:62" x14ac:dyDescent="0.25">
      <c r="A761" t="s">
        <v>2139</v>
      </c>
      <c r="BJ761">
        <v>714</v>
      </c>
    </row>
    <row r="762" spans="1:62" x14ac:dyDescent="0.25">
      <c r="A762" t="s">
        <v>2140</v>
      </c>
    </row>
    <row r="763" spans="1:62" x14ac:dyDescent="0.25">
      <c r="A763" t="s">
        <v>2141</v>
      </c>
    </row>
    <row r="764" spans="1:62" x14ac:dyDescent="0.25">
      <c r="A764" t="s">
        <v>1790</v>
      </c>
      <c r="V764" t="s">
        <v>1789</v>
      </c>
      <c r="BJ764">
        <v>716</v>
      </c>
    </row>
    <row r="765" spans="1:62" x14ac:dyDescent="0.25">
      <c r="A765" t="s">
        <v>2142</v>
      </c>
      <c r="V765" t="s">
        <v>2143</v>
      </c>
      <c r="AK765" t="s">
        <v>2144</v>
      </c>
    </row>
    <row r="766" spans="1:62" x14ac:dyDescent="0.25">
      <c r="A766" t="s">
        <v>2145</v>
      </c>
    </row>
    <row r="767" spans="1:62" x14ac:dyDescent="0.25">
      <c r="A767">
        <v>3</v>
      </c>
    </row>
    <row r="768" spans="1:62" x14ac:dyDescent="0.25">
      <c r="A768" t="s">
        <v>1765</v>
      </c>
    </row>
    <row r="772" spans="1:77" x14ac:dyDescent="0.25">
      <c r="AH772" t="s">
        <v>1742</v>
      </c>
    </row>
    <row r="774" spans="1:77" x14ac:dyDescent="0.25">
      <c r="BU774" t="s">
        <v>1743</v>
      </c>
    </row>
    <row r="776" spans="1:77" x14ac:dyDescent="0.25">
      <c r="I776" t="s">
        <v>1744</v>
      </c>
    </row>
    <row r="780" spans="1:77" x14ac:dyDescent="0.25">
      <c r="J780" t="s">
        <v>2146</v>
      </c>
    </row>
    <row r="781" spans="1:77" x14ac:dyDescent="0.25">
      <c r="A781" t="s">
        <v>1794</v>
      </c>
      <c r="BB781">
        <v>36</v>
      </c>
    </row>
    <row r="782" spans="1:77" x14ac:dyDescent="0.25">
      <c r="BM782">
        <v>17</v>
      </c>
    </row>
    <row r="784" spans="1:77" x14ac:dyDescent="0.25">
      <c r="BY784" t="s">
        <v>1797</v>
      </c>
    </row>
    <row r="785" spans="4:73" x14ac:dyDescent="0.25">
      <c r="J785" t="s">
        <v>2147</v>
      </c>
      <c r="Z785" t="s">
        <v>2148</v>
      </c>
      <c r="AT785">
        <v>140</v>
      </c>
      <c r="BM785">
        <v>65</v>
      </c>
    </row>
    <row r="786" spans="4:73" x14ac:dyDescent="0.25">
      <c r="J786" t="s">
        <v>2149</v>
      </c>
      <c r="Z786" t="s">
        <v>2150</v>
      </c>
      <c r="AT786">
        <v>89</v>
      </c>
      <c r="BM786">
        <v>41</v>
      </c>
    </row>
    <row r="787" spans="4:73" x14ac:dyDescent="0.25">
      <c r="J787" t="s">
        <v>1799</v>
      </c>
      <c r="Z787" t="s">
        <v>1800</v>
      </c>
      <c r="AT787">
        <v>114</v>
      </c>
      <c r="BM787">
        <v>53</v>
      </c>
    </row>
    <row r="789" spans="4:73" x14ac:dyDescent="0.25">
      <c r="J789" t="s">
        <v>2151</v>
      </c>
      <c r="Z789" t="s">
        <v>2152</v>
      </c>
      <c r="AT789">
        <v>123</v>
      </c>
      <c r="BM789">
        <v>57</v>
      </c>
    </row>
    <row r="791" spans="4:73" x14ac:dyDescent="0.25">
      <c r="D791">
        <v>4</v>
      </c>
    </row>
    <row r="792" spans="4:73" x14ac:dyDescent="0.25">
      <c r="L792" t="s">
        <v>1764</v>
      </c>
    </row>
    <row r="793" spans="4:73" x14ac:dyDescent="0.25">
      <c r="Z793" t="s">
        <v>655</v>
      </c>
    </row>
    <row r="796" spans="4:73" x14ac:dyDescent="0.25">
      <c r="AH796" t="s">
        <v>1742</v>
      </c>
    </row>
    <row r="798" spans="4:73" x14ac:dyDescent="0.25">
      <c r="BU798" t="s">
        <v>1743</v>
      </c>
    </row>
    <row r="800" spans="4:73" x14ac:dyDescent="0.25">
      <c r="I800" t="s">
        <v>1744</v>
      </c>
    </row>
    <row r="804" spans="1:62" x14ac:dyDescent="0.25">
      <c r="J804" t="s">
        <v>2153</v>
      </c>
    </row>
    <row r="805" spans="1:62" x14ac:dyDescent="0.25">
      <c r="AK805" t="s">
        <v>1803</v>
      </c>
    </row>
    <row r="806" spans="1:62" x14ac:dyDescent="0.25">
      <c r="A806" t="s">
        <v>1804</v>
      </c>
      <c r="BJ806">
        <v>517</v>
      </c>
    </row>
    <row r="807" spans="1:62" x14ac:dyDescent="0.25">
      <c r="AU807" t="s">
        <v>1805</v>
      </c>
    </row>
    <row r="809" spans="1:62" x14ac:dyDescent="0.25">
      <c r="J809" t="s">
        <v>2154</v>
      </c>
    </row>
    <row r="810" spans="1:62" x14ac:dyDescent="0.25">
      <c r="X810" t="s">
        <v>2155</v>
      </c>
    </row>
    <row r="811" spans="1:62" x14ac:dyDescent="0.25">
      <c r="AU811" t="s">
        <v>1807</v>
      </c>
      <c r="BJ811">
        <v>661</v>
      </c>
    </row>
    <row r="812" spans="1:62" x14ac:dyDescent="0.25">
      <c r="A812" t="s">
        <v>2156</v>
      </c>
    </row>
    <row r="815" spans="1:62" x14ac:dyDescent="0.25">
      <c r="J815" t="s">
        <v>2157</v>
      </c>
    </row>
    <row r="816" spans="1:62" x14ac:dyDescent="0.25">
      <c r="AK816" t="s">
        <v>1803</v>
      </c>
    </row>
    <row r="817" spans="1:86" x14ac:dyDescent="0.25">
      <c r="AU817" t="s">
        <v>1811</v>
      </c>
      <c r="BJ817">
        <v>898</v>
      </c>
    </row>
    <row r="818" spans="1:86" x14ac:dyDescent="0.25">
      <c r="A818" t="s">
        <v>1810</v>
      </c>
    </row>
    <row r="820" spans="1:86" x14ac:dyDescent="0.25">
      <c r="J820" t="s">
        <v>2158</v>
      </c>
    </row>
    <row r="821" spans="1:86" x14ac:dyDescent="0.25">
      <c r="AK821" t="s">
        <v>1803</v>
      </c>
    </row>
    <row r="822" spans="1:86" x14ac:dyDescent="0.25">
      <c r="BG822" t="s">
        <v>2159</v>
      </c>
    </row>
    <row r="823" spans="1:86" x14ac:dyDescent="0.25">
      <c r="A823" t="s">
        <v>1813</v>
      </c>
      <c r="AU823" t="s">
        <v>1814</v>
      </c>
    </row>
    <row r="825" spans="1:86" x14ac:dyDescent="0.25">
      <c r="J825" t="s">
        <v>1815</v>
      </c>
      <c r="AB825" t="s">
        <v>1816</v>
      </c>
      <c r="AK825" t="s">
        <v>1817</v>
      </c>
      <c r="AT825" t="s">
        <v>1818</v>
      </c>
      <c r="BE825" t="s">
        <v>1819</v>
      </c>
      <c r="BO825" t="s">
        <v>1820</v>
      </c>
      <c r="BY825" t="s">
        <v>1821</v>
      </c>
    </row>
    <row r="826" spans="1:86" x14ac:dyDescent="0.25">
      <c r="J826" t="s">
        <v>1822</v>
      </c>
      <c r="AB826" t="s">
        <v>1823</v>
      </c>
      <c r="AK826" t="s">
        <v>1823</v>
      </c>
      <c r="AU826" t="s">
        <v>1823</v>
      </c>
      <c r="BE826" t="s">
        <v>1823</v>
      </c>
      <c r="BO826" t="s">
        <v>1823</v>
      </c>
      <c r="BY826" t="s">
        <v>1823</v>
      </c>
      <c r="CH826" t="s">
        <v>1823</v>
      </c>
    </row>
    <row r="827" spans="1:86" x14ac:dyDescent="0.25">
      <c r="J827" t="s">
        <v>1824</v>
      </c>
      <c r="AB827" t="s">
        <v>1823</v>
      </c>
      <c r="AK827" t="s">
        <v>1823</v>
      </c>
      <c r="AU827" t="s">
        <v>1823</v>
      </c>
      <c r="BE827" t="s">
        <v>1823</v>
      </c>
      <c r="BO827" t="s">
        <v>1823</v>
      </c>
      <c r="BY827" t="s">
        <v>1823</v>
      </c>
      <c r="CH827" t="s">
        <v>1823</v>
      </c>
    </row>
    <row r="828" spans="1:86" x14ac:dyDescent="0.25">
      <c r="J828" t="s">
        <v>1825</v>
      </c>
      <c r="AB828" t="s">
        <v>1823</v>
      </c>
      <c r="AK828" t="s">
        <v>1823</v>
      </c>
      <c r="AU828" t="s">
        <v>1823</v>
      </c>
      <c r="BE828" t="s">
        <v>1823</v>
      </c>
      <c r="BO828" t="s">
        <v>1823</v>
      </c>
      <c r="BY828" t="s">
        <v>1823</v>
      </c>
      <c r="CH828" t="s">
        <v>1823</v>
      </c>
    </row>
    <row r="829" spans="1:86" x14ac:dyDescent="0.25">
      <c r="J829" t="s">
        <v>1826</v>
      </c>
      <c r="AB829" t="s">
        <v>1823</v>
      </c>
      <c r="AK829" t="s">
        <v>1823</v>
      </c>
      <c r="AU829" t="s">
        <v>1823</v>
      </c>
      <c r="BE829" t="s">
        <v>1823</v>
      </c>
      <c r="BO829" t="s">
        <v>1823</v>
      </c>
      <c r="BY829" t="s">
        <v>1823</v>
      </c>
      <c r="CH829" t="s">
        <v>1823</v>
      </c>
    </row>
    <row r="830" spans="1:86" x14ac:dyDescent="0.25">
      <c r="J830" t="s">
        <v>1827</v>
      </c>
      <c r="AB830" t="s">
        <v>1823</v>
      </c>
      <c r="AK830" t="s">
        <v>1823</v>
      </c>
      <c r="AU830" t="s">
        <v>1823</v>
      </c>
      <c r="BE830" t="s">
        <v>1823</v>
      </c>
      <c r="BO830" t="s">
        <v>1823</v>
      </c>
      <c r="BY830" t="s">
        <v>1823</v>
      </c>
      <c r="CH830" t="s">
        <v>1823</v>
      </c>
    </row>
    <row r="831" spans="1:86" x14ac:dyDescent="0.25">
      <c r="J831" t="s">
        <v>1828</v>
      </c>
      <c r="AB831" t="s">
        <v>1823</v>
      </c>
      <c r="AK831" t="s">
        <v>1823</v>
      </c>
      <c r="AU831" t="s">
        <v>1823</v>
      </c>
      <c r="BE831" t="s">
        <v>1823</v>
      </c>
      <c r="BO831" t="s">
        <v>1823</v>
      </c>
      <c r="BY831" t="s">
        <v>1823</v>
      </c>
      <c r="CH831" t="s">
        <v>1823</v>
      </c>
    </row>
    <row r="832" spans="1:86" x14ac:dyDescent="0.25">
      <c r="J832" t="s">
        <v>1829</v>
      </c>
      <c r="AB832" t="s">
        <v>1823</v>
      </c>
      <c r="AK832" t="s">
        <v>1823</v>
      </c>
      <c r="AU832" t="s">
        <v>1823</v>
      </c>
      <c r="BE832" t="s">
        <v>1823</v>
      </c>
      <c r="BO832" t="s">
        <v>1823</v>
      </c>
      <c r="BY832" t="s">
        <v>1823</v>
      </c>
      <c r="CH832" t="s">
        <v>1823</v>
      </c>
    </row>
    <row r="834" spans="4:77" x14ac:dyDescent="0.25">
      <c r="D834">
        <v>5</v>
      </c>
    </row>
    <row r="835" spans="4:77" x14ac:dyDescent="0.25">
      <c r="L835" t="s">
        <v>1764</v>
      </c>
    </row>
    <row r="837" spans="4:77" x14ac:dyDescent="0.25">
      <c r="AH837" t="s">
        <v>1742</v>
      </c>
    </row>
    <row r="839" spans="4:77" x14ac:dyDescent="0.25">
      <c r="BU839" t="s">
        <v>1743</v>
      </c>
    </row>
    <row r="841" spans="4:77" x14ac:dyDescent="0.25">
      <c r="I841" t="s">
        <v>1744</v>
      </c>
    </row>
    <row r="845" spans="4:77" x14ac:dyDescent="0.25">
      <c r="BY845" t="s">
        <v>1831</v>
      </c>
    </row>
    <row r="846" spans="4:77" x14ac:dyDescent="0.25">
      <c r="J846" t="s">
        <v>2160</v>
      </c>
    </row>
    <row r="848" spans="4:77" x14ac:dyDescent="0.25">
      <c r="J848" t="s">
        <v>1747</v>
      </c>
      <c r="U848">
        <v>2.6</v>
      </c>
      <c r="AH848" t="s">
        <v>1836</v>
      </c>
      <c r="AX848" t="s">
        <v>2161</v>
      </c>
    </row>
    <row r="849" spans="1:50" x14ac:dyDescent="0.25">
      <c r="J849" t="s">
        <v>1837</v>
      </c>
      <c r="U849">
        <v>3.5</v>
      </c>
      <c r="AH849" t="s">
        <v>1838</v>
      </c>
      <c r="AX849" t="s">
        <v>2162</v>
      </c>
    </row>
    <row r="850" spans="1:50" x14ac:dyDescent="0.25">
      <c r="J850" t="s">
        <v>1753</v>
      </c>
      <c r="U850">
        <v>5.3</v>
      </c>
      <c r="AH850" t="s">
        <v>1839</v>
      </c>
      <c r="AX850" t="s">
        <v>2163</v>
      </c>
    </row>
    <row r="851" spans="1:50" x14ac:dyDescent="0.25">
      <c r="J851" t="s">
        <v>1840</v>
      </c>
      <c r="U851">
        <v>7.1</v>
      </c>
      <c r="AH851" t="s">
        <v>1841</v>
      </c>
      <c r="AX851" t="s">
        <v>2164</v>
      </c>
    </row>
    <row r="853" spans="1:50" x14ac:dyDescent="0.25">
      <c r="A853" t="s">
        <v>1842</v>
      </c>
    </row>
    <row r="855" spans="1:50" x14ac:dyDescent="0.25">
      <c r="J855" t="s">
        <v>2165</v>
      </c>
    </row>
    <row r="856" spans="1:50" x14ac:dyDescent="0.25">
      <c r="A856" t="s">
        <v>2166</v>
      </c>
    </row>
    <row r="857" spans="1:50" x14ac:dyDescent="0.25">
      <c r="J857" t="s">
        <v>2167</v>
      </c>
    </row>
    <row r="859" spans="1:50" x14ac:dyDescent="0.25">
      <c r="J859" t="s">
        <v>573</v>
      </c>
      <c r="S859" t="s">
        <v>1893</v>
      </c>
      <c r="AH859" t="s">
        <v>1894</v>
      </c>
      <c r="AX859" t="s">
        <v>2137</v>
      </c>
    </row>
    <row r="860" spans="1:50" x14ac:dyDescent="0.25">
      <c r="J860" t="s">
        <v>1768</v>
      </c>
      <c r="S860">
        <v>2.6</v>
      </c>
      <c r="AH860" t="s">
        <v>1851</v>
      </c>
      <c r="AX860" t="s">
        <v>2168</v>
      </c>
    </row>
    <row r="861" spans="1:50" x14ac:dyDescent="0.25">
      <c r="J861" t="s">
        <v>1852</v>
      </c>
      <c r="S861">
        <v>3.5</v>
      </c>
      <c r="AH861" t="s">
        <v>1853</v>
      </c>
      <c r="AX861" t="s">
        <v>2169</v>
      </c>
    </row>
    <row r="862" spans="1:50" x14ac:dyDescent="0.25">
      <c r="J862" t="s">
        <v>1854</v>
      </c>
      <c r="S862">
        <v>5.3</v>
      </c>
      <c r="AH862" t="s">
        <v>1855</v>
      </c>
      <c r="AX862" t="s">
        <v>2170</v>
      </c>
    </row>
    <row r="863" spans="1:50" x14ac:dyDescent="0.25">
      <c r="J863" t="s">
        <v>1856</v>
      </c>
      <c r="S863">
        <v>7.1</v>
      </c>
      <c r="AH863" t="s">
        <v>1857</v>
      </c>
      <c r="AX863" t="s">
        <v>2171</v>
      </c>
    </row>
    <row r="865" spans="1:73" x14ac:dyDescent="0.25">
      <c r="J865" t="s">
        <v>2172</v>
      </c>
    </row>
    <row r="866" spans="1:73" x14ac:dyDescent="0.25">
      <c r="D866">
        <v>6</v>
      </c>
    </row>
    <row r="868" spans="1:73" x14ac:dyDescent="0.25">
      <c r="L868" t="s">
        <v>655</v>
      </c>
    </row>
    <row r="870" spans="1:73" x14ac:dyDescent="0.25">
      <c r="AH870" t="s">
        <v>1742</v>
      </c>
    </row>
    <row r="872" spans="1:73" x14ac:dyDescent="0.25">
      <c r="BU872" t="s">
        <v>1743</v>
      </c>
    </row>
    <row r="874" spans="1:73" x14ac:dyDescent="0.25">
      <c r="I874" t="s">
        <v>1744</v>
      </c>
    </row>
    <row r="878" spans="1:73" x14ac:dyDescent="0.25">
      <c r="A878" t="s">
        <v>1865</v>
      </c>
      <c r="BE878" t="s">
        <v>1866</v>
      </c>
    </row>
    <row r="879" spans="1:73" x14ac:dyDescent="0.25">
      <c r="J879" t="s">
        <v>2173</v>
      </c>
    </row>
    <row r="880" spans="1:73" x14ac:dyDescent="0.25">
      <c r="J880" t="s">
        <v>1868</v>
      </c>
      <c r="X880" t="s">
        <v>1859</v>
      </c>
      <c r="AH880" t="s">
        <v>1869</v>
      </c>
      <c r="AX880" t="s">
        <v>2174</v>
      </c>
    </row>
    <row r="881" spans="1:50" x14ac:dyDescent="0.25">
      <c r="J881" t="s">
        <v>1870</v>
      </c>
      <c r="X881" t="s">
        <v>1862</v>
      </c>
      <c r="AH881" t="s">
        <v>1871</v>
      </c>
      <c r="AX881" t="s">
        <v>2175</v>
      </c>
    </row>
    <row r="882" spans="1:50" x14ac:dyDescent="0.25">
      <c r="J882" t="s">
        <v>1872</v>
      </c>
      <c r="X882" t="s">
        <v>1873</v>
      </c>
      <c r="AH882" t="s">
        <v>1874</v>
      </c>
      <c r="AX882" t="s">
        <v>2176</v>
      </c>
    </row>
    <row r="883" spans="1:50" x14ac:dyDescent="0.25">
      <c r="J883" t="s">
        <v>1875</v>
      </c>
      <c r="X883" t="s">
        <v>1876</v>
      </c>
      <c r="AH883" t="s">
        <v>1877</v>
      </c>
      <c r="AX883" t="s">
        <v>2177</v>
      </c>
    </row>
    <row r="885" spans="1:50" x14ac:dyDescent="0.25">
      <c r="J885" t="s">
        <v>2178</v>
      </c>
    </row>
    <row r="886" spans="1:50" x14ac:dyDescent="0.25">
      <c r="AJ886">
        <v>794</v>
      </c>
      <c r="AX886" t="s">
        <v>2179</v>
      </c>
    </row>
    <row r="887" spans="1:50" x14ac:dyDescent="0.25">
      <c r="A887" t="s">
        <v>2180</v>
      </c>
    </row>
    <row r="889" spans="1:50" x14ac:dyDescent="0.25">
      <c r="J889" t="s">
        <v>2181</v>
      </c>
    </row>
    <row r="891" spans="1:50" x14ac:dyDescent="0.25">
      <c r="J891" t="s">
        <v>2182</v>
      </c>
    </row>
    <row r="892" spans="1:50" x14ac:dyDescent="0.25">
      <c r="A892" t="s">
        <v>1883</v>
      </c>
      <c r="AJ892">
        <v>831</v>
      </c>
    </row>
    <row r="893" spans="1:50" x14ac:dyDescent="0.25">
      <c r="AX893" t="s">
        <v>2183</v>
      </c>
    </row>
    <row r="895" spans="1:50" x14ac:dyDescent="0.25">
      <c r="J895" t="s">
        <v>2184</v>
      </c>
    </row>
    <row r="897" spans="1:50" x14ac:dyDescent="0.25">
      <c r="D897">
        <v>7</v>
      </c>
    </row>
    <row r="898" spans="1:50" x14ac:dyDescent="0.25">
      <c r="L898" t="s">
        <v>655</v>
      </c>
    </row>
    <row r="902" spans="1:50" x14ac:dyDescent="0.25">
      <c r="A902" t="s">
        <v>1742</v>
      </c>
    </row>
    <row r="904" spans="1:50" x14ac:dyDescent="0.25">
      <c r="A904" t="s">
        <v>1744</v>
      </c>
      <c r="AX904" t="s">
        <v>1743</v>
      </c>
    </row>
    <row r="907" spans="1:50" x14ac:dyDescent="0.25">
      <c r="A907" t="s">
        <v>573</v>
      </c>
      <c r="P907" t="s">
        <v>1850</v>
      </c>
      <c r="U907" t="s">
        <v>2185</v>
      </c>
    </row>
    <row r="908" spans="1:50" x14ac:dyDescent="0.25">
      <c r="A908" t="s">
        <v>1886</v>
      </c>
      <c r="P908">
        <v>2.6</v>
      </c>
      <c r="U908" t="s">
        <v>2186</v>
      </c>
    </row>
    <row r="909" spans="1:50" x14ac:dyDescent="0.25">
      <c r="A909" t="s">
        <v>1888</v>
      </c>
      <c r="P909">
        <v>3.5</v>
      </c>
      <c r="U909" t="s">
        <v>2187</v>
      </c>
    </row>
    <row r="910" spans="1:50" x14ac:dyDescent="0.25">
      <c r="A910" t="s">
        <v>1890</v>
      </c>
      <c r="P910">
        <v>5.3</v>
      </c>
      <c r="U910" t="s">
        <v>2188</v>
      </c>
    </row>
    <row r="911" spans="1:50" x14ac:dyDescent="0.25">
      <c r="A911" t="s">
        <v>1892</v>
      </c>
    </row>
    <row r="912" spans="1:50" x14ac:dyDescent="0.25">
      <c r="B912" t="s">
        <v>573</v>
      </c>
      <c r="V912" t="s">
        <v>1893</v>
      </c>
      <c r="AB912" t="s">
        <v>1894</v>
      </c>
      <c r="AX912" t="s">
        <v>2137</v>
      </c>
    </row>
    <row r="913" spans="1:50" x14ac:dyDescent="0.25">
      <c r="B913" t="s">
        <v>1895</v>
      </c>
      <c r="V913" t="s">
        <v>1859</v>
      </c>
      <c r="AB913" t="s">
        <v>1896</v>
      </c>
      <c r="AX913" t="s">
        <v>2189</v>
      </c>
    </row>
    <row r="914" spans="1:50" x14ac:dyDescent="0.25">
      <c r="B914" t="s">
        <v>1897</v>
      </c>
      <c r="V914" t="s">
        <v>1862</v>
      </c>
      <c r="AB914" t="s">
        <v>1898</v>
      </c>
      <c r="AX914" t="s">
        <v>2190</v>
      </c>
    </row>
    <row r="915" spans="1:50" x14ac:dyDescent="0.25">
      <c r="B915" t="s">
        <v>1897</v>
      </c>
      <c r="V915" t="s">
        <v>1873</v>
      </c>
      <c r="AB915" t="s">
        <v>1899</v>
      </c>
      <c r="AX915" t="s">
        <v>2191</v>
      </c>
    </row>
    <row r="916" spans="1:50" x14ac:dyDescent="0.25">
      <c r="A916" t="s">
        <v>2192</v>
      </c>
    </row>
    <row r="917" spans="1:50" x14ac:dyDescent="0.25">
      <c r="V917" t="s">
        <v>1835</v>
      </c>
    </row>
    <row r="918" spans="1:50" x14ac:dyDescent="0.25">
      <c r="A918" t="s">
        <v>1901</v>
      </c>
      <c r="V918" t="s">
        <v>1862</v>
      </c>
      <c r="AM918">
        <v>552</v>
      </c>
      <c r="AQ918" t="s">
        <v>2171</v>
      </c>
    </row>
    <row r="919" spans="1:50" x14ac:dyDescent="0.25">
      <c r="A919" t="s">
        <v>1902</v>
      </c>
      <c r="V919" t="s">
        <v>1903</v>
      </c>
      <c r="AM919">
        <v>584</v>
      </c>
      <c r="AQ919" t="s">
        <v>2193</v>
      </c>
    </row>
    <row r="920" spans="1:50" x14ac:dyDescent="0.25">
      <c r="A920">
        <v>8</v>
      </c>
    </row>
    <row r="927" spans="1:50" x14ac:dyDescent="0.25">
      <c r="AH927" t="s">
        <v>1742</v>
      </c>
    </row>
    <row r="929" spans="1:75" x14ac:dyDescent="0.25">
      <c r="BU929" t="s">
        <v>1743</v>
      </c>
    </row>
    <row r="931" spans="1:75" x14ac:dyDescent="0.25">
      <c r="I931" t="s">
        <v>1744</v>
      </c>
    </row>
    <row r="935" spans="1:75" x14ac:dyDescent="0.25">
      <c r="J935" t="s">
        <v>2194</v>
      </c>
    </row>
    <row r="936" spans="1:75" x14ac:dyDescent="0.25">
      <c r="BJ936">
        <v>36</v>
      </c>
      <c r="BW936">
        <v>17</v>
      </c>
    </row>
    <row r="937" spans="1:75" x14ac:dyDescent="0.25">
      <c r="A937" t="s">
        <v>2195</v>
      </c>
    </row>
    <row r="939" spans="1:75" x14ac:dyDescent="0.25">
      <c r="J939" t="s">
        <v>2196</v>
      </c>
    </row>
    <row r="940" spans="1:75" x14ac:dyDescent="0.25">
      <c r="J940" t="s">
        <v>1907</v>
      </c>
    </row>
    <row r="941" spans="1:75" x14ac:dyDescent="0.25">
      <c r="J941" t="s">
        <v>1908</v>
      </c>
      <c r="AB941" t="s">
        <v>1909</v>
      </c>
    </row>
    <row r="942" spans="1:75" x14ac:dyDescent="0.25">
      <c r="J942" t="s">
        <v>1910</v>
      </c>
    </row>
    <row r="943" spans="1:75" x14ac:dyDescent="0.25">
      <c r="J943" t="s">
        <v>2197</v>
      </c>
    </row>
    <row r="944" spans="1:75" x14ac:dyDescent="0.25">
      <c r="A944" t="s">
        <v>2198</v>
      </c>
    </row>
    <row r="945" spans="1:76" x14ac:dyDescent="0.25">
      <c r="BW945">
        <v>73</v>
      </c>
    </row>
    <row r="946" spans="1:76" x14ac:dyDescent="0.25">
      <c r="BJ946">
        <v>156</v>
      </c>
    </row>
    <row r="949" spans="1:76" x14ac:dyDescent="0.25">
      <c r="J949" t="s">
        <v>2199</v>
      </c>
    </row>
    <row r="950" spans="1:76" x14ac:dyDescent="0.25">
      <c r="AB950" t="s">
        <v>1918</v>
      </c>
      <c r="BH950" t="s">
        <v>2200</v>
      </c>
      <c r="BX950" t="s">
        <v>1914</v>
      </c>
    </row>
    <row r="951" spans="1:76" x14ac:dyDescent="0.25">
      <c r="A951" t="s">
        <v>1916</v>
      </c>
    </row>
    <row r="952" spans="1:76" x14ac:dyDescent="0.25">
      <c r="AT952" t="s">
        <v>1919</v>
      </c>
    </row>
    <row r="956" spans="1:76" x14ac:dyDescent="0.25">
      <c r="D956">
        <v>9</v>
      </c>
    </row>
    <row r="957" spans="1:76" x14ac:dyDescent="0.25">
      <c r="AH957" t="s">
        <v>1742</v>
      </c>
    </row>
    <row r="959" spans="1:76" x14ac:dyDescent="0.25">
      <c r="BU959" t="s">
        <v>1743</v>
      </c>
    </row>
    <row r="961" spans="1:68" x14ac:dyDescent="0.25">
      <c r="I961" t="s">
        <v>1744</v>
      </c>
    </row>
    <row r="965" spans="1:68" x14ac:dyDescent="0.25">
      <c r="J965" t="s">
        <v>2201</v>
      </c>
    </row>
    <row r="966" spans="1:68" x14ac:dyDescent="0.25">
      <c r="V966" t="s">
        <v>1921</v>
      </c>
    </row>
    <row r="967" spans="1:68" x14ac:dyDescent="0.25">
      <c r="AQ967" t="s">
        <v>1922</v>
      </c>
    </row>
    <row r="968" spans="1:68" x14ac:dyDescent="0.25">
      <c r="BB968">
        <v>1579</v>
      </c>
      <c r="BP968">
        <v>734</v>
      </c>
    </row>
    <row r="969" spans="1:68" x14ac:dyDescent="0.25">
      <c r="A969" t="s">
        <v>1923</v>
      </c>
      <c r="AJ969">
        <v>3.5</v>
      </c>
    </row>
    <row r="973" spans="1:68" x14ac:dyDescent="0.25">
      <c r="J973" t="s">
        <v>2202</v>
      </c>
    </row>
    <row r="974" spans="1:68" x14ac:dyDescent="0.25">
      <c r="X974" t="s">
        <v>1925</v>
      </c>
    </row>
    <row r="975" spans="1:68" x14ac:dyDescent="0.25">
      <c r="AQ975" t="s">
        <v>1926</v>
      </c>
    </row>
    <row r="976" spans="1:68" x14ac:dyDescent="0.25">
      <c r="BB976">
        <v>2440</v>
      </c>
      <c r="BO976" t="s">
        <v>2203</v>
      </c>
    </row>
    <row r="977" spans="1:77" x14ac:dyDescent="0.25">
      <c r="A977" t="s">
        <v>1927</v>
      </c>
      <c r="AJ977" t="s">
        <v>1876</v>
      </c>
    </row>
    <row r="978" spans="1:77" x14ac:dyDescent="0.25">
      <c r="BY978" t="s">
        <v>1928</v>
      </c>
    </row>
    <row r="979" spans="1:77" x14ac:dyDescent="0.25">
      <c r="A979" t="s">
        <v>1929</v>
      </c>
      <c r="AH979" t="s">
        <v>1930</v>
      </c>
    </row>
    <row r="980" spans="1:77" x14ac:dyDescent="0.25">
      <c r="AU980" t="s">
        <v>1931</v>
      </c>
    </row>
    <row r="981" spans="1:77" x14ac:dyDescent="0.25">
      <c r="J981" t="s">
        <v>2204</v>
      </c>
    </row>
    <row r="982" spans="1:77" x14ac:dyDescent="0.25">
      <c r="X982" t="s">
        <v>1933</v>
      </c>
    </row>
    <row r="983" spans="1:77" x14ac:dyDescent="0.25">
      <c r="AQ983" t="s">
        <v>1934</v>
      </c>
    </row>
    <row r="984" spans="1:77" x14ac:dyDescent="0.25">
      <c r="BB984">
        <v>4461</v>
      </c>
      <c r="BO984" t="s">
        <v>2205</v>
      </c>
    </row>
    <row r="985" spans="1:77" x14ac:dyDescent="0.25">
      <c r="A985" t="s">
        <v>1935</v>
      </c>
      <c r="AJ985" t="s">
        <v>1936</v>
      </c>
    </row>
    <row r="988" spans="1:77" x14ac:dyDescent="0.25">
      <c r="AQ988" t="s">
        <v>1930</v>
      </c>
    </row>
    <row r="989" spans="1:77" x14ac:dyDescent="0.25">
      <c r="A989" t="s">
        <v>1937</v>
      </c>
    </row>
    <row r="991" spans="1:77" x14ac:dyDescent="0.25">
      <c r="J991" t="s">
        <v>2206</v>
      </c>
    </row>
    <row r="992" spans="1:77" x14ac:dyDescent="0.25">
      <c r="A992" t="s">
        <v>1939</v>
      </c>
    </row>
    <row r="993" spans="1:84" x14ac:dyDescent="0.25">
      <c r="CF993" t="s">
        <v>2207</v>
      </c>
    </row>
    <row r="994" spans="1:84" x14ac:dyDescent="0.25">
      <c r="D994">
        <v>10</v>
      </c>
    </row>
    <row r="996" spans="1:84" x14ac:dyDescent="0.25">
      <c r="AH996" t="s">
        <v>1742</v>
      </c>
    </row>
    <row r="998" spans="1:84" x14ac:dyDescent="0.25">
      <c r="BU998" t="s">
        <v>1743</v>
      </c>
    </row>
    <row r="1000" spans="1:84" x14ac:dyDescent="0.25">
      <c r="I1000" t="s">
        <v>1744</v>
      </c>
    </row>
    <row r="1004" spans="1:84" x14ac:dyDescent="0.25">
      <c r="J1004" t="s">
        <v>2208</v>
      </c>
    </row>
    <row r="1005" spans="1:84" x14ac:dyDescent="0.25">
      <c r="A1005" t="s">
        <v>1942</v>
      </c>
    </row>
    <row r="1006" spans="1:84" x14ac:dyDescent="0.25">
      <c r="BO1006">
        <v>955</v>
      </c>
    </row>
    <row r="1008" spans="1:84" x14ac:dyDescent="0.25">
      <c r="J1008" t="s">
        <v>2209</v>
      </c>
    </row>
    <row r="1009" spans="1:76" x14ac:dyDescent="0.25">
      <c r="A1009" t="s">
        <v>1944</v>
      </c>
    </row>
    <row r="1010" spans="1:76" x14ac:dyDescent="0.25">
      <c r="BO1010" t="s">
        <v>2210</v>
      </c>
    </row>
    <row r="1012" spans="1:76" x14ac:dyDescent="0.25">
      <c r="J1012" t="s">
        <v>2211</v>
      </c>
    </row>
    <row r="1013" spans="1:76" x14ac:dyDescent="0.25">
      <c r="A1013" t="s">
        <v>1947</v>
      </c>
    </row>
    <row r="1014" spans="1:76" x14ac:dyDescent="0.25">
      <c r="BO1014" t="s">
        <v>2212</v>
      </c>
    </row>
    <row r="1016" spans="1:76" x14ac:dyDescent="0.25">
      <c r="BX1016" t="s">
        <v>1949</v>
      </c>
    </row>
    <row r="1017" spans="1:76" x14ac:dyDescent="0.25">
      <c r="A1017" t="s">
        <v>1948</v>
      </c>
    </row>
    <row r="1019" spans="1:76" x14ac:dyDescent="0.25">
      <c r="J1019" t="s">
        <v>2213</v>
      </c>
    </row>
    <row r="1020" spans="1:76" x14ac:dyDescent="0.25">
      <c r="A1020" t="s">
        <v>1951</v>
      </c>
      <c r="AJ1020" t="s">
        <v>1952</v>
      </c>
    </row>
    <row r="1021" spans="1:76" x14ac:dyDescent="0.25">
      <c r="BB1021">
        <v>1568</v>
      </c>
      <c r="BO1021">
        <v>729</v>
      </c>
    </row>
    <row r="1023" spans="1:76" x14ac:dyDescent="0.25">
      <c r="J1023" t="s">
        <v>2214</v>
      </c>
    </row>
    <row r="1025" spans="1:68" x14ac:dyDescent="0.25">
      <c r="D1025">
        <v>11</v>
      </c>
    </row>
    <row r="1026" spans="1:68" x14ac:dyDescent="0.25">
      <c r="L1026" t="s">
        <v>1764</v>
      </c>
    </row>
    <row r="1028" spans="1:68" x14ac:dyDescent="0.25">
      <c r="AH1028" t="s">
        <v>1742</v>
      </c>
      <c r="BP1028" t="s">
        <v>1743</v>
      </c>
    </row>
    <row r="1031" spans="1:68" x14ac:dyDescent="0.25">
      <c r="I1031" t="s">
        <v>1744</v>
      </c>
    </row>
    <row r="1035" spans="1:68" x14ac:dyDescent="0.25">
      <c r="A1035" t="s">
        <v>1954</v>
      </c>
      <c r="BG1035" t="s">
        <v>1955</v>
      </c>
    </row>
    <row r="1037" spans="1:68" x14ac:dyDescent="0.25">
      <c r="BG1037" t="s">
        <v>1956</v>
      </c>
    </row>
    <row r="1038" spans="1:68" x14ac:dyDescent="0.25">
      <c r="J1038" t="s">
        <v>2215</v>
      </c>
    </row>
    <row r="1039" spans="1:68" x14ac:dyDescent="0.25">
      <c r="A1039" t="s">
        <v>1958</v>
      </c>
    </row>
    <row r="1040" spans="1:68" x14ac:dyDescent="0.25">
      <c r="BO1040">
        <v>771</v>
      </c>
    </row>
    <row r="1042" spans="1:65" x14ac:dyDescent="0.25">
      <c r="J1042" t="s">
        <v>2216</v>
      </c>
    </row>
    <row r="1043" spans="1:65" x14ac:dyDescent="0.25">
      <c r="A1043" t="s">
        <v>1960</v>
      </c>
    </row>
    <row r="1044" spans="1:65" x14ac:dyDescent="0.25">
      <c r="BM1044" t="s">
        <v>2217</v>
      </c>
    </row>
    <row r="1046" spans="1:65" x14ac:dyDescent="0.25">
      <c r="J1046" t="s">
        <v>2218</v>
      </c>
    </row>
    <row r="1047" spans="1:65" x14ac:dyDescent="0.25">
      <c r="A1047" t="s">
        <v>1963</v>
      </c>
    </row>
    <row r="1048" spans="1:65" x14ac:dyDescent="0.25">
      <c r="BM1048" t="s">
        <v>2219</v>
      </c>
    </row>
    <row r="1050" spans="1:65" x14ac:dyDescent="0.25">
      <c r="J1050" t="s">
        <v>2220</v>
      </c>
    </row>
    <row r="1052" spans="1:65" x14ac:dyDescent="0.25">
      <c r="J1052" t="s">
        <v>2221</v>
      </c>
    </row>
    <row r="1053" spans="1:65" x14ac:dyDescent="0.25">
      <c r="A1053" t="s">
        <v>2222</v>
      </c>
    </row>
    <row r="1054" spans="1:65" x14ac:dyDescent="0.25">
      <c r="BA1054" t="s">
        <v>1968</v>
      </c>
      <c r="BJ1054" t="s">
        <v>2223</v>
      </c>
    </row>
    <row r="1055" spans="1:65" x14ac:dyDescent="0.25">
      <c r="V1055" t="s">
        <v>1970</v>
      </c>
      <c r="AE1055" t="s">
        <v>2224</v>
      </c>
    </row>
    <row r="1056" spans="1:65" x14ac:dyDescent="0.25">
      <c r="L1056" t="s">
        <v>1764</v>
      </c>
    </row>
    <row r="1057" spans="4:73" x14ac:dyDescent="0.25">
      <c r="D1057">
        <v>12</v>
      </c>
    </row>
    <row r="1060" spans="4:73" x14ac:dyDescent="0.25">
      <c r="AH1060" t="s">
        <v>1742</v>
      </c>
    </row>
    <row r="1062" spans="4:73" x14ac:dyDescent="0.25">
      <c r="BU1062" t="s">
        <v>1743</v>
      </c>
    </row>
    <row r="1064" spans="4:73" x14ac:dyDescent="0.25">
      <c r="I1064" t="s">
        <v>1744</v>
      </c>
    </row>
    <row r="1068" spans="4:73" x14ac:dyDescent="0.25">
      <c r="J1068" t="s">
        <v>2225</v>
      </c>
      <c r="AE1068" t="s">
        <v>2226</v>
      </c>
      <c r="AM1068" t="s">
        <v>615</v>
      </c>
      <c r="BS1068" t="s">
        <v>2137</v>
      </c>
    </row>
    <row r="1069" spans="4:73" x14ac:dyDescent="0.25">
      <c r="J1069" t="s">
        <v>1975</v>
      </c>
      <c r="Y1069" t="s">
        <v>2227</v>
      </c>
      <c r="BC1069">
        <v>87</v>
      </c>
      <c r="BS1069" t="s">
        <v>2228</v>
      </c>
    </row>
    <row r="1070" spans="4:73" x14ac:dyDescent="0.25">
      <c r="J1070" t="s">
        <v>1975</v>
      </c>
      <c r="AE1070" t="s">
        <v>2229</v>
      </c>
      <c r="AM1070" t="s">
        <v>2230</v>
      </c>
      <c r="BC1070">
        <v>156</v>
      </c>
      <c r="BS1070" t="s">
        <v>2231</v>
      </c>
    </row>
    <row r="1071" spans="4:73" x14ac:dyDescent="0.25">
      <c r="J1071" t="s">
        <v>1975</v>
      </c>
      <c r="AE1071" t="s">
        <v>2232</v>
      </c>
      <c r="AM1071" t="s">
        <v>2230</v>
      </c>
      <c r="BC1071">
        <v>81</v>
      </c>
      <c r="BS1071" t="s">
        <v>2233</v>
      </c>
    </row>
    <row r="1072" spans="4:73" x14ac:dyDescent="0.25">
      <c r="J1072" t="s">
        <v>655</v>
      </c>
      <c r="AE1072" t="s">
        <v>2234</v>
      </c>
      <c r="AM1072" t="s">
        <v>2235</v>
      </c>
      <c r="BC1072">
        <v>140</v>
      </c>
      <c r="BS1072" t="s">
        <v>2236</v>
      </c>
    </row>
    <row r="1073" spans="1:77" x14ac:dyDescent="0.25">
      <c r="AF1073" t="s">
        <v>1917</v>
      </c>
      <c r="BA1073" t="s">
        <v>1914</v>
      </c>
    </row>
    <row r="1074" spans="1:77" x14ac:dyDescent="0.25">
      <c r="A1074" t="s">
        <v>2237</v>
      </c>
      <c r="BS1074" t="s">
        <v>1919</v>
      </c>
    </row>
    <row r="1076" spans="1:77" x14ac:dyDescent="0.25">
      <c r="D1076">
        <v>13</v>
      </c>
    </row>
    <row r="1077" spans="1:77" x14ac:dyDescent="0.25">
      <c r="A1077" t="s">
        <v>1742</v>
      </c>
    </row>
    <row r="1079" spans="1:77" x14ac:dyDescent="0.25">
      <c r="A1079" t="s">
        <v>1744</v>
      </c>
      <c r="AX1079" t="s">
        <v>1743</v>
      </c>
    </row>
    <row r="1082" spans="1:77" x14ac:dyDescent="0.25">
      <c r="A1082" t="s">
        <v>1979</v>
      </c>
    </row>
    <row r="1083" spans="1:77" x14ac:dyDescent="0.25">
      <c r="A1083" t="s">
        <v>2238</v>
      </c>
    </row>
    <row r="1084" spans="1:77" x14ac:dyDescent="0.25">
      <c r="A1084" t="s">
        <v>2239</v>
      </c>
      <c r="S1084" t="s">
        <v>2240</v>
      </c>
      <c r="AB1084" t="s">
        <v>1982</v>
      </c>
      <c r="AM1084" t="s">
        <v>1983</v>
      </c>
      <c r="AX1084" t="s">
        <v>1984</v>
      </c>
      <c r="BJ1084" t="s">
        <v>2241</v>
      </c>
      <c r="BW1084" t="s">
        <v>1990</v>
      </c>
    </row>
    <row r="1085" spans="1:77" x14ac:dyDescent="0.25">
      <c r="A1085" t="s">
        <v>2242</v>
      </c>
    </row>
    <row r="1086" spans="1:77" x14ac:dyDescent="0.25">
      <c r="A1086" t="s">
        <v>2243</v>
      </c>
      <c r="S1086" t="s">
        <v>2240</v>
      </c>
      <c r="AB1086" t="s">
        <v>1987</v>
      </c>
      <c r="AM1086" t="s">
        <v>1988</v>
      </c>
      <c r="AX1086" t="s">
        <v>1989</v>
      </c>
      <c r="BJ1086" t="s">
        <v>2244</v>
      </c>
    </row>
    <row r="1087" spans="1:77" x14ac:dyDescent="0.25">
      <c r="A1087" t="s">
        <v>2245</v>
      </c>
    </row>
    <row r="1088" spans="1:77" x14ac:dyDescent="0.25">
      <c r="A1088" t="s">
        <v>2246</v>
      </c>
      <c r="S1088" t="s">
        <v>2240</v>
      </c>
      <c r="AB1088" t="s">
        <v>1993</v>
      </c>
      <c r="AM1088" t="s">
        <v>1994</v>
      </c>
      <c r="AX1088" t="s">
        <v>1995</v>
      </c>
      <c r="BJ1088" t="s">
        <v>2247</v>
      </c>
      <c r="BY1088" t="s">
        <v>2248</v>
      </c>
    </row>
    <row r="1089" spans="1:50" x14ac:dyDescent="0.25">
      <c r="A1089" t="s">
        <v>2249</v>
      </c>
      <c r="U1089" t="s">
        <v>2021</v>
      </c>
      <c r="Z1089" t="s">
        <v>2250</v>
      </c>
    </row>
    <row r="1090" spans="1:50" x14ac:dyDescent="0.25">
      <c r="A1090" t="s">
        <v>2251</v>
      </c>
      <c r="U1090" t="s">
        <v>2252</v>
      </c>
      <c r="Z1090" t="s">
        <v>2253</v>
      </c>
    </row>
    <row r="1091" spans="1:50" x14ac:dyDescent="0.25">
      <c r="A1091" t="s">
        <v>2029</v>
      </c>
      <c r="U1091" t="s">
        <v>2037</v>
      </c>
      <c r="Z1091" t="s">
        <v>2254</v>
      </c>
    </row>
    <row r="1092" spans="1:50" x14ac:dyDescent="0.25">
      <c r="A1092" t="s">
        <v>2255</v>
      </c>
      <c r="U1092" t="s">
        <v>2256</v>
      </c>
      <c r="Z1092" t="s">
        <v>2257</v>
      </c>
    </row>
    <row r="1093" spans="1:50" x14ac:dyDescent="0.25">
      <c r="A1093" t="s">
        <v>2029</v>
      </c>
      <c r="U1093" t="s">
        <v>2037</v>
      </c>
      <c r="Z1093" t="s">
        <v>2254</v>
      </c>
    </row>
    <row r="1094" spans="1:50" x14ac:dyDescent="0.25">
      <c r="A1094" t="s">
        <v>2258</v>
      </c>
      <c r="AX1094" t="s">
        <v>2259</v>
      </c>
    </row>
    <row r="1095" spans="1:50" x14ac:dyDescent="0.25">
      <c r="A1095" t="s">
        <v>2008</v>
      </c>
      <c r="N1095" t="s">
        <v>2260</v>
      </c>
    </row>
    <row r="1096" spans="1:50" x14ac:dyDescent="0.25">
      <c r="A1096" t="s">
        <v>2011</v>
      </c>
      <c r="N1096" t="s">
        <v>2261</v>
      </c>
    </row>
    <row r="1097" spans="1:50" x14ac:dyDescent="0.25">
      <c r="A1097" t="s">
        <v>2013</v>
      </c>
      <c r="N1097" t="s">
        <v>2262</v>
      </c>
    </row>
    <row r="1098" spans="1:50" x14ac:dyDescent="0.25">
      <c r="A1098" t="s">
        <v>2017</v>
      </c>
      <c r="N1098" t="s">
        <v>2263</v>
      </c>
    </row>
    <row r="1099" spans="1:50" x14ac:dyDescent="0.25">
      <c r="A1099" t="s">
        <v>2019</v>
      </c>
      <c r="N1099" t="s">
        <v>2264</v>
      </c>
    </row>
    <row r="1100" spans="1:50" x14ac:dyDescent="0.25">
      <c r="A1100" t="s">
        <v>2023</v>
      </c>
      <c r="N1100" t="s">
        <v>2265</v>
      </c>
    </row>
    <row r="1101" spans="1:50" x14ac:dyDescent="0.25">
      <c r="A1101" t="s">
        <v>2025</v>
      </c>
      <c r="N1101" t="s">
        <v>2266</v>
      </c>
    </row>
    <row r="1102" spans="1:50" x14ac:dyDescent="0.25">
      <c r="A1102" t="s">
        <v>2028</v>
      </c>
      <c r="N1102" t="s">
        <v>2267</v>
      </c>
    </row>
    <row r="1103" spans="1:50" x14ac:dyDescent="0.25">
      <c r="A1103" t="s">
        <v>2005</v>
      </c>
      <c r="U1103" t="s">
        <v>2006</v>
      </c>
      <c r="Z1103" t="s">
        <v>2007</v>
      </c>
    </row>
    <row r="1104" spans="1:50" x14ac:dyDescent="0.25">
      <c r="A1104" t="s">
        <v>2009</v>
      </c>
      <c r="U1104" t="s">
        <v>2268</v>
      </c>
      <c r="Z1104" t="s">
        <v>2269</v>
      </c>
    </row>
    <row r="1105" spans="1:26" x14ac:dyDescent="0.25">
      <c r="A1105" t="s">
        <v>2029</v>
      </c>
      <c r="U1105" t="s">
        <v>2037</v>
      </c>
      <c r="Z1105" t="s">
        <v>2270</v>
      </c>
    </row>
    <row r="1106" spans="1:26" x14ac:dyDescent="0.25">
      <c r="A1106" t="s">
        <v>2012</v>
      </c>
      <c r="U1106" t="s">
        <v>2271</v>
      </c>
      <c r="Z1106" t="s">
        <v>2272</v>
      </c>
    </row>
    <row r="1107" spans="1:26" x14ac:dyDescent="0.25">
      <c r="A1107" t="s">
        <v>2029</v>
      </c>
      <c r="U1107" t="s">
        <v>2037</v>
      </c>
      <c r="Z1107" t="s">
        <v>2273</v>
      </c>
    </row>
    <row r="1108" spans="1:26" x14ac:dyDescent="0.25">
      <c r="A1108" t="s">
        <v>2014</v>
      </c>
      <c r="U1108" t="s">
        <v>2274</v>
      </c>
      <c r="Z1108" t="s">
        <v>2272</v>
      </c>
    </row>
    <row r="1109" spans="1:26" x14ac:dyDescent="0.25">
      <c r="A1109" t="s">
        <v>2029</v>
      </c>
      <c r="U1109" t="s">
        <v>2037</v>
      </c>
      <c r="Z1109" t="s">
        <v>2275</v>
      </c>
    </row>
    <row r="1110" spans="1:26" x14ac:dyDescent="0.25">
      <c r="A1110" t="s">
        <v>2018</v>
      </c>
      <c r="U1110" t="s">
        <v>2276</v>
      </c>
      <c r="Z1110" t="s">
        <v>2277</v>
      </c>
    </row>
    <row r="1111" spans="1:26" x14ac:dyDescent="0.25">
      <c r="A1111" t="s">
        <v>2029</v>
      </c>
      <c r="U1111" t="s">
        <v>2037</v>
      </c>
      <c r="Z1111" t="s">
        <v>2275</v>
      </c>
    </row>
    <row r="1112" spans="1:26" x14ac:dyDescent="0.25">
      <c r="A1112" t="s">
        <v>2020</v>
      </c>
      <c r="U1112" t="s">
        <v>2278</v>
      </c>
      <c r="Z1112" t="s">
        <v>2279</v>
      </c>
    </row>
    <row r="1113" spans="1:26" x14ac:dyDescent="0.25">
      <c r="A1113" t="s">
        <v>2029</v>
      </c>
      <c r="U1113" t="s">
        <v>2037</v>
      </c>
      <c r="Z1113" t="s">
        <v>2275</v>
      </c>
    </row>
    <row r="1114" spans="1:26" x14ac:dyDescent="0.25">
      <c r="A1114" t="s">
        <v>2024</v>
      </c>
      <c r="U1114" t="s">
        <v>2252</v>
      </c>
      <c r="Z1114" t="s">
        <v>2280</v>
      </c>
    </row>
    <row r="1115" spans="1:26" x14ac:dyDescent="0.25">
      <c r="A1115" t="s">
        <v>2029</v>
      </c>
      <c r="U1115" t="s">
        <v>2037</v>
      </c>
      <c r="Z1115" t="s">
        <v>2254</v>
      </c>
    </row>
    <row r="1116" spans="1:26" x14ac:dyDescent="0.25">
      <c r="A1116" t="s">
        <v>2026</v>
      </c>
      <c r="U1116" t="s">
        <v>2256</v>
      </c>
      <c r="Z1116" t="s">
        <v>2280</v>
      </c>
    </row>
    <row r="1117" spans="1:26" x14ac:dyDescent="0.25">
      <c r="A1117" t="s">
        <v>2029</v>
      </c>
      <c r="U1117" t="s">
        <v>2037</v>
      </c>
      <c r="Z1117" t="s">
        <v>2254</v>
      </c>
    </row>
    <row r="1118" spans="1:26" x14ac:dyDescent="0.25">
      <c r="A1118">
        <v>14</v>
      </c>
    </row>
    <row r="1121" spans="1:65" x14ac:dyDescent="0.25">
      <c r="A1121" t="s">
        <v>1742</v>
      </c>
    </row>
    <row r="1123" spans="1:65" x14ac:dyDescent="0.25">
      <c r="A1123" t="s">
        <v>1744</v>
      </c>
      <c r="AX1123" t="s">
        <v>1743</v>
      </c>
    </row>
    <row r="1126" spans="1:65" x14ac:dyDescent="0.25">
      <c r="A1126" t="s">
        <v>2281</v>
      </c>
    </row>
    <row r="1127" spans="1:65" x14ac:dyDescent="0.25">
      <c r="A1127" t="s">
        <v>2033</v>
      </c>
      <c r="V1127" t="s">
        <v>2034</v>
      </c>
      <c r="BB1127">
        <v>4904</v>
      </c>
      <c r="BM1127" t="s">
        <v>2282</v>
      </c>
    </row>
    <row r="1128" spans="1:65" x14ac:dyDescent="0.25">
      <c r="A1128" t="s">
        <v>2035</v>
      </c>
      <c r="S1128" t="s">
        <v>2036</v>
      </c>
      <c r="AQ1128" t="s">
        <v>2037</v>
      </c>
    </row>
    <row r="1129" spans="1:65" x14ac:dyDescent="0.25">
      <c r="AK1129" t="s">
        <v>2038</v>
      </c>
      <c r="AQ1129" t="s">
        <v>2039</v>
      </c>
      <c r="BE1129" t="s">
        <v>2283</v>
      </c>
    </row>
    <row r="1130" spans="1:65" x14ac:dyDescent="0.25">
      <c r="A1130" t="s">
        <v>2040</v>
      </c>
      <c r="L1130" t="s">
        <v>2041</v>
      </c>
      <c r="Y1130" t="s">
        <v>2042</v>
      </c>
    </row>
    <row r="1131" spans="1:65" x14ac:dyDescent="0.25">
      <c r="L1131" t="s">
        <v>2043</v>
      </c>
      <c r="Y1131" t="s">
        <v>2044</v>
      </c>
      <c r="AK1131" t="s">
        <v>2038</v>
      </c>
      <c r="AQ1131" t="s">
        <v>2045</v>
      </c>
      <c r="BE1131" t="s">
        <v>2284</v>
      </c>
    </row>
    <row r="1132" spans="1:65" x14ac:dyDescent="0.25">
      <c r="A1132" t="s">
        <v>2046</v>
      </c>
      <c r="L1132" t="s">
        <v>2041</v>
      </c>
      <c r="Y1132" t="s">
        <v>2047</v>
      </c>
    </row>
    <row r="1133" spans="1:65" x14ac:dyDescent="0.25">
      <c r="A1133" t="s">
        <v>2048</v>
      </c>
      <c r="L1133" t="s">
        <v>2049</v>
      </c>
      <c r="Y1133" t="s">
        <v>2050</v>
      </c>
      <c r="AK1133" t="s">
        <v>2051</v>
      </c>
      <c r="AQ1133" t="s">
        <v>2052</v>
      </c>
      <c r="BE1133" t="s">
        <v>2285</v>
      </c>
    </row>
    <row r="1135" spans="1:65" x14ac:dyDescent="0.25">
      <c r="L1135" t="s">
        <v>2053</v>
      </c>
      <c r="Y1135" t="s">
        <v>2054</v>
      </c>
      <c r="AK1135" t="s">
        <v>2051</v>
      </c>
      <c r="AQ1135" t="s">
        <v>2055</v>
      </c>
      <c r="BE1135" t="s">
        <v>2286</v>
      </c>
    </row>
    <row r="1136" spans="1:65" x14ac:dyDescent="0.25">
      <c r="A1136" t="s">
        <v>2056</v>
      </c>
      <c r="L1136" t="s">
        <v>2057</v>
      </c>
      <c r="Y1136" t="s">
        <v>2058</v>
      </c>
    </row>
    <row r="1137" spans="1:73" x14ac:dyDescent="0.25">
      <c r="A1137" t="s">
        <v>2059</v>
      </c>
      <c r="L1137" t="s">
        <v>2060</v>
      </c>
      <c r="Y1137" t="s">
        <v>2061</v>
      </c>
      <c r="AK1137" t="s">
        <v>2062</v>
      </c>
      <c r="AQ1137" t="s">
        <v>2063</v>
      </c>
      <c r="BE1137" t="s">
        <v>2287</v>
      </c>
    </row>
    <row r="1139" spans="1:73" x14ac:dyDescent="0.25">
      <c r="L1139" t="s">
        <v>2064</v>
      </c>
      <c r="Y1139" t="s">
        <v>2054</v>
      </c>
      <c r="AK1139" t="s">
        <v>2062</v>
      </c>
      <c r="AQ1139" t="s">
        <v>2065</v>
      </c>
      <c r="BE1139" t="s">
        <v>2288</v>
      </c>
    </row>
    <row r="1140" spans="1:73" x14ac:dyDescent="0.25">
      <c r="A1140" t="s">
        <v>2066</v>
      </c>
      <c r="L1140" t="s">
        <v>2057</v>
      </c>
      <c r="Y1140" t="s">
        <v>2067</v>
      </c>
    </row>
    <row r="1141" spans="1:73" x14ac:dyDescent="0.25">
      <c r="A1141">
        <v>15</v>
      </c>
    </row>
    <row r="1142" spans="1:73" x14ac:dyDescent="0.25">
      <c r="A1142" t="s">
        <v>2068</v>
      </c>
    </row>
    <row r="1144" spans="1:73" x14ac:dyDescent="0.25">
      <c r="AH1144" t="s">
        <v>1742</v>
      </c>
    </row>
    <row r="1146" spans="1:73" x14ac:dyDescent="0.25">
      <c r="BU1146" t="s">
        <v>1743</v>
      </c>
    </row>
    <row r="1148" spans="1:73" x14ac:dyDescent="0.25">
      <c r="I1148" t="s">
        <v>1744</v>
      </c>
    </row>
    <row r="1152" spans="1:73" x14ac:dyDescent="0.25">
      <c r="J1152" t="s">
        <v>2289</v>
      </c>
    </row>
    <row r="1153" spans="1:73" x14ac:dyDescent="0.25">
      <c r="V1153" t="s">
        <v>2290</v>
      </c>
    </row>
    <row r="1154" spans="1:73" x14ac:dyDescent="0.25">
      <c r="A1154" t="s">
        <v>2071</v>
      </c>
    </row>
    <row r="1155" spans="1:73" x14ac:dyDescent="0.25">
      <c r="BU1155" t="s">
        <v>2291</v>
      </c>
    </row>
    <row r="1158" spans="1:73" x14ac:dyDescent="0.25">
      <c r="A1158" t="s">
        <v>2075</v>
      </c>
      <c r="S1158" t="s">
        <v>2292</v>
      </c>
      <c r="BM1158" t="s">
        <v>2293</v>
      </c>
    </row>
    <row r="1159" spans="1:73" x14ac:dyDescent="0.25">
      <c r="A1159" t="s">
        <v>2079</v>
      </c>
      <c r="S1159" t="s">
        <v>2078</v>
      </c>
      <c r="BA1159" t="s">
        <v>2080</v>
      </c>
      <c r="BM1159" t="s">
        <v>2294</v>
      </c>
    </row>
    <row r="1160" spans="1:73" x14ac:dyDescent="0.25">
      <c r="J1160" t="s">
        <v>2295</v>
      </c>
    </row>
    <row r="1161" spans="1:73" x14ac:dyDescent="0.25">
      <c r="V1161" t="s">
        <v>2082</v>
      </c>
    </row>
    <row r="1162" spans="1:73" x14ac:dyDescent="0.25">
      <c r="A1162" t="s">
        <v>2083</v>
      </c>
    </row>
    <row r="1163" spans="1:73" x14ac:dyDescent="0.25">
      <c r="BG1163" t="s">
        <v>2084</v>
      </c>
      <c r="BU1163" t="s">
        <v>2296</v>
      </c>
    </row>
    <row r="1167" spans="1:73" x14ac:dyDescent="0.25">
      <c r="J1167" t="s">
        <v>2297</v>
      </c>
    </row>
    <row r="1168" spans="1:73" x14ac:dyDescent="0.25">
      <c r="V1168" t="s">
        <v>2086</v>
      </c>
    </row>
    <row r="1169" spans="1:73" x14ac:dyDescent="0.25">
      <c r="A1169" t="s">
        <v>2087</v>
      </c>
    </row>
    <row r="1170" spans="1:73" x14ac:dyDescent="0.25">
      <c r="BG1170" t="s">
        <v>2088</v>
      </c>
      <c r="BU1170" t="s">
        <v>2298</v>
      </c>
    </row>
    <row r="1173" spans="1:73" x14ac:dyDescent="0.25">
      <c r="J1173" t="s">
        <v>2299</v>
      </c>
    </row>
    <row r="1174" spans="1:73" x14ac:dyDescent="0.25">
      <c r="A1174" t="s">
        <v>2090</v>
      </c>
    </row>
    <row r="1175" spans="1:73" x14ac:dyDescent="0.25">
      <c r="L1175" t="s">
        <v>1764</v>
      </c>
      <c r="S1175" t="s">
        <v>655</v>
      </c>
    </row>
    <row r="1176" spans="1:73" x14ac:dyDescent="0.25">
      <c r="D1176">
        <v>16</v>
      </c>
    </row>
    <row r="1178" spans="1:73" x14ac:dyDescent="0.25">
      <c r="AH1178" t="s">
        <v>1742</v>
      </c>
    </row>
    <row r="1180" spans="1:73" x14ac:dyDescent="0.25">
      <c r="BU1180" t="s">
        <v>1743</v>
      </c>
    </row>
    <row r="1182" spans="1:73" x14ac:dyDescent="0.25">
      <c r="I1182" t="s">
        <v>1744</v>
      </c>
    </row>
    <row r="1186" spans="1:68" x14ac:dyDescent="0.25">
      <c r="J1186" t="s">
        <v>2300</v>
      </c>
    </row>
    <row r="1187" spans="1:68" x14ac:dyDescent="0.25">
      <c r="A1187" t="s">
        <v>2092</v>
      </c>
    </row>
    <row r="1188" spans="1:68" x14ac:dyDescent="0.25">
      <c r="BE1188" t="s">
        <v>2094</v>
      </c>
      <c r="BP1188" t="s">
        <v>2301</v>
      </c>
    </row>
    <row r="1189" spans="1:68" x14ac:dyDescent="0.25">
      <c r="A1189" t="s">
        <v>2093</v>
      </c>
      <c r="V1189" t="s">
        <v>2095</v>
      </c>
      <c r="AH1189" t="s">
        <v>2096</v>
      </c>
    </row>
    <row r="1191" spans="1:68" x14ac:dyDescent="0.25">
      <c r="J1191" t="s">
        <v>2097</v>
      </c>
      <c r="Y1191" t="s">
        <v>2098</v>
      </c>
      <c r="AQ1191" t="s">
        <v>2038</v>
      </c>
      <c r="BA1191" t="s">
        <v>2099</v>
      </c>
      <c r="BM1191" t="s">
        <v>2302</v>
      </c>
    </row>
    <row r="1193" spans="1:68" x14ac:dyDescent="0.25">
      <c r="J1193" t="s">
        <v>2100</v>
      </c>
      <c r="Y1193" t="s">
        <v>2101</v>
      </c>
      <c r="AQ1193" t="s">
        <v>2038</v>
      </c>
      <c r="BA1193" t="s">
        <v>2102</v>
      </c>
      <c r="BM1193" t="s">
        <v>2303</v>
      </c>
    </row>
    <row r="1195" spans="1:68" x14ac:dyDescent="0.25">
      <c r="J1195" t="s">
        <v>2103</v>
      </c>
      <c r="Y1195" t="s">
        <v>2050</v>
      </c>
      <c r="AQ1195" t="s">
        <v>2051</v>
      </c>
      <c r="BA1195" t="s">
        <v>2104</v>
      </c>
      <c r="BM1195" t="s">
        <v>2304</v>
      </c>
    </row>
    <row r="1197" spans="1:68" x14ac:dyDescent="0.25">
      <c r="J1197" t="s">
        <v>2105</v>
      </c>
      <c r="Y1197" t="s">
        <v>2106</v>
      </c>
      <c r="AQ1197" t="s">
        <v>2051</v>
      </c>
      <c r="BA1197" t="s">
        <v>2104</v>
      </c>
      <c r="BM1197" t="s">
        <v>2305</v>
      </c>
    </row>
    <row r="1199" spans="1:68" x14ac:dyDescent="0.25">
      <c r="J1199" t="s">
        <v>2107</v>
      </c>
      <c r="Y1199" t="s">
        <v>2061</v>
      </c>
      <c r="AQ1199" t="s">
        <v>2062</v>
      </c>
      <c r="BA1199" t="s">
        <v>2108</v>
      </c>
      <c r="BM1199" t="s">
        <v>2306</v>
      </c>
    </row>
    <row r="1201" spans="1:65" x14ac:dyDescent="0.25">
      <c r="J1201" t="s">
        <v>2109</v>
      </c>
      <c r="Y1201" t="s">
        <v>2110</v>
      </c>
      <c r="AQ1201" t="s">
        <v>2062</v>
      </c>
      <c r="BA1201" t="s">
        <v>2111</v>
      </c>
      <c r="BM1201" t="s">
        <v>2307</v>
      </c>
    </row>
    <row r="1204" spans="1:65" x14ac:dyDescent="0.25">
      <c r="J1204" t="s">
        <v>2308</v>
      </c>
    </row>
    <row r="1206" spans="1:65" x14ac:dyDescent="0.25">
      <c r="J1206" t="s">
        <v>2309</v>
      </c>
    </row>
    <row r="1207" spans="1:65" x14ac:dyDescent="0.25">
      <c r="A1207" t="s">
        <v>2114</v>
      </c>
    </row>
    <row r="1208" spans="1:65" x14ac:dyDescent="0.25">
      <c r="BB1208">
        <v>7222</v>
      </c>
      <c r="BM1208" t="s">
        <v>2310</v>
      </c>
    </row>
    <row r="1210" spans="1:65" x14ac:dyDescent="0.25">
      <c r="N1210" t="s">
        <v>2035</v>
      </c>
      <c r="S1210" t="s">
        <v>2058</v>
      </c>
      <c r="AI1210" t="s">
        <v>2037</v>
      </c>
    </row>
    <row r="1211" spans="1:65" x14ac:dyDescent="0.25">
      <c r="J1211" t="s">
        <v>2115</v>
      </c>
    </row>
    <row r="1212" spans="1:65" x14ac:dyDescent="0.25">
      <c r="J1212" t="s">
        <v>2311</v>
      </c>
    </row>
    <row r="1214" spans="1:65" x14ac:dyDescent="0.25">
      <c r="D1214">
        <v>17</v>
      </c>
    </row>
    <row r="1215" spans="1:65" x14ac:dyDescent="0.25">
      <c r="L1215" t="s">
        <v>1765</v>
      </c>
    </row>
    <row r="1217" spans="1:73" x14ac:dyDescent="0.25">
      <c r="AH1217" t="s">
        <v>1742</v>
      </c>
    </row>
    <row r="1219" spans="1:73" x14ac:dyDescent="0.25">
      <c r="BU1219" t="s">
        <v>1743</v>
      </c>
    </row>
    <row r="1221" spans="1:73" x14ac:dyDescent="0.25">
      <c r="I1221" t="s">
        <v>1744</v>
      </c>
    </row>
    <row r="1225" spans="1:73" x14ac:dyDescent="0.25">
      <c r="J1225" t="s">
        <v>2312</v>
      </c>
    </row>
    <row r="1226" spans="1:73" x14ac:dyDescent="0.25">
      <c r="AH1226" t="s">
        <v>2118</v>
      </c>
    </row>
    <row r="1227" spans="1:73" x14ac:dyDescent="0.25">
      <c r="A1227" t="s">
        <v>2119</v>
      </c>
    </row>
    <row r="1228" spans="1:73" x14ac:dyDescent="0.25">
      <c r="BA1228" t="s">
        <v>2120</v>
      </c>
      <c r="BO1228" t="s">
        <v>2313</v>
      </c>
    </row>
    <row r="1230" spans="1:73" x14ac:dyDescent="0.25">
      <c r="J1230" t="s">
        <v>2314</v>
      </c>
    </row>
    <row r="1233" spans="1:65" x14ac:dyDescent="0.25">
      <c r="D1233">
        <v>18</v>
      </c>
    </row>
    <row r="1234" spans="1:65" x14ac:dyDescent="0.25">
      <c r="J1234" t="s">
        <v>745</v>
      </c>
      <c r="S1234" t="s">
        <v>615</v>
      </c>
      <c r="AM1234" t="s">
        <v>2315</v>
      </c>
      <c r="BM1234" t="s">
        <v>2316</v>
      </c>
    </row>
    <row r="1235" spans="1:65" x14ac:dyDescent="0.25">
      <c r="J1235" t="s">
        <v>2317</v>
      </c>
      <c r="S1235" t="s">
        <v>2318</v>
      </c>
      <c r="AM1235" t="s">
        <v>2319</v>
      </c>
      <c r="BM1235" t="s">
        <v>2320</v>
      </c>
    </row>
    <row r="1237" spans="1:65" x14ac:dyDescent="0.25">
      <c r="A1237" t="s">
        <v>2321</v>
      </c>
      <c r="S1237" t="s">
        <v>2322</v>
      </c>
      <c r="AT1237" t="s">
        <v>2323</v>
      </c>
      <c r="AX1237" t="s">
        <v>2324</v>
      </c>
      <c r="BM1237" t="s">
        <v>2325</v>
      </c>
    </row>
    <row r="1238" spans="1:65" x14ac:dyDescent="0.25">
      <c r="A1238" t="s">
        <v>2326</v>
      </c>
      <c r="S1238" t="s">
        <v>2327</v>
      </c>
      <c r="AT1238" t="s">
        <v>2328</v>
      </c>
      <c r="AX1238" t="s">
        <v>2329</v>
      </c>
      <c r="BM1238" t="s">
        <v>2325</v>
      </c>
    </row>
    <row r="1240" spans="1:65" x14ac:dyDescent="0.25">
      <c r="A1240" t="s">
        <v>2330</v>
      </c>
      <c r="S1240" t="s">
        <v>2331</v>
      </c>
      <c r="AT1240" t="s">
        <v>2332</v>
      </c>
      <c r="AX1240" t="s">
        <v>2324</v>
      </c>
      <c r="BM1240" t="s">
        <v>2333</v>
      </c>
    </row>
    <row r="1241" spans="1:65" x14ac:dyDescent="0.25">
      <c r="A1241" t="s">
        <v>2334</v>
      </c>
      <c r="S1241" t="s">
        <v>2335</v>
      </c>
      <c r="AT1241" t="s">
        <v>2319</v>
      </c>
      <c r="AX1241" t="s">
        <v>2336</v>
      </c>
      <c r="BM1241" t="s">
        <v>2333</v>
      </c>
    </row>
    <row r="1243" spans="1:65" x14ac:dyDescent="0.25">
      <c r="A1243" t="s">
        <v>2337</v>
      </c>
      <c r="S1243" t="s">
        <v>2338</v>
      </c>
      <c r="AT1243" t="s">
        <v>2339</v>
      </c>
      <c r="AX1243" t="s">
        <v>2324</v>
      </c>
      <c r="BM1243" t="s">
        <v>2325</v>
      </c>
    </row>
    <row r="1244" spans="1:65" x14ac:dyDescent="0.25">
      <c r="A1244" t="s">
        <v>2340</v>
      </c>
      <c r="S1244" t="s">
        <v>2341</v>
      </c>
      <c r="AT1244" t="s">
        <v>2339</v>
      </c>
      <c r="AX1244" t="s">
        <v>2324</v>
      </c>
      <c r="BM1244" t="s">
        <v>2325</v>
      </c>
    </row>
    <row r="1246" spans="1:65" x14ac:dyDescent="0.25">
      <c r="A1246" t="s">
        <v>2342</v>
      </c>
      <c r="S1246" t="s">
        <v>2343</v>
      </c>
      <c r="AK1246" t="s">
        <v>2344</v>
      </c>
      <c r="AX1246" t="s">
        <v>2324</v>
      </c>
      <c r="BM1246" t="s">
        <v>2325</v>
      </c>
    </row>
    <row r="1247" spans="1:65" x14ac:dyDescent="0.25">
      <c r="A1247" t="s">
        <v>2345</v>
      </c>
      <c r="S1247" t="s">
        <v>2346</v>
      </c>
      <c r="AK1247" t="s">
        <v>2344</v>
      </c>
      <c r="AX1247" t="s">
        <v>2324</v>
      </c>
      <c r="BM1247" t="s">
        <v>2325</v>
      </c>
    </row>
    <row r="1249" spans="1:65" x14ac:dyDescent="0.25">
      <c r="A1249" t="s">
        <v>2347</v>
      </c>
      <c r="S1249" t="s">
        <v>2348</v>
      </c>
      <c r="AK1249" t="s">
        <v>2349</v>
      </c>
      <c r="AX1249" t="s">
        <v>2324</v>
      </c>
      <c r="BM1249" t="s">
        <v>2325</v>
      </c>
    </row>
    <row r="1250" spans="1:65" x14ac:dyDescent="0.25">
      <c r="A1250" t="s">
        <v>2350</v>
      </c>
      <c r="S1250" t="s">
        <v>2351</v>
      </c>
      <c r="AK1250" t="s">
        <v>2349</v>
      </c>
      <c r="AX1250" t="s">
        <v>2324</v>
      </c>
      <c r="BM1250" t="s">
        <v>2325</v>
      </c>
    </row>
    <row r="1252" spans="1:65" x14ac:dyDescent="0.25">
      <c r="A1252" t="s">
        <v>2352</v>
      </c>
      <c r="S1252" t="s">
        <v>2353</v>
      </c>
      <c r="AT1252" t="s">
        <v>2354</v>
      </c>
      <c r="AX1252" t="s">
        <v>2324</v>
      </c>
      <c r="BM1252" t="s">
        <v>2333</v>
      </c>
    </row>
    <row r="1253" spans="1:65" x14ac:dyDescent="0.25">
      <c r="A1253" t="s">
        <v>2355</v>
      </c>
      <c r="S1253" t="s">
        <v>2356</v>
      </c>
      <c r="AT1253" t="s">
        <v>2357</v>
      </c>
      <c r="AX1253" t="s">
        <v>2324</v>
      </c>
      <c r="BM1253" t="s">
        <v>2333</v>
      </c>
    </row>
    <row r="1255" spans="1:65" x14ac:dyDescent="0.25">
      <c r="A1255" t="s">
        <v>2358</v>
      </c>
      <c r="S1255" t="s">
        <v>2359</v>
      </c>
      <c r="AT1255" t="s">
        <v>2319</v>
      </c>
      <c r="AX1255" t="s">
        <v>2360</v>
      </c>
      <c r="BM1255" t="s">
        <v>2333</v>
      </c>
    </row>
    <row r="1256" spans="1:65" x14ac:dyDescent="0.25">
      <c r="A1256" t="s">
        <v>2361</v>
      </c>
      <c r="S1256" t="s">
        <v>2362</v>
      </c>
      <c r="AT1256" t="s">
        <v>2363</v>
      </c>
      <c r="BM1256" t="s">
        <v>2333</v>
      </c>
    </row>
    <row r="1258" spans="1:65" x14ac:dyDescent="0.25">
      <c r="A1258" t="s">
        <v>2364</v>
      </c>
      <c r="S1258" t="s">
        <v>2365</v>
      </c>
      <c r="AT1258" t="s">
        <v>2366</v>
      </c>
      <c r="AX1258" t="s">
        <v>2324</v>
      </c>
      <c r="BM1258" t="s">
        <v>2333</v>
      </c>
    </row>
    <row r="1259" spans="1:65" x14ac:dyDescent="0.25">
      <c r="A1259" t="s">
        <v>2367</v>
      </c>
      <c r="S1259" t="s">
        <v>2368</v>
      </c>
      <c r="AT1259" t="s">
        <v>2369</v>
      </c>
      <c r="AX1259" t="s">
        <v>2370</v>
      </c>
      <c r="BM1259" t="s">
        <v>2333</v>
      </c>
    </row>
    <row r="1261" spans="1:65" x14ac:dyDescent="0.25">
      <c r="A1261" t="s">
        <v>2371</v>
      </c>
      <c r="X1261" t="s">
        <v>2372</v>
      </c>
      <c r="AK1261" t="s">
        <v>2354</v>
      </c>
      <c r="AX1261" t="s">
        <v>2324</v>
      </c>
      <c r="BM1261" t="s">
        <v>2325</v>
      </c>
    </row>
    <row r="1262" spans="1:65" x14ac:dyDescent="0.25">
      <c r="A1262" t="s">
        <v>2373</v>
      </c>
      <c r="X1262" t="s">
        <v>2374</v>
      </c>
      <c r="AK1262" t="s">
        <v>2328</v>
      </c>
      <c r="AX1262" t="s">
        <v>2324</v>
      </c>
      <c r="BM1262" t="s">
        <v>2325</v>
      </c>
    </row>
    <row r="1264" spans="1:65" x14ac:dyDescent="0.25">
      <c r="A1264" t="s">
        <v>2375</v>
      </c>
      <c r="X1264" t="s">
        <v>2376</v>
      </c>
      <c r="AK1264" t="s">
        <v>2377</v>
      </c>
      <c r="AX1264" t="s">
        <v>2324</v>
      </c>
      <c r="BM1264" t="s">
        <v>2325</v>
      </c>
    </row>
    <row r="1265" spans="1:65" x14ac:dyDescent="0.25">
      <c r="A1265" t="s">
        <v>2378</v>
      </c>
      <c r="X1265" t="s">
        <v>2379</v>
      </c>
      <c r="AK1265" t="s">
        <v>2377</v>
      </c>
      <c r="AX1265" t="s">
        <v>2324</v>
      </c>
      <c r="BM1265" t="s">
        <v>2325</v>
      </c>
    </row>
    <row r="1267" spans="1:65" x14ac:dyDescent="0.25">
      <c r="A1267" t="s">
        <v>2380</v>
      </c>
      <c r="S1267" t="s">
        <v>2381</v>
      </c>
      <c r="AT1267" t="s">
        <v>2354</v>
      </c>
      <c r="AX1267" t="s">
        <v>2324</v>
      </c>
      <c r="BM1267" t="s">
        <v>2333</v>
      </c>
    </row>
    <row r="1268" spans="1:65" x14ac:dyDescent="0.25">
      <c r="A1268" t="s">
        <v>2382</v>
      </c>
      <c r="S1268" t="s">
        <v>2383</v>
      </c>
      <c r="AT1268" t="s">
        <v>2319</v>
      </c>
      <c r="AX1268" t="s">
        <v>2384</v>
      </c>
      <c r="BM1268" t="s">
        <v>2333</v>
      </c>
    </row>
    <row r="1270" spans="1:65" x14ac:dyDescent="0.25">
      <c r="A1270" t="s">
        <v>2385</v>
      </c>
      <c r="S1270" t="s">
        <v>2386</v>
      </c>
      <c r="AT1270" t="s">
        <v>2323</v>
      </c>
      <c r="AX1270" t="s">
        <v>2387</v>
      </c>
      <c r="BM1270" t="s">
        <v>2333</v>
      </c>
    </row>
    <row r="1271" spans="1:65" x14ac:dyDescent="0.25">
      <c r="A1271" t="s">
        <v>2388</v>
      </c>
      <c r="S1271" t="s">
        <v>2389</v>
      </c>
      <c r="AT1271" t="s">
        <v>2319</v>
      </c>
      <c r="AX1271" t="s">
        <v>2390</v>
      </c>
      <c r="BM1271" t="s">
        <v>2333</v>
      </c>
    </row>
    <row r="1273" spans="1:65" x14ac:dyDescent="0.25">
      <c r="A1273" t="s">
        <v>2391</v>
      </c>
      <c r="X1273" t="s">
        <v>2392</v>
      </c>
      <c r="AK1273" t="s">
        <v>2393</v>
      </c>
      <c r="AX1273" t="s">
        <v>2324</v>
      </c>
      <c r="BM1273" t="s">
        <v>2325</v>
      </c>
    </row>
    <row r="1274" spans="1:65" x14ac:dyDescent="0.25">
      <c r="A1274" t="s">
        <v>2394</v>
      </c>
      <c r="X1274" t="s">
        <v>2395</v>
      </c>
      <c r="AK1274" t="s">
        <v>2393</v>
      </c>
      <c r="AX1274" t="s">
        <v>2324</v>
      </c>
      <c r="BM1274" t="s">
        <v>2325</v>
      </c>
    </row>
    <row r="1276" spans="1:65" x14ac:dyDescent="0.25">
      <c r="A1276" t="s">
        <v>2396</v>
      </c>
      <c r="S1276" t="s">
        <v>2397</v>
      </c>
      <c r="AT1276" t="s">
        <v>2319</v>
      </c>
      <c r="AX1276" t="s">
        <v>2324</v>
      </c>
      <c r="BM1276" t="s">
        <v>2320</v>
      </c>
    </row>
    <row r="1277" spans="1:65" x14ac:dyDescent="0.25">
      <c r="A1277" t="s">
        <v>2398</v>
      </c>
      <c r="S1277" t="s">
        <v>2399</v>
      </c>
      <c r="AT1277" t="s">
        <v>2369</v>
      </c>
      <c r="AX1277" t="s">
        <v>2324</v>
      </c>
      <c r="BM1277" t="s">
        <v>2400</v>
      </c>
    </row>
    <row r="1279" spans="1:65" x14ac:dyDescent="0.25">
      <c r="A1279" t="s">
        <v>2401</v>
      </c>
      <c r="S1279" t="s">
        <v>2402</v>
      </c>
      <c r="AK1279" t="s">
        <v>2369</v>
      </c>
      <c r="AX1279" t="s">
        <v>2403</v>
      </c>
      <c r="BM1279" t="s">
        <v>2404</v>
      </c>
    </row>
    <row r="1280" spans="1:65" x14ac:dyDescent="0.25">
      <c r="A1280" t="s">
        <v>2405</v>
      </c>
      <c r="S1280" t="s">
        <v>2406</v>
      </c>
      <c r="AK1280" t="s">
        <v>2407</v>
      </c>
      <c r="AX1280" t="s">
        <v>2403</v>
      </c>
      <c r="BM1280" t="s">
        <v>2404</v>
      </c>
    </row>
    <row r="1281" spans="1:76" x14ac:dyDescent="0.25">
      <c r="A1281" t="s">
        <v>2408</v>
      </c>
      <c r="S1281" t="s">
        <v>2409</v>
      </c>
      <c r="AK1281" t="s">
        <v>2407</v>
      </c>
      <c r="AX1281" t="s">
        <v>2403</v>
      </c>
      <c r="BM1281" t="s">
        <v>2404</v>
      </c>
    </row>
    <row r="1282" spans="1:76" x14ac:dyDescent="0.25">
      <c r="A1282" t="s">
        <v>2410</v>
      </c>
      <c r="S1282" t="s">
        <v>2411</v>
      </c>
      <c r="AK1282" t="s">
        <v>2319</v>
      </c>
      <c r="AX1282" t="s">
        <v>2403</v>
      </c>
      <c r="BM1282" t="s">
        <v>2404</v>
      </c>
    </row>
    <row r="1283" spans="1:76" x14ac:dyDescent="0.25">
      <c r="A1283" t="s">
        <v>2412</v>
      </c>
      <c r="S1283" t="s">
        <v>2413</v>
      </c>
      <c r="AK1283" t="s">
        <v>2354</v>
      </c>
      <c r="AX1283" t="s">
        <v>2403</v>
      </c>
      <c r="BM1283" t="s">
        <v>2404</v>
      </c>
    </row>
    <row r="1284" spans="1:76" x14ac:dyDescent="0.25">
      <c r="A1284" t="s">
        <v>2414</v>
      </c>
      <c r="S1284" t="s">
        <v>2415</v>
      </c>
      <c r="AK1284" t="s">
        <v>2354</v>
      </c>
      <c r="AX1284" t="s">
        <v>2403</v>
      </c>
      <c r="BM1284" t="s">
        <v>2404</v>
      </c>
    </row>
    <row r="1286" spans="1:76" x14ac:dyDescent="0.25">
      <c r="A1286" t="s">
        <v>2416</v>
      </c>
    </row>
    <row r="1287" spans="1:76" x14ac:dyDescent="0.25">
      <c r="A1287" t="s">
        <v>2417</v>
      </c>
    </row>
    <row r="1288" spans="1:76" x14ac:dyDescent="0.25">
      <c r="A1288" t="s">
        <v>2418</v>
      </c>
      <c r="AX1288" t="s">
        <v>2419</v>
      </c>
    </row>
    <row r="1291" spans="1:76" x14ac:dyDescent="0.25">
      <c r="A1291" t="s">
        <v>2420</v>
      </c>
    </row>
    <row r="1292" spans="1:76" x14ac:dyDescent="0.25">
      <c r="I1292" t="s">
        <v>2421</v>
      </c>
      <c r="BX1292" t="s">
        <v>2422</v>
      </c>
    </row>
    <row r="1293" spans="1:76" x14ac:dyDescent="0.25">
      <c r="I1293" t="s">
        <v>2423</v>
      </c>
      <c r="BA1293" t="s">
        <v>2424</v>
      </c>
      <c r="BX1293">
        <v>14</v>
      </c>
    </row>
    <row r="1294" spans="1:76" x14ac:dyDescent="0.25">
      <c r="BA1294" t="s">
        <v>2424</v>
      </c>
      <c r="BX1294" t="s">
        <v>2425</v>
      </c>
    </row>
    <row r="1295" spans="1:76" x14ac:dyDescent="0.25">
      <c r="BA1295" t="s">
        <v>2424</v>
      </c>
      <c r="BX1295">
        <v>16</v>
      </c>
    </row>
    <row r="1296" spans="1:76" x14ac:dyDescent="0.25">
      <c r="BA1296" t="s">
        <v>2424</v>
      </c>
      <c r="BX1296" t="s">
        <v>2426</v>
      </c>
    </row>
    <row r="1297" spans="1:76" x14ac:dyDescent="0.25">
      <c r="BA1297" t="s">
        <v>2427</v>
      </c>
      <c r="BX1297" t="s">
        <v>2428</v>
      </c>
    </row>
    <row r="1298" spans="1:76" x14ac:dyDescent="0.25">
      <c r="I1298" t="s">
        <v>2429</v>
      </c>
      <c r="BA1298" t="s">
        <v>2427</v>
      </c>
      <c r="BX1298" t="s">
        <v>2428</v>
      </c>
    </row>
    <row r="1299" spans="1:76" x14ac:dyDescent="0.25">
      <c r="BA1299" t="s">
        <v>2427</v>
      </c>
      <c r="BX1299" t="s">
        <v>2430</v>
      </c>
    </row>
    <row r="1300" spans="1:76" x14ac:dyDescent="0.25">
      <c r="BA1300" t="s">
        <v>2427</v>
      </c>
      <c r="BX1300" t="s">
        <v>2430</v>
      </c>
    </row>
    <row r="1301" spans="1:76" x14ac:dyDescent="0.25">
      <c r="BA1301" t="s">
        <v>2431</v>
      </c>
      <c r="BX1301" t="s">
        <v>2432</v>
      </c>
    </row>
    <row r="1302" spans="1:76" x14ac:dyDescent="0.25">
      <c r="BA1302" t="s">
        <v>2433</v>
      </c>
      <c r="BX1302" t="s">
        <v>2434</v>
      </c>
    </row>
    <row r="1303" spans="1:76" x14ac:dyDescent="0.25">
      <c r="I1303" t="s">
        <v>2435</v>
      </c>
      <c r="BA1303" t="s">
        <v>2436</v>
      </c>
      <c r="BX1303" t="s">
        <v>2437</v>
      </c>
    </row>
    <row r="1304" spans="1:76" x14ac:dyDescent="0.25">
      <c r="I1304" t="s">
        <v>2438</v>
      </c>
      <c r="BA1304" t="s">
        <v>2436</v>
      </c>
      <c r="BX1304" t="s">
        <v>2437</v>
      </c>
    </row>
    <row r="1305" spans="1:76" x14ac:dyDescent="0.25">
      <c r="BX1305" t="s">
        <v>2439</v>
      </c>
    </row>
    <row r="1306" spans="1:76" x14ac:dyDescent="0.25">
      <c r="BX1306" t="s">
        <v>2440</v>
      </c>
    </row>
    <row r="1307" spans="1:76" x14ac:dyDescent="0.25">
      <c r="BA1307" t="s">
        <v>2433</v>
      </c>
      <c r="BX1307" t="s">
        <v>2441</v>
      </c>
    </row>
    <row r="1308" spans="1:76" x14ac:dyDescent="0.25">
      <c r="BA1308" t="s">
        <v>713</v>
      </c>
      <c r="BX1308">
        <v>37</v>
      </c>
    </row>
    <row r="1309" spans="1:76" x14ac:dyDescent="0.25">
      <c r="BA1309" t="s">
        <v>2442</v>
      </c>
      <c r="BX1309" t="s">
        <v>2443</v>
      </c>
    </row>
    <row r="1310" spans="1:76" x14ac:dyDescent="0.25">
      <c r="BX1310" t="s">
        <v>2444</v>
      </c>
    </row>
    <row r="1311" spans="1:76" x14ac:dyDescent="0.25">
      <c r="A1311" t="s">
        <v>2445</v>
      </c>
    </row>
    <row r="1314" spans="1:86" x14ac:dyDescent="0.25">
      <c r="A1314" t="s">
        <v>2446</v>
      </c>
    </row>
    <row r="1315" spans="1:86" x14ac:dyDescent="0.25">
      <c r="A1315" t="s">
        <v>2447</v>
      </c>
    </row>
    <row r="1316" spans="1:86" x14ac:dyDescent="0.25">
      <c r="A1316" t="s">
        <v>2448</v>
      </c>
    </row>
    <row r="1317" spans="1:86" x14ac:dyDescent="0.25">
      <c r="A1317" t="s">
        <v>2449</v>
      </c>
    </row>
    <row r="1318" spans="1:86" x14ac:dyDescent="0.25">
      <c r="A1318" t="s">
        <v>2450</v>
      </c>
    </row>
    <row r="1319" spans="1:86" x14ac:dyDescent="0.25">
      <c r="A1319" t="s">
        <v>2451</v>
      </c>
    </row>
    <row r="1320" spans="1:86" x14ac:dyDescent="0.25">
      <c r="A1320" t="s">
        <v>2452</v>
      </c>
    </row>
    <row r="1321" spans="1:86" x14ac:dyDescent="0.25">
      <c r="A1321" t="s">
        <v>2453</v>
      </c>
    </row>
    <row r="1322" spans="1:86" x14ac:dyDescent="0.25">
      <c r="A1322" t="s">
        <v>2454</v>
      </c>
    </row>
    <row r="1323" spans="1:86" x14ac:dyDescent="0.25">
      <c r="A1323" t="s">
        <v>1160</v>
      </c>
    </row>
    <row r="1324" spans="1:86" x14ac:dyDescent="0.25">
      <c r="A1324" t="s">
        <v>2455</v>
      </c>
    </row>
    <row r="1325" spans="1:86" x14ac:dyDescent="0.25">
      <c r="A1325" t="s">
        <v>2456</v>
      </c>
      <c r="AX1325" t="s">
        <v>2457</v>
      </c>
    </row>
    <row r="1327" spans="1:86" x14ac:dyDescent="0.25">
      <c r="A1327" t="s">
        <v>2458</v>
      </c>
      <c r="V1327" t="s">
        <v>2459</v>
      </c>
      <c r="AH1327" t="s">
        <v>2460</v>
      </c>
      <c r="AX1327" t="s">
        <v>2461</v>
      </c>
      <c r="BG1327" t="s">
        <v>2462</v>
      </c>
      <c r="BS1327" t="s">
        <v>2463</v>
      </c>
      <c r="BZ1327" t="s">
        <v>2464</v>
      </c>
      <c r="CH1327" t="s">
        <v>2465</v>
      </c>
    </row>
    <row r="1328" spans="1:86" x14ac:dyDescent="0.25">
      <c r="A1328" t="s">
        <v>1005</v>
      </c>
      <c r="V1328" t="s">
        <v>2466</v>
      </c>
      <c r="AH1328" t="s">
        <v>2467</v>
      </c>
      <c r="AX1328" t="s">
        <v>2468</v>
      </c>
      <c r="BG1328" t="s">
        <v>2469</v>
      </c>
      <c r="BS1328" t="s">
        <v>2470</v>
      </c>
      <c r="BZ1328">
        <v>2</v>
      </c>
      <c r="CH1328" t="s">
        <v>1006</v>
      </c>
    </row>
    <row r="1329" spans="1:78" x14ac:dyDescent="0.25">
      <c r="A1329" t="s">
        <v>1007</v>
      </c>
      <c r="AH1329" t="s">
        <v>2471</v>
      </c>
      <c r="AX1329" t="s">
        <v>2472</v>
      </c>
      <c r="BS1329" t="s">
        <v>2473</v>
      </c>
      <c r="BZ1329">
        <v>5.0999999999999996</v>
      </c>
    </row>
    <row r="1330" spans="1:78" x14ac:dyDescent="0.25">
      <c r="A1330" t="s">
        <v>2474</v>
      </c>
    </row>
    <row r="1331" spans="1:78" x14ac:dyDescent="0.25">
      <c r="A1331" t="s">
        <v>2475</v>
      </c>
    </row>
    <row r="1332" spans="1:78" x14ac:dyDescent="0.25">
      <c r="A1332" t="s">
        <v>2476</v>
      </c>
      <c r="AH1332" t="s">
        <v>2477</v>
      </c>
      <c r="AX1332" t="s">
        <v>2478</v>
      </c>
      <c r="BS1332" t="s">
        <v>2479</v>
      </c>
    </row>
    <row r="1333" spans="1:78" x14ac:dyDescent="0.25">
      <c r="A1333" t="s">
        <v>2480</v>
      </c>
      <c r="AH1333" t="s">
        <v>2481</v>
      </c>
      <c r="AX1333" t="s">
        <v>2482</v>
      </c>
      <c r="BS1333" t="s">
        <v>2483</v>
      </c>
    </row>
    <row r="1334" spans="1:78" x14ac:dyDescent="0.25">
      <c r="A1334" t="s">
        <v>2484</v>
      </c>
      <c r="AH1334" t="s">
        <v>2485</v>
      </c>
      <c r="AX1334" t="s">
        <v>2486</v>
      </c>
      <c r="BS1334" t="s">
        <v>2487</v>
      </c>
    </row>
    <row r="1335" spans="1:78" x14ac:dyDescent="0.25">
      <c r="A1335" t="s">
        <v>2488</v>
      </c>
      <c r="AH1335" t="s">
        <v>2489</v>
      </c>
      <c r="AX1335" t="s">
        <v>2490</v>
      </c>
      <c r="BS1335" t="s">
        <v>2491</v>
      </c>
    </row>
    <row r="1336" spans="1:78" x14ac:dyDescent="0.25">
      <c r="A1336" t="s">
        <v>2492</v>
      </c>
      <c r="AH1336" t="s">
        <v>2493</v>
      </c>
      <c r="AX1336" t="s">
        <v>2494</v>
      </c>
      <c r="BS1336" t="s">
        <v>2495</v>
      </c>
    </row>
    <row r="1337" spans="1:78" x14ac:dyDescent="0.25">
      <c r="A1337" t="s">
        <v>2496</v>
      </c>
      <c r="AH1337" t="s">
        <v>2497</v>
      </c>
      <c r="AX1337" t="s">
        <v>2498</v>
      </c>
      <c r="BS1337" t="s">
        <v>2499</v>
      </c>
    </row>
    <row r="1338" spans="1:78" x14ac:dyDescent="0.25">
      <c r="A1338" t="s">
        <v>2500</v>
      </c>
      <c r="AH1338" t="s">
        <v>2501</v>
      </c>
      <c r="AX1338" t="s">
        <v>2502</v>
      </c>
      <c r="BS1338" t="s">
        <v>2503</v>
      </c>
    </row>
    <row r="1339" spans="1:78" x14ac:dyDescent="0.25">
      <c r="A1339" t="s">
        <v>2504</v>
      </c>
      <c r="AH1339" t="s">
        <v>2505</v>
      </c>
      <c r="AX1339" t="s">
        <v>2506</v>
      </c>
      <c r="BS1339" t="s">
        <v>2507</v>
      </c>
    </row>
    <row r="1341" spans="1:78" x14ac:dyDescent="0.25">
      <c r="A1341" t="s">
        <v>2508</v>
      </c>
      <c r="BS1341" t="s">
        <v>2509</v>
      </c>
    </row>
    <row r="1342" spans="1:78" x14ac:dyDescent="0.25">
      <c r="A1342" t="s">
        <v>1161</v>
      </c>
    </row>
    <row r="1343" spans="1:78" x14ac:dyDescent="0.25">
      <c r="A1343" t="s">
        <v>2510</v>
      </c>
    </row>
    <row r="1344" spans="1:78" x14ac:dyDescent="0.25">
      <c r="A1344" t="s">
        <v>2511</v>
      </c>
      <c r="AQ1344" t="s">
        <v>2512</v>
      </c>
    </row>
    <row r="1345" spans="1:86" x14ac:dyDescent="0.25">
      <c r="A1345" t="s">
        <v>2513</v>
      </c>
    </row>
    <row r="1346" spans="1:86" x14ac:dyDescent="0.25">
      <c r="A1346" t="s">
        <v>2458</v>
      </c>
      <c r="V1346" t="s">
        <v>2459</v>
      </c>
      <c r="AH1346" t="s">
        <v>2460</v>
      </c>
      <c r="AX1346" t="s">
        <v>2461</v>
      </c>
      <c r="BH1346" t="s">
        <v>2462</v>
      </c>
      <c r="BS1346" t="s">
        <v>2463</v>
      </c>
      <c r="BZ1346" t="s">
        <v>2464</v>
      </c>
      <c r="CH1346" t="s">
        <v>2465</v>
      </c>
    </row>
    <row r="1347" spans="1:86" x14ac:dyDescent="0.25">
      <c r="A1347" t="s">
        <v>2514</v>
      </c>
      <c r="V1347" t="s">
        <v>2515</v>
      </c>
      <c r="AH1347" t="s">
        <v>2516</v>
      </c>
      <c r="AX1347" t="s">
        <v>2517</v>
      </c>
      <c r="BH1347" t="s">
        <v>2518</v>
      </c>
      <c r="BS1347" t="s">
        <v>2519</v>
      </c>
      <c r="BZ1347">
        <v>2</v>
      </c>
      <c r="CH1347">
        <v>684.58</v>
      </c>
    </row>
    <row r="1348" spans="1:86" x14ac:dyDescent="0.25">
      <c r="A1348" t="s">
        <v>2520</v>
      </c>
      <c r="AH1348" t="s">
        <v>2521</v>
      </c>
      <c r="AX1348" t="s">
        <v>2472</v>
      </c>
      <c r="BS1348" t="s">
        <v>2522</v>
      </c>
      <c r="BZ1348">
        <v>5.0999999999999996</v>
      </c>
    </row>
    <row r="1349" spans="1:86" x14ac:dyDescent="0.25">
      <c r="A1349" t="s">
        <v>2523</v>
      </c>
      <c r="V1349" t="s">
        <v>2524</v>
      </c>
      <c r="AH1349" t="s">
        <v>2525</v>
      </c>
      <c r="AX1349" t="s">
        <v>2526</v>
      </c>
      <c r="BH1349" t="s">
        <v>2518</v>
      </c>
      <c r="BS1349" t="s">
        <v>2527</v>
      </c>
      <c r="BZ1349">
        <v>2</v>
      </c>
      <c r="CH1349" t="s">
        <v>2528</v>
      </c>
    </row>
    <row r="1350" spans="1:86" x14ac:dyDescent="0.25">
      <c r="A1350" t="s">
        <v>2529</v>
      </c>
      <c r="AH1350" t="s">
        <v>2530</v>
      </c>
      <c r="AX1350" t="s">
        <v>2531</v>
      </c>
      <c r="BS1350" t="s">
        <v>2532</v>
      </c>
      <c r="BZ1350">
        <v>5.0999999999999996</v>
      </c>
    </row>
    <row r="1351" spans="1:86" x14ac:dyDescent="0.25">
      <c r="A1351" t="s">
        <v>2474</v>
      </c>
    </row>
    <row r="1352" spans="1:86" x14ac:dyDescent="0.25">
      <c r="A1352" t="s">
        <v>2533</v>
      </c>
    </row>
    <row r="1353" spans="1:86" x14ac:dyDescent="0.25">
      <c r="A1353" t="s">
        <v>2534</v>
      </c>
      <c r="V1353" t="s">
        <v>2535</v>
      </c>
      <c r="AH1353" t="s">
        <v>2536</v>
      </c>
      <c r="AQ1353" t="s">
        <v>2537</v>
      </c>
      <c r="CH1353">
        <v>30</v>
      </c>
    </row>
    <row r="1355" spans="1:86" x14ac:dyDescent="0.25">
      <c r="A1355" t="s">
        <v>2475</v>
      </c>
    </row>
    <row r="1356" spans="1:86" x14ac:dyDescent="0.25">
      <c r="A1356" t="s">
        <v>2476</v>
      </c>
      <c r="AH1356" t="s">
        <v>2538</v>
      </c>
      <c r="AX1356" t="s">
        <v>2494</v>
      </c>
      <c r="BS1356" t="s">
        <v>2490</v>
      </c>
    </row>
    <row r="1357" spans="1:86" x14ac:dyDescent="0.25">
      <c r="A1357" t="s">
        <v>2480</v>
      </c>
      <c r="AH1357" t="s">
        <v>2539</v>
      </c>
      <c r="AX1357" t="s">
        <v>2488</v>
      </c>
      <c r="BS1357" t="s">
        <v>2540</v>
      </c>
    </row>
    <row r="1358" spans="1:86" x14ac:dyDescent="0.25">
      <c r="A1358" t="s">
        <v>2489</v>
      </c>
      <c r="AH1358" t="s">
        <v>2477</v>
      </c>
      <c r="AX1358" t="s">
        <v>2499</v>
      </c>
      <c r="BS1358" t="s">
        <v>2491</v>
      </c>
    </row>
    <row r="1359" spans="1:86" x14ac:dyDescent="0.25">
      <c r="A1359" t="s">
        <v>2541</v>
      </c>
      <c r="AH1359" t="s">
        <v>2481</v>
      </c>
      <c r="AX1359" t="s">
        <v>2542</v>
      </c>
      <c r="BS1359" t="s">
        <v>2543</v>
      </c>
    </row>
    <row r="1360" spans="1:86" x14ac:dyDescent="0.25">
      <c r="A1360" t="s">
        <v>2484</v>
      </c>
      <c r="AH1360" t="s">
        <v>2488</v>
      </c>
      <c r="AX1360" t="s">
        <v>2544</v>
      </c>
      <c r="BS1360" t="s">
        <v>2478</v>
      </c>
    </row>
    <row r="1361" spans="1:86" x14ac:dyDescent="0.25">
      <c r="A1361" t="s">
        <v>2545</v>
      </c>
      <c r="AH1361" t="s">
        <v>2498</v>
      </c>
      <c r="AX1361" t="s">
        <v>2505</v>
      </c>
      <c r="BS1361" t="s">
        <v>2546</v>
      </c>
    </row>
    <row r="1362" spans="1:86" x14ac:dyDescent="0.25">
      <c r="A1362" t="s">
        <v>2547</v>
      </c>
      <c r="AH1362" t="s">
        <v>2548</v>
      </c>
      <c r="AX1362" t="s">
        <v>2549</v>
      </c>
      <c r="BS1362" t="s">
        <v>2550</v>
      </c>
    </row>
    <row r="1364" spans="1:86" x14ac:dyDescent="0.25">
      <c r="A1364" t="s">
        <v>2551</v>
      </c>
    </row>
    <row r="1365" spans="1:86" x14ac:dyDescent="0.25">
      <c r="A1365" t="s">
        <v>1162</v>
      </c>
    </row>
    <row r="1366" spans="1:86" x14ac:dyDescent="0.25">
      <c r="A1366" t="s">
        <v>2552</v>
      </c>
    </row>
    <row r="1367" spans="1:86" x14ac:dyDescent="0.25">
      <c r="A1367" t="s">
        <v>2458</v>
      </c>
      <c r="Z1367" t="s">
        <v>2459</v>
      </c>
      <c r="AJ1367" t="s">
        <v>2460</v>
      </c>
      <c r="AX1367" t="s">
        <v>2461</v>
      </c>
      <c r="BH1367" t="s">
        <v>2553</v>
      </c>
      <c r="BS1367" t="s">
        <v>2463</v>
      </c>
      <c r="BZ1367" t="s">
        <v>2464</v>
      </c>
      <c r="CH1367" t="s">
        <v>2465</v>
      </c>
    </row>
    <row r="1368" spans="1:86" x14ac:dyDescent="0.25">
      <c r="A1368" t="s">
        <v>1012</v>
      </c>
      <c r="Z1368" t="s">
        <v>2515</v>
      </c>
      <c r="AJ1368" t="s">
        <v>2554</v>
      </c>
      <c r="AX1368" t="s">
        <v>2555</v>
      </c>
      <c r="BH1368" t="s">
        <v>2556</v>
      </c>
      <c r="BS1368" t="s">
        <v>2557</v>
      </c>
      <c r="BZ1368">
        <v>2</v>
      </c>
      <c r="CH1368">
        <v>982.37</v>
      </c>
    </row>
    <row r="1369" spans="1:86" x14ac:dyDescent="0.25">
      <c r="A1369" t="s">
        <v>1014</v>
      </c>
      <c r="AJ1369" t="s">
        <v>2558</v>
      </c>
      <c r="AX1369" t="s">
        <v>2559</v>
      </c>
      <c r="BS1369" t="s">
        <v>2560</v>
      </c>
      <c r="BZ1369">
        <v>5.0999999999999996</v>
      </c>
    </row>
    <row r="1370" spans="1:86" x14ac:dyDescent="0.25">
      <c r="A1370" t="s">
        <v>1015</v>
      </c>
      <c r="Z1370" t="s">
        <v>2515</v>
      </c>
      <c r="AJ1370" t="s">
        <v>2554</v>
      </c>
      <c r="AX1370" t="s">
        <v>2555</v>
      </c>
      <c r="BH1370" t="s">
        <v>2556</v>
      </c>
      <c r="BS1370" t="s">
        <v>2561</v>
      </c>
      <c r="BZ1370">
        <v>2</v>
      </c>
      <c r="CH1370" t="s">
        <v>1016</v>
      </c>
    </row>
    <row r="1371" spans="1:86" x14ac:dyDescent="0.25">
      <c r="A1371" t="s">
        <v>1014</v>
      </c>
      <c r="AJ1371" t="s">
        <v>2558</v>
      </c>
      <c r="AX1371" t="s">
        <v>2559</v>
      </c>
      <c r="BS1371" t="s">
        <v>2560</v>
      </c>
      <c r="BZ1371">
        <v>5.0999999999999996</v>
      </c>
    </row>
    <row r="1372" spans="1:86" x14ac:dyDescent="0.25">
      <c r="A1372" t="s">
        <v>1017</v>
      </c>
      <c r="Z1372" t="s">
        <v>2515</v>
      </c>
      <c r="AJ1372" t="s">
        <v>2554</v>
      </c>
      <c r="AX1372" t="s">
        <v>2555</v>
      </c>
      <c r="BH1372" t="s">
        <v>2556</v>
      </c>
      <c r="BS1372" t="s">
        <v>2561</v>
      </c>
      <c r="BZ1372">
        <v>2</v>
      </c>
      <c r="CH1372" t="s">
        <v>1016</v>
      </c>
    </row>
    <row r="1373" spans="1:86" x14ac:dyDescent="0.25">
      <c r="A1373" t="s">
        <v>1014</v>
      </c>
      <c r="AJ1373" t="s">
        <v>2558</v>
      </c>
      <c r="AX1373" t="s">
        <v>2559</v>
      </c>
      <c r="BS1373" t="s">
        <v>2560</v>
      </c>
      <c r="BZ1373">
        <v>5.0999999999999996</v>
      </c>
    </row>
    <row r="1374" spans="1:86" x14ac:dyDescent="0.25">
      <c r="A1374" t="s">
        <v>1018</v>
      </c>
      <c r="Z1374" t="s">
        <v>2515</v>
      </c>
      <c r="AJ1374" t="s">
        <v>2554</v>
      </c>
      <c r="AX1374" t="s">
        <v>2555</v>
      </c>
      <c r="BH1374" t="s">
        <v>2556</v>
      </c>
      <c r="BS1374" t="s">
        <v>2562</v>
      </c>
      <c r="BZ1374">
        <v>2</v>
      </c>
      <c r="CH1374" t="s">
        <v>1019</v>
      </c>
    </row>
    <row r="1375" spans="1:86" x14ac:dyDescent="0.25">
      <c r="A1375" t="s">
        <v>1014</v>
      </c>
      <c r="AJ1375" t="s">
        <v>2558</v>
      </c>
      <c r="AX1375" t="s">
        <v>2559</v>
      </c>
      <c r="BS1375" t="s">
        <v>2560</v>
      </c>
      <c r="BZ1375">
        <v>5.0999999999999996</v>
      </c>
    </row>
    <row r="1376" spans="1:86" x14ac:dyDescent="0.25">
      <c r="A1376" t="s">
        <v>1020</v>
      </c>
      <c r="Z1376" t="s">
        <v>2524</v>
      </c>
      <c r="AJ1376" t="s">
        <v>2554</v>
      </c>
      <c r="AX1376" t="s">
        <v>2563</v>
      </c>
      <c r="BH1376" t="s">
        <v>2518</v>
      </c>
      <c r="BS1376" t="s">
        <v>2564</v>
      </c>
      <c r="BZ1376">
        <v>2</v>
      </c>
      <c r="CH1376" t="s">
        <v>1021</v>
      </c>
    </row>
    <row r="1377" spans="1:86" x14ac:dyDescent="0.25">
      <c r="A1377" t="s">
        <v>1022</v>
      </c>
      <c r="AJ1377" t="s">
        <v>2530</v>
      </c>
      <c r="AX1377" t="s">
        <v>2565</v>
      </c>
      <c r="BS1377" t="s">
        <v>2566</v>
      </c>
      <c r="BZ1377">
        <v>5.0999999999999996</v>
      </c>
    </row>
    <row r="1378" spans="1:86" x14ac:dyDescent="0.25">
      <c r="A1378" t="s">
        <v>1023</v>
      </c>
      <c r="Z1378" t="s">
        <v>2524</v>
      </c>
      <c r="AJ1378" t="s">
        <v>2554</v>
      </c>
      <c r="AX1378" t="s">
        <v>2563</v>
      </c>
      <c r="BH1378" t="s">
        <v>2518</v>
      </c>
      <c r="BS1378" t="s">
        <v>2567</v>
      </c>
      <c r="BZ1378">
        <v>2</v>
      </c>
      <c r="CH1378" t="s">
        <v>1024</v>
      </c>
    </row>
    <row r="1379" spans="1:86" x14ac:dyDescent="0.25">
      <c r="A1379" t="s">
        <v>1022</v>
      </c>
      <c r="AJ1379" t="s">
        <v>2530</v>
      </c>
      <c r="AX1379" t="s">
        <v>2565</v>
      </c>
      <c r="BS1379" t="s">
        <v>2566</v>
      </c>
      <c r="BZ1379">
        <v>5.0999999999999996</v>
      </c>
    </row>
    <row r="1380" spans="1:86" x14ac:dyDescent="0.25">
      <c r="A1380" t="s">
        <v>1025</v>
      </c>
      <c r="Z1380" t="s">
        <v>2524</v>
      </c>
      <c r="AJ1380" t="s">
        <v>2554</v>
      </c>
      <c r="AX1380" t="s">
        <v>2563</v>
      </c>
      <c r="BH1380" t="s">
        <v>2518</v>
      </c>
      <c r="BS1380" t="s">
        <v>2567</v>
      </c>
      <c r="BZ1380">
        <v>2</v>
      </c>
      <c r="CH1380" t="s">
        <v>1024</v>
      </c>
    </row>
    <row r="1381" spans="1:86" x14ac:dyDescent="0.25">
      <c r="A1381" t="s">
        <v>1022</v>
      </c>
      <c r="AJ1381" t="s">
        <v>2530</v>
      </c>
      <c r="AX1381" t="s">
        <v>2565</v>
      </c>
      <c r="BS1381" t="s">
        <v>2566</v>
      </c>
      <c r="BZ1381">
        <v>5.0999999999999996</v>
      </c>
    </row>
    <row r="1382" spans="1:86" x14ac:dyDescent="0.25">
      <c r="A1382" t="s">
        <v>1026</v>
      </c>
      <c r="Z1382" t="s">
        <v>2524</v>
      </c>
      <c r="AJ1382" t="s">
        <v>2554</v>
      </c>
      <c r="AX1382" t="s">
        <v>2563</v>
      </c>
      <c r="BH1382" t="s">
        <v>2518</v>
      </c>
      <c r="BS1382" t="s">
        <v>2568</v>
      </c>
      <c r="BZ1382">
        <v>2</v>
      </c>
      <c r="CH1382" t="s">
        <v>1027</v>
      </c>
    </row>
    <row r="1383" spans="1:86" x14ac:dyDescent="0.25">
      <c r="A1383" t="s">
        <v>1022</v>
      </c>
      <c r="AJ1383" t="s">
        <v>2530</v>
      </c>
      <c r="AX1383" t="s">
        <v>2565</v>
      </c>
      <c r="BS1383" t="s">
        <v>2566</v>
      </c>
      <c r="BZ1383">
        <v>5.0999999999999996</v>
      </c>
    </row>
    <row r="1384" spans="1:86" x14ac:dyDescent="0.25">
      <c r="A1384" t="s">
        <v>2474</v>
      </c>
    </row>
    <row r="1385" spans="1:86" x14ac:dyDescent="0.25">
      <c r="A1385" t="s">
        <v>2569</v>
      </c>
      <c r="BS1385" t="s">
        <v>2570</v>
      </c>
    </row>
    <row r="1386" spans="1:86" x14ac:dyDescent="0.25">
      <c r="A1386" t="s">
        <v>2571</v>
      </c>
      <c r="Y1386" t="s">
        <v>2572</v>
      </c>
      <c r="Z1386" t="s">
        <v>2573</v>
      </c>
      <c r="AJ1386" t="s">
        <v>2574</v>
      </c>
      <c r="CH1386">
        <v>30</v>
      </c>
    </row>
    <row r="1387" spans="1:86" x14ac:dyDescent="0.25">
      <c r="A1387" t="s">
        <v>2475</v>
      </c>
    </row>
    <row r="1388" spans="1:86" x14ac:dyDescent="0.25">
      <c r="A1388" t="s">
        <v>2575</v>
      </c>
      <c r="Z1388" t="s">
        <v>2576</v>
      </c>
      <c r="AT1388" t="s">
        <v>2577</v>
      </c>
      <c r="BS1388" t="s">
        <v>2578</v>
      </c>
    </row>
    <row r="1389" spans="1:86" x14ac:dyDescent="0.25">
      <c r="A1389" t="s">
        <v>2508</v>
      </c>
      <c r="BS1389" t="s">
        <v>2579</v>
      </c>
    </row>
    <row r="1392" spans="1:86" x14ac:dyDescent="0.25">
      <c r="A1392" t="s">
        <v>2580</v>
      </c>
    </row>
    <row r="1393" spans="1:86" x14ac:dyDescent="0.25">
      <c r="A1393" t="s">
        <v>2581</v>
      </c>
    </row>
    <row r="1394" spans="1:86" x14ac:dyDescent="0.25">
      <c r="A1394" t="s">
        <v>2582</v>
      </c>
    </row>
    <row r="1395" spans="1:86" x14ac:dyDescent="0.25">
      <c r="A1395" t="s">
        <v>2583</v>
      </c>
    </row>
    <row r="1398" spans="1:86" x14ac:dyDescent="0.25">
      <c r="A1398" t="s">
        <v>1163</v>
      </c>
    </row>
    <row r="1399" spans="1:86" x14ac:dyDescent="0.25">
      <c r="A1399" t="s">
        <v>2584</v>
      </c>
    </row>
    <row r="1400" spans="1:86" x14ac:dyDescent="0.25">
      <c r="A1400" t="s">
        <v>2458</v>
      </c>
      <c r="X1400" t="s">
        <v>2585</v>
      </c>
      <c r="AB1400" t="s">
        <v>2459</v>
      </c>
      <c r="AK1400" t="s">
        <v>2586</v>
      </c>
      <c r="BA1400" t="s">
        <v>2461</v>
      </c>
      <c r="BJ1400" t="s">
        <v>2462</v>
      </c>
      <c r="BT1400" t="s">
        <v>2463</v>
      </c>
      <c r="BZ1400" t="s">
        <v>2464</v>
      </c>
      <c r="CH1400" t="s">
        <v>2465</v>
      </c>
    </row>
    <row r="1401" spans="1:86" x14ac:dyDescent="0.25">
      <c r="A1401" t="s">
        <v>1029</v>
      </c>
      <c r="AB1401" t="s">
        <v>2587</v>
      </c>
      <c r="AK1401" t="s">
        <v>2588</v>
      </c>
      <c r="BA1401" t="s">
        <v>2589</v>
      </c>
      <c r="BJ1401" t="s">
        <v>2556</v>
      </c>
      <c r="BT1401">
        <v>275.48</v>
      </c>
      <c r="BZ1401">
        <v>2</v>
      </c>
      <c r="CH1401">
        <v>732.04</v>
      </c>
    </row>
    <row r="1402" spans="1:86" x14ac:dyDescent="0.25">
      <c r="A1402" t="s">
        <v>1030</v>
      </c>
      <c r="AK1402" t="s">
        <v>2590</v>
      </c>
      <c r="BA1402" t="s">
        <v>2565</v>
      </c>
      <c r="BT1402">
        <v>449.46</v>
      </c>
      <c r="BZ1402">
        <v>5.0999999999999996</v>
      </c>
    </row>
    <row r="1403" spans="1:86" x14ac:dyDescent="0.25">
      <c r="A1403" t="s">
        <v>1031</v>
      </c>
      <c r="V1403" t="s">
        <v>2591</v>
      </c>
      <c r="AB1403" t="s">
        <v>2587</v>
      </c>
      <c r="AK1403" t="s">
        <v>2588</v>
      </c>
      <c r="BA1403" t="s">
        <v>2589</v>
      </c>
      <c r="BJ1403" t="s">
        <v>2556</v>
      </c>
      <c r="BT1403">
        <v>308.05</v>
      </c>
      <c r="BZ1403">
        <v>2</v>
      </c>
      <c r="CH1403">
        <v>764.61</v>
      </c>
    </row>
    <row r="1404" spans="1:86" x14ac:dyDescent="0.25">
      <c r="A1404" t="s">
        <v>1030</v>
      </c>
      <c r="AK1404" t="s">
        <v>2590</v>
      </c>
      <c r="BA1404" t="s">
        <v>2565</v>
      </c>
      <c r="BT1404">
        <v>449.46</v>
      </c>
      <c r="BZ1404">
        <v>5.0999999999999996</v>
      </c>
    </row>
    <row r="1405" spans="1:86" x14ac:dyDescent="0.25">
      <c r="A1405" t="s">
        <v>1032</v>
      </c>
      <c r="AB1405" t="s">
        <v>2587</v>
      </c>
      <c r="AK1405" t="s">
        <v>2588</v>
      </c>
      <c r="BA1405" t="s">
        <v>2589</v>
      </c>
      <c r="BJ1405" t="s">
        <v>2556</v>
      </c>
      <c r="BT1405">
        <v>308.05</v>
      </c>
      <c r="BZ1405">
        <v>2</v>
      </c>
      <c r="CH1405">
        <v>764.61</v>
      </c>
    </row>
    <row r="1406" spans="1:86" x14ac:dyDescent="0.25">
      <c r="A1406" t="s">
        <v>1030</v>
      </c>
      <c r="AK1406" t="s">
        <v>2590</v>
      </c>
      <c r="BA1406" t="s">
        <v>2565</v>
      </c>
      <c r="BT1406">
        <v>449.46</v>
      </c>
      <c r="BZ1406">
        <v>5.0999999999999996</v>
      </c>
    </row>
    <row r="1407" spans="1:86" x14ac:dyDescent="0.25">
      <c r="A1407" t="s">
        <v>1033</v>
      </c>
      <c r="AB1407" t="s">
        <v>2515</v>
      </c>
      <c r="AK1407" t="s">
        <v>2588</v>
      </c>
      <c r="BA1407" t="s">
        <v>2592</v>
      </c>
      <c r="BJ1407" t="s">
        <v>2556</v>
      </c>
      <c r="BT1407">
        <v>286.89999999999998</v>
      </c>
      <c r="BZ1407">
        <v>2</v>
      </c>
      <c r="CH1407">
        <v>762.34</v>
      </c>
    </row>
    <row r="1408" spans="1:86" x14ac:dyDescent="0.25">
      <c r="A1408" t="s">
        <v>1034</v>
      </c>
      <c r="AK1408" t="s">
        <v>2590</v>
      </c>
      <c r="BA1408" t="s">
        <v>2593</v>
      </c>
      <c r="BT1408">
        <v>468.34</v>
      </c>
      <c r="BZ1408">
        <v>5.0999999999999996</v>
      </c>
    </row>
    <row r="1409" spans="1:86" x14ac:dyDescent="0.25">
      <c r="A1409" t="s">
        <v>1035</v>
      </c>
      <c r="AB1409" t="s">
        <v>2515</v>
      </c>
      <c r="AK1409" t="s">
        <v>2588</v>
      </c>
      <c r="BA1409" t="s">
        <v>2592</v>
      </c>
      <c r="BJ1409" t="s">
        <v>2556</v>
      </c>
      <c r="BT1409">
        <v>333.76</v>
      </c>
      <c r="BZ1409">
        <v>2</v>
      </c>
      <c r="CH1409">
        <v>816.3</v>
      </c>
    </row>
    <row r="1410" spans="1:86" x14ac:dyDescent="0.25">
      <c r="A1410" t="s">
        <v>1034</v>
      </c>
      <c r="AK1410" t="s">
        <v>2590</v>
      </c>
      <c r="BA1410" t="s">
        <v>2593</v>
      </c>
      <c r="BT1410">
        <v>468.34</v>
      </c>
      <c r="BZ1410">
        <v>5.0999999999999996</v>
      </c>
    </row>
    <row r="1411" spans="1:86" x14ac:dyDescent="0.25">
      <c r="A1411" t="s">
        <v>1036</v>
      </c>
      <c r="AB1411" t="s">
        <v>2515</v>
      </c>
      <c r="AK1411" t="s">
        <v>2588</v>
      </c>
      <c r="BA1411" t="s">
        <v>2592</v>
      </c>
      <c r="BJ1411" t="s">
        <v>2556</v>
      </c>
      <c r="BT1411">
        <v>333.76</v>
      </c>
      <c r="BZ1411">
        <v>2</v>
      </c>
      <c r="CH1411">
        <v>816.3</v>
      </c>
    </row>
    <row r="1412" spans="1:86" x14ac:dyDescent="0.25">
      <c r="A1412" t="s">
        <v>1034</v>
      </c>
      <c r="AK1412" t="s">
        <v>2590</v>
      </c>
      <c r="BA1412" t="s">
        <v>2593</v>
      </c>
      <c r="BT1412">
        <v>468.34</v>
      </c>
      <c r="BZ1412">
        <v>5.0999999999999996</v>
      </c>
    </row>
    <row r="1413" spans="1:86" x14ac:dyDescent="0.25">
      <c r="A1413" t="s">
        <v>1037</v>
      </c>
      <c r="AB1413" t="s">
        <v>2515</v>
      </c>
      <c r="AK1413" t="s">
        <v>2588</v>
      </c>
      <c r="BA1413" t="s">
        <v>2592</v>
      </c>
      <c r="BJ1413" t="s">
        <v>2556</v>
      </c>
      <c r="BT1413">
        <v>333.76</v>
      </c>
      <c r="BZ1413">
        <v>2</v>
      </c>
      <c r="CH1413">
        <v>816.3</v>
      </c>
    </row>
    <row r="1414" spans="1:86" x14ac:dyDescent="0.25">
      <c r="A1414" t="s">
        <v>2594</v>
      </c>
      <c r="AK1414" t="s">
        <v>2590</v>
      </c>
      <c r="BA1414" t="s">
        <v>2593</v>
      </c>
      <c r="BT1414">
        <v>468.34</v>
      </c>
      <c r="BZ1414">
        <v>5.0999999999999996</v>
      </c>
    </row>
    <row r="1415" spans="1:86" x14ac:dyDescent="0.25">
      <c r="A1415" t="s">
        <v>1039</v>
      </c>
      <c r="AB1415" t="s">
        <v>2515</v>
      </c>
      <c r="AK1415" t="s">
        <v>2588</v>
      </c>
      <c r="BA1415" t="s">
        <v>2592</v>
      </c>
      <c r="BJ1415" t="s">
        <v>2556</v>
      </c>
      <c r="BT1415">
        <v>333.76</v>
      </c>
      <c r="BZ1415">
        <v>2</v>
      </c>
      <c r="CH1415">
        <v>816.3</v>
      </c>
    </row>
    <row r="1416" spans="1:86" x14ac:dyDescent="0.25">
      <c r="A1416" t="s">
        <v>1034</v>
      </c>
      <c r="AK1416" t="s">
        <v>2590</v>
      </c>
      <c r="BA1416" t="s">
        <v>2593</v>
      </c>
      <c r="BT1416">
        <v>468.34</v>
      </c>
      <c r="BZ1416">
        <v>5.0999999999999996</v>
      </c>
    </row>
    <row r="1417" spans="1:86" x14ac:dyDescent="0.25">
      <c r="A1417" t="s">
        <v>1040</v>
      </c>
      <c r="AB1417" t="s">
        <v>2524</v>
      </c>
      <c r="AK1417" t="s">
        <v>2595</v>
      </c>
      <c r="BA1417" t="s">
        <v>2596</v>
      </c>
      <c r="BJ1417" t="s">
        <v>2518</v>
      </c>
      <c r="BT1417">
        <v>406.28</v>
      </c>
      <c r="BZ1417">
        <v>2</v>
      </c>
      <c r="CH1417" t="s">
        <v>2597</v>
      </c>
    </row>
    <row r="1418" spans="1:86" x14ac:dyDescent="0.25">
      <c r="A1418" t="s">
        <v>2598</v>
      </c>
      <c r="AK1418" t="s">
        <v>2599</v>
      </c>
      <c r="BA1418" t="s">
        <v>2472</v>
      </c>
      <c r="BT1418">
        <v>754.52</v>
      </c>
      <c r="BZ1418">
        <v>5.0999999999999996</v>
      </c>
    </row>
    <row r="1419" spans="1:86" x14ac:dyDescent="0.25">
      <c r="A1419" t="s">
        <v>1042</v>
      </c>
      <c r="V1419" t="s">
        <v>2600</v>
      </c>
      <c r="AB1419" t="s">
        <v>2524</v>
      </c>
      <c r="AK1419" t="s">
        <v>2595</v>
      </c>
      <c r="BA1419" t="s">
        <v>2596</v>
      </c>
      <c r="BJ1419" t="s">
        <v>2518</v>
      </c>
      <c r="BT1419">
        <v>464.82</v>
      </c>
      <c r="BZ1419">
        <v>2</v>
      </c>
      <c r="CH1419" t="s">
        <v>2601</v>
      </c>
    </row>
    <row r="1420" spans="1:86" x14ac:dyDescent="0.25">
      <c r="A1420" t="s">
        <v>1043</v>
      </c>
      <c r="AK1420" t="s">
        <v>2599</v>
      </c>
      <c r="BA1420" t="s">
        <v>2472</v>
      </c>
      <c r="BT1420">
        <v>754.52</v>
      </c>
      <c r="BZ1420">
        <v>5.0999999999999996</v>
      </c>
    </row>
    <row r="1421" spans="1:86" x14ac:dyDescent="0.25">
      <c r="A1421" t="s">
        <v>1044</v>
      </c>
      <c r="AB1421" t="s">
        <v>2602</v>
      </c>
      <c r="AK1421" t="s">
        <v>2603</v>
      </c>
      <c r="BA1421" t="s">
        <v>2604</v>
      </c>
      <c r="BJ1421" t="s">
        <v>2518</v>
      </c>
      <c r="BT1421">
        <v>591.09</v>
      </c>
      <c r="BZ1421">
        <v>2</v>
      </c>
      <c r="CH1421" t="s">
        <v>2605</v>
      </c>
    </row>
    <row r="1422" spans="1:86" x14ac:dyDescent="0.25">
      <c r="A1422" t="s">
        <v>2606</v>
      </c>
      <c r="AK1422" t="s">
        <v>2607</v>
      </c>
      <c r="BA1422" t="s">
        <v>2608</v>
      </c>
      <c r="BT1422">
        <v>964.41</v>
      </c>
      <c r="BZ1422">
        <v>11.2</v>
      </c>
    </row>
    <row r="1423" spans="1:86" x14ac:dyDescent="0.25">
      <c r="A1423" t="s">
        <v>2474</v>
      </c>
    </row>
    <row r="1424" spans="1:86" x14ac:dyDescent="0.25">
      <c r="A1424" t="s">
        <v>2609</v>
      </c>
    </row>
    <row r="1425" spans="1:86" x14ac:dyDescent="0.25">
      <c r="A1425" t="s">
        <v>2534</v>
      </c>
      <c r="V1425" t="s">
        <v>2610</v>
      </c>
      <c r="X1425" t="s">
        <v>2611</v>
      </c>
      <c r="AB1425" t="s">
        <v>2612</v>
      </c>
      <c r="AK1425" t="s">
        <v>2613</v>
      </c>
      <c r="CH1425">
        <v>30</v>
      </c>
    </row>
    <row r="1427" spans="1:86" x14ac:dyDescent="0.25">
      <c r="A1427" t="s">
        <v>2614</v>
      </c>
    </row>
    <row r="1428" spans="1:86" x14ac:dyDescent="0.25">
      <c r="A1428" t="s">
        <v>2615</v>
      </c>
    </row>
    <row r="1430" spans="1:86" x14ac:dyDescent="0.25">
      <c r="A1430" t="s">
        <v>2616</v>
      </c>
    </row>
    <row r="1431" spans="1:86" x14ac:dyDescent="0.25">
      <c r="A1431" t="s">
        <v>2617</v>
      </c>
    </row>
    <row r="1432" spans="1:86" x14ac:dyDescent="0.25">
      <c r="A1432" t="s">
        <v>2618</v>
      </c>
    </row>
    <row r="1433" spans="1:86" x14ac:dyDescent="0.25">
      <c r="A1433" t="s">
        <v>2619</v>
      </c>
    </row>
    <row r="1434" spans="1:86" x14ac:dyDescent="0.25">
      <c r="A1434" t="s">
        <v>2620</v>
      </c>
    </row>
    <row r="1435" spans="1:86" x14ac:dyDescent="0.25">
      <c r="A1435" t="s">
        <v>1164</v>
      </c>
    </row>
    <row r="1436" spans="1:86" x14ac:dyDescent="0.25">
      <c r="A1436" t="s">
        <v>2621</v>
      </c>
    </row>
    <row r="1437" spans="1:86" x14ac:dyDescent="0.25">
      <c r="A1437" t="s">
        <v>2622</v>
      </c>
      <c r="AT1437" t="s">
        <v>2623</v>
      </c>
    </row>
    <row r="1438" spans="1:86" x14ac:dyDescent="0.25">
      <c r="A1438" t="s">
        <v>2458</v>
      </c>
      <c r="V1438" t="s">
        <v>2459</v>
      </c>
      <c r="AH1438" t="s">
        <v>2586</v>
      </c>
      <c r="AX1438" t="s">
        <v>2461</v>
      </c>
      <c r="BJ1438" t="s">
        <v>2462</v>
      </c>
      <c r="BS1438" t="s">
        <v>2463</v>
      </c>
      <c r="BY1438" t="s">
        <v>2464</v>
      </c>
      <c r="CF1438" t="s">
        <v>2465</v>
      </c>
    </row>
    <row r="1439" spans="1:86" x14ac:dyDescent="0.25">
      <c r="A1439" t="s">
        <v>1046</v>
      </c>
      <c r="V1439" t="s">
        <v>2587</v>
      </c>
      <c r="AH1439" t="s">
        <v>2624</v>
      </c>
      <c r="AX1439" t="s">
        <v>2517</v>
      </c>
      <c r="BJ1439" t="s">
        <v>2518</v>
      </c>
      <c r="BS1439" t="s">
        <v>2625</v>
      </c>
      <c r="BY1439">
        <v>2</v>
      </c>
      <c r="CF1439">
        <v>599.86</v>
      </c>
    </row>
    <row r="1440" spans="1:86" x14ac:dyDescent="0.25">
      <c r="A1440" t="s">
        <v>1047</v>
      </c>
      <c r="AH1440" t="s">
        <v>2626</v>
      </c>
      <c r="AX1440" t="s">
        <v>2593</v>
      </c>
      <c r="BS1440" t="s">
        <v>2627</v>
      </c>
      <c r="BY1440">
        <v>5.0999999999999996</v>
      </c>
    </row>
    <row r="1441" spans="1:84" x14ac:dyDescent="0.25">
      <c r="A1441" t="s">
        <v>1048</v>
      </c>
      <c r="V1441" t="s">
        <v>2515</v>
      </c>
      <c r="AH1441" t="s">
        <v>2628</v>
      </c>
      <c r="AX1441" t="s">
        <v>2592</v>
      </c>
      <c r="BJ1441" t="s">
        <v>2518</v>
      </c>
      <c r="BS1441" t="s">
        <v>2629</v>
      </c>
      <c r="BY1441">
        <v>2</v>
      </c>
      <c r="CF1441">
        <v>634.63</v>
      </c>
    </row>
    <row r="1442" spans="1:84" x14ac:dyDescent="0.25">
      <c r="A1442" t="s">
        <v>1049</v>
      </c>
      <c r="AH1442" t="s">
        <v>2626</v>
      </c>
      <c r="AX1442" t="s">
        <v>2593</v>
      </c>
      <c r="BS1442" t="s">
        <v>2630</v>
      </c>
      <c r="BY1442">
        <v>5.0999999999999996</v>
      </c>
    </row>
    <row r="1443" spans="1:84" x14ac:dyDescent="0.25">
      <c r="A1443" t="s">
        <v>1050</v>
      </c>
      <c r="V1443" t="s">
        <v>2524</v>
      </c>
      <c r="AH1443" t="s">
        <v>2631</v>
      </c>
      <c r="AX1443" t="s">
        <v>2632</v>
      </c>
      <c r="BJ1443" t="s">
        <v>2518</v>
      </c>
      <c r="BS1443" t="s">
        <v>2633</v>
      </c>
      <c r="BY1443">
        <v>2</v>
      </c>
      <c r="CF1443" t="s">
        <v>2634</v>
      </c>
    </row>
    <row r="1444" spans="1:84" x14ac:dyDescent="0.25">
      <c r="A1444" t="s">
        <v>1051</v>
      </c>
      <c r="AH1444" t="s">
        <v>2599</v>
      </c>
      <c r="AX1444" t="s">
        <v>2472</v>
      </c>
      <c r="BS1444" t="s">
        <v>2635</v>
      </c>
      <c r="BY1444">
        <v>5.0999999999999996</v>
      </c>
    </row>
    <row r="1445" spans="1:84" x14ac:dyDescent="0.25">
      <c r="A1445" t="s">
        <v>1052</v>
      </c>
      <c r="V1445" t="s">
        <v>2602</v>
      </c>
      <c r="AH1445" t="s">
        <v>2636</v>
      </c>
      <c r="AX1445" t="s">
        <v>2637</v>
      </c>
      <c r="BJ1445" t="s">
        <v>2518</v>
      </c>
      <c r="BS1445" t="s">
        <v>2638</v>
      </c>
      <c r="BY1445">
        <v>2</v>
      </c>
      <c r="CF1445" t="s">
        <v>2639</v>
      </c>
    </row>
    <row r="1446" spans="1:84" x14ac:dyDescent="0.25">
      <c r="A1446" t="s">
        <v>1053</v>
      </c>
      <c r="AH1446" t="s">
        <v>2607</v>
      </c>
      <c r="AX1446" t="s">
        <v>2640</v>
      </c>
      <c r="BS1446" t="s">
        <v>2641</v>
      </c>
      <c r="BY1446">
        <v>11.2</v>
      </c>
    </row>
    <row r="1447" spans="1:84" x14ac:dyDescent="0.25">
      <c r="A1447" t="s">
        <v>2474</v>
      </c>
    </row>
    <row r="1448" spans="1:84" x14ac:dyDescent="0.25">
      <c r="A1448" t="s">
        <v>2642</v>
      </c>
    </row>
    <row r="1449" spans="1:84" x14ac:dyDescent="0.25">
      <c r="A1449" t="s">
        <v>2643</v>
      </c>
      <c r="V1449" t="s">
        <v>2644</v>
      </c>
      <c r="AH1449" t="s">
        <v>2645</v>
      </c>
      <c r="AQ1449" t="s">
        <v>2646</v>
      </c>
      <c r="CF1449">
        <v>30</v>
      </c>
    </row>
    <row r="1451" spans="1:84" x14ac:dyDescent="0.25">
      <c r="A1451" t="s">
        <v>2475</v>
      </c>
    </row>
    <row r="1452" spans="1:84" x14ac:dyDescent="0.25">
      <c r="A1452" t="s">
        <v>2476</v>
      </c>
      <c r="AH1452" t="s">
        <v>2492</v>
      </c>
      <c r="AX1452" t="s">
        <v>2538</v>
      </c>
      <c r="BS1452" t="s">
        <v>2494</v>
      </c>
    </row>
    <row r="1453" spans="1:84" x14ac:dyDescent="0.25">
      <c r="A1453" t="s">
        <v>2480</v>
      </c>
      <c r="AH1453" t="s">
        <v>2477</v>
      </c>
      <c r="AX1453" t="s">
        <v>2647</v>
      </c>
      <c r="BS1453" t="s">
        <v>2648</v>
      </c>
    </row>
    <row r="1454" spans="1:84" x14ac:dyDescent="0.25">
      <c r="A1454" t="s">
        <v>2541</v>
      </c>
      <c r="AH1454" t="s">
        <v>2540</v>
      </c>
      <c r="AX1454" t="s">
        <v>2649</v>
      </c>
      <c r="BS1454" t="s">
        <v>2487</v>
      </c>
    </row>
    <row r="1455" spans="1:84" x14ac:dyDescent="0.25">
      <c r="A1455" t="s">
        <v>2484</v>
      </c>
      <c r="AH1455" t="s">
        <v>2498</v>
      </c>
      <c r="AX1455" t="s">
        <v>2497</v>
      </c>
      <c r="BS1455" t="s">
        <v>2491</v>
      </c>
    </row>
    <row r="1456" spans="1:84" x14ac:dyDescent="0.25">
      <c r="A1456" t="s">
        <v>2488</v>
      </c>
      <c r="AH1456" t="s">
        <v>2505</v>
      </c>
      <c r="AX1456" t="s">
        <v>2650</v>
      </c>
      <c r="BS1456" t="s">
        <v>2651</v>
      </c>
    </row>
    <row r="1457" spans="1:86" x14ac:dyDescent="0.25">
      <c r="A1457" t="s">
        <v>2549</v>
      </c>
      <c r="AH1457" t="s">
        <v>2652</v>
      </c>
      <c r="AX1457" t="s">
        <v>2548</v>
      </c>
      <c r="BS1457" t="s">
        <v>2653</v>
      </c>
    </row>
    <row r="1459" spans="1:86" x14ac:dyDescent="0.25">
      <c r="A1459" t="s">
        <v>2654</v>
      </c>
    </row>
    <row r="1460" spans="1:86" x14ac:dyDescent="0.25">
      <c r="A1460" t="s">
        <v>1165</v>
      </c>
    </row>
    <row r="1461" spans="1:86" x14ac:dyDescent="0.25">
      <c r="A1461" t="s">
        <v>2655</v>
      </c>
    </row>
    <row r="1462" spans="1:86" x14ac:dyDescent="0.25">
      <c r="A1462" t="s">
        <v>2656</v>
      </c>
      <c r="AO1462" t="s">
        <v>2657</v>
      </c>
    </row>
    <row r="1463" spans="1:86" x14ac:dyDescent="0.25">
      <c r="A1463" t="s">
        <v>2658</v>
      </c>
    </row>
    <row r="1464" spans="1:86" x14ac:dyDescent="0.25">
      <c r="A1464" t="s">
        <v>2458</v>
      </c>
      <c r="V1464" t="s">
        <v>2459</v>
      </c>
      <c r="AH1464" t="s">
        <v>2586</v>
      </c>
      <c r="AX1464" t="s">
        <v>2461</v>
      </c>
      <c r="BH1464" t="s">
        <v>2462</v>
      </c>
      <c r="BS1464" t="s">
        <v>2463</v>
      </c>
      <c r="BZ1464" t="s">
        <v>2464</v>
      </c>
      <c r="CH1464" t="s">
        <v>2465</v>
      </c>
    </row>
    <row r="1465" spans="1:86" x14ac:dyDescent="0.25">
      <c r="A1465" t="s">
        <v>1054</v>
      </c>
      <c r="V1465" t="s">
        <v>2587</v>
      </c>
      <c r="AH1465" t="s">
        <v>2624</v>
      </c>
      <c r="AX1465" t="s">
        <v>2517</v>
      </c>
      <c r="BH1465" t="s">
        <v>2518</v>
      </c>
      <c r="BS1465" t="s">
        <v>2659</v>
      </c>
      <c r="BZ1465">
        <v>2</v>
      </c>
      <c r="CH1465">
        <v>577.46</v>
      </c>
    </row>
    <row r="1466" spans="1:86" x14ac:dyDescent="0.25">
      <c r="A1466" t="s">
        <v>1055</v>
      </c>
      <c r="AH1466" t="s">
        <v>2626</v>
      </c>
      <c r="AX1466" t="s">
        <v>2593</v>
      </c>
      <c r="BS1466" t="s">
        <v>2660</v>
      </c>
      <c r="BZ1466">
        <v>5.0999999999999996</v>
      </c>
    </row>
    <row r="1467" spans="1:86" x14ac:dyDescent="0.25">
      <c r="A1467" t="s">
        <v>1056</v>
      </c>
      <c r="V1467" t="s">
        <v>2515</v>
      </c>
      <c r="AH1467" t="s">
        <v>2628</v>
      </c>
      <c r="AX1467" t="s">
        <v>2661</v>
      </c>
      <c r="BH1467" t="s">
        <v>2518</v>
      </c>
      <c r="BS1467" t="s">
        <v>2662</v>
      </c>
      <c r="BZ1467">
        <v>2</v>
      </c>
      <c r="CH1467">
        <v>602.20000000000005</v>
      </c>
    </row>
    <row r="1468" spans="1:86" x14ac:dyDescent="0.25">
      <c r="A1468" t="s">
        <v>1057</v>
      </c>
      <c r="AH1468" t="s">
        <v>2626</v>
      </c>
      <c r="AX1468" t="s">
        <v>2593</v>
      </c>
      <c r="BS1468" t="s">
        <v>2663</v>
      </c>
      <c r="BZ1468">
        <v>5.0999999999999996</v>
      </c>
    </row>
    <row r="1469" spans="1:86" x14ac:dyDescent="0.25">
      <c r="A1469" t="s">
        <v>1058</v>
      </c>
      <c r="V1469" t="s">
        <v>2524</v>
      </c>
      <c r="AH1469" t="s">
        <v>2631</v>
      </c>
      <c r="AX1469" t="s">
        <v>2632</v>
      </c>
      <c r="BH1469" t="s">
        <v>2518</v>
      </c>
      <c r="BS1469" t="s">
        <v>2664</v>
      </c>
      <c r="BZ1469">
        <v>2</v>
      </c>
      <c r="CH1469">
        <v>952.28</v>
      </c>
    </row>
    <row r="1470" spans="1:86" x14ac:dyDescent="0.25">
      <c r="A1470" t="s">
        <v>1059</v>
      </c>
      <c r="AH1470" t="s">
        <v>2599</v>
      </c>
      <c r="AX1470" t="s">
        <v>2472</v>
      </c>
      <c r="BS1470" t="s">
        <v>2665</v>
      </c>
      <c r="BZ1470">
        <v>5.0999999999999996</v>
      </c>
    </row>
    <row r="1471" spans="1:86" x14ac:dyDescent="0.25">
      <c r="A1471" t="s">
        <v>1060</v>
      </c>
      <c r="V1471" t="s">
        <v>2602</v>
      </c>
      <c r="AH1471" t="s">
        <v>2636</v>
      </c>
      <c r="AX1471" t="s">
        <v>2637</v>
      </c>
      <c r="BH1471" t="s">
        <v>2518</v>
      </c>
      <c r="BS1471" t="s">
        <v>2666</v>
      </c>
      <c r="BZ1471">
        <v>2</v>
      </c>
      <c r="CH1471" t="s">
        <v>2667</v>
      </c>
    </row>
    <row r="1472" spans="1:86" x14ac:dyDescent="0.25">
      <c r="A1472" t="s">
        <v>1061</v>
      </c>
      <c r="AH1472" t="s">
        <v>2607</v>
      </c>
      <c r="AX1472" t="s">
        <v>2640</v>
      </c>
      <c r="BS1472" t="s">
        <v>2668</v>
      </c>
      <c r="BZ1472">
        <v>11.2</v>
      </c>
    </row>
    <row r="1473" spans="1:84" x14ac:dyDescent="0.25">
      <c r="A1473" t="s">
        <v>2669</v>
      </c>
      <c r="V1473" t="s">
        <v>2670</v>
      </c>
      <c r="AH1473" t="s">
        <v>2671</v>
      </c>
    </row>
    <row r="1474" spans="1:84" x14ac:dyDescent="0.25">
      <c r="A1474" t="s">
        <v>2475</v>
      </c>
    </row>
    <row r="1475" spans="1:84" x14ac:dyDescent="0.25">
      <c r="A1475" t="s">
        <v>2672</v>
      </c>
    </row>
    <row r="1477" spans="1:84" x14ac:dyDescent="0.25">
      <c r="A1477" t="s">
        <v>2673</v>
      </c>
    </row>
    <row r="1478" spans="1:84" x14ac:dyDescent="0.25">
      <c r="A1478" t="s">
        <v>2674</v>
      </c>
    </row>
    <row r="1479" spans="1:84" x14ac:dyDescent="0.25">
      <c r="A1479" t="s">
        <v>2675</v>
      </c>
    </row>
    <row r="1480" spans="1:84" x14ac:dyDescent="0.25">
      <c r="A1480" t="s">
        <v>2458</v>
      </c>
      <c r="Z1480" t="s">
        <v>2459</v>
      </c>
      <c r="AK1480" t="s">
        <v>2586</v>
      </c>
      <c r="BJ1480" t="s">
        <v>2676</v>
      </c>
      <c r="BS1480" t="s">
        <v>2677</v>
      </c>
      <c r="BX1480" t="s">
        <v>2464</v>
      </c>
      <c r="CF1480" t="s">
        <v>2678</v>
      </c>
    </row>
    <row r="1481" spans="1:84" x14ac:dyDescent="0.25">
      <c r="A1481" t="s">
        <v>1062</v>
      </c>
      <c r="Z1481" t="s">
        <v>2587</v>
      </c>
      <c r="AK1481" t="s">
        <v>2588</v>
      </c>
      <c r="BJ1481" t="s">
        <v>2679</v>
      </c>
      <c r="BS1481" t="s">
        <v>2680</v>
      </c>
      <c r="BX1481">
        <v>2</v>
      </c>
      <c r="CF1481">
        <v>277.48</v>
      </c>
    </row>
    <row r="1482" spans="1:84" x14ac:dyDescent="0.25">
      <c r="A1482" t="s">
        <v>1063</v>
      </c>
      <c r="Z1482" t="s">
        <v>2587</v>
      </c>
      <c r="AK1482" t="s">
        <v>2588</v>
      </c>
      <c r="BJ1482" t="s">
        <v>2679</v>
      </c>
      <c r="BS1482" t="s">
        <v>2681</v>
      </c>
      <c r="BX1482">
        <v>2</v>
      </c>
      <c r="CF1482">
        <v>310.05</v>
      </c>
    </row>
    <row r="1483" spans="1:84" x14ac:dyDescent="0.25">
      <c r="A1483" t="s">
        <v>1064</v>
      </c>
      <c r="Z1483" t="s">
        <v>2587</v>
      </c>
      <c r="AK1483" t="s">
        <v>2588</v>
      </c>
      <c r="BJ1483" t="s">
        <v>2679</v>
      </c>
      <c r="BS1483" t="s">
        <v>2681</v>
      </c>
      <c r="BX1483">
        <v>2</v>
      </c>
      <c r="CF1483">
        <v>310.05</v>
      </c>
    </row>
    <row r="1484" spans="1:84" x14ac:dyDescent="0.25">
      <c r="A1484" t="s">
        <v>1065</v>
      </c>
      <c r="Z1484" t="s">
        <v>2515</v>
      </c>
      <c r="AK1484" t="s">
        <v>2588</v>
      </c>
      <c r="BJ1484" t="s">
        <v>2679</v>
      </c>
      <c r="BS1484" t="s">
        <v>2682</v>
      </c>
      <c r="BX1484">
        <v>2</v>
      </c>
      <c r="CF1484">
        <v>288.89999999999998</v>
      </c>
    </row>
    <row r="1485" spans="1:84" x14ac:dyDescent="0.25">
      <c r="A1485" t="s">
        <v>1066</v>
      </c>
      <c r="Z1485" t="s">
        <v>2515</v>
      </c>
      <c r="AK1485" t="s">
        <v>2588</v>
      </c>
      <c r="BJ1485" t="s">
        <v>2679</v>
      </c>
      <c r="BS1485" t="s">
        <v>2683</v>
      </c>
      <c r="BX1485">
        <v>2</v>
      </c>
      <c r="CF1485">
        <v>335.76</v>
      </c>
    </row>
    <row r="1486" spans="1:84" x14ac:dyDescent="0.25">
      <c r="A1486" t="s">
        <v>1067</v>
      </c>
      <c r="Z1486" t="s">
        <v>2515</v>
      </c>
      <c r="AK1486" t="s">
        <v>2588</v>
      </c>
      <c r="BJ1486" t="s">
        <v>2679</v>
      </c>
      <c r="BS1486" t="s">
        <v>2683</v>
      </c>
      <c r="BX1486">
        <v>2</v>
      </c>
      <c r="CF1486">
        <v>335.76</v>
      </c>
    </row>
    <row r="1487" spans="1:84" x14ac:dyDescent="0.25">
      <c r="A1487" t="s">
        <v>1068</v>
      </c>
      <c r="Z1487" t="s">
        <v>2515</v>
      </c>
      <c r="AK1487" t="s">
        <v>2588</v>
      </c>
      <c r="BJ1487" t="s">
        <v>2679</v>
      </c>
      <c r="BS1487" t="s">
        <v>2683</v>
      </c>
      <c r="BX1487">
        <v>2</v>
      </c>
      <c r="CF1487">
        <v>335.76</v>
      </c>
    </row>
    <row r="1488" spans="1:84" x14ac:dyDescent="0.25">
      <c r="A1488" t="s">
        <v>1069</v>
      </c>
      <c r="Z1488" t="s">
        <v>2515</v>
      </c>
      <c r="AK1488" t="s">
        <v>2588</v>
      </c>
      <c r="BJ1488" t="s">
        <v>2679</v>
      </c>
      <c r="BS1488" t="s">
        <v>2683</v>
      </c>
      <c r="BX1488">
        <v>2</v>
      </c>
      <c r="CF1488">
        <v>335.76</v>
      </c>
    </row>
    <row r="1489" spans="1:84" x14ac:dyDescent="0.25">
      <c r="A1489" t="s">
        <v>1070</v>
      </c>
      <c r="Z1489" t="s">
        <v>2524</v>
      </c>
      <c r="AK1489" t="s">
        <v>2595</v>
      </c>
      <c r="BJ1489" t="s">
        <v>2684</v>
      </c>
      <c r="BS1489" t="s">
        <v>2685</v>
      </c>
      <c r="BX1489">
        <v>2</v>
      </c>
      <c r="CF1489">
        <v>408.28</v>
      </c>
    </row>
    <row r="1490" spans="1:84" x14ac:dyDescent="0.25">
      <c r="A1490" t="s">
        <v>1071</v>
      </c>
      <c r="Z1490" t="s">
        <v>2524</v>
      </c>
      <c r="AK1490" t="s">
        <v>2595</v>
      </c>
      <c r="BJ1490" t="s">
        <v>2684</v>
      </c>
      <c r="BS1490" t="s">
        <v>2686</v>
      </c>
      <c r="BX1490">
        <v>2</v>
      </c>
      <c r="CF1490">
        <v>466.82</v>
      </c>
    </row>
    <row r="1491" spans="1:84" x14ac:dyDescent="0.25">
      <c r="A1491" t="s">
        <v>2687</v>
      </c>
    </row>
    <row r="1492" spans="1:84" x14ac:dyDescent="0.25">
      <c r="A1492" t="s">
        <v>2688</v>
      </c>
      <c r="X1492" t="s">
        <v>2689</v>
      </c>
      <c r="Z1492" t="s">
        <v>2690</v>
      </c>
      <c r="AK1492" t="s">
        <v>2691</v>
      </c>
      <c r="CF1492">
        <v>30</v>
      </c>
    </row>
    <row r="1493" spans="1:84" x14ac:dyDescent="0.25">
      <c r="A1493" t="s">
        <v>2692</v>
      </c>
    </row>
    <row r="1494" spans="1:84" x14ac:dyDescent="0.25">
      <c r="A1494" t="s">
        <v>2458</v>
      </c>
      <c r="Z1494" t="s">
        <v>2459</v>
      </c>
      <c r="AK1494" t="s">
        <v>2586</v>
      </c>
      <c r="BJ1494" t="s">
        <v>2676</v>
      </c>
      <c r="BS1494" t="s">
        <v>2677</v>
      </c>
      <c r="BX1494" t="s">
        <v>2464</v>
      </c>
      <c r="CF1494" t="s">
        <v>2678</v>
      </c>
    </row>
    <row r="1495" spans="1:84" x14ac:dyDescent="0.25">
      <c r="A1495" t="s">
        <v>1008</v>
      </c>
      <c r="Z1495" t="s">
        <v>2693</v>
      </c>
      <c r="AK1495" t="s">
        <v>2628</v>
      </c>
      <c r="BJ1495" t="s">
        <v>2694</v>
      </c>
      <c r="BS1495" t="s">
        <v>2695</v>
      </c>
      <c r="BX1495">
        <v>2</v>
      </c>
      <c r="CF1495">
        <v>216.36</v>
      </c>
    </row>
    <row r="1496" spans="1:84" x14ac:dyDescent="0.25">
      <c r="A1496" t="s">
        <v>2687</v>
      </c>
    </row>
    <row r="1497" spans="1:84" x14ac:dyDescent="0.25">
      <c r="A1497" t="s">
        <v>2688</v>
      </c>
      <c r="X1497" t="s">
        <v>2689</v>
      </c>
      <c r="Z1497" t="s">
        <v>2690</v>
      </c>
      <c r="AK1497" t="s">
        <v>2691</v>
      </c>
      <c r="CF1497">
        <v>30</v>
      </c>
    </row>
    <row r="1499" spans="1:84" x14ac:dyDescent="0.25">
      <c r="A1499" t="s">
        <v>2696</v>
      </c>
    </row>
    <row r="1500" spans="1:84" x14ac:dyDescent="0.25">
      <c r="A1500" t="s">
        <v>1168</v>
      </c>
    </row>
    <row r="1501" spans="1:84" x14ac:dyDescent="0.25">
      <c r="A1501" t="s">
        <v>2458</v>
      </c>
      <c r="V1501" t="s">
        <v>2459</v>
      </c>
      <c r="AH1501" t="s">
        <v>2460</v>
      </c>
      <c r="BA1501" t="s">
        <v>2461</v>
      </c>
      <c r="BJ1501" t="s">
        <v>2676</v>
      </c>
      <c r="BO1501" t="s">
        <v>2677</v>
      </c>
      <c r="BX1501" t="s">
        <v>2464</v>
      </c>
      <c r="CF1501" t="s">
        <v>2678</v>
      </c>
    </row>
    <row r="1502" spans="1:84" x14ac:dyDescent="0.25">
      <c r="A1502" t="s">
        <v>1072</v>
      </c>
      <c r="V1502" t="s">
        <v>2587</v>
      </c>
      <c r="AH1502" t="s">
        <v>2697</v>
      </c>
      <c r="BA1502" t="s">
        <v>2698</v>
      </c>
      <c r="BJ1502" t="s">
        <v>2699</v>
      </c>
      <c r="BO1502">
        <v>545.55999999999995</v>
      </c>
      <c r="BX1502">
        <v>2</v>
      </c>
      <c r="CF1502">
        <v>547.55999999999995</v>
      </c>
    </row>
    <row r="1503" spans="1:84" x14ac:dyDescent="0.25">
      <c r="A1503" t="s">
        <v>1073</v>
      </c>
      <c r="V1503" t="s">
        <v>2515</v>
      </c>
      <c r="AH1503" t="s">
        <v>2700</v>
      </c>
      <c r="BA1503" t="s">
        <v>2701</v>
      </c>
      <c r="BJ1503" t="s">
        <v>2702</v>
      </c>
      <c r="BO1503">
        <v>574.6</v>
      </c>
      <c r="BX1503">
        <v>2</v>
      </c>
      <c r="CF1503">
        <v>576.6</v>
      </c>
    </row>
    <row r="1504" spans="1:84" x14ac:dyDescent="0.25">
      <c r="A1504" t="s">
        <v>1074</v>
      </c>
      <c r="V1504" t="s">
        <v>2703</v>
      </c>
      <c r="AH1504" t="s">
        <v>2700</v>
      </c>
      <c r="BA1504" t="s">
        <v>2704</v>
      </c>
      <c r="BJ1504" t="s">
        <v>2705</v>
      </c>
      <c r="BO1504">
        <v>626.25</v>
      </c>
      <c r="BX1504">
        <v>2</v>
      </c>
      <c r="CF1504">
        <v>628.25</v>
      </c>
    </row>
    <row r="1505" spans="1:84" x14ac:dyDescent="0.25">
      <c r="A1505" t="s">
        <v>2706</v>
      </c>
    </row>
    <row r="1506" spans="1:84" x14ac:dyDescent="0.25">
      <c r="A1506" t="s">
        <v>2534</v>
      </c>
      <c r="V1506" t="s">
        <v>2707</v>
      </c>
      <c r="AX1506" t="s">
        <v>2708</v>
      </c>
    </row>
    <row r="1507" spans="1:84" x14ac:dyDescent="0.25">
      <c r="A1507" t="s">
        <v>1169</v>
      </c>
    </row>
    <row r="1508" spans="1:84" x14ac:dyDescent="0.25">
      <c r="A1508" t="s">
        <v>2458</v>
      </c>
      <c r="V1508" t="s">
        <v>2459</v>
      </c>
      <c r="AH1508" t="s">
        <v>2460</v>
      </c>
      <c r="BA1508" t="s">
        <v>2461</v>
      </c>
      <c r="BJ1508" t="s">
        <v>2676</v>
      </c>
      <c r="BO1508" t="s">
        <v>2677</v>
      </c>
      <c r="BX1508" t="s">
        <v>2464</v>
      </c>
      <c r="CF1508" t="s">
        <v>2678</v>
      </c>
    </row>
    <row r="1509" spans="1:84" x14ac:dyDescent="0.25">
      <c r="A1509" t="s">
        <v>1075</v>
      </c>
      <c r="V1509" t="s">
        <v>2587</v>
      </c>
      <c r="AH1509" t="s">
        <v>2709</v>
      </c>
      <c r="BA1509" t="s">
        <v>2710</v>
      </c>
      <c r="BJ1509" t="s">
        <v>2711</v>
      </c>
      <c r="BO1509">
        <v>448.96</v>
      </c>
      <c r="BX1509">
        <v>2</v>
      </c>
      <c r="CF1509">
        <v>450.96</v>
      </c>
    </row>
    <row r="1510" spans="1:84" x14ac:dyDescent="0.25">
      <c r="A1510" t="s">
        <v>1076</v>
      </c>
      <c r="V1510" t="s">
        <v>2515</v>
      </c>
      <c r="AH1510" t="s">
        <v>2712</v>
      </c>
      <c r="BA1510" t="s">
        <v>2710</v>
      </c>
      <c r="BJ1510" t="s">
        <v>2711</v>
      </c>
      <c r="BO1510">
        <v>482.82</v>
      </c>
      <c r="BX1510">
        <v>2</v>
      </c>
      <c r="CF1510">
        <v>484.82</v>
      </c>
    </row>
    <row r="1511" spans="1:84" x14ac:dyDescent="0.25">
      <c r="A1511" t="s">
        <v>1077</v>
      </c>
      <c r="V1511" t="s">
        <v>2713</v>
      </c>
      <c r="AH1511" t="s">
        <v>2712</v>
      </c>
      <c r="BA1511" t="s">
        <v>2714</v>
      </c>
      <c r="BJ1511" t="s">
        <v>2711</v>
      </c>
      <c r="BO1511">
        <v>585.74</v>
      </c>
      <c r="BX1511">
        <v>2</v>
      </c>
      <c r="CF1511">
        <v>487.74</v>
      </c>
    </row>
    <row r="1512" spans="1:84" x14ac:dyDescent="0.25">
      <c r="A1512" t="s">
        <v>2715</v>
      </c>
    </row>
    <row r="1513" spans="1:84" x14ac:dyDescent="0.25">
      <c r="A1513" t="s">
        <v>2534</v>
      </c>
      <c r="V1513" t="s">
        <v>2716</v>
      </c>
      <c r="AX1513" t="s">
        <v>2708</v>
      </c>
    </row>
    <row r="1514" spans="1:84" x14ac:dyDescent="0.25">
      <c r="A1514" t="s">
        <v>1170</v>
      </c>
    </row>
    <row r="1515" spans="1:84" x14ac:dyDescent="0.25">
      <c r="A1515" t="s">
        <v>2458</v>
      </c>
      <c r="V1515" t="s">
        <v>2459</v>
      </c>
      <c r="AH1515" t="s">
        <v>2460</v>
      </c>
      <c r="BA1515" t="s">
        <v>2461</v>
      </c>
      <c r="BJ1515" t="s">
        <v>2676</v>
      </c>
      <c r="BO1515" t="s">
        <v>2463</v>
      </c>
      <c r="BX1515" t="s">
        <v>2464</v>
      </c>
      <c r="CF1515" t="s">
        <v>2678</v>
      </c>
    </row>
    <row r="1516" spans="1:84" x14ac:dyDescent="0.25">
      <c r="A1516" t="s">
        <v>1078</v>
      </c>
      <c r="V1516" t="s">
        <v>2515</v>
      </c>
      <c r="AH1516" t="s">
        <v>2717</v>
      </c>
      <c r="BA1516" t="s">
        <v>2718</v>
      </c>
      <c r="BJ1516" t="s">
        <v>2719</v>
      </c>
      <c r="BO1516">
        <v>635.08000000000004</v>
      </c>
      <c r="BX1516">
        <v>2</v>
      </c>
      <c r="CF1516">
        <v>637.08000000000004</v>
      </c>
    </row>
    <row r="1517" spans="1:84" x14ac:dyDescent="0.25">
      <c r="A1517" t="s">
        <v>1079</v>
      </c>
      <c r="V1517" t="s">
        <v>2524</v>
      </c>
      <c r="AH1517" t="s">
        <v>2720</v>
      </c>
      <c r="BA1517" t="s">
        <v>2721</v>
      </c>
      <c r="BJ1517" t="s">
        <v>2722</v>
      </c>
      <c r="BO1517">
        <v>796.99</v>
      </c>
      <c r="BX1517">
        <v>5.0999999999999996</v>
      </c>
      <c r="CF1517">
        <v>802.09</v>
      </c>
    </row>
    <row r="1518" spans="1:84" x14ac:dyDescent="0.25">
      <c r="A1518" t="s">
        <v>2723</v>
      </c>
    </row>
    <row r="1519" spans="1:84" x14ac:dyDescent="0.25">
      <c r="A1519" t="s">
        <v>2534</v>
      </c>
      <c r="V1519" t="s">
        <v>2724</v>
      </c>
      <c r="AX1519" t="s">
        <v>2725</v>
      </c>
    </row>
    <row r="1520" spans="1:84" x14ac:dyDescent="0.25">
      <c r="A1520" t="s">
        <v>2726</v>
      </c>
    </row>
    <row r="1521" spans="1:84" x14ac:dyDescent="0.25">
      <c r="A1521" t="s">
        <v>2458</v>
      </c>
      <c r="V1521" t="s">
        <v>2459</v>
      </c>
      <c r="AH1521" t="s">
        <v>2460</v>
      </c>
      <c r="BA1521" t="s">
        <v>2461</v>
      </c>
      <c r="BJ1521" t="s">
        <v>2676</v>
      </c>
      <c r="BO1521" t="s">
        <v>2677</v>
      </c>
      <c r="BX1521" t="s">
        <v>2464</v>
      </c>
      <c r="CF1521" t="s">
        <v>2678</v>
      </c>
    </row>
    <row r="1522" spans="1:84" x14ac:dyDescent="0.25">
      <c r="A1522" t="s">
        <v>1080</v>
      </c>
      <c r="V1522" t="s">
        <v>2524</v>
      </c>
      <c r="AH1522" t="s">
        <v>2727</v>
      </c>
      <c r="BA1522" t="s">
        <v>2728</v>
      </c>
      <c r="BJ1522" t="s">
        <v>2729</v>
      </c>
      <c r="BO1522">
        <v>704.41</v>
      </c>
      <c r="BX1522">
        <v>5.0999999999999996</v>
      </c>
      <c r="CF1522">
        <v>709.51</v>
      </c>
    </row>
    <row r="1523" spans="1:84" x14ac:dyDescent="0.25">
      <c r="A1523" t="s">
        <v>2730</v>
      </c>
    </row>
    <row r="1524" spans="1:84" x14ac:dyDescent="0.25">
      <c r="A1524" t="s">
        <v>2534</v>
      </c>
      <c r="V1524" t="s">
        <v>2731</v>
      </c>
      <c r="AX1524" t="s">
        <v>2725</v>
      </c>
    </row>
    <row r="1525" spans="1:84" x14ac:dyDescent="0.25">
      <c r="A1525" t="s">
        <v>1172</v>
      </c>
    </row>
    <row r="1526" spans="1:84" x14ac:dyDescent="0.25">
      <c r="A1526" t="s">
        <v>2458</v>
      </c>
      <c r="V1526" t="s">
        <v>2459</v>
      </c>
      <c r="AH1526" t="s">
        <v>2586</v>
      </c>
      <c r="BA1526" t="s">
        <v>2461</v>
      </c>
      <c r="BJ1526" t="s">
        <v>2732</v>
      </c>
      <c r="BO1526" t="s">
        <v>2677</v>
      </c>
      <c r="BX1526" t="s">
        <v>2464</v>
      </c>
      <c r="CF1526" t="s">
        <v>2678</v>
      </c>
    </row>
    <row r="1527" spans="1:84" x14ac:dyDescent="0.25">
      <c r="A1527" t="s">
        <v>1081</v>
      </c>
      <c r="V1527" t="s">
        <v>2733</v>
      </c>
      <c r="AH1527" t="s">
        <v>2734</v>
      </c>
      <c r="BA1527" t="s">
        <v>2735</v>
      </c>
      <c r="BJ1527">
        <v>2</v>
      </c>
      <c r="BO1527">
        <v>993.88</v>
      </c>
      <c r="BX1527">
        <v>5.0999999999999996</v>
      </c>
      <c r="CF1527">
        <v>998.98</v>
      </c>
    </row>
    <row r="1528" spans="1:84" x14ac:dyDescent="0.25">
      <c r="A1528" t="s">
        <v>1082</v>
      </c>
      <c r="V1528" t="s">
        <v>2524</v>
      </c>
      <c r="AH1528" t="s">
        <v>2734</v>
      </c>
      <c r="BA1528" t="s">
        <v>2735</v>
      </c>
      <c r="BJ1528">
        <v>2</v>
      </c>
      <c r="BO1528">
        <v>1097.6500000000001</v>
      </c>
      <c r="BX1528">
        <v>5.0999999999999996</v>
      </c>
      <c r="CF1528" t="s">
        <v>2736</v>
      </c>
    </row>
    <row r="1529" spans="1:84" x14ac:dyDescent="0.25">
      <c r="A1529" t="s">
        <v>1083</v>
      </c>
      <c r="V1529" t="s">
        <v>2737</v>
      </c>
      <c r="AH1529" t="s">
        <v>2607</v>
      </c>
      <c r="BA1529" t="s">
        <v>2738</v>
      </c>
      <c r="BJ1529">
        <v>3</v>
      </c>
      <c r="BO1529">
        <v>1213.48</v>
      </c>
      <c r="BX1529">
        <v>11.2</v>
      </c>
      <c r="CF1529" t="s">
        <v>2739</v>
      </c>
    </row>
    <row r="1530" spans="1:84" x14ac:dyDescent="0.25">
      <c r="A1530" t="s">
        <v>1084</v>
      </c>
      <c r="V1530" t="s">
        <v>2740</v>
      </c>
      <c r="AH1530" t="s">
        <v>2607</v>
      </c>
      <c r="BA1530" t="s">
        <v>2738</v>
      </c>
      <c r="BJ1530">
        <v>3</v>
      </c>
      <c r="BO1530">
        <v>1435.94</v>
      </c>
      <c r="BX1530">
        <v>11.2</v>
      </c>
      <c r="CF1530" t="s">
        <v>2741</v>
      </c>
    </row>
    <row r="1531" spans="1:84" x14ac:dyDescent="0.25">
      <c r="A1531" t="s">
        <v>1085</v>
      </c>
      <c r="V1531" t="s">
        <v>2742</v>
      </c>
      <c r="AH1531" t="s">
        <v>2743</v>
      </c>
      <c r="BA1531" t="s">
        <v>2744</v>
      </c>
      <c r="BJ1531">
        <v>4</v>
      </c>
      <c r="BO1531">
        <v>1728.49</v>
      </c>
      <c r="BX1531">
        <v>11.2</v>
      </c>
      <c r="CF1531" t="s">
        <v>2745</v>
      </c>
    </row>
    <row r="1532" spans="1:84" x14ac:dyDescent="0.25">
      <c r="A1532" t="s">
        <v>1086</v>
      </c>
      <c r="V1532" t="s">
        <v>2746</v>
      </c>
      <c r="AH1532" t="s">
        <v>2743</v>
      </c>
      <c r="BA1532" t="s">
        <v>2747</v>
      </c>
      <c r="BJ1532">
        <v>4</v>
      </c>
      <c r="BO1532">
        <v>2254.7399999999998</v>
      </c>
      <c r="BX1532">
        <v>11.2</v>
      </c>
      <c r="CF1532" t="s">
        <v>2748</v>
      </c>
    </row>
    <row r="1533" spans="1:84" x14ac:dyDescent="0.25">
      <c r="A1533" t="s">
        <v>1087</v>
      </c>
      <c r="V1533" t="s">
        <v>2749</v>
      </c>
      <c r="AH1533" t="s">
        <v>2743</v>
      </c>
      <c r="BA1533" t="s">
        <v>2750</v>
      </c>
      <c r="BJ1533">
        <v>5</v>
      </c>
      <c r="BO1533">
        <v>2449.6999999999998</v>
      </c>
      <c r="BX1533">
        <v>11.2</v>
      </c>
      <c r="CF1533" t="s">
        <v>2751</v>
      </c>
    </row>
    <row r="1535" spans="1:84" x14ac:dyDescent="0.25">
      <c r="A1535" t="s">
        <v>2752</v>
      </c>
    </row>
    <row r="1536" spans="1:84" x14ac:dyDescent="0.25">
      <c r="A1536" t="s">
        <v>2753</v>
      </c>
    </row>
    <row r="1537" spans="1:86" x14ac:dyDescent="0.25">
      <c r="A1537" t="s">
        <v>1173</v>
      </c>
    </row>
    <row r="1538" spans="1:86" x14ac:dyDescent="0.25">
      <c r="A1538" t="s">
        <v>2458</v>
      </c>
      <c r="V1538" t="s">
        <v>2459</v>
      </c>
      <c r="AH1538" t="s">
        <v>2586</v>
      </c>
      <c r="AX1538" t="s">
        <v>2461</v>
      </c>
      <c r="BG1538" t="s">
        <v>2462</v>
      </c>
      <c r="BS1538" t="s">
        <v>2463</v>
      </c>
      <c r="BY1538" t="s">
        <v>2464</v>
      </c>
      <c r="CH1538" t="s">
        <v>2465</v>
      </c>
    </row>
    <row r="1539" spans="1:86" x14ac:dyDescent="0.25">
      <c r="A1539" t="s">
        <v>1088</v>
      </c>
      <c r="V1539" t="s">
        <v>2515</v>
      </c>
      <c r="AH1539" t="s">
        <v>2754</v>
      </c>
      <c r="AX1539" t="s">
        <v>2755</v>
      </c>
      <c r="BG1539" t="s">
        <v>2518</v>
      </c>
      <c r="BS1539" t="s">
        <v>2756</v>
      </c>
      <c r="BY1539">
        <v>2</v>
      </c>
      <c r="CH1539" t="s">
        <v>2757</v>
      </c>
    </row>
    <row r="1540" spans="1:86" x14ac:dyDescent="0.25">
      <c r="A1540" t="s">
        <v>1089</v>
      </c>
      <c r="AH1540" t="s">
        <v>2590</v>
      </c>
      <c r="AX1540" t="s">
        <v>2758</v>
      </c>
      <c r="BS1540" t="s">
        <v>2759</v>
      </c>
      <c r="BY1540">
        <v>5.0999999999999996</v>
      </c>
    </row>
    <row r="1541" spans="1:86" x14ac:dyDescent="0.25">
      <c r="A1541" t="s">
        <v>1090</v>
      </c>
      <c r="AH1541" t="s">
        <v>2760</v>
      </c>
      <c r="BS1541" t="s">
        <v>2761</v>
      </c>
    </row>
    <row r="1542" spans="1:86" x14ac:dyDescent="0.25">
      <c r="A1542" t="s">
        <v>1091</v>
      </c>
      <c r="V1542" t="s">
        <v>2524</v>
      </c>
      <c r="AH1542" t="s">
        <v>2754</v>
      </c>
      <c r="AX1542" t="s">
        <v>2762</v>
      </c>
      <c r="BG1542" t="s">
        <v>2518</v>
      </c>
      <c r="BS1542" t="s">
        <v>2763</v>
      </c>
      <c r="BY1542">
        <v>2</v>
      </c>
      <c r="CH1542" t="s">
        <v>2764</v>
      </c>
    </row>
    <row r="1543" spans="1:86" x14ac:dyDescent="0.25">
      <c r="A1543" t="s">
        <v>1092</v>
      </c>
      <c r="AH1543" t="s">
        <v>2599</v>
      </c>
      <c r="AX1543" t="s">
        <v>2765</v>
      </c>
      <c r="BS1543" t="s">
        <v>2766</v>
      </c>
      <c r="BY1543">
        <v>5.0999999999999996</v>
      </c>
    </row>
    <row r="1544" spans="1:86" x14ac:dyDescent="0.25">
      <c r="A1544" t="s">
        <v>1093</v>
      </c>
      <c r="AH1544" t="s">
        <v>2760</v>
      </c>
      <c r="BS1544" t="s">
        <v>2767</v>
      </c>
    </row>
    <row r="1545" spans="1:86" x14ac:dyDescent="0.25">
      <c r="A1545" t="s">
        <v>1094</v>
      </c>
      <c r="V1545" t="s">
        <v>2768</v>
      </c>
      <c r="AH1545" t="s">
        <v>2769</v>
      </c>
      <c r="AX1545" t="s">
        <v>2770</v>
      </c>
      <c r="BG1545" t="s">
        <v>2518</v>
      </c>
      <c r="BS1545" t="s">
        <v>2771</v>
      </c>
      <c r="BY1545">
        <v>5.0999999999999996</v>
      </c>
      <c r="CH1545" t="s">
        <v>2772</v>
      </c>
    </row>
    <row r="1546" spans="1:86" x14ac:dyDescent="0.25">
      <c r="A1546" t="s">
        <v>1095</v>
      </c>
      <c r="AH1546" t="s">
        <v>2607</v>
      </c>
      <c r="AX1546" t="s">
        <v>2773</v>
      </c>
      <c r="BS1546" t="s">
        <v>2774</v>
      </c>
      <c r="BY1546">
        <v>11.2</v>
      </c>
    </row>
    <row r="1547" spans="1:86" x14ac:dyDescent="0.25">
      <c r="A1547" t="s">
        <v>1096</v>
      </c>
      <c r="AH1547" t="s">
        <v>2775</v>
      </c>
      <c r="BS1547" t="s">
        <v>2776</v>
      </c>
    </row>
    <row r="1548" spans="1:86" x14ac:dyDescent="0.25">
      <c r="A1548" t="s">
        <v>1097</v>
      </c>
      <c r="V1548" t="s">
        <v>2777</v>
      </c>
      <c r="AH1548" t="s">
        <v>2778</v>
      </c>
      <c r="AX1548" t="s">
        <v>2779</v>
      </c>
      <c r="BG1548" t="s">
        <v>2518</v>
      </c>
      <c r="BS1548" t="s">
        <v>2780</v>
      </c>
      <c r="BY1548">
        <v>5.0999999999999996</v>
      </c>
      <c r="CH1548" t="s">
        <v>2781</v>
      </c>
    </row>
    <row r="1549" spans="1:86" x14ac:dyDescent="0.25">
      <c r="A1549" t="s">
        <v>1098</v>
      </c>
      <c r="AH1549" t="s">
        <v>2743</v>
      </c>
      <c r="AX1549" t="s">
        <v>2782</v>
      </c>
      <c r="BS1549" t="s">
        <v>2783</v>
      </c>
      <c r="BY1549">
        <v>11.2</v>
      </c>
    </row>
    <row r="1550" spans="1:86" x14ac:dyDescent="0.25">
      <c r="A1550" t="s">
        <v>1099</v>
      </c>
      <c r="AH1550" t="s">
        <v>2775</v>
      </c>
      <c r="BS1550" t="s">
        <v>2784</v>
      </c>
    </row>
    <row r="1551" spans="1:86" x14ac:dyDescent="0.25">
      <c r="A1551" t="s">
        <v>1100</v>
      </c>
      <c r="V1551" t="s">
        <v>2785</v>
      </c>
      <c r="AH1551" t="s">
        <v>2786</v>
      </c>
      <c r="AX1551" t="s">
        <v>2787</v>
      </c>
      <c r="BG1551" t="s">
        <v>2518</v>
      </c>
      <c r="BS1551" t="s">
        <v>2788</v>
      </c>
      <c r="BY1551">
        <v>5.0999999999999996</v>
      </c>
      <c r="CH1551" t="s">
        <v>2789</v>
      </c>
    </row>
    <row r="1552" spans="1:86" x14ac:dyDescent="0.25">
      <c r="A1552" t="s">
        <v>1101</v>
      </c>
      <c r="AH1552" t="s">
        <v>2790</v>
      </c>
      <c r="AX1552" t="s">
        <v>2791</v>
      </c>
      <c r="BS1552" t="s">
        <v>2792</v>
      </c>
      <c r="BY1552">
        <v>16.600000000000001</v>
      </c>
    </row>
    <row r="1553" spans="1:86" x14ac:dyDescent="0.25">
      <c r="A1553" t="s">
        <v>1102</v>
      </c>
      <c r="AH1553" t="s">
        <v>2775</v>
      </c>
      <c r="BS1553" t="s">
        <v>2793</v>
      </c>
    </row>
    <row r="1554" spans="1:86" x14ac:dyDescent="0.25">
      <c r="A1554" t="s">
        <v>1103</v>
      </c>
      <c r="V1554" t="s">
        <v>2794</v>
      </c>
      <c r="AH1554" t="s">
        <v>2786</v>
      </c>
      <c r="AX1554" t="s">
        <v>2795</v>
      </c>
      <c r="BG1554" t="s">
        <v>2518</v>
      </c>
      <c r="BS1554" t="s">
        <v>2796</v>
      </c>
      <c r="BY1554">
        <v>5.0999999999999996</v>
      </c>
      <c r="CH1554" t="s">
        <v>2797</v>
      </c>
    </row>
    <row r="1555" spans="1:86" x14ac:dyDescent="0.25">
      <c r="A1555" t="s">
        <v>1104</v>
      </c>
      <c r="AH1555" t="s">
        <v>2790</v>
      </c>
      <c r="AX1555" t="s">
        <v>2791</v>
      </c>
      <c r="BS1555" t="s">
        <v>2798</v>
      </c>
      <c r="BY1555">
        <v>17.12</v>
      </c>
    </row>
    <row r="1556" spans="1:86" x14ac:dyDescent="0.25">
      <c r="A1556" t="s">
        <v>1105</v>
      </c>
      <c r="AH1556" t="s">
        <v>2775</v>
      </c>
      <c r="BS1556" t="s">
        <v>2799</v>
      </c>
    </row>
    <row r="1557" spans="1:86" x14ac:dyDescent="0.25">
      <c r="A1557" t="s">
        <v>2800</v>
      </c>
    </row>
    <row r="1558" spans="1:86" x14ac:dyDescent="0.25">
      <c r="A1558" t="s">
        <v>2801</v>
      </c>
    </row>
    <row r="1559" spans="1:86" x14ac:dyDescent="0.25">
      <c r="A1559" t="s">
        <v>2458</v>
      </c>
      <c r="V1559" t="s">
        <v>2459</v>
      </c>
      <c r="AH1559" t="s">
        <v>2586</v>
      </c>
      <c r="AX1559" t="s">
        <v>2461</v>
      </c>
      <c r="BG1559" t="s">
        <v>2462</v>
      </c>
      <c r="BS1559" t="s">
        <v>2463</v>
      </c>
      <c r="BY1559" t="s">
        <v>2464</v>
      </c>
      <c r="CH1559" t="s">
        <v>2465</v>
      </c>
    </row>
    <row r="1560" spans="1:86" x14ac:dyDescent="0.25">
      <c r="A1560" t="s">
        <v>1106</v>
      </c>
      <c r="V1560" t="s">
        <v>2515</v>
      </c>
      <c r="AH1560" t="s">
        <v>2802</v>
      </c>
      <c r="AX1560" t="s">
        <v>2718</v>
      </c>
      <c r="BG1560" t="s">
        <v>2518</v>
      </c>
      <c r="BS1560" t="s">
        <v>2803</v>
      </c>
      <c r="BY1560">
        <v>2</v>
      </c>
      <c r="CH1560" t="s">
        <v>2804</v>
      </c>
    </row>
    <row r="1561" spans="1:86" x14ac:dyDescent="0.25">
      <c r="A1561" t="s">
        <v>1089</v>
      </c>
      <c r="AH1561" t="s">
        <v>2590</v>
      </c>
      <c r="AX1561" t="s">
        <v>2472</v>
      </c>
      <c r="BS1561" t="s">
        <v>2759</v>
      </c>
      <c r="BY1561">
        <v>5.0999999999999996</v>
      </c>
    </row>
    <row r="1562" spans="1:86" x14ac:dyDescent="0.25">
      <c r="A1562" t="s">
        <v>1107</v>
      </c>
      <c r="V1562" t="s">
        <v>2805</v>
      </c>
      <c r="AH1562" t="s">
        <v>2806</v>
      </c>
      <c r="AX1562" t="s">
        <v>2807</v>
      </c>
      <c r="BG1562" t="s">
        <v>2518</v>
      </c>
      <c r="BS1562" t="s">
        <v>2808</v>
      </c>
      <c r="BY1562">
        <v>5.0999999999999996</v>
      </c>
      <c r="CH1562" t="s">
        <v>2809</v>
      </c>
    </row>
    <row r="1563" spans="1:86" x14ac:dyDescent="0.25">
      <c r="A1563" t="s">
        <v>1092</v>
      </c>
      <c r="AH1563" t="s">
        <v>2599</v>
      </c>
      <c r="AX1563" t="s">
        <v>2593</v>
      </c>
      <c r="BS1563" t="s">
        <v>2766</v>
      </c>
      <c r="BY1563">
        <v>5.0999999999999996</v>
      </c>
    </row>
    <row r="1564" spans="1:86" x14ac:dyDescent="0.25">
      <c r="A1564" t="s">
        <v>1108</v>
      </c>
      <c r="V1564" t="s">
        <v>2810</v>
      </c>
      <c r="AH1564" t="s">
        <v>2811</v>
      </c>
      <c r="AX1564" t="s">
        <v>2812</v>
      </c>
      <c r="BG1564" t="s">
        <v>2518</v>
      </c>
      <c r="BS1564" t="s">
        <v>2813</v>
      </c>
      <c r="BY1564">
        <v>5.0999999999999996</v>
      </c>
      <c r="CH1564" t="s">
        <v>2814</v>
      </c>
    </row>
    <row r="1565" spans="1:86" x14ac:dyDescent="0.25">
      <c r="A1565" t="s">
        <v>1095</v>
      </c>
      <c r="AH1565" t="s">
        <v>2607</v>
      </c>
      <c r="AX1565" t="s">
        <v>2815</v>
      </c>
      <c r="BS1565" t="s">
        <v>2774</v>
      </c>
      <c r="BY1565">
        <v>11.2</v>
      </c>
    </row>
    <row r="1566" spans="1:86" x14ac:dyDescent="0.25">
      <c r="A1566" t="s">
        <v>1109</v>
      </c>
      <c r="V1566" t="s">
        <v>2816</v>
      </c>
      <c r="AH1566" t="s">
        <v>2817</v>
      </c>
      <c r="AX1566" t="s">
        <v>2818</v>
      </c>
      <c r="BG1566" t="s">
        <v>2518</v>
      </c>
      <c r="BS1566" t="s">
        <v>2819</v>
      </c>
      <c r="BY1566">
        <v>11.2</v>
      </c>
      <c r="CH1566" t="s">
        <v>2820</v>
      </c>
    </row>
    <row r="1567" spans="1:86" x14ac:dyDescent="0.25">
      <c r="A1567" t="s">
        <v>1098</v>
      </c>
      <c r="AH1567" t="s">
        <v>2743</v>
      </c>
      <c r="AX1567" t="s">
        <v>2821</v>
      </c>
      <c r="BS1567" t="s">
        <v>2783</v>
      </c>
      <c r="BY1567">
        <v>11.2</v>
      </c>
    </row>
    <row r="1568" spans="1:86" x14ac:dyDescent="0.25">
      <c r="A1568" t="s">
        <v>1110</v>
      </c>
      <c r="V1568" t="s">
        <v>2785</v>
      </c>
      <c r="AH1568" t="s">
        <v>2817</v>
      </c>
      <c r="AX1568" t="s">
        <v>2822</v>
      </c>
      <c r="BG1568" t="s">
        <v>2518</v>
      </c>
      <c r="BS1568" t="s">
        <v>2823</v>
      </c>
      <c r="BY1568">
        <v>11.2</v>
      </c>
      <c r="CH1568" t="s">
        <v>2824</v>
      </c>
    </row>
    <row r="1569" spans="1:86" x14ac:dyDescent="0.25">
      <c r="A1569" t="s">
        <v>1101</v>
      </c>
      <c r="AH1569" t="s">
        <v>2790</v>
      </c>
      <c r="AX1569" t="s">
        <v>2825</v>
      </c>
      <c r="BS1569" t="s">
        <v>2792</v>
      </c>
      <c r="BY1569">
        <v>16.600000000000001</v>
      </c>
    </row>
    <row r="1570" spans="1:86" x14ac:dyDescent="0.25">
      <c r="A1570" t="s">
        <v>1111</v>
      </c>
      <c r="V1570" t="s">
        <v>2794</v>
      </c>
      <c r="AH1570" t="s">
        <v>2826</v>
      </c>
      <c r="AX1570" t="s">
        <v>2827</v>
      </c>
      <c r="BG1570" t="s">
        <v>2518</v>
      </c>
      <c r="BS1570" t="s">
        <v>2828</v>
      </c>
      <c r="BY1570">
        <v>11.2</v>
      </c>
      <c r="CH1570" t="s">
        <v>2829</v>
      </c>
    </row>
    <row r="1571" spans="1:86" x14ac:dyDescent="0.25">
      <c r="A1571" t="s">
        <v>1104</v>
      </c>
      <c r="AH1571" t="s">
        <v>2790</v>
      </c>
      <c r="AX1571" t="s">
        <v>2825</v>
      </c>
      <c r="BS1571" t="s">
        <v>2798</v>
      </c>
      <c r="BY1571">
        <v>17.12</v>
      </c>
    </row>
    <row r="1572" spans="1:86" x14ac:dyDescent="0.25">
      <c r="A1572" t="s">
        <v>2830</v>
      </c>
    </row>
    <row r="1573" spans="1:86" x14ac:dyDescent="0.25">
      <c r="A1573" t="s">
        <v>2831</v>
      </c>
    </row>
    <row r="1574" spans="1:86" x14ac:dyDescent="0.25">
      <c r="A1574" t="s">
        <v>2832</v>
      </c>
    </row>
    <row r="1575" spans="1:86" x14ac:dyDescent="0.25">
      <c r="A1575" t="s">
        <v>1175</v>
      </c>
    </row>
    <row r="1576" spans="1:86" x14ac:dyDescent="0.25">
      <c r="A1576" t="s">
        <v>2458</v>
      </c>
      <c r="V1576" t="s">
        <v>2459</v>
      </c>
      <c r="AH1576" t="s">
        <v>2586</v>
      </c>
      <c r="BA1576" t="s">
        <v>2461</v>
      </c>
      <c r="BJ1576" t="s">
        <v>2462</v>
      </c>
      <c r="BS1576" t="s">
        <v>2463</v>
      </c>
      <c r="BZ1576" t="s">
        <v>2464</v>
      </c>
      <c r="CH1576" t="s">
        <v>2465</v>
      </c>
    </row>
    <row r="1577" spans="1:86" x14ac:dyDescent="0.25">
      <c r="A1577" t="s">
        <v>1112</v>
      </c>
      <c r="V1577" t="s">
        <v>2524</v>
      </c>
      <c r="AH1577" t="s">
        <v>2727</v>
      </c>
      <c r="BA1577" t="s">
        <v>2728</v>
      </c>
      <c r="BJ1577" t="s">
        <v>2518</v>
      </c>
      <c r="BS1577" t="s">
        <v>2833</v>
      </c>
      <c r="BZ1577">
        <v>5.0999999999999996</v>
      </c>
      <c r="CH1577" t="s">
        <v>2834</v>
      </c>
    </row>
    <row r="1578" spans="1:86" x14ac:dyDescent="0.25">
      <c r="A1578" t="s">
        <v>1092</v>
      </c>
      <c r="AH1578" t="s">
        <v>2599</v>
      </c>
      <c r="BA1578" t="s">
        <v>2765</v>
      </c>
      <c r="BS1578" t="s">
        <v>2766</v>
      </c>
      <c r="BZ1578">
        <v>5.0999999999999996</v>
      </c>
    </row>
    <row r="1579" spans="1:86" x14ac:dyDescent="0.25">
      <c r="A1579" t="s">
        <v>1113</v>
      </c>
      <c r="V1579" t="s">
        <v>2768</v>
      </c>
      <c r="AH1579" t="s">
        <v>2727</v>
      </c>
      <c r="BA1579" t="s">
        <v>2835</v>
      </c>
      <c r="BJ1579" t="s">
        <v>2518</v>
      </c>
      <c r="BS1579" t="s">
        <v>2836</v>
      </c>
      <c r="BZ1579">
        <v>5.0999999999999996</v>
      </c>
      <c r="CH1579" t="s">
        <v>2837</v>
      </c>
    </row>
    <row r="1580" spans="1:86" x14ac:dyDescent="0.25">
      <c r="A1580" t="s">
        <v>1095</v>
      </c>
      <c r="AH1580" t="s">
        <v>2607</v>
      </c>
      <c r="BA1580" t="s">
        <v>2773</v>
      </c>
      <c r="BS1580" t="s">
        <v>2774</v>
      </c>
      <c r="BZ1580">
        <v>11.2</v>
      </c>
    </row>
    <row r="1581" spans="1:86" x14ac:dyDescent="0.25">
      <c r="A1581" t="s">
        <v>1114</v>
      </c>
      <c r="V1581" t="s">
        <v>2816</v>
      </c>
      <c r="AH1581" t="s">
        <v>2838</v>
      </c>
      <c r="BA1581" t="s">
        <v>2839</v>
      </c>
      <c r="BJ1581" t="s">
        <v>2518</v>
      </c>
      <c r="BS1581" t="s">
        <v>2840</v>
      </c>
      <c r="BZ1581">
        <v>11.2</v>
      </c>
      <c r="CH1581" t="s">
        <v>2841</v>
      </c>
    </row>
    <row r="1582" spans="1:86" x14ac:dyDescent="0.25">
      <c r="A1582" t="s">
        <v>1098</v>
      </c>
      <c r="AH1582" t="s">
        <v>2743</v>
      </c>
      <c r="BA1582" t="s">
        <v>2782</v>
      </c>
      <c r="BS1582" t="s">
        <v>2783</v>
      </c>
      <c r="BZ1582">
        <v>11.2</v>
      </c>
    </row>
    <row r="1583" spans="1:86" x14ac:dyDescent="0.25">
      <c r="A1583" t="s">
        <v>1115</v>
      </c>
      <c r="V1583" t="s">
        <v>2785</v>
      </c>
      <c r="AH1583" t="s">
        <v>2838</v>
      </c>
      <c r="BA1583" t="s">
        <v>2842</v>
      </c>
      <c r="BJ1583" t="s">
        <v>2518</v>
      </c>
      <c r="BS1583" t="s">
        <v>2843</v>
      </c>
      <c r="BZ1583">
        <v>11.2</v>
      </c>
      <c r="CH1583" t="s">
        <v>2844</v>
      </c>
    </row>
    <row r="1584" spans="1:86" x14ac:dyDescent="0.25">
      <c r="A1584" t="s">
        <v>1101</v>
      </c>
      <c r="AH1584" t="s">
        <v>2790</v>
      </c>
      <c r="BA1584" t="s">
        <v>2791</v>
      </c>
      <c r="BS1584" t="s">
        <v>2792</v>
      </c>
      <c r="BZ1584">
        <v>16.600000000000001</v>
      </c>
    </row>
    <row r="1585" spans="1:86" x14ac:dyDescent="0.25">
      <c r="A1585" t="s">
        <v>1116</v>
      </c>
      <c r="V1585" t="s">
        <v>2845</v>
      </c>
      <c r="AH1585" t="s">
        <v>2838</v>
      </c>
      <c r="BA1585" t="s">
        <v>2846</v>
      </c>
      <c r="BJ1585" t="s">
        <v>2518</v>
      </c>
      <c r="BS1585" t="s">
        <v>2847</v>
      </c>
      <c r="BZ1585">
        <v>11.2</v>
      </c>
      <c r="CH1585" t="s">
        <v>2848</v>
      </c>
    </row>
    <row r="1586" spans="1:86" x14ac:dyDescent="0.25">
      <c r="A1586" t="s">
        <v>1104</v>
      </c>
      <c r="AH1586" t="s">
        <v>2790</v>
      </c>
      <c r="BA1586" t="s">
        <v>2791</v>
      </c>
      <c r="BS1586" t="s">
        <v>2798</v>
      </c>
      <c r="BZ1586">
        <v>17.12</v>
      </c>
    </row>
    <row r="1587" spans="1:86" x14ac:dyDescent="0.25">
      <c r="A1587" t="s">
        <v>2800</v>
      </c>
    </row>
    <row r="1588" spans="1:86" x14ac:dyDescent="0.25">
      <c r="A1588" t="s">
        <v>1176</v>
      </c>
    </row>
    <row r="1589" spans="1:86" x14ac:dyDescent="0.25">
      <c r="A1589" t="s">
        <v>2458</v>
      </c>
      <c r="V1589" t="s">
        <v>2459</v>
      </c>
      <c r="AH1589" t="s">
        <v>2586</v>
      </c>
      <c r="BA1589" t="s">
        <v>2461</v>
      </c>
      <c r="BJ1589" t="s">
        <v>2462</v>
      </c>
      <c r="BS1589" t="s">
        <v>2463</v>
      </c>
      <c r="BZ1589" t="s">
        <v>2464</v>
      </c>
      <c r="CH1589" t="s">
        <v>2465</v>
      </c>
    </row>
    <row r="1590" spans="1:86" x14ac:dyDescent="0.25">
      <c r="A1590" t="s">
        <v>1075</v>
      </c>
      <c r="V1590" t="s">
        <v>2587</v>
      </c>
      <c r="AH1590" t="s">
        <v>2849</v>
      </c>
      <c r="BA1590" t="s">
        <v>2710</v>
      </c>
      <c r="BJ1590" t="s">
        <v>2556</v>
      </c>
      <c r="BS1590" t="s">
        <v>2850</v>
      </c>
      <c r="BZ1590">
        <v>2</v>
      </c>
      <c r="CH1590">
        <v>905.52</v>
      </c>
    </row>
    <row r="1591" spans="1:86" x14ac:dyDescent="0.25">
      <c r="A1591" t="s">
        <v>1117</v>
      </c>
      <c r="AH1591" t="s">
        <v>2558</v>
      </c>
      <c r="BA1591" t="s">
        <v>2758</v>
      </c>
      <c r="BS1591" t="s">
        <v>2851</v>
      </c>
      <c r="BZ1591">
        <v>5.0999999999999996</v>
      </c>
    </row>
    <row r="1592" spans="1:86" x14ac:dyDescent="0.25">
      <c r="A1592" t="s">
        <v>1118</v>
      </c>
      <c r="V1592" t="s">
        <v>2515</v>
      </c>
      <c r="AH1592" t="s">
        <v>2852</v>
      </c>
      <c r="BA1592" t="s">
        <v>2853</v>
      </c>
      <c r="BJ1592" t="s">
        <v>2518</v>
      </c>
      <c r="BS1592" t="s">
        <v>2854</v>
      </c>
      <c r="BZ1592">
        <v>2</v>
      </c>
      <c r="CH1592" t="s">
        <v>2855</v>
      </c>
    </row>
    <row r="1593" spans="1:86" x14ac:dyDescent="0.25">
      <c r="A1593" t="s">
        <v>1089</v>
      </c>
      <c r="AH1593" t="s">
        <v>2590</v>
      </c>
      <c r="BA1593" t="s">
        <v>2758</v>
      </c>
      <c r="BS1593" t="s">
        <v>2759</v>
      </c>
      <c r="BZ1593">
        <v>5.0999999999999996</v>
      </c>
    </row>
    <row r="1594" spans="1:86" x14ac:dyDescent="0.25">
      <c r="A1594" t="s">
        <v>1119</v>
      </c>
      <c r="V1594" t="s">
        <v>2856</v>
      </c>
      <c r="AH1594" t="s">
        <v>2852</v>
      </c>
      <c r="BA1594" t="s">
        <v>2857</v>
      </c>
      <c r="BJ1594" t="s">
        <v>2518</v>
      </c>
      <c r="BS1594" t="s">
        <v>2858</v>
      </c>
      <c r="BZ1594">
        <v>2</v>
      </c>
      <c r="CH1594" t="s">
        <v>2859</v>
      </c>
    </row>
    <row r="1595" spans="1:86" x14ac:dyDescent="0.25">
      <c r="A1595" t="s">
        <v>1092</v>
      </c>
      <c r="AH1595" t="s">
        <v>2599</v>
      </c>
      <c r="BA1595" t="s">
        <v>2765</v>
      </c>
      <c r="BS1595" t="s">
        <v>2766</v>
      </c>
      <c r="BZ1595">
        <v>5.0999999999999996</v>
      </c>
    </row>
    <row r="1596" spans="1:86" x14ac:dyDescent="0.25">
      <c r="A1596" t="s">
        <v>2860</v>
      </c>
    </row>
    <row r="1597" spans="1:86" x14ac:dyDescent="0.25">
      <c r="A1597" t="s">
        <v>2861</v>
      </c>
    </row>
    <row r="1598" spans="1:86" x14ac:dyDescent="0.25">
      <c r="A1598" t="s">
        <v>2534</v>
      </c>
      <c r="V1598" t="s">
        <v>2862</v>
      </c>
      <c r="AH1598" t="s">
        <v>2863</v>
      </c>
      <c r="AQ1598" t="s">
        <v>2864</v>
      </c>
      <c r="CH1598">
        <v>30</v>
      </c>
    </row>
    <row r="1600" spans="1:86" x14ac:dyDescent="0.25">
      <c r="A1600" t="s">
        <v>2865</v>
      </c>
    </row>
    <row r="1601" spans="1:84" x14ac:dyDescent="0.25">
      <c r="A1601" t="s">
        <v>2866</v>
      </c>
    </row>
    <row r="1602" spans="1:84" x14ac:dyDescent="0.25">
      <c r="A1602" t="s">
        <v>2867</v>
      </c>
    </row>
    <row r="1603" spans="1:84" x14ac:dyDescent="0.25">
      <c r="A1603" t="s">
        <v>2868</v>
      </c>
    </row>
    <row r="1604" spans="1:84" x14ac:dyDescent="0.25">
      <c r="A1604" t="s">
        <v>2869</v>
      </c>
      <c r="X1604" t="s">
        <v>2870</v>
      </c>
      <c r="AH1604" t="s">
        <v>2871</v>
      </c>
      <c r="BA1604" t="s">
        <v>2872</v>
      </c>
      <c r="BG1604" t="s">
        <v>2873</v>
      </c>
      <c r="BP1604" t="s">
        <v>2874</v>
      </c>
      <c r="BX1604" t="s">
        <v>2875</v>
      </c>
      <c r="CF1604" t="s">
        <v>2876</v>
      </c>
    </row>
    <row r="1605" spans="1:84" x14ac:dyDescent="0.25">
      <c r="A1605" t="s">
        <v>1120</v>
      </c>
      <c r="X1605" t="s">
        <v>2877</v>
      </c>
      <c r="AH1605" t="s">
        <v>2878</v>
      </c>
      <c r="BA1605" t="s">
        <v>2440</v>
      </c>
      <c r="BG1605" t="s">
        <v>2879</v>
      </c>
      <c r="BP1605" t="s">
        <v>2880</v>
      </c>
      <c r="BX1605">
        <v>13.08</v>
      </c>
      <c r="CF1605" t="s">
        <v>2881</v>
      </c>
    </row>
    <row r="1606" spans="1:84" x14ac:dyDescent="0.25">
      <c r="A1606" t="s">
        <v>1121</v>
      </c>
      <c r="X1606" t="s">
        <v>2882</v>
      </c>
      <c r="AH1606" t="s">
        <v>2878</v>
      </c>
      <c r="BA1606" t="s">
        <v>2440</v>
      </c>
      <c r="BG1606" t="s">
        <v>2879</v>
      </c>
      <c r="BP1606" t="s">
        <v>2880</v>
      </c>
      <c r="BX1606">
        <v>13.08</v>
      </c>
      <c r="CF1606" t="s">
        <v>2883</v>
      </c>
    </row>
    <row r="1607" spans="1:84" x14ac:dyDescent="0.25">
      <c r="A1607" t="s">
        <v>1122</v>
      </c>
      <c r="X1607" t="s">
        <v>2884</v>
      </c>
      <c r="AH1607" t="s">
        <v>2885</v>
      </c>
      <c r="BA1607" t="s">
        <v>2440</v>
      </c>
      <c r="BG1607" t="s">
        <v>2879</v>
      </c>
      <c r="BP1607" t="s">
        <v>2880</v>
      </c>
      <c r="BX1607">
        <v>13.08</v>
      </c>
      <c r="CF1607" t="s">
        <v>2886</v>
      </c>
    </row>
    <row r="1608" spans="1:84" x14ac:dyDescent="0.25">
      <c r="A1608" t="s">
        <v>1123</v>
      </c>
      <c r="X1608" t="s">
        <v>2887</v>
      </c>
      <c r="AH1608" t="s">
        <v>2885</v>
      </c>
      <c r="BA1608" t="s">
        <v>2440</v>
      </c>
      <c r="BG1608" t="s">
        <v>2879</v>
      </c>
      <c r="BP1608" t="s">
        <v>2880</v>
      </c>
      <c r="BX1608">
        <v>13.08</v>
      </c>
      <c r="CF1608" t="s">
        <v>2888</v>
      </c>
    </row>
    <row r="1609" spans="1:84" x14ac:dyDescent="0.25">
      <c r="A1609" t="s">
        <v>2889</v>
      </c>
    </row>
    <row r="1610" spans="1:84" x14ac:dyDescent="0.25">
      <c r="A1610" t="s">
        <v>2890</v>
      </c>
    </row>
    <row r="1611" spans="1:84" x14ac:dyDescent="0.25">
      <c r="A1611" t="s">
        <v>2869</v>
      </c>
      <c r="X1611" t="s">
        <v>2870</v>
      </c>
      <c r="AH1611" t="s">
        <v>2871</v>
      </c>
      <c r="BA1611" t="s">
        <v>2872</v>
      </c>
      <c r="BG1611" t="s">
        <v>2873</v>
      </c>
      <c r="BP1611" t="s">
        <v>2874</v>
      </c>
      <c r="BX1611" t="s">
        <v>2875</v>
      </c>
      <c r="CF1611" t="s">
        <v>2876</v>
      </c>
    </row>
    <row r="1612" spans="1:84" x14ac:dyDescent="0.25">
      <c r="A1612" t="s">
        <v>1124</v>
      </c>
      <c r="X1612" t="s">
        <v>2891</v>
      </c>
      <c r="AH1612" t="s">
        <v>2892</v>
      </c>
      <c r="BA1612" t="s">
        <v>2440</v>
      </c>
      <c r="BG1612" t="s">
        <v>2879</v>
      </c>
      <c r="BP1612" t="s">
        <v>2880</v>
      </c>
      <c r="BX1612">
        <v>24</v>
      </c>
      <c r="CF1612" t="s">
        <v>2893</v>
      </c>
    </row>
    <row r="1613" spans="1:84" x14ac:dyDescent="0.25">
      <c r="A1613" t="s">
        <v>1125</v>
      </c>
      <c r="X1613" t="s">
        <v>2894</v>
      </c>
      <c r="AH1613" t="s">
        <v>2892</v>
      </c>
      <c r="BA1613" t="s">
        <v>2440</v>
      </c>
      <c r="BG1613" t="s">
        <v>2879</v>
      </c>
      <c r="BP1613" t="s">
        <v>2880</v>
      </c>
      <c r="BX1613">
        <v>24</v>
      </c>
      <c r="CF1613" t="s">
        <v>2895</v>
      </c>
    </row>
    <row r="1614" spans="1:84" x14ac:dyDescent="0.25">
      <c r="A1614" t="s">
        <v>1126</v>
      </c>
      <c r="X1614" t="s">
        <v>2896</v>
      </c>
      <c r="AH1614" t="s">
        <v>2892</v>
      </c>
      <c r="BA1614" t="s">
        <v>2440</v>
      </c>
      <c r="BG1614" t="s">
        <v>2879</v>
      </c>
      <c r="BP1614" t="s">
        <v>2880</v>
      </c>
      <c r="BX1614">
        <v>24</v>
      </c>
      <c r="CF1614" t="s">
        <v>2897</v>
      </c>
    </row>
    <row r="1615" spans="1:84" x14ac:dyDescent="0.25">
      <c r="A1615" t="s">
        <v>2898</v>
      </c>
    </row>
    <row r="1616" spans="1:84" x14ac:dyDescent="0.25">
      <c r="A1616" t="s">
        <v>2899</v>
      </c>
    </row>
    <row r="1617" spans="1:81" x14ac:dyDescent="0.25">
      <c r="A1617" t="s">
        <v>2866</v>
      </c>
    </row>
    <row r="1618" spans="1:81" x14ac:dyDescent="0.25">
      <c r="A1618" t="s">
        <v>1178</v>
      </c>
    </row>
    <row r="1619" spans="1:81" x14ac:dyDescent="0.25">
      <c r="A1619" t="s">
        <v>2900</v>
      </c>
    </row>
    <row r="1620" spans="1:81" x14ac:dyDescent="0.25">
      <c r="A1620" t="s">
        <v>2869</v>
      </c>
      <c r="AH1620" t="s">
        <v>2901</v>
      </c>
      <c r="BA1620" t="s">
        <v>2902</v>
      </c>
      <c r="BJ1620" t="s">
        <v>2903</v>
      </c>
      <c r="BW1620" t="s">
        <v>2875</v>
      </c>
      <c r="CC1620" t="s">
        <v>2904</v>
      </c>
    </row>
    <row r="1621" spans="1:81" x14ac:dyDescent="0.25">
      <c r="A1621" t="s">
        <v>1127</v>
      </c>
      <c r="AH1621" t="s">
        <v>2905</v>
      </c>
      <c r="BA1621" t="s">
        <v>2906</v>
      </c>
      <c r="BJ1621" t="s">
        <v>2907</v>
      </c>
      <c r="BW1621">
        <v>13.08</v>
      </c>
      <c r="CC1621" t="s">
        <v>2888</v>
      </c>
    </row>
    <row r="1622" spans="1:81" x14ac:dyDescent="0.25">
      <c r="A1622" t="s">
        <v>1128</v>
      </c>
      <c r="AH1622" t="s">
        <v>2905</v>
      </c>
      <c r="BA1622" t="s">
        <v>2906</v>
      </c>
      <c r="BJ1622" t="s">
        <v>2907</v>
      </c>
      <c r="BW1622">
        <v>13.08</v>
      </c>
      <c r="CC1622" t="s">
        <v>2908</v>
      </c>
    </row>
    <row r="1623" spans="1:81" x14ac:dyDescent="0.25">
      <c r="A1623" t="s">
        <v>1129</v>
      </c>
      <c r="AH1623" t="s">
        <v>2905</v>
      </c>
      <c r="BA1623" t="s">
        <v>2906</v>
      </c>
      <c r="BJ1623" t="s">
        <v>2907</v>
      </c>
      <c r="BW1623">
        <v>13.08</v>
      </c>
      <c r="CC1623" t="s">
        <v>2909</v>
      </c>
    </row>
    <row r="1624" spans="1:81" x14ac:dyDescent="0.25">
      <c r="A1624" t="s">
        <v>2910</v>
      </c>
    </row>
    <row r="1625" spans="1:81" x14ac:dyDescent="0.25">
      <c r="A1625" t="s">
        <v>2869</v>
      </c>
      <c r="AH1625" t="s">
        <v>2901</v>
      </c>
      <c r="BA1625" t="s">
        <v>2902</v>
      </c>
      <c r="BJ1625" t="s">
        <v>2903</v>
      </c>
      <c r="BW1625" t="s">
        <v>2875</v>
      </c>
      <c r="CC1625" t="s">
        <v>2904</v>
      </c>
    </row>
    <row r="1626" spans="1:81" x14ac:dyDescent="0.25">
      <c r="A1626" t="s">
        <v>1130</v>
      </c>
      <c r="AH1626" t="s">
        <v>2911</v>
      </c>
      <c r="BA1626" t="s">
        <v>2906</v>
      </c>
      <c r="BJ1626" t="s">
        <v>2907</v>
      </c>
      <c r="BW1626">
        <v>13.08</v>
      </c>
      <c r="CC1626" t="s">
        <v>2908</v>
      </c>
    </row>
    <row r="1627" spans="1:81" x14ac:dyDescent="0.25">
      <c r="A1627" t="s">
        <v>1131</v>
      </c>
      <c r="AH1627" t="s">
        <v>2911</v>
      </c>
      <c r="BA1627" t="s">
        <v>2906</v>
      </c>
      <c r="BJ1627" t="s">
        <v>2907</v>
      </c>
      <c r="BW1627">
        <v>13.08</v>
      </c>
      <c r="CC1627" t="s">
        <v>2909</v>
      </c>
    </row>
    <row r="1628" spans="1:81" x14ac:dyDescent="0.25">
      <c r="A1628" t="s">
        <v>2912</v>
      </c>
    </row>
    <row r="1629" spans="1:81" x14ac:dyDescent="0.25">
      <c r="A1629" t="s">
        <v>2869</v>
      </c>
      <c r="AH1629" t="s">
        <v>2901</v>
      </c>
      <c r="BA1629" t="s">
        <v>2902</v>
      </c>
      <c r="BJ1629" t="s">
        <v>2903</v>
      </c>
      <c r="BW1629" t="s">
        <v>2875</v>
      </c>
      <c r="CC1629" t="s">
        <v>2904</v>
      </c>
    </row>
    <row r="1630" spans="1:81" x14ac:dyDescent="0.25">
      <c r="A1630" t="s">
        <v>1132</v>
      </c>
      <c r="AH1630" t="s">
        <v>2913</v>
      </c>
      <c r="BA1630" t="s">
        <v>2914</v>
      </c>
      <c r="BJ1630" t="s">
        <v>2907</v>
      </c>
      <c r="BW1630">
        <v>13.08</v>
      </c>
      <c r="CC1630" t="s">
        <v>2915</v>
      </c>
    </row>
    <row r="1631" spans="1:81" x14ac:dyDescent="0.25">
      <c r="A1631" t="s">
        <v>1133</v>
      </c>
      <c r="AH1631" t="s">
        <v>2913</v>
      </c>
      <c r="BA1631" t="s">
        <v>2914</v>
      </c>
      <c r="BJ1631" t="s">
        <v>2907</v>
      </c>
      <c r="BW1631">
        <v>13.08</v>
      </c>
      <c r="CC1631" t="s">
        <v>2916</v>
      </c>
    </row>
    <row r="1632" spans="1:81" x14ac:dyDescent="0.25">
      <c r="A1632" t="s">
        <v>2917</v>
      </c>
    </row>
    <row r="1633" spans="1:81" x14ac:dyDescent="0.25">
      <c r="A1633" t="s">
        <v>2869</v>
      </c>
      <c r="AH1633" t="s">
        <v>2901</v>
      </c>
      <c r="BA1633" t="s">
        <v>2902</v>
      </c>
      <c r="BJ1633" t="s">
        <v>2903</v>
      </c>
      <c r="BW1633" t="s">
        <v>2875</v>
      </c>
      <c r="CC1633" t="s">
        <v>2904</v>
      </c>
    </row>
    <row r="1634" spans="1:81" x14ac:dyDescent="0.25">
      <c r="A1634" t="s">
        <v>1134</v>
      </c>
      <c r="AH1634" t="s">
        <v>2911</v>
      </c>
      <c r="BA1634" t="s">
        <v>2906</v>
      </c>
      <c r="BJ1634" t="s">
        <v>2918</v>
      </c>
      <c r="BW1634">
        <v>24</v>
      </c>
      <c r="CC1634" t="s">
        <v>2919</v>
      </c>
    </row>
    <row r="1635" spans="1:81" x14ac:dyDescent="0.25">
      <c r="A1635" t="s">
        <v>1135</v>
      </c>
      <c r="AH1635" t="s">
        <v>2911</v>
      </c>
      <c r="BA1635" t="s">
        <v>2906</v>
      </c>
      <c r="BJ1635" t="s">
        <v>2920</v>
      </c>
      <c r="BW1635">
        <v>24</v>
      </c>
      <c r="CC1635" t="s">
        <v>2921</v>
      </c>
    </row>
    <row r="1636" spans="1:81" x14ac:dyDescent="0.25">
      <c r="A1636" t="s">
        <v>1136</v>
      </c>
      <c r="AH1636" t="s">
        <v>2911</v>
      </c>
      <c r="BA1636" t="s">
        <v>2906</v>
      </c>
      <c r="BJ1636" t="s">
        <v>2920</v>
      </c>
      <c r="BW1636">
        <v>24</v>
      </c>
      <c r="CC1636" t="s">
        <v>2922</v>
      </c>
    </row>
    <row r="1637" spans="1:81" x14ac:dyDescent="0.25">
      <c r="A1637" t="s">
        <v>2889</v>
      </c>
    </row>
    <row r="1638" spans="1:81" x14ac:dyDescent="0.25">
      <c r="A1638" t="s">
        <v>2923</v>
      </c>
    </row>
    <row r="1639" spans="1:81" x14ac:dyDescent="0.25">
      <c r="A1639" t="s">
        <v>2924</v>
      </c>
    </row>
    <row r="1640" spans="1:81" x14ac:dyDescent="0.25">
      <c r="A1640" t="s">
        <v>1179</v>
      </c>
    </row>
    <row r="1642" spans="1:81" x14ac:dyDescent="0.25">
      <c r="A1642" t="s">
        <v>2869</v>
      </c>
      <c r="Y1642" t="s">
        <v>2870</v>
      </c>
      <c r="AJ1642" t="s">
        <v>2902</v>
      </c>
      <c r="AX1642" t="s">
        <v>2872</v>
      </c>
      <c r="BJ1642" t="s">
        <v>2901</v>
      </c>
      <c r="BU1642" t="s">
        <v>2875</v>
      </c>
      <c r="CC1642" t="s">
        <v>2925</v>
      </c>
    </row>
    <row r="1643" spans="1:81" x14ac:dyDescent="0.25">
      <c r="A1643" t="s">
        <v>1137</v>
      </c>
      <c r="Y1643" t="s">
        <v>2877</v>
      </c>
      <c r="AJ1643" t="s">
        <v>2926</v>
      </c>
      <c r="AX1643" t="s">
        <v>2440</v>
      </c>
      <c r="BJ1643" t="s">
        <v>2905</v>
      </c>
      <c r="BU1643">
        <v>13.08</v>
      </c>
      <c r="CC1643" t="s">
        <v>2927</v>
      </c>
    </row>
    <row r="1644" spans="1:81" x14ac:dyDescent="0.25">
      <c r="A1644" t="s">
        <v>1138</v>
      </c>
      <c r="Y1644" t="s">
        <v>2882</v>
      </c>
      <c r="AJ1644" t="s">
        <v>2926</v>
      </c>
      <c r="AX1644" t="s">
        <v>2440</v>
      </c>
      <c r="BJ1644" t="s">
        <v>2905</v>
      </c>
      <c r="BU1644">
        <v>13.08</v>
      </c>
      <c r="CC1644" t="s">
        <v>2928</v>
      </c>
    </row>
    <row r="1645" spans="1:81" x14ac:dyDescent="0.25">
      <c r="A1645" t="s">
        <v>1139</v>
      </c>
      <c r="Y1645" t="s">
        <v>2884</v>
      </c>
      <c r="AJ1645" t="s">
        <v>2926</v>
      </c>
      <c r="AX1645" t="s">
        <v>2440</v>
      </c>
      <c r="BJ1645" t="s">
        <v>2905</v>
      </c>
      <c r="BU1645">
        <v>24</v>
      </c>
      <c r="CC1645" t="s">
        <v>2929</v>
      </c>
    </row>
    <row r="1646" spans="1:81" x14ac:dyDescent="0.25">
      <c r="A1646" t="s">
        <v>1140</v>
      </c>
      <c r="Y1646" t="s">
        <v>2887</v>
      </c>
      <c r="AJ1646" t="s">
        <v>2926</v>
      </c>
      <c r="AX1646" t="s">
        <v>2440</v>
      </c>
      <c r="BJ1646" t="s">
        <v>2905</v>
      </c>
      <c r="BU1646">
        <v>24</v>
      </c>
      <c r="CC1646" t="s">
        <v>2930</v>
      </c>
    </row>
    <row r="1647" spans="1:81" x14ac:dyDescent="0.25">
      <c r="A1647" t="s">
        <v>1141</v>
      </c>
      <c r="Y1647" t="s">
        <v>2891</v>
      </c>
      <c r="AJ1647" t="s">
        <v>2931</v>
      </c>
      <c r="AX1647" t="s">
        <v>2440</v>
      </c>
      <c r="BJ1647" t="s">
        <v>2905</v>
      </c>
      <c r="BU1647">
        <v>24</v>
      </c>
      <c r="CC1647" t="s">
        <v>2932</v>
      </c>
    </row>
    <row r="1648" spans="1:81" x14ac:dyDescent="0.25">
      <c r="A1648" t="s">
        <v>1142</v>
      </c>
      <c r="Y1648" t="s">
        <v>2894</v>
      </c>
      <c r="AJ1648" t="s">
        <v>2931</v>
      </c>
      <c r="AX1648" t="s">
        <v>2440</v>
      </c>
      <c r="BJ1648" t="s">
        <v>2905</v>
      </c>
      <c r="BU1648">
        <v>24</v>
      </c>
      <c r="CC1648" t="s">
        <v>2933</v>
      </c>
    </row>
    <row r="1649" spans="1:81" x14ac:dyDescent="0.25">
      <c r="A1649" t="s">
        <v>1143</v>
      </c>
      <c r="Y1649" t="s">
        <v>2934</v>
      </c>
      <c r="AJ1649" t="s">
        <v>2931</v>
      </c>
      <c r="AX1649" t="s">
        <v>2440</v>
      </c>
      <c r="BJ1649" t="s">
        <v>2905</v>
      </c>
      <c r="BU1649">
        <v>24</v>
      </c>
      <c r="CC1649" t="s">
        <v>2935</v>
      </c>
    </row>
    <row r="1650" spans="1:81" x14ac:dyDescent="0.25">
      <c r="A1650" t="s">
        <v>1144</v>
      </c>
      <c r="Y1650" t="s">
        <v>2936</v>
      </c>
      <c r="AJ1650" t="s">
        <v>2931</v>
      </c>
      <c r="AX1650" t="s">
        <v>2440</v>
      </c>
      <c r="BJ1650" t="s">
        <v>2905</v>
      </c>
      <c r="BU1650">
        <v>24</v>
      </c>
      <c r="CC1650" t="s">
        <v>2937</v>
      </c>
    </row>
    <row r="1651" spans="1:81" x14ac:dyDescent="0.25">
      <c r="A1651" t="s">
        <v>1145</v>
      </c>
      <c r="Y1651" t="s">
        <v>2938</v>
      </c>
      <c r="AJ1651" t="s">
        <v>2931</v>
      </c>
      <c r="AX1651" t="s">
        <v>2440</v>
      </c>
      <c r="BJ1651" t="s">
        <v>2905</v>
      </c>
      <c r="BU1651">
        <v>24</v>
      </c>
      <c r="CC1651" t="s">
        <v>2939</v>
      </c>
    </row>
    <row r="1652" spans="1:81" x14ac:dyDescent="0.25">
      <c r="A1652" t="s">
        <v>1146</v>
      </c>
      <c r="Y1652" t="s">
        <v>2940</v>
      </c>
      <c r="AJ1652" t="s">
        <v>2931</v>
      </c>
      <c r="AX1652" t="s">
        <v>2440</v>
      </c>
      <c r="BJ1652" t="s">
        <v>2905</v>
      </c>
      <c r="BU1652">
        <v>24</v>
      </c>
      <c r="CC1652" t="s">
        <v>2941</v>
      </c>
    </row>
    <row r="1653" spans="1:81" x14ac:dyDescent="0.25">
      <c r="A1653" t="s">
        <v>1147</v>
      </c>
      <c r="Y1653" t="s">
        <v>2942</v>
      </c>
      <c r="AJ1653" t="s">
        <v>2931</v>
      </c>
      <c r="AX1653" t="s">
        <v>2440</v>
      </c>
      <c r="BJ1653" t="s">
        <v>2905</v>
      </c>
      <c r="BU1653">
        <v>24</v>
      </c>
      <c r="CC1653" t="s">
        <v>2943</v>
      </c>
    </row>
    <row r="1654" spans="1:81" x14ac:dyDescent="0.25">
      <c r="A1654" t="s">
        <v>1148</v>
      </c>
      <c r="Y1654" t="s">
        <v>2877</v>
      </c>
      <c r="AJ1654" t="s">
        <v>2926</v>
      </c>
      <c r="AX1654" t="s">
        <v>2440</v>
      </c>
      <c r="BJ1654" t="s">
        <v>2911</v>
      </c>
      <c r="BU1654">
        <v>13.08</v>
      </c>
      <c r="CC1654" t="s">
        <v>2928</v>
      </c>
    </row>
    <row r="1655" spans="1:81" x14ac:dyDescent="0.25">
      <c r="A1655" t="s">
        <v>1149</v>
      </c>
      <c r="Y1655" t="s">
        <v>2882</v>
      </c>
      <c r="AJ1655" t="s">
        <v>2926</v>
      </c>
      <c r="AX1655" t="s">
        <v>2440</v>
      </c>
      <c r="BJ1655" t="s">
        <v>2911</v>
      </c>
      <c r="BU1655">
        <v>13.08</v>
      </c>
      <c r="CC1655" t="s">
        <v>2944</v>
      </c>
    </row>
    <row r="1656" spans="1:81" x14ac:dyDescent="0.25">
      <c r="A1656" t="s">
        <v>1150</v>
      </c>
      <c r="Y1656" t="s">
        <v>2884</v>
      </c>
      <c r="AJ1656" t="s">
        <v>2926</v>
      </c>
      <c r="AX1656" t="s">
        <v>2440</v>
      </c>
      <c r="BJ1656" t="s">
        <v>2911</v>
      </c>
      <c r="BU1656">
        <v>24</v>
      </c>
      <c r="CC1656" t="s">
        <v>2945</v>
      </c>
    </row>
    <row r="1657" spans="1:81" x14ac:dyDescent="0.25">
      <c r="A1657" t="s">
        <v>1151</v>
      </c>
      <c r="Y1657" t="s">
        <v>2887</v>
      </c>
      <c r="AJ1657" t="s">
        <v>2926</v>
      </c>
      <c r="AX1657" t="s">
        <v>2440</v>
      </c>
      <c r="BJ1657" t="s">
        <v>2911</v>
      </c>
      <c r="BU1657">
        <v>24</v>
      </c>
      <c r="CC1657" t="s">
        <v>2946</v>
      </c>
    </row>
    <row r="1658" spans="1:81" x14ac:dyDescent="0.25">
      <c r="A1658" t="s">
        <v>1152</v>
      </c>
      <c r="Y1658" t="s">
        <v>2891</v>
      </c>
      <c r="AJ1658" t="s">
        <v>2931</v>
      </c>
      <c r="AX1658" t="s">
        <v>2440</v>
      </c>
      <c r="BJ1658" t="s">
        <v>2913</v>
      </c>
      <c r="BU1658">
        <v>24</v>
      </c>
      <c r="CC1658" t="s">
        <v>2947</v>
      </c>
    </row>
    <row r="1659" spans="1:81" x14ac:dyDescent="0.25">
      <c r="A1659" t="s">
        <v>1153</v>
      </c>
      <c r="Y1659" t="s">
        <v>2894</v>
      </c>
      <c r="AJ1659" t="s">
        <v>2931</v>
      </c>
      <c r="AX1659" t="s">
        <v>2440</v>
      </c>
      <c r="BJ1659" t="s">
        <v>2913</v>
      </c>
      <c r="BU1659">
        <v>24</v>
      </c>
      <c r="CC1659" t="s">
        <v>2935</v>
      </c>
    </row>
    <row r="1660" spans="1:81" x14ac:dyDescent="0.25">
      <c r="A1660" t="s">
        <v>1154</v>
      </c>
      <c r="Y1660" t="s">
        <v>2934</v>
      </c>
      <c r="AJ1660" t="s">
        <v>2931</v>
      </c>
      <c r="AX1660" t="s">
        <v>2440</v>
      </c>
      <c r="BJ1660" t="s">
        <v>2913</v>
      </c>
      <c r="BU1660">
        <v>24</v>
      </c>
      <c r="CC1660" t="s">
        <v>2948</v>
      </c>
    </row>
    <row r="1661" spans="1:81" x14ac:dyDescent="0.25">
      <c r="A1661" t="s">
        <v>2949</v>
      </c>
    </row>
    <row r="1662" spans="1:81" x14ac:dyDescent="0.25">
      <c r="A1662" t="s">
        <v>2950</v>
      </c>
    </row>
    <row r="1663" spans="1:81" x14ac:dyDescent="0.25">
      <c r="A1663" t="s">
        <v>2869</v>
      </c>
      <c r="AJ1663" t="s">
        <v>2902</v>
      </c>
      <c r="BJ1663" t="s">
        <v>2901</v>
      </c>
      <c r="CC1663" t="s">
        <v>2570</v>
      </c>
    </row>
    <row r="1664" spans="1:81" x14ac:dyDescent="0.25">
      <c r="A1664" t="s">
        <v>1155</v>
      </c>
      <c r="AJ1664" t="s">
        <v>2931</v>
      </c>
      <c r="BJ1664" t="s">
        <v>2913</v>
      </c>
      <c r="CC1664">
        <v>837.2</v>
      </c>
    </row>
    <row r="1666" spans="1:81" x14ac:dyDescent="0.25">
      <c r="A1666" t="s">
        <v>1180</v>
      </c>
    </row>
    <row r="1668" spans="1:81" x14ac:dyDescent="0.25">
      <c r="A1668" t="s">
        <v>2869</v>
      </c>
      <c r="Y1668" t="s">
        <v>2870</v>
      </c>
      <c r="AJ1668" t="s">
        <v>2902</v>
      </c>
      <c r="AX1668" t="s">
        <v>2951</v>
      </c>
      <c r="CC1668" t="s">
        <v>2925</v>
      </c>
    </row>
    <row r="1669" spans="1:81" x14ac:dyDescent="0.25">
      <c r="AX1669" t="s">
        <v>2952</v>
      </c>
      <c r="BJ1669" t="s">
        <v>2953</v>
      </c>
      <c r="BU1669" t="s">
        <v>2954</v>
      </c>
    </row>
    <row r="1670" spans="1:81" x14ac:dyDescent="0.25">
      <c r="A1670" t="s">
        <v>1156</v>
      </c>
      <c r="Y1670" t="s">
        <v>2955</v>
      </c>
      <c r="AJ1670" t="s">
        <v>2926</v>
      </c>
      <c r="AX1670" t="s">
        <v>2956</v>
      </c>
      <c r="BJ1670" t="s">
        <v>2957</v>
      </c>
      <c r="BU1670" t="s">
        <v>2958</v>
      </c>
      <c r="CC1670" t="s">
        <v>2959</v>
      </c>
    </row>
    <row r="1671" spans="1:81" x14ac:dyDescent="0.25">
      <c r="A1671" t="s">
        <v>1157</v>
      </c>
      <c r="Y1671" t="s">
        <v>2960</v>
      </c>
      <c r="AJ1671" t="s">
        <v>2926</v>
      </c>
      <c r="AX1671" t="s">
        <v>2961</v>
      </c>
      <c r="BJ1671" t="s">
        <v>2962</v>
      </c>
      <c r="BU1671" t="s">
        <v>2963</v>
      </c>
      <c r="CC1671" t="s">
        <v>2964</v>
      </c>
    </row>
    <row r="1672" spans="1:81" x14ac:dyDescent="0.25">
      <c r="A1672" t="s">
        <v>1158</v>
      </c>
      <c r="Y1672" t="s">
        <v>2891</v>
      </c>
      <c r="AJ1672" t="s">
        <v>2926</v>
      </c>
      <c r="AX1672" t="s">
        <v>2965</v>
      </c>
      <c r="BJ1672" t="s">
        <v>2966</v>
      </c>
      <c r="BU1672" t="s">
        <v>2967</v>
      </c>
      <c r="CC1672" t="s">
        <v>2968</v>
      </c>
    </row>
    <row r="1673" spans="1:81" x14ac:dyDescent="0.25">
      <c r="A1673" t="s">
        <v>2969</v>
      </c>
    </row>
    <row r="1674" spans="1:81" x14ac:dyDescent="0.25">
      <c r="A1674" t="s">
        <v>2970</v>
      </c>
    </row>
    <row r="1678" spans="1:81" x14ac:dyDescent="0.25">
      <c r="AH1678" t="s">
        <v>2971</v>
      </c>
    </row>
    <row r="1680" spans="1:81" x14ac:dyDescent="0.25">
      <c r="A1680" t="s">
        <v>2972</v>
      </c>
      <c r="AK1680" t="s">
        <v>2973</v>
      </c>
      <c r="BJ1680" t="s">
        <v>2974</v>
      </c>
    </row>
    <row r="1681" spans="1:62" x14ac:dyDescent="0.25">
      <c r="A1681" t="s">
        <v>2975</v>
      </c>
      <c r="AK1681">
        <v>70</v>
      </c>
      <c r="BJ1681">
        <v>60</v>
      </c>
    </row>
    <row r="1682" spans="1:62" x14ac:dyDescent="0.25">
      <c r="A1682" t="s">
        <v>2976</v>
      </c>
      <c r="AK1682">
        <v>100</v>
      </c>
      <c r="BJ1682">
        <v>150</v>
      </c>
    </row>
    <row r="1683" spans="1:62" x14ac:dyDescent="0.25">
      <c r="A1683" t="s">
        <v>2977</v>
      </c>
      <c r="AK1683">
        <v>110</v>
      </c>
      <c r="BJ1683">
        <v>165</v>
      </c>
    </row>
    <row r="1684" spans="1:62" x14ac:dyDescent="0.25">
      <c r="A1684" t="s">
        <v>2978</v>
      </c>
    </row>
    <row r="1685" spans="1:62" x14ac:dyDescent="0.25">
      <c r="A1685" t="s">
        <v>2979</v>
      </c>
      <c r="AK1685">
        <v>130</v>
      </c>
      <c r="BJ1685">
        <v>195</v>
      </c>
    </row>
    <row r="1686" spans="1:62" x14ac:dyDescent="0.25">
      <c r="A1686" t="s">
        <v>2980</v>
      </c>
      <c r="AK1686">
        <v>170</v>
      </c>
      <c r="BJ1686">
        <v>255</v>
      </c>
    </row>
    <row r="1687" spans="1:62" x14ac:dyDescent="0.25">
      <c r="A1687" t="s">
        <v>2981</v>
      </c>
      <c r="AK1687">
        <v>220</v>
      </c>
      <c r="BJ1687">
        <v>330</v>
      </c>
    </row>
    <row r="1693" spans="1:62" x14ac:dyDescent="0.25">
      <c r="A1693" t="s">
        <v>1</v>
      </c>
      <c r="AK1693" t="s">
        <v>2982</v>
      </c>
    </row>
    <row r="1694" spans="1:62" x14ac:dyDescent="0.25">
      <c r="A1694" t="s">
        <v>2983</v>
      </c>
      <c r="AK1694">
        <v>0.3</v>
      </c>
    </row>
    <row r="1695" spans="1:62" x14ac:dyDescent="0.25">
      <c r="A1695" t="s">
        <v>2984</v>
      </c>
      <c r="AK1695">
        <v>0.4</v>
      </c>
    </row>
    <row r="1696" spans="1:62" x14ac:dyDescent="0.25">
      <c r="A1696" t="s">
        <v>2985</v>
      </c>
      <c r="AK1696" t="s">
        <v>2986</v>
      </c>
    </row>
    <row r="1697" spans="1:62" x14ac:dyDescent="0.25">
      <c r="A1697" t="s">
        <v>2987</v>
      </c>
      <c r="AK1697">
        <v>85</v>
      </c>
    </row>
    <row r="1698" spans="1:62" x14ac:dyDescent="0.25">
      <c r="A1698" t="s">
        <v>2988</v>
      </c>
      <c r="AK1698">
        <v>70</v>
      </c>
    </row>
    <row r="1699" spans="1:62" x14ac:dyDescent="0.25">
      <c r="A1699" t="s">
        <v>2989</v>
      </c>
      <c r="AK1699">
        <v>85</v>
      </c>
    </row>
    <row r="1700" spans="1:62" x14ac:dyDescent="0.25">
      <c r="A1700" t="s">
        <v>2990</v>
      </c>
      <c r="AK1700">
        <v>100</v>
      </c>
    </row>
    <row r="1701" spans="1:62" x14ac:dyDescent="0.25">
      <c r="A1701" t="s">
        <v>2991</v>
      </c>
    </row>
    <row r="1702" spans="1:62" x14ac:dyDescent="0.25">
      <c r="A1702" t="s">
        <v>2992</v>
      </c>
      <c r="AK1702">
        <v>35</v>
      </c>
    </row>
    <row r="1703" spans="1:62" x14ac:dyDescent="0.25">
      <c r="A1703" t="s">
        <v>2993</v>
      </c>
      <c r="AK1703">
        <v>10</v>
      </c>
    </row>
    <row r="1704" spans="1:62" x14ac:dyDescent="0.25">
      <c r="A1704" t="s">
        <v>2994</v>
      </c>
      <c r="AK1704">
        <v>35</v>
      </c>
    </row>
    <row r="1705" spans="1:62" x14ac:dyDescent="0.25">
      <c r="A1705" t="s">
        <v>2995</v>
      </c>
      <c r="AK1705">
        <v>30</v>
      </c>
    </row>
    <row r="1706" spans="1:62" x14ac:dyDescent="0.25">
      <c r="A1706" t="s">
        <v>2996</v>
      </c>
      <c r="AK1706">
        <v>10</v>
      </c>
    </row>
    <row r="1707" spans="1:62" x14ac:dyDescent="0.25">
      <c r="A1707" t="s">
        <v>2997</v>
      </c>
      <c r="AK1707">
        <v>30</v>
      </c>
    </row>
    <row r="1708" spans="1:62" x14ac:dyDescent="0.25">
      <c r="A1708" t="s">
        <v>2998</v>
      </c>
      <c r="AK1708">
        <v>40</v>
      </c>
    </row>
    <row r="1709" spans="1:62" x14ac:dyDescent="0.25">
      <c r="A1709" t="s">
        <v>2999</v>
      </c>
      <c r="AK1709">
        <v>50</v>
      </c>
    </row>
    <row r="1710" spans="1:62" x14ac:dyDescent="0.25">
      <c r="A1710" t="s">
        <v>3000</v>
      </c>
      <c r="AK1710">
        <v>30</v>
      </c>
    </row>
    <row r="1711" spans="1:62" x14ac:dyDescent="0.25">
      <c r="A1711" t="s">
        <v>3001</v>
      </c>
      <c r="AK1711" t="s">
        <v>3002</v>
      </c>
      <c r="BJ1711">
        <v>210</v>
      </c>
    </row>
    <row r="1712" spans="1:62" x14ac:dyDescent="0.25">
      <c r="A1712" t="s">
        <v>3003</v>
      </c>
      <c r="BJ1712">
        <v>40</v>
      </c>
    </row>
    <row r="1713" spans="1:62" x14ac:dyDescent="0.25">
      <c r="A1713" t="s">
        <v>3004</v>
      </c>
      <c r="BJ1713">
        <v>17</v>
      </c>
    </row>
    <row r="1714" spans="1:62" x14ac:dyDescent="0.25">
      <c r="A1714" t="s">
        <v>3005</v>
      </c>
      <c r="BJ1714">
        <v>50</v>
      </c>
    </row>
    <row r="1715" spans="1:62" x14ac:dyDescent="0.25">
      <c r="A1715" t="s">
        <v>3006</v>
      </c>
      <c r="BJ1715">
        <v>7</v>
      </c>
    </row>
    <row r="1716" spans="1:62" x14ac:dyDescent="0.25">
      <c r="A1716" t="s">
        <v>3007</v>
      </c>
      <c r="BJ1716">
        <v>60</v>
      </c>
    </row>
    <row r="1717" spans="1:62" x14ac:dyDescent="0.25">
      <c r="A1717" t="s">
        <v>3008</v>
      </c>
      <c r="BJ1717">
        <v>110</v>
      </c>
    </row>
    <row r="1718" spans="1:62" x14ac:dyDescent="0.25">
      <c r="A1718" t="s">
        <v>3009</v>
      </c>
      <c r="BJ1718">
        <v>100</v>
      </c>
    </row>
    <row r="1719" spans="1:62" x14ac:dyDescent="0.25">
      <c r="A1719" t="s">
        <v>3010</v>
      </c>
    </row>
    <row r="1720" spans="1:62" x14ac:dyDescent="0.25">
      <c r="A1720" t="s">
        <v>3011</v>
      </c>
      <c r="BJ1720">
        <v>15</v>
      </c>
    </row>
    <row r="1721" spans="1:62" x14ac:dyDescent="0.25">
      <c r="A1721" t="s">
        <v>3012</v>
      </c>
      <c r="BJ1721">
        <v>50</v>
      </c>
    </row>
    <row r="1722" spans="1:62" x14ac:dyDescent="0.25">
      <c r="A1722" t="s">
        <v>3013</v>
      </c>
      <c r="BJ1722">
        <v>25</v>
      </c>
    </row>
    <row r="1723" spans="1:62" x14ac:dyDescent="0.25">
      <c r="A1723" t="s">
        <v>3014</v>
      </c>
      <c r="BJ1723">
        <v>50</v>
      </c>
    </row>
    <row r="1724" spans="1:62" x14ac:dyDescent="0.25">
      <c r="A1724" t="s">
        <v>3015</v>
      </c>
      <c r="BJ1724">
        <v>35</v>
      </c>
    </row>
    <row r="1725" spans="1:62" x14ac:dyDescent="0.25">
      <c r="A1725" t="s">
        <v>3016</v>
      </c>
      <c r="BJ1725">
        <v>25</v>
      </c>
    </row>
    <row r="1726" spans="1:62" x14ac:dyDescent="0.25">
      <c r="A1726" t="s">
        <v>3017</v>
      </c>
      <c r="BJ1726">
        <v>20</v>
      </c>
    </row>
    <row r="1727" spans="1:62" x14ac:dyDescent="0.25">
      <c r="A1727" t="s">
        <v>3018</v>
      </c>
      <c r="BJ1727">
        <v>80</v>
      </c>
    </row>
    <row r="1728" spans="1:62" x14ac:dyDescent="0.25">
      <c r="A1728" t="s">
        <v>3019</v>
      </c>
      <c r="BJ1728">
        <v>15</v>
      </c>
    </row>
    <row r="1729" spans="1:62" x14ac:dyDescent="0.25">
      <c r="A1729" t="s">
        <v>3020</v>
      </c>
      <c r="BJ1729">
        <v>7</v>
      </c>
    </row>
    <row r="1730" spans="1:62" x14ac:dyDescent="0.25">
      <c r="A1730" t="s">
        <v>3021</v>
      </c>
      <c r="BJ1730">
        <v>70</v>
      </c>
    </row>
    <row r="1731" spans="1:62" x14ac:dyDescent="0.25">
      <c r="A1731" t="s">
        <v>2992</v>
      </c>
      <c r="BJ1731">
        <v>35</v>
      </c>
    </row>
    <row r="1732" spans="1:62" x14ac:dyDescent="0.25">
      <c r="A1732" t="s">
        <v>3022</v>
      </c>
      <c r="BJ1732">
        <v>14</v>
      </c>
    </row>
    <row r="1733" spans="1:62" x14ac:dyDescent="0.25">
      <c r="A1733" t="s">
        <v>3023</v>
      </c>
      <c r="BJ1733">
        <v>28</v>
      </c>
    </row>
    <row r="1734" spans="1:62" x14ac:dyDescent="0.25">
      <c r="A1734" t="s">
        <v>3024</v>
      </c>
      <c r="BJ1734">
        <v>25</v>
      </c>
    </row>
    <row r="1735" spans="1:62" x14ac:dyDescent="0.25">
      <c r="A1735" t="s">
        <v>3025</v>
      </c>
      <c r="BJ1735">
        <v>14</v>
      </c>
    </row>
    <row r="1736" spans="1:62" x14ac:dyDescent="0.25">
      <c r="A1736" t="s">
        <v>3026</v>
      </c>
      <c r="BJ1736">
        <v>70</v>
      </c>
    </row>
    <row r="1737" spans="1:62" x14ac:dyDescent="0.25">
      <c r="A1737" t="s">
        <v>3027</v>
      </c>
      <c r="BJ1737">
        <v>250</v>
      </c>
    </row>
    <row r="1739" spans="1:62" x14ac:dyDescent="0.25">
      <c r="A1739" t="s">
        <v>3028</v>
      </c>
    </row>
    <row r="1740" spans="1:62" x14ac:dyDescent="0.25">
      <c r="A1740">
        <v>140</v>
      </c>
    </row>
    <row r="1741" spans="1:62" x14ac:dyDescent="0.25">
      <c r="A1741">
        <v>200</v>
      </c>
    </row>
    <row r="1742" spans="1:62" x14ac:dyDescent="0.25">
      <c r="A1742">
        <v>220</v>
      </c>
    </row>
    <row r="1744" spans="1:62" x14ac:dyDescent="0.25">
      <c r="A1744">
        <v>260</v>
      </c>
    </row>
    <row r="1745" spans="1:62" x14ac:dyDescent="0.25">
      <c r="A1745">
        <v>340</v>
      </c>
    </row>
    <row r="1746" spans="1:62" x14ac:dyDescent="0.25">
      <c r="A1746">
        <v>440</v>
      </c>
    </row>
    <row r="1752" spans="1:62" x14ac:dyDescent="0.25">
      <c r="A1752" t="s">
        <v>3029</v>
      </c>
    </row>
    <row r="1753" spans="1:62" x14ac:dyDescent="0.25">
      <c r="A1753" t="s">
        <v>3030</v>
      </c>
      <c r="AX1753" t="s">
        <v>3031</v>
      </c>
      <c r="BJ1753" t="s">
        <v>3032</v>
      </c>
    </row>
    <row r="1754" spans="1:62" x14ac:dyDescent="0.25">
      <c r="A1754" t="s">
        <v>3033</v>
      </c>
      <c r="AX1754" t="s">
        <v>3034</v>
      </c>
      <c r="BJ1754">
        <v>111.25</v>
      </c>
    </row>
    <row r="1755" spans="1:62" x14ac:dyDescent="0.25">
      <c r="A1755" t="s">
        <v>3035</v>
      </c>
      <c r="AX1755" t="s">
        <v>3036</v>
      </c>
      <c r="BJ1755">
        <v>133.75</v>
      </c>
    </row>
    <row r="1756" spans="1:62" x14ac:dyDescent="0.25">
      <c r="A1756" t="s">
        <v>3037</v>
      </c>
      <c r="AX1756" t="s">
        <v>3038</v>
      </c>
      <c r="BJ1756">
        <v>194.75</v>
      </c>
    </row>
    <row r="1757" spans="1:62" x14ac:dyDescent="0.25">
      <c r="A1757" t="s">
        <v>3039</v>
      </c>
    </row>
    <row r="1759" spans="1:62" x14ac:dyDescent="0.25">
      <c r="A1759" t="s">
        <v>3040</v>
      </c>
      <c r="AX1759" t="s">
        <v>3041</v>
      </c>
      <c r="BJ1759" t="s">
        <v>3032</v>
      </c>
    </row>
    <row r="1760" spans="1:62" x14ac:dyDescent="0.25">
      <c r="A1760" t="s">
        <v>3042</v>
      </c>
      <c r="AX1760" t="s">
        <v>3043</v>
      </c>
      <c r="BJ1760">
        <v>12</v>
      </c>
    </row>
    <row r="1761" spans="1:62" x14ac:dyDescent="0.25">
      <c r="A1761" t="s">
        <v>3044</v>
      </c>
      <c r="AX1761" t="s">
        <v>3043</v>
      </c>
      <c r="BJ1761">
        <v>14</v>
      </c>
    </row>
    <row r="1762" spans="1:62" x14ac:dyDescent="0.25">
      <c r="A1762" t="s">
        <v>3045</v>
      </c>
      <c r="AX1762" t="s">
        <v>3043</v>
      </c>
      <c r="BJ1762">
        <v>16</v>
      </c>
    </row>
    <row r="1765" spans="1:62" x14ac:dyDescent="0.25">
      <c r="A1765" t="s">
        <v>3046</v>
      </c>
      <c r="AX1765" t="s">
        <v>3041</v>
      </c>
      <c r="BJ1765" t="s">
        <v>3032</v>
      </c>
    </row>
    <row r="1766" spans="1:62" x14ac:dyDescent="0.25">
      <c r="A1766" t="s">
        <v>3047</v>
      </c>
      <c r="AX1766" t="s">
        <v>3043</v>
      </c>
      <c r="BJ1766">
        <v>11</v>
      </c>
    </row>
    <row r="1767" spans="1:62" x14ac:dyDescent="0.25">
      <c r="A1767" t="s">
        <v>3048</v>
      </c>
      <c r="AX1767" t="s">
        <v>3043</v>
      </c>
      <c r="BJ1767">
        <v>13</v>
      </c>
    </row>
    <row r="1771" spans="1:62" x14ac:dyDescent="0.25">
      <c r="A1771" t="s">
        <v>3049</v>
      </c>
      <c r="AX1771" t="s">
        <v>3050</v>
      </c>
      <c r="BJ1771" t="s">
        <v>3032</v>
      </c>
    </row>
    <row r="1772" spans="1:62" x14ac:dyDescent="0.25">
      <c r="A1772" t="s">
        <v>3051</v>
      </c>
      <c r="AX1772" t="s">
        <v>3052</v>
      </c>
      <c r="BJ1772">
        <v>2.95</v>
      </c>
    </row>
    <row r="1773" spans="1:62" x14ac:dyDescent="0.25">
      <c r="A1773" t="s">
        <v>3053</v>
      </c>
      <c r="AX1773" t="s">
        <v>3054</v>
      </c>
      <c r="BJ1773">
        <v>3.45</v>
      </c>
    </row>
    <row r="1777" spans="1:62" x14ac:dyDescent="0.25">
      <c r="A1777" t="s">
        <v>3055</v>
      </c>
      <c r="AX1777" t="s">
        <v>3056</v>
      </c>
      <c r="BJ1777" t="s">
        <v>3032</v>
      </c>
    </row>
    <row r="1778" spans="1:62" x14ac:dyDescent="0.25">
      <c r="A1778" t="s">
        <v>3057</v>
      </c>
      <c r="AX1778" t="s">
        <v>3058</v>
      </c>
      <c r="BJ1778">
        <v>23.5</v>
      </c>
    </row>
    <row r="1779" spans="1:62" x14ac:dyDescent="0.25">
      <c r="A1779" t="s">
        <v>3059</v>
      </c>
      <c r="AX1779" t="s">
        <v>3060</v>
      </c>
      <c r="BJ1779">
        <v>28.5</v>
      </c>
    </row>
    <row r="1780" spans="1:62" x14ac:dyDescent="0.25">
      <c r="A1780" t="s">
        <v>3061</v>
      </c>
      <c r="AX1780" t="s">
        <v>3062</v>
      </c>
      <c r="BJ1780">
        <v>51</v>
      </c>
    </row>
    <row r="1783" spans="1:62" x14ac:dyDescent="0.25">
      <c r="A1783" t="s">
        <v>3063</v>
      </c>
      <c r="AX1783" t="s">
        <v>3056</v>
      </c>
      <c r="BJ1783" t="s">
        <v>3032</v>
      </c>
    </row>
    <row r="1784" spans="1:62" x14ac:dyDescent="0.25">
      <c r="A1784" t="s">
        <v>3064</v>
      </c>
      <c r="AX1784" t="s">
        <v>3065</v>
      </c>
      <c r="BJ1784">
        <v>7.5</v>
      </c>
    </row>
    <row r="1785" spans="1:62" x14ac:dyDescent="0.25">
      <c r="A1785" t="s">
        <v>3066</v>
      </c>
      <c r="AX1785" t="s">
        <v>3058</v>
      </c>
      <c r="BJ1785">
        <v>8</v>
      </c>
    </row>
    <row r="1786" spans="1:62" x14ac:dyDescent="0.25">
      <c r="A1786" t="s">
        <v>3067</v>
      </c>
      <c r="BJ1786">
        <v>1.7</v>
      </c>
    </row>
    <row r="1789" spans="1:62" x14ac:dyDescent="0.25">
      <c r="A1789" t="s">
        <v>3068</v>
      </c>
      <c r="AX1789" t="s">
        <v>3069</v>
      </c>
      <c r="BJ1789" t="s">
        <v>3070</v>
      </c>
    </row>
    <row r="1790" spans="1:62" x14ac:dyDescent="0.25">
      <c r="A1790" t="s">
        <v>3071</v>
      </c>
      <c r="AX1790" t="s">
        <v>3072</v>
      </c>
      <c r="BJ1790">
        <v>7</v>
      </c>
    </row>
    <row r="1793" spans="1:62" x14ac:dyDescent="0.25">
      <c r="A1793" t="s">
        <v>3073</v>
      </c>
    </row>
    <row r="1799" spans="1:62" x14ac:dyDescent="0.25">
      <c r="A1799" t="s">
        <v>3074</v>
      </c>
      <c r="AX1799" t="s">
        <v>3031</v>
      </c>
      <c r="BJ1799" t="s">
        <v>3032</v>
      </c>
    </row>
    <row r="1800" spans="1:62" x14ac:dyDescent="0.25">
      <c r="A1800" t="s">
        <v>3075</v>
      </c>
      <c r="AX1800" t="s">
        <v>3076</v>
      </c>
      <c r="BJ1800">
        <v>15</v>
      </c>
    </row>
    <row r="1801" spans="1:62" x14ac:dyDescent="0.25">
      <c r="A1801" t="s">
        <v>3077</v>
      </c>
      <c r="AX1801" t="s">
        <v>3078</v>
      </c>
      <c r="BJ1801">
        <v>22.5</v>
      </c>
    </row>
    <row r="1805" spans="1:62" x14ac:dyDescent="0.25">
      <c r="A1805" t="s">
        <v>3079</v>
      </c>
      <c r="AX1805" t="s">
        <v>3080</v>
      </c>
      <c r="BJ1805" t="s">
        <v>3032</v>
      </c>
    </row>
    <row r="1806" spans="1:62" x14ac:dyDescent="0.25">
      <c r="A1806" t="s">
        <v>3081</v>
      </c>
      <c r="AX1806" t="s">
        <v>3082</v>
      </c>
      <c r="BJ1806">
        <v>58.81</v>
      </c>
    </row>
    <row r="1807" spans="1:62" x14ac:dyDescent="0.25">
      <c r="A1807" t="s">
        <v>3083</v>
      </c>
      <c r="AX1807" t="s">
        <v>3082</v>
      </c>
      <c r="BJ1807">
        <v>67.44</v>
      </c>
    </row>
    <row r="1808" spans="1:62" x14ac:dyDescent="0.25">
      <c r="A1808" t="s">
        <v>3084</v>
      </c>
      <c r="AX1808" t="s">
        <v>3082</v>
      </c>
      <c r="BJ1808">
        <v>84.2</v>
      </c>
    </row>
    <row r="1811" spans="1:75" x14ac:dyDescent="0.25">
      <c r="A1811" t="s">
        <v>3085</v>
      </c>
      <c r="BJ1811" t="s">
        <v>3032</v>
      </c>
    </row>
    <row r="1812" spans="1:75" x14ac:dyDescent="0.25">
      <c r="A1812" t="s">
        <v>3086</v>
      </c>
      <c r="BJ1812">
        <v>122</v>
      </c>
    </row>
    <row r="1813" spans="1:75" x14ac:dyDescent="0.25">
      <c r="A1813" t="s">
        <v>3087</v>
      </c>
      <c r="BJ1813">
        <v>12.24</v>
      </c>
    </row>
    <row r="1814" spans="1:75" x14ac:dyDescent="0.25">
      <c r="A1814" t="s">
        <v>3088</v>
      </c>
      <c r="BJ1814">
        <v>19.34</v>
      </c>
    </row>
    <row r="1817" spans="1:75" x14ac:dyDescent="0.25">
      <c r="A1817" t="s">
        <v>3089</v>
      </c>
      <c r="BJ1817" t="s">
        <v>3032</v>
      </c>
    </row>
    <row r="1818" spans="1:75" x14ac:dyDescent="0.25">
      <c r="A1818" t="s">
        <v>3090</v>
      </c>
      <c r="BJ1818">
        <v>30</v>
      </c>
    </row>
    <row r="1819" spans="1:75" x14ac:dyDescent="0.25">
      <c r="A1819" t="s">
        <v>3091</v>
      </c>
      <c r="BJ1819">
        <v>5.4</v>
      </c>
    </row>
    <row r="1823" spans="1:75" x14ac:dyDescent="0.25">
      <c r="A1823" t="s">
        <v>3092</v>
      </c>
      <c r="AX1823" t="s">
        <v>3069</v>
      </c>
      <c r="BJ1823" t="s">
        <v>3093</v>
      </c>
      <c r="BW1823" t="s">
        <v>3094</v>
      </c>
    </row>
    <row r="1824" spans="1:75" x14ac:dyDescent="0.25">
      <c r="A1824" t="s">
        <v>3095</v>
      </c>
      <c r="AX1824" t="s">
        <v>3096</v>
      </c>
      <c r="BJ1824" t="s">
        <v>3097</v>
      </c>
      <c r="BW1824" t="s">
        <v>3098</v>
      </c>
    </row>
    <row r="1825" spans="1:62" x14ac:dyDescent="0.25">
      <c r="A1825" t="s">
        <v>3099</v>
      </c>
      <c r="AX1825" t="s">
        <v>3100</v>
      </c>
      <c r="BJ1825">
        <v>1.62</v>
      </c>
    </row>
    <row r="1826" spans="1:62" x14ac:dyDescent="0.25">
      <c r="A1826" t="s">
        <v>3101</v>
      </c>
      <c r="AX1826" t="s">
        <v>3102</v>
      </c>
      <c r="BJ1826">
        <v>1.44</v>
      </c>
    </row>
    <row r="1827" spans="1:62" x14ac:dyDescent="0.25">
      <c r="A1827" t="s">
        <v>3103</v>
      </c>
      <c r="AX1827" t="s">
        <v>3104</v>
      </c>
      <c r="BJ1827">
        <v>1.1499999999999999</v>
      </c>
    </row>
    <row r="1828" spans="1:62" x14ac:dyDescent="0.25">
      <c r="A1828" t="s">
        <v>3105</v>
      </c>
      <c r="AX1828" t="s">
        <v>3106</v>
      </c>
      <c r="BJ1828">
        <v>1.45</v>
      </c>
    </row>
    <row r="1829" spans="1:62" x14ac:dyDescent="0.25">
      <c r="A1829" t="s">
        <v>3107</v>
      </c>
      <c r="AX1829" t="s">
        <v>3108</v>
      </c>
      <c r="BJ1829">
        <v>1.49</v>
      </c>
    </row>
    <row r="1830" spans="1:62" x14ac:dyDescent="0.25">
      <c r="A1830" t="s">
        <v>3109</v>
      </c>
      <c r="AX1830" t="s">
        <v>3110</v>
      </c>
      <c r="BJ1830">
        <v>1.49</v>
      </c>
    </row>
    <row r="1831" spans="1:62" x14ac:dyDescent="0.25">
      <c r="A1831" t="s">
        <v>3111</v>
      </c>
      <c r="AX1831" t="s">
        <v>3112</v>
      </c>
      <c r="BJ1831">
        <v>1.96</v>
      </c>
    </row>
    <row r="1832" spans="1:62" x14ac:dyDescent="0.25">
      <c r="A1832" t="s">
        <v>3113</v>
      </c>
      <c r="AX1832" t="s">
        <v>3114</v>
      </c>
      <c r="BJ1832" t="s">
        <v>3115</v>
      </c>
    </row>
    <row r="1833" spans="1:62" x14ac:dyDescent="0.25">
      <c r="A1833" t="s">
        <v>3116</v>
      </c>
      <c r="AX1833" t="s">
        <v>3117</v>
      </c>
      <c r="BJ1833">
        <v>1.8</v>
      </c>
    </row>
    <row r="1834" spans="1:62" x14ac:dyDescent="0.25">
      <c r="A1834" t="s">
        <v>3118</v>
      </c>
      <c r="AX1834" t="s">
        <v>3119</v>
      </c>
      <c r="BJ1834">
        <v>1.53</v>
      </c>
    </row>
    <row r="1835" spans="1:62" x14ac:dyDescent="0.25">
      <c r="A1835" t="s">
        <v>3120</v>
      </c>
      <c r="AX1835" t="s">
        <v>3121</v>
      </c>
      <c r="BJ1835">
        <v>1.25</v>
      </c>
    </row>
    <row r="1836" spans="1:62" x14ac:dyDescent="0.25">
      <c r="A1836" t="s">
        <v>3122</v>
      </c>
      <c r="AX1836" t="s">
        <v>3123</v>
      </c>
      <c r="BJ1836">
        <v>1.65</v>
      </c>
    </row>
    <row r="1837" spans="1:62" x14ac:dyDescent="0.25">
      <c r="A1837" t="s">
        <v>3124</v>
      </c>
      <c r="AX1837" t="s">
        <v>3125</v>
      </c>
      <c r="BJ1837">
        <v>1.57</v>
      </c>
    </row>
    <row r="1838" spans="1:62" x14ac:dyDescent="0.25">
      <c r="A1838" t="s">
        <v>3126</v>
      </c>
      <c r="AX1838" t="s">
        <v>3127</v>
      </c>
      <c r="BJ1838">
        <v>1.57</v>
      </c>
    </row>
    <row r="1839" spans="1:62" x14ac:dyDescent="0.25">
      <c r="A1839" t="s">
        <v>3128</v>
      </c>
      <c r="AX1839" t="s">
        <v>3129</v>
      </c>
      <c r="BJ1839">
        <v>2.48</v>
      </c>
    </row>
    <row r="1841" spans="1:110" x14ac:dyDescent="0.25">
      <c r="A1841" t="s">
        <v>3130</v>
      </c>
    </row>
    <row r="1845" spans="1:110" x14ac:dyDescent="0.25">
      <c r="A1845" t="s">
        <v>3131</v>
      </c>
    </row>
    <row r="1846" spans="1:110" x14ac:dyDescent="0.25">
      <c r="A1846" t="s">
        <v>3132</v>
      </c>
    </row>
    <row r="1847" spans="1:110" x14ac:dyDescent="0.25">
      <c r="A1847" t="s">
        <v>3133</v>
      </c>
    </row>
    <row r="1848" spans="1:110" x14ac:dyDescent="0.25">
      <c r="A1848" t="s">
        <v>3134</v>
      </c>
    </row>
    <row r="1849" spans="1:110" x14ac:dyDescent="0.25">
      <c r="A1849" t="s">
        <v>3135</v>
      </c>
      <c r="L1849" t="s">
        <v>3136</v>
      </c>
      <c r="X1849" t="s">
        <v>3137</v>
      </c>
      <c r="AH1849" t="s">
        <v>3138</v>
      </c>
      <c r="AM1849" t="s">
        <v>3139</v>
      </c>
      <c r="AT1849" t="s">
        <v>3140</v>
      </c>
      <c r="BE1849" t="s">
        <v>3141</v>
      </c>
      <c r="BM1849" t="s">
        <v>3142</v>
      </c>
      <c r="BZ1849" t="s">
        <v>3143</v>
      </c>
      <c r="CM1849" t="s">
        <v>3144</v>
      </c>
      <c r="CW1849" t="s">
        <v>3145</v>
      </c>
      <c r="DB1849" t="s">
        <v>3146</v>
      </c>
    </row>
    <row r="1850" spans="1:110" x14ac:dyDescent="0.25">
      <c r="X1850" t="s">
        <v>2424</v>
      </c>
      <c r="AH1850" t="s">
        <v>2324</v>
      </c>
      <c r="AM1850" t="s">
        <v>3147</v>
      </c>
      <c r="AT1850" t="s">
        <v>3148</v>
      </c>
      <c r="BE1850" t="s">
        <v>3147</v>
      </c>
      <c r="BM1850" t="s">
        <v>3148</v>
      </c>
      <c r="BZ1850" t="s">
        <v>3149</v>
      </c>
      <c r="CM1850" t="s">
        <v>3150</v>
      </c>
      <c r="CW1850" t="s">
        <v>3150</v>
      </c>
      <c r="DB1850" t="s">
        <v>3150</v>
      </c>
      <c r="DF1850" t="s">
        <v>3151</v>
      </c>
    </row>
    <row r="1851" spans="1:110" x14ac:dyDescent="0.25">
      <c r="A1851" t="s">
        <v>3152</v>
      </c>
    </row>
    <row r="1852" spans="1:110" x14ac:dyDescent="0.25">
      <c r="A1852" t="s">
        <v>3153</v>
      </c>
    </row>
    <row r="1853" spans="1:110" x14ac:dyDescent="0.25">
      <c r="L1853" t="s">
        <v>3154</v>
      </c>
      <c r="X1853" t="s">
        <v>3155</v>
      </c>
      <c r="AH1853" t="s">
        <v>2440</v>
      </c>
      <c r="AM1853" t="s">
        <v>3156</v>
      </c>
      <c r="AT1853" t="s">
        <v>3157</v>
      </c>
      <c r="BE1853">
        <v>53</v>
      </c>
      <c r="BM1853" t="s">
        <v>3158</v>
      </c>
      <c r="BZ1853" t="s">
        <v>3159</v>
      </c>
      <c r="CM1853">
        <v>5.19</v>
      </c>
      <c r="CW1853">
        <v>834</v>
      </c>
      <c r="DB1853" t="s">
        <v>3160</v>
      </c>
      <c r="DF1853" t="s">
        <v>3161</v>
      </c>
    </row>
    <row r="1854" spans="1:110" x14ac:dyDescent="0.25">
      <c r="L1854" t="s">
        <v>3162</v>
      </c>
      <c r="X1854" t="s">
        <v>3163</v>
      </c>
      <c r="AH1854" t="s">
        <v>2440</v>
      </c>
      <c r="AM1854" t="s">
        <v>3164</v>
      </c>
      <c r="AT1854" t="s">
        <v>3165</v>
      </c>
      <c r="BE1854">
        <v>54</v>
      </c>
      <c r="BM1854" t="s">
        <v>3166</v>
      </c>
      <c r="BZ1854" t="s">
        <v>3159</v>
      </c>
      <c r="CM1854">
        <v>5.19</v>
      </c>
      <c r="CW1854">
        <v>885</v>
      </c>
      <c r="DB1854" t="s">
        <v>3167</v>
      </c>
      <c r="DF1854" t="s">
        <v>3168</v>
      </c>
    </row>
    <row r="1855" spans="1:110" x14ac:dyDescent="0.25">
      <c r="L1855" t="s">
        <v>3169</v>
      </c>
      <c r="X1855" t="s">
        <v>3170</v>
      </c>
      <c r="AH1855" t="s">
        <v>2440</v>
      </c>
      <c r="AM1855" t="s">
        <v>3171</v>
      </c>
      <c r="AT1855" t="s">
        <v>3172</v>
      </c>
      <c r="BE1855">
        <v>56</v>
      </c>
      <c r="BM1855" t="s">
        <v>3173</v>
      </c>
      <c r="BZ1855" t="s">
        <v>3159</v>
      </c>
      <c r="CM1855">
        <v>5.19</v>
      </c>
      <c r="CW1855" t="s">
        <v>1193</v>
      </c>
      <c r="DB1855" t="s">
        <v>3174</v>
      </c>
      <c r="DF1855" t="s">
        <v>3175</v>
      </c>
    </row>
    <row r="1856" spans="1:110" x14ac:dyDescent="0.25">
      <c r="L1856" t="s">
        <v>3176</v>
      </c>
      <c r="X1856" t="s">
        <v>3177</v>
      </c>
      <c r="AH1856" t="s">
        <v>2440</v>
      </c>
      <c r="AM1856" t="s">
        <v>3178</v>
      </c>
      <c r="AT1856" t="s">
        <v>3172</v>
      </c>
      <c r="BE1856">
        <v>58</v>
      </c>
      <c r="BM1856" t="s">
        <v>3179</v>
      </c>
      <c r="BZ1856" t="s">
        <v>3159</v>
      </c>
      <c r="CM1856">
        <v>5.19</v>
      </c>
      <c r="CW1856" t="s">
        <v>1195</v>
      </c>
      <c r="DB1856" t="s">
        <v>3180</v>
      </c>
      <c r="DF1856" t="s">
        <v>3181</v>
      </c>
    </row>
    <row r="1857" spans="1:110" x14ac:dyDescent="0.25">
      <c r="A1857" t="s">
        <v>3182</v>
      </c>
    </row>
    <row r="1858" spans="1:110" x14ac:dyDescent="0.25">
      <c r="L1858" t="s">
        <v>3183</v>
      </c>
      <c r="X1858" t="s">
        <v>3184</v>
      </c>
      <c r="AH1858" t="s">
        <v>2440</v>
      </c>
      <c r="AM1858" t="s">
        <v>3185</v>
      </c>
      <c r="AT1858" t="s">
        <v>3186</v>
      </c>
      <c r="BE1858" t="s">
        <v>2324</v>
      </c>
      <c r="BM1858" t="s">
        <v>2324</v>
      </c>
      <c r="BZ1858" t="s">
        <v>3187</v>
      </c>
      <c r="CM1858">
        <v>1.19</v>
      </c>
      <c r="CW1858">
        <v>177</v>
      </c>
      <c r="DB1858">
        <v>295</v>
      </c>
      <c r="DF1858">
        <v>354</v>
      </c>
    </row>
    <row r="1859" spans="1:110" x14ac:dyDescent="0.25">
      <c r="L1859" t="s">
        <v>3188</v>
      </c>
      <c r="X1859" t="s">
        <v>3184</v>
      </c>
      <c r="AH1859" t="s">
        <v>2440</v>
      </c>
      <c r="AM1859" t="s">
        <v>2324</v>
      </c>
      <c r="AT1859" t="s">
        <v>2324</v>
      </c>
      <c r="BE1859">
        <v>50</v>
      </c>
      <c r="BM1859" t="s">
        <v>3189</v>
      </c>
      <c r="BZ1859" t="s">
        <v>3190</v>
      </c>
      <c r="CM1859">
        <v>4</v>
      </c>
      <c r="CW1859">
        <v>288</v>
      </c>
      <c r="DB1859">
        <v>480</v>
      </c>
      <c r="DF1859">
        <v>576</v>
      </c>
    </row>
    <row r="1860" spans="1:110" x14ac:dyDescent="0.25">
      <c r="BM1860" t="s">
        <v>1403</v>
      </c>
      <c r="CM1860">
        <v>5.19</v>
      </c>
      <c r="CW1860">
        <v>465</v>
      </c>
      <c r="DB1860">
        <v>775</v>
      </c>
      <c r="DF1860">
        <v>930</v>
      </c>
    </row>
    <row r="1861" spans="1:110" x14ac:dyDescent="0.25">
      <c r="L1861" t="s">
        <v>3191</v>
      </c>
      <c r="X1861" t="s">
        <v>3192</v>
      </c>
      <c r="AH1861" t="s">
        <v>2440</v>
      </c>
      <c r="AM1861" t="s">
        <v>3193</v>
      </c>
      <c r="AT1861" t="s">
        <v>3186</v>
      </c>
      <c r="BE1861" t="s">
        <v>2324</v>
      </c>
      <c r="BM1861" t="s">
        <v>2324</v>
      </c>
      <c r="BZ1861" t="s">
        <v>3187</v>
      </c>
      <c r="CM1861">
        <v>1.19</v>
      </c>
      <c r="CW1861">
        <v>189</v>
      </c>
      <c r="DB1861">
        <v>315</v>
      </c>
      <c r="DF1861">
        <v>378</v>
      </c>
    </row>
    <row r="1862" spans="1:110" x14ac:dyDescent="0.25">
      <c r="L1862" t="s">
        <v>3194</v>
      </c>
      <c r="X1862" t="s">
        <v>3192</v>
      </c>
      <c r="AH1862" t="s">
        <v>2440</v>
      </c>
      <c r="AM1862" t="s">
        <v>2324</v>
      </c>
      <c r="AT1862" t="s">
        <v>2324</v>
      </c>
      <c r="BE1862">
        <v>52</v>
      </c>
      <c r="BM1862" t="s">
        <v>3195</v>
      </c>
      <c r="BZ1862" t="s">
        <v>3190</v>
      </c>
      <c r="CM1862">
        <v>4</v>
      </c>
      <c r="CW1862">
        <v>306</v>
      </c>
      <c r="DB1862">
        <v>510</v>
      </c>
      <c r="DF1862">
        <v>612</v>
      </c>
    </row>
    <row r="1863" spans="1:110" x14ac:dyDescent="0.25">
      <c r="BM1863" t="s">
        <v>1403</v>
      </c>
      <c r="CM1863">
        <v>5.19</v>
      </c>
      <c r="CW1863">
        <v>495</v>
      </c>
      <c r="DB1863">
        <v>825</v>
      </c>
      <c r="DF1863">
        <v>990</v>
      </c>
    </row>
    <row r="1864" spans="1:110" x14ac:dyDescent="0.25">
      <c r="L1864" t="s">
        <v>3196</v>
      </c>
      <c r="X1864" t="s">
        <v>3170</v>
      </c>
      <c r="AH1864" t="s">
        <v>2440</v>
      </c>
      <c r="AM1864" t="s">
        <v>3197</v>
      </c>
      <c r="AT1864" t="s">
        <v>3198</v>
      </c>
      <c r="BE1864" t="s">
        <v>2324</v>
      </c>
      <c r="BM1864" t="s">
        <v>2324</v>
      </c>
      <c r="BZ1864" t="s">
        <v>3187</v>
      </c>
      <c r="CM1864">
        <v>1.19</v>
      </c>
      <c r="CW1864">
        <v>250</v>
      </c>
      <c r="DB1864">
        <v>417</v>
      </c>
      <c r="DF1864">
        <v>500</v>
      </c>
    </row>
    <row r="1865" spans="1:110" x14ac:dyDescent="0.25">
      <c r="L1865" t="s">
        <v>3199</v>
      </c>
      <c r="X1865" t="s">
        <v>3170</v>
      </c>
      <c r="AH1865" t="s">
        <v>2440</v>
      </c>
      <c r="AM1865" t="s">
        <v>2324</v>
      </c>
      <c r="AT1865" t="s">
        <v>2324</v>
      </c>
      <c r="BE1865">
        <v>57</v>
      </c>
      <c r="BM1865" t="s">
        <v>3200</v>
      </c>
      <c r="BZ1865" t="s">
        <v>3190</v>
      </c>
      <c r="CM1865">
        <v>4</v>
      </c>
      <c r="CW1865">
        <v>540</v>
      </c>
      <c r="DB1865">
        <v>900</v>
      </c>
      <c r="DF1865" t="s">
        <v>3201</v>
      </c>
    </row>
    <row r="1866" spans="1:110" x14ac:dyDescent="0.25">
      <c r="BM1866" t="s">
        <v>1403</v>
      </c>
      <c r="CM1866">
        <v>5.19</v>
      </c>
      <c r="CW1866">
        <v>790</v>
      </c>
      <c r="DB1866" t="s">
        <v>3202</v>
      </c>
      <c r="DF1866" t="s">
        <v>3203</v>
      </c>
    </row>
    <row r="1867" spans="1:110" x14ac:dyDescent="0.25">
      <c r="L1867" t="s">
        <v>3204</v>
      </c>
      <c r="X1867" t="s">
        <v>3205</v>
      </c>
      <c r="AH1867" t="s">
        <v>2440</v>
      </c>
      <c r="AM1867" t="s">
        <v>3206</v>
      </c>
      <c r="AT1867" t="s">
        <v>3207</v>
      </c>
      <c r="BE1867" t="s">
        <v>2324</v>
      </c>
      <c r="BM1867" t="s">
        <v>2324</v>
      </c>
      <c r="BZ1867" t="s">
        <v>3187</v>
      </c>
      <c r="CM1867">
        <v>1.19</v>
      </c>
      <c r="CW1867">
        <v>295</v>
      </c>
      <c r="DB1867">
        <v>492</v>
      </c>
      <c r="DF1867">
        <v>590</v>
      </c>
    </row>
    <row r="1868" spans="1:110" x14ac:dyDescent="0.25">
      <c r="L1868" t="s">
        <v>3208</v>
      </c>
      <c r="X1868" t="s">
        <v>3205</v>
      </c>
      <c r="AH1868" t="s">
        <v>2440</v>
      </c>
      <c r="AM1868" t="s">
        <v>2324</v>
      </c>
      <c r="AT1868" t="s">
        <v>2324</v>
      </c>
      <c r="BE1868">
        <v>59</v>
      </c>
      <c r="BM1868" t="s">
        <v>3209</v>
      </c>
      <c r="BZ1868" t="s">
        <v>3190</v>
      </c>
      <c r="CM1868">
        <v>4</v>
      </c>
      <c r="CW1868">
        <v>645</v>
      </c>
      <c r="DB1868" t="s">
        <v>3210</v>
      </c>
      <c r="DF1868" t="s">
        <v>3211</v>
      </c>
    </row>
    <row r="1869" spans="1:110" x14ac:dyDescent="0.25">
      <c r="BM1869" t="s">
        <v>1403</v>
      </c>
      <c r="CM1869">
        <v>5.19</v>
      </c>
      <c r="CW1869">
        <v>940</v>
      </c>
      <c r="DB1869" t="s">
        <v>3212</v>
      </c>
      <c r="DF1869" t="s">
        <v>3213</v>
      </c>
    </row>
    <row r="1870" spans="1:110" x14ac:dyDescent="0.25">
      <c r="A1870" t="s">
        <v>3214</v>
      </c>
    </row>
    <row r="1871" spans="1:110" x14ac:dyDescent="0.25">
      <c r="L1871" t="s">
        <v>3215</v>
      </c>
      <c r="X1871" t="s">
        <v>3184</v>
      </c>
      <c r="AH1871" t="s">
        <v>2440</v>
      </c>
      <c r="AM1871" t="s">
        <v>3185</v>
      </c>
      <c r="AT1871" t="s">
        <v>3186</v>
      </c>
      <c r="BE1871" t="s">
        <v>2324</v>
      </c>
      <c r="BM1871" t="s">
        <v>2324</v>
      </c>
      <c r="BZ1871" t="s">
        <v>3187</v>
      </c>
      <c r="CM1871">
        <v>1.19</v>
      </c>
      <c r="CW1871">
        <v>177</v>
      </c>
      <c r="DB1871">
        <v>295</v>
      </c>
      <c r="DF1871">
        <v>354</v>
      </c>
    </row>
    <row r="1872" spans="1:110" x14ac:dyDescent="0.25">
      <c r="L1872" t="s">
        <v>3188</v>
      </c>
      <c r="X1872" t="s">
        <v>3184</v>
      </c>
      <c r="AH1872" t="s">
        <v>2440</v>
      </c>
      <c r="AM1872" t="s">
        <v>2324</v>
      </c>
      <c r="AT1872" t="s">
        <v>2324</v>
      </c>
      <c r="BE1872">
        <v>50</v>
      </c>
      <c r="BM1872" t="s">
        <v>3189</v>
      </c>
      <c r="BZ1872" t="s">
        <v>3190</v>
      </c>
      <c r="CM1872">
        <v>4</v>
      </c>
      <c r="CW1872">
        <v>288</v>
      </c>
      <c r="DB1872">
        <v>480</v>
      </c>
      <c r="DF1872">
        <v>576</v>
      </c>
    </row>
    <row r="1873" spans="1:110" x14ac:dyDescent="0.25">
      <c r="BM1873" t="s">
        <v>1403</v>
      </c>
      <c r="CM1873">
        <v>5.19</v>
      </c>
      <c r="CW1873">
        <v>465</v>
      </c>
      <c r="DB1873">
        <v>775</v>
      </c>
      <c r="DF1873">
        <v>930</v>
      </c>
    </row>
    <row r="1874" spans="1:110" x14ac:dyDescent="0.25">
      <c r="L1874" t="s">
        <v>3216</v>
      </c>
      <c r="X1874" t="s">
        <v>3192</v>
      </c>
      <c r="AH1874" t="s">
        <v>2440</v>
      </c>
      <c r="AM1874" t="s">
        <v>3193</v>
      </c>
      <c r="AT1874" t="s">
        <v>3186</v>
      </c>
      <c r="BE1874" t="s">
        <v>2324</v>
      </c>
      <c r="BM1874" t="s">
        <v>2324</v>
      </c>
      <c r="BZ1874" t="s">
        <v>3187</v>
      </c>
      <c r="CM1874">
        <v>1.19</v>
      </c>
      <c r="CW1874">
        <v>189</v>
      </c>
      <c r="DB1874">
        <v>315</v>
      </c>
      <c r="DF1874">
        <v>378</v>
      </c>
    </row>
    <row r="1875" spans="1:110" x14ac:dyDescent="0.25">
      <c r="L1875" t="s">
        <v>3194</v>
      </c>
      <c r="X1875" t="s">
        <v>3192</v>
      </c>
      <c r="AH1875" t="s">
        <v>2440</v>
      </c>
      <c r="AM1875" t="s">
        <v>2324</v>
      </c>
      <c r="AT1875" t="s">
        <v>2324</v>
      </c>
      <c r="BE1875">
        <v>52</v>
      </c>
      <c r="BM1875" t="s">
        <v>3195</v>
      </c>
      <c r="BZ1875" t="s">
        <v>3190</v>
      </c>
      <c r="CM1875">
        <v>4</v>
      </c>
      <c r="CW1875">
        <v>306</v>
      </c>
      <c r="DB1875">
        <v>510</v>
      </c>
      <c r="DF1875">
        <v>612</v>
      </c>
    </row>
    <row r="1876" spans="1:110" x14ac:dyDescent="0.25">
      <c r="BM1876" t="s">
        <v>1403</v>
      </c>
      <c r="CM1876">
        <v>5.19</v>
      </c>
      <c r="CW1876">
        <v>495</v>
      </c>
      <c r="DB1876">
        <v>825</v>
      </c>
      <c r="DF1876">
        <v>990</v>
      </c>
    </row>
    <row r="1877" spans="1:110" x14ac:dyDescent="0.25">
      <c r="L1877" t="s">
        <v>3217</v>
      </c>
      <c r="X1877" t="s">
        <v>3170</v>
      </c>
      <c r="AH1877" t="s">
        <v>2440</v>
      </c>
      <c r="AM1877" t="s">
        <v>3197</v>
      </c>
      <c r="AT1877" t="s">
        <v>3198</v>
      </c>
      <c r="BE1877" t="s">
        <v>2324</v>
      </c>
      <c r="BM1877" t="s">
        <v>2324</v>
      </c>
      <c r="BZ1877" t="s">
        <v>3187</v>
      </c>
      <c r="CM1877">
        <v>1.19</v>
      </c>
      <c r="CW1877">
        <v>250</v>
      </c>
      <c r="DB1877">
        <v>417</v>
      </c>
      <c r="DF1877">
        <v>500</v>
      </c>
    </row>
    <row r="1878" spans="1:110" x14ac:dyDescent="0.25">
      <c r="L1878" t="s">
        <v>3199</v>
      </c>
      <c r="X1878" t="s">
        <v>3170</v>
      </c>
      <c r="AH1878" t="s">
        <v>2440</v>
      </c>
      <c r="AM1878" t="s">
        <v>2324</v>
      </c>
      <c r="AT1878" t="s">
        <v>2324</v>
      </c>
      <c r="BE1878">
        <v>57</v>
      </c>
      <c r="BM1878" t="s">
        <v>3200</v>
      </c>
      <c r="BZ1878" t="s">
        <v>3187</v>
      </c>
      <c r="CM1878">
        <v>1.19</v>
      </c>
      <c r="CW1878">
        <v>540</v>
      </c>
      <c r="DB1878">
        <v>900</v>
      </c>
      <c r="DF1878" t="s">
        <v>3201</v>
      </c>
    </row>
    <row r="1879" spans="1:110" x14ac:dyDescent="0.25">
      <c r="BM1879" t="s">
        <v>1403</v>
      </c>
      <c r="CM1879">
        <v>2.38</v>
      </c>
      <c r="CW1879">
        <v>790</v>
      </c>
      <c r="DB1879" t="s">
        <v>3202</v>
      </c>
      <c r="DF1879" t="s">
        <v>3203</v>
      </c>
    </row>
    <row r="1880" spans="1:110" x14ac:dyDescent="0.25">
      <c r="L1880" t="s">
        <v>3218</v>
      </c>
      <c r="X1880" t="s">
        <v>3205</v>
      </c>
      <c r="AH1880" t="s">
        <v>2440</v>
      </c>
      <c r="AM1880" t="s">
        <v>3206</v>
      </c>
      <c r="AT1880" t="s">
        <v>3207</v>
      </c>
      <c r="BE1880" t="s">
        <v>2324</v>
      </c>
      <c r="BM1880" t="s">
        <v>2324</v>
      </c>
      <c r="BZ1880" t="s">
        <v>3187</v>
      </c>
      <c r="CM1880">
        <v>1.19</v>
      </c>
      <c r="CW1880">
        <v>295</v>
      </c>
      <c r="DB1880">
        <v>492</v>
      </c>
      <c r="DF1880">
        <v>590</v>
      </c>
    </row>
    <row r="1881" spans="1:110" x14ac:dyDescent="0.25">
      <c r="L1881" t="s">
        <v>3208</v>
      </c>
      <c r="X1881" t="s">
        <v>3205</v>
      </c>
      <c r="AH1881" t="s">
        <v>2440</v>
      </c>
      <c r="AM1881" t="s">
        <v>2324</v>
      </c>
      <c r="AT1881" t="s">
        <v>2324</v>
      </c>
      <c r="BE1881">
        <v>59</v>
      </c>
      <c r="BM1881" t="s">
        <v>3209</v>
      </c>
      <c r="BZ1881" t="s">
        <v>3187</v>
      </c>
      <c r="CM1881">
        <v>1.19</v>
      </c>
      <c r="CW1881">
        <v>645</v>
      </c>
      <c r="DB1881" t="s">
        <v>3210</v>
      </c>
      <c r="DF1881" t="s">
        <v>3211</v>
      </c>
    </row>
    <row r="1882" spans="1:110" x14ac:dyDescent="0.25">
      <c r="BM1882" t="s">
        <v>1403</v>
      </c>
      <c r="CM1882">
        <v>2.38</v>
      </c>
      <c r="CW1882">
        <v>940</v>
      </c>
      <c r="DB1882" t="s">
        <v>3212</v>
      </c>
      <c r="DF1882" t="s">
        <v>3213</v>
      </c>
    </row>
    <row r="1883" spans="1:110" x14ac:dyDescent="0.25">
      <c r="A1883" t="s">
        <v>3219</v>
      </c>
    </row>
    <row r="1884" spans="1:110" x14ac:dyDescent="0.25">
      <c r="L1884" t="s">
        <v>3220</v>
      </c>
      <c r="X1884" t="s">
        <v>3184</v>
      </c>
      <c r="AH1884" t="s">
        <v>2440</v>
      </c>
      <c r="AM1884" t="s">
        <v>3221</v>
      </c>
      <c r="AT1884" t="s">
        <v>3222</v>
      </c>
      <c r="BE1884" t="s">
        <v>2324</v>
      </c>
      <c r="BM1884" t="s">
        <v>2324</v>
      </c>
      <c r="BZ1884" t="s">
        <v>3187</v>
      </c>
      <c r="CM1884">
        <v>1.19</v>
      </c>
      <c r="CW1884">
        <v>200</v>
      </c>
      <c r="DB1884">
        <v>336</v>
      </c>
      <c r="DF1884">
        <v>403</v>
      </c>
    </row>
    <row r="1885" spans="1:110" x14ac:dyDescent="0.25">
      <c r="L1885" t="s">
        <v>1223</v>
      </c>
      <c r="X1885" t="s">
        <v>3184</v>
      </c>
      <c r="AH1885" t="s">
        <v>2440</v>
      </c>
      <c r="AM1885" t="s">
        <v>2324</v>
      </c>
      <c r="AT1885" t="s">
        <v>2324</v>
      </c>
      <c r="BE1885">
        <v>50</v>
      </c>
      <c r="BM1885" t="s">
        <v>3223</v>
      </c>
      <c r="BZ1885" t="s">
        <v>3187</v>
      </c>
      <c r="CM1885">
        <v>1.19</v>
      </c>
      <c r="CW1885">
        <v>333</v>
      </c>
      <c r="DB1885">
        <v>557</v>
      </c>
      <c r="DF1885">
        <v>668</v>
      </c>
    </row>
    <row r="1886" spans="1:110" x14ac:dyDescent="0.25">
      <c r="BM1886" t="s">
        <v>1403</v>
      </c>
      <c r="CM1886">
        <v>2.38</v>
      </c>
      <c r="CW1886">
        <v>533</v>
      </c>
      <c r="DB1886">
        <v>893</v>
      </c>
      <c r="DF1886" t="s">
        <v>3224</v>
      </c>
    </row>
    <row r="1887" spans="1:110" x14ac:dyDescent="0.25">
      <c r="L1887" t="s">
        <v>3225</v>
      </c>
      <c r="X1887" t="s">
        <v>3192</v>
      </c>
      <c r="AH1887" t="s">
        <v>2440</v>
      </c>
      <c r="AM1887" t="s">
        <v>3226</v>
      </c>
      <c r="AT1887" t="s">
        <v>3222</v>
      </c>
      <c r="BE1887" t="s">
        <v>2324</v>
      </c>
      <c r="BM1887" t="s">
        <v>2324</v>
      </c>
      <c r="BZ1887" t="s">
        <v>3187</v>
      </c>
      <c r="CM1887">
        <v>1.19</v>
      </c>
      <c r="CW1887">
        <v>210</v>
      </c>
      <c r="DB1887">
        <v>352</v>
      </c>
      <c r="DF1887">
        <v>422</v>
      </c>
    </row>
    <row r="1888" spans="1:110" x14ac:dyDescent="0.25">
      <c r="L1888" t="s">
        <v>1225</v>
      </c>
      <c r="X1888" t="s">
        <v>3192</v>
      </c>
      <c r="AH1888" t="s">
        <v>2440</v>
      </c>
      <c r="AM1888" t="s">
        <v>2324</v>
      </c>
      <c r="AT1888" t="s">
        <v>2324</v>
      </c>
      <c r="BE1888">
        <v>52</v>
      </c>
      <c r="BM1888" t="s">
        <v>3227</v>
      </c>
      <c r="BZ1888" t="s">
        <v>3187</v>
      </c>
      <c r="CM1888">
        <v>1.19</v>
      </c>
      <c r="CW1888">
        <v>357</v>
      </c>
      <c r="DB1888">
        <v>599</v>
      </c>
      <c r="DF1888">
        <v>719</v>
      </c>
    </row>
    <row r="1889" spans="1:110" x14ac:dyDescent="0.25">
      <c r="BM1889" t="s">
        <v>1403</v>
      </c>
      <c r="CM1889">
        <v>2.38</v>
      </c>
      <c r="CW1889">
        <v>567</v>
      </c>
      <c r="DB1889">
        <v>951</v>
      </c>
      <c r="DF1889" t="s">
        <v>3228</v>
      </c>
    </row>
    <row r="1890" spans="1:110" x14ac:dyDescent="0.25">
      <c r="L1890" t="s">
        <v>3229</v>
      </c>
      <c r="X1890" t="s">
        <v>3230</v>
      </c>
      <c r="AH1890" t="s">
        <v>2440</v>
      </c>
      <c r="AM1890" t="s">
        <v>3231</v>
      </c>
      <c r="AT1890" t="s">
        <v>3232</v>
      </c>
      <c r="BE1890" t="s">
        <v>2324</v>
      </c>
      <c r="BM1890" t="s">
        <v>2324</v>
      </c>
      <c r="BZ1890" t="s">
        <v>3187</v>
      </c>
      <c r="CM1890">
        <v>1.19</v>
      </c>
      <c r="CW1890">
        <v>264</v>
      </c>
      <c r="DB1890">
        <v>444</v>
      </c>
      <c r="DF1890">
        <v>533</v>
      </c>
    </row>
    <row r="1891" spans="1:110" x14ac:dyDescent="0.25">
      <c r="L1891" t="s">
        <v>1227</v>
      </c>
      <c r="X1891" t="s">
        <v>3230</v>
      </c>
      <c r="AH1891" t="s">
        <v>2440</v>
      </c>
      <c r="AM1891" t="s">
        <v>2324</v>
      </c>
      <c r="AT1891" t="s">
        <v>2324</v>
      </c>
      <c r="BE1891">
        <v>56</v>
      </c>
      <c r="BM1891" t="s">
        <v>3233</v>
      </c>
      <c r="BZ1891" t="s">
        <v>3187</v>
      </c>
      <c r="CM1891">
        <v>1.19</v>
      </c>
      <c r="CW1891">
        <v>605</v>
      </c>
      <c r="DB1891" t="s">
        <v>3234</v>
      </c>
      <c r="DF1891" t="s">
        <v>3235</v>
      </c>
    </row>
    <row r="1892" spans="1:110" x14ac:dyDescent="0.25">
      <c r="BM1892" t="s">
        <v>1403</v>
      </c>
      <c r="CM1892">
        <v>2.38</v>
      </c>
      <c r="CW1892">
        <v>869</v>
      </c>
      <c r="DB1892" t="s">
        <v>3236</v>
      </c>
      <c r="DF1892" t="s">
        <v>3237</v>
      </c>
    </row>
    <row r="1893" spans="1:110" x14ac:dyDescent="0.25">
      <c r="L1893" t="s">
        <v>3238</v>
      </c>
      <c r="X1893" t="s">
        <v>3239</v>
      </c>
      <c r="AH1893" t="s">
        <v>2440</v>
      </c>
      <c r="AM1893" t="s">
        <v>3206</v>
      </c>
      <c r="AT1893" t="s">
        <v>3240</v>
      </c>
      <c r="BE1893" t="s">
        <v>2324</v>
      </c>
      <c r="BM1893" t="s">
        <v>2324</v>
      </c>
      <c r="BZ1893" t="s">
        <v>3187</v>
      </c>
      <c r="CM1893">
        <v>1.19</v>
      </c>
      <c r="CW1893">
        <v>320</v>
      </c>
      <c r="DB1893">
        <v>535</v>
      </c>
      <c r="DF1893">
        <v>642</v>
      </c>
    </row>
    <row r="1894" spans="1:110" x14ac:dyDescent="0.25">
      <c r="L1894" t="s">
        <v>1229</v>
      </c>
      <c r="X1894" t="s">
        <v>3239</v>
      </c>
      <c r="AH1894" t="s">
        <v>2440</v>
      </c>
      <c r="AM1894" t="s">
        <v>2324</v>
      </c>
      <c r="AT1894" t="s">
        <v>2324</v>
      </c>
      <c r="BE1894">
        <v>59</v>
      </c>
      <c r="BM1894" t="s">
        <v>3241</v>
      </c>
      <c r="BZ1894" t="s">
        <v>3187</v>
      </c>
      <c r="CM1894">
        <v>1.19</v>
      </c>
      <c r="CW1894">
        <v>709</v>
      </c>
      <c r="DB1894" t="s">
        <v>3242</v>
      </c>
      <c r="DF1894" t="s">
        <v>3243</v>
      </c>
    </row>
    <row r="1895" spans="1:110" x14ac:dyDescent="0.25">
      <c r="BM1895" t="s">
        <v>1403</v>
      </c>
      <c r="CM1895">
        <v>2.38</v>
      </c>
      <c r="CW1895" t="s">
        <v>3244</v>
      </c>
      <c r="DB1895" t="s">
        <v>3245</v>
      </c>
      <c r="DF1895" t="s">
        <v>3246</v>
      </c>
    </row>
    <row r="1896" spans="1:110" x14ac:dyDescent="0.25">
      <c r="A1896" t="s">
        <v>3247</v>
      </c>
    </row>
    <row r="1897" spans="1:110" x14ac:dyDescent="0.25">
      <c r="A1897" t="s">
        <v>3133</v>
      </c>
    </row>
    <row r="1898" spans="1:110" x14ac:dyDescent="0.25">
      <c r="A1898" t="s">
        <v>3134</v>
      </c>
    </row>
    <row r="1899" spans="1:110" x14ac:dyDescent="0.25">
      <c r="A1899" t="s">
        <v>3135</v>
      </c>
      <c r="L1899" t="s">
        <v>3136</v>
      </c>
      <c r="X1899" t="s">
        <v>3137</v>
      </c>
      <c r="AH1899" t="s">
        <v>3138</v>
      </c>
      <c r="AM1899" t="s">
        <v>3139</v>
      </c>
      <c r="AT1899" t="s">
        <v>3140</v>
      </c>
      <c r="BE1899" t="s">
        <v>3141</v>
      </c>
      <c r="BM1899" t="s">
        <v>3142</v>
      </c>
      <c r="BZ1899" t="s">
        <v>3143</v>
      </c>
      <c r="CM1899" t="s">
        <v>3144</v>
      </c>
      <c r="CW1899" t="s">
        <v>3145</v>
      </c>
      <c r="DB1899" t="s">
        <v>3146</v>
      </c>
    </row>
    <row r="1900" spans="1:110" x14ac:dyDescent="0.25">
      <c r="X1900" t="s">
        <v>2424</v>
      </c>
      <c r="AH1900" t="s">
        <v>2324</v>
      </c>
      <c r="AM1900" t="s">
        <v>3147</v>
      </c>
      <c r="AT1900" t="s">
        <v>3148</v>
      </c>
      <c r="BE1900" t="s">
        <v>3147</v>
      </c>
      <c r="BM1900" t="s">
        <v>3148</v>
      </c>
      <c r="BZ1900" t="s">
        <v>3149</v>
      </c>
      <c r="CM1900" t="s">
        <v>3150</v>
      </c>
      <c r="CW1900" t="s">
        <v>3150</v>
      </c>
      <c r="DB1900" t="s">
        <v>3150</v>
      </c>
      <c r="DF1900" t="s">
        <v>3151</v>
      </c>
    </row>
    <row r="1901" spans="1:110" x14ac:dyDescent="0.25">
      <c r="A1901" t="s">
        <v>3248</v>
      </c>
    </row>
    <row r="1902" spans="1:110" x14ac:dyDescent="0.25">
      <c r="L1902" t="s">
        <v>1222</v>
      </c>
      <c r="X1902" t="s">
        <v>3184</v>
      </c>
      <c r="AH1902" t="s">
        <v>2440</v>
      </c>
      <c r="AM1902" t="s">
        <v>3221</v>
      </c>
      <c r="AT1902" t="s">
        <v>3222</v>
      </c>
      <c r="BE1902" t="s">
        <v>2324</v>
      </c>
      <c r="BM1902" t="s">
        <v>2324</v>
      </c>
      <c r="BZ1902" t="s">
        <v>3187</v>
      </c>
      <c r="CM1902">
        <v>1.19</v>
      </c>
      <c r="CW1902">
        <v>180</v>
      </c>
      <c r="DB1902">
        <v>300</v>
      </c>
      <c r="DF1902">
        <v>360</v>
      </c>
    </row>
    <row r="1903" spans="1:110" x14ac:dyDescent="0.25">
      <c r="L1903" t="s">
        <v>1223</v>
      </c>
      <c r="X1903" t="s">
        <v>3184</v>
      </c>
      <c r="AH1903" t="s">
        <v>2440</v>
      </c>
      <c r="AM1903" t="s">
        <v>2324</v>
      </c>
      <c r="AT1903" t="s">
        <v>2324</v>
      </c>
      <c r="BE1903">
        <v>50</v>
      </c>
      <c r="BM1903" t="s">
        <v>3223</v>
      </c>
      <c r="BZ1903" t="s">
        <v>3187</v>
      </c>
      <c r="CM1903">
        <v>1.19</v>
      </c>
      <c r="CW1903">
        <v>333</v>
      </c>
      <c r="DB1903">
        <v>557</v>
      </c>
      <c r="DF1903">
        <v>668</v>
      </c>
    </row>
    <row r="1904" spans="1:110" x14ac:dyDescent="0.25">
      <c r="BM1904" t="s">
        <v>1403</v>
      </c>
      <c r="CM1904">
        <v>2.38</v>
      </c>
      <c r="CW1904">
        <v>513</v>
      </c>
      <c r="DB1904">
        <v>857</v>
      </c>
      <c r="DF1904" t="s">
        <v>3249</v>
      </c>
    </row>
    <row r="1905" spans="1:110" x14ac:dyDescent="0.25">
      <c r="L1905" t="s">
        <v>3250</v>
      </c>
      <c r="X1905" t="s">
        <v>3192</v>
      </c>
      <c r="AH1905" t="s">
        <v>2440</v>
      </c>
      <c r="AM1905" t="s">
        <v>3226</v>
      </c>
      <c r="AT1905" t="s">
        <v>3222</v>
      </c>
      <c r="BE1905" t="s">
        <v>2324</v>
      </c>
      <c r="BM1905" t="s">
        <v>2324</v>
      </c>
      <c r="BZ1905" t="s">
        <v>3187</v>
      </c>
      <c r="CM1905">
        <v>1.19</v>
      </c>
      <c r="CW1905">
        <v>189</v>
      </c>
      <c r="DB1905">
        <v>315</v>
      </c>
      <c r="DF1905">
        <v>378</v>
      </c>
    </row>
    <row r="1906" spans="1:110" x14ac:dyDescent="0.25">
      <c r="L1906" t="s">
        <v>1225</v>
      </c>
      <c r="X1906" t="s">
        <v>3192</v>
      </c>
      <c r="AH1906" t="s">
        <v>2440</v>
      </c>
      <c r="AM1906" t="s">
        <v>2324</v>
      </c>
      <c r="AT1906" t="s">
        <v>2324</v>
      </c>
      <c r="BE1906">
        <v>52</v>
      </c>
      <c r="BM1906" t="s">
        <v>3227</v>
      </c>
      <c r="BZ1906" t="s">
        <v>3187</v>
      </c>
      <c r="CM1906">
        <v>1.19</v>
      </c>
      <c r="CW1906">
        <v>357</v>
      </c>
      <c r="DB1906">
        <v>599</v>
      </c>
      <c r="DF1906">
        <v>719</v>
      </c>
    </row>
    <row r="1907" spans="1:110" x14ac:dyDescent="0.25">
      <c r="BM1907" t="s">
        <v>1403</v>
      </c>
      <c r="CM1907">
        <v>2.38</v>
      </c>
      <c r="CW1907">
        <v>546</v>
      </c>
      <c r="DB1907">
        <v>914</v>
      </c>
      <c r="DF1907" t="s">
        <v>3251</v>
      </c>
    </row>
    <row r="1908" spans="1:110" x14ac:dyDescent="0.25">
      <c r="L1908" t="s">
        <v>3252</v>
      </c>
      <c r="X1908" t="s">
        <v>3230</v>
      </c>
      <c r="AH1908" t="s">
        <v>2440</v>
      </c>
      <c r="AM1908" t="s">
        <v>3231</v>
      </c>
      <c r="AT1908" t="s">
        <v>3232</v>
      </c>
      <c r="BE1908" t="s">
        <v>2324</v>
      </c>
      <c r="BM1908" t="s">
        <v>2324</v>
      </c>
      <c r="BZ1908" t="s">
        <v>3187</v>
      </c>
      <c r="CM1908">
        <v>1.19</v>
      </c>
      <c r="CW1908">
        <v>238</v>
      </c>
      <c r="DB1908">
        <v>397</v>
      </c>
      <c r="DF1908">
        <v>476</v>
      </c>
    </row>
    <row r="1909" spans="1:110" x14ac:dyDescent="0.25">
      <c r="L1909" t="s">
        <v>1227</v>
      </c>
      <c r="X1909" t="s">
        <v>3230</v>
      </c>
      <c r="AH1909" t="s">
        <v>2440</v>
      </c>
      <c r="AM1909" t="s">
        <v>2324</v>
      </c>
      <c r="AT1909" t="s">
        <v>2324</v>
      </c>
      <c r="BE1909">
        <v>56</v>
      </c>
      <c r="BM1909" t="s">
        <v>3233</v>
      </c>
      <c r="BZ1909" t="s">
        <v>3187</v>
      </c>
      <c r="CM1909">
        <v>1.19</v>
      </c>
      <c r="CW1909">
        <v>605</v>
      </c>
      <c r="DB1909" t="s">
        <v>3234</v>
      </c>
      <c r="DF1909" t="s">
        <v>3235</v>
      </c>
    </row>
    <row r="1910" spans="1:110" x14ac:dyDescent="0.25">
      <c r="BM1910" t="s">
        <v>1403</v>
      </c>
      <c r="CM1910">
        <v>2.38</v>
      </c>
      <c r="CW1910">
        <v>843</v>
      </c>
      <c r="DB1910" t="s">
        <v>3253</v>
      </c>
      <c r="DF1910" t="s">
        <v>3254</v>
      </c>
    </row>
    <row r="1911" spans="1:110" x14ac:dyDescent="0.25">
      <c r="L1911" t="s">
        <v>3255</v>
      </c>
      <c r="X1911" t="s">
        <v>3239</v>
      </c>
      <c r="AH1911" t="s">
        <v>2440</v>
      </c>
      <c r="AM1911" t="s">
        <v>3206</v>
      </c>
      <c r="AT1911" t="s">
        <v>3240</v>
      </c>
      <c r="BE1911" t="s">
        <v>2324</v>
      </c>
      <c r="BM1911" t="s">
        <v>2324</v>
      </c>
      <c r="BZ1911" t="s">
        <v>3187</v>
      </c>
      <c r="CM1911">
        <v>1.19</v>
      </c>
      <c r="CW1911">
        <v>288</v>
      </c>
      <c r="DB1911">
        <v>480</v>
      </c>
      <c r="DF1911">
        <v>576</v>
      </c>
    </row>
    <row r="1912" spans="1:110" x14ac:dyDescent="0.25">
      <c r="L1912" t="s">
        <v>1229</v>
      </c>
      <c r="X1912" t="s">
        <v>3239</v>
      </c>
      <c r="AH1912" t="s">
        <v>2440</v>
      </c>
      <c r="AM1912" t="s">
        <v>2324</v>
      </c>
      <c r="AT1912" t="s">
        <v>2324</v>
      </c>
      <c r="BE1912">
        <v>59</v>
      </c>
      <c r="BM1912" t="s">
        <v>3241</v>
      </c>
      <c r="BZ1912" t="s">
        <v>3187</v>
      </c>
      <c r="CM1912">
        <v>1.19</v>
      </c>
      <c r="CW1912">
        <v>709</v>
      </c>
      <c r="DB1912" t="s">
        <v>3242</v>
      </c>
      <c r="DF1912" t="s">
        <v>3243</v>
      </c>
    </row>
    <row r="1913" spans="1:110" x14ac:dyDescent="0.25">
      <c r="BM1913" t="s">
        <v>1403</v>
      </c>
      <c r="CM1913">
        <v>2.38</v>
      </c>
      <c r="CW1913">
        <v>997</v>
      </c>
      <c r="DB1913" t="s">
        <v>3256</v>
      </c>
      <c r="DF1913" t="s">
        <v>3257</v>
      </c>
    </row>
    <row r="1914" spans="1:110" x14ac:dyDescent="0.25">
      <c r="A1914" t="s">
        <v>3258</v>
      </c>
    </row>
    <row r="1915" spans="1:110" x14ac:dyDescent="0.25">
      <c r="L1915" t="s">
        <v>3259</v>
      </c>
      <c r="X1915" t="s">
        <v>3260</v>
      </c>
      <c r="AH1915" t="s">
        <v>2440</v>
      </c>
      <c r="AM1915" t="s">
        <v>3261</v>
      </c>
      <c r="AT1915" t="s">
        <v>3262</v>
      </c>
      <c r="BE1915" t="s">
        <v>2324</v>
      </c>
      <c r="BM1915" t="s">
        <v>2324</v>
      </c>
      <c r="BZ1915" t="s">
        <v>3263</v>
      </c>
      <c r="CM1915">
        <v>0.54</v>
      </c>
      <c r="CW1915">
        <v>154</v>
      </c>
      <c r="DB1915">
        <v>257</v>
      </c>
      <c r="DF1915">
        <v>308</v>
      </c>
    </row>
    <row r="1916" spans="1:110" x14ac:dyDescent="0.25">
      <c r="L1916" t="s">
        <v>3264</v>
      </c>
      <c r="X1916" t="s">
        <v>3260</v>
      </c>
      <c r="AH1916" t="s">
        <v>2440</v>
      </c>
      <c r="AM1916" t="s">
        <v>2324</v>
      </c>
      <c r="AT1916" t="s">
        <v>2324</v>
      </c>
      <c r="BE1916">
        <v>51</v>
      </c>
      <c r="BM1916" t="s">
        <v>3265</v>
      </c>
      <c r="BZ1916" t="s">
        <v>3190</v>
      </c>
      <c r="CM1916">
        <v>4</v>
      </c>
      <c r="CW1916">
        <v>231</v>
      </c>
      <c r="DB1916">
        <v>385</v>
      </c>
      <c r="DF1916">
        <v>462</v>
      </c>
    </row>
    <row r="1917" spans="1:110" x14ac:dyDescent="0.25">
      <c r="BM1917" t="s">
        <v>1403</v>
      </c>
      <c r="CM1917">
        <v>4.54</v>
      </c>
      <c r="CW1917">
        <v>385</v>
      </c>
      <c r="DB1917">
        <v>642</v>
      </c>
      <c r="DF1917">
        <v>770</v>
      </c>
    </row>
    <row r="1918" spans="1:110" x14ac:dyDescent="0.25">
      <c r="L1918" t="s">
        <v>3266</v>
      </c>
      <c r="X1918" t="s">
        <v>3267</v>
      </c>
      <c r="AH1918" t="s">
        <v>2440</v>
      </c>
      <c r="AM1918" t="s">
        <v>3268</v>
      </c>
      <c r="AT1918" t="s">
        <v>3269</v>
      </c>
      <c r="BE1918" t="s">
        <v>2324</v>
      </c>
      <c r="BM1918" t="s">
        <v>2324</v>
      </c>
      <c r="BZ1918" t="s">
        <v>3187</v>
      </c>
      <c r="CM1918">
        <v>1.19</v>
      </c>
      <c r="CW1918">
        <v>164</v>
      </c>
      <c r="DB1918">
        <v>273</v>
      </c>
      <c r="DF1918">
        <v>328</v>
      </c>
    </row>
    <row r="1919" spans="1:110" x14ac:dyDescent="0.25">
      <c r="L1919" t="s">
        <v>3270</v>
      </c>
      <c r="X1919" t="s">
        <v>3267</v>
      </c>
      <c r="AH1919" t="s">
        <v>2440</v>
      </c>
      <c r="AM1919" t="s">
        <v>2324</v>
      </c>
      <c r="AT1919" t="s">
        <v>2324</v>
      </c>
      <c r="BE1919">
        <v>52</v>
      </c>
      <c r="BM1919" t="s">
        <v>3265</v>
      </c>
      <c r="BZ1919" t="s">
        <v>3190</v>
      </c>
      <c r="CM1919">
        <v>4</v>
      </c>
      <c r="CW1919">
        <v>246</v>
      </c>
      <c r="DB1919">
        <v>410</v>
      </c>
      <c r="DF1919">
        <v>492</v>
      </c>
    </row>
    <row r="1920" spans="1:110" x14ac:dyDescent="0.25">
      <c r="BM1920" t="s">
        <v>1403</v>
      </c>
      <c r="CM1920">
        <v>5.19</v>
      </c>
      <c r="CW1920">
        <v>410</v>
      </c>
      <c r="DB1920">
        <v>683</v>
      </c>
      <c r="DF1920">
        <v>820</v>
      </c>
    </row>
    <row r="1921" spans="1:110" x14ac:dyDescent="0.25">
      <c r="L1921" t="s">
        <v>3271</v>
      </c>
      <c r="X1921" t="s">
        <v>3272</v>
      </c>
      <c r="AH1921" t="s">
        <v>2440</v>
      </c>
      <c r="AM1921" t="s">
        <v>3273</v>
      </c>
      <c r="AT1921" t="s">
        <v>3274</v>
      </c>
      <c r="BE1921" t="s">
        <v>2324</v>
      </c>
      <c r="BM1921" t="s">
        <v>2324</v>
      </c>
      <c r="BZ1921" t="s">
        <v>3275</v>
      </c>
      <c r="CM1921">
        <v>1.19</v>
      </c>
      <c r="CW1921">
        <v>220</v>
      </c>
      <c r="DB1921">
        <v>365</v>
      </c>
      <c r="DF1921">
        <v>438</v>
      </c>
    </row>
    <row r="1922" spans="1:110" x14ac:dyDescent="0.25">
      <c r="L1922" t="s">
        <v>3276</v>
      </c>
      <c r="X1922" t="s">
        <v>3272</v>
      </c>
      <c r="AH1922" t="s">
        <v>2440</v>
      </c>
      <c r="AM1922" t="s">
        <v>2324</v>
      </c>
      <c r="AT1922" t="s">
        <v>2324</v>
      </c>
      <c r="BE1922">
        <v>53</v>
      </c>
      <c r="BM1922" t="s">
        <v>3277</v>
      </c>
      <c r="BZ1922" t="s">
        <v>3190</v>
      </c>
      <c r="CM1922">
        <v>4</v>
      </c>
      <c r="CW1922">
        <v>407</v>
      </c>
      <c r="DB1922">
        <v>677</v>
      </c>
      <c r="DF1922">
        <v>812</v>
      </c>
    </row>
    <row r="1923" spans="1:110" x14ac:dyDescent="0.25">
      <c r="BM1923" t="s">
        <v>1403</v>
      </c>
      <c r="CM1923">
        <v>5.19</v>
      </c>
      <c r="CW1923">
        <v>627</v>
      </c>
      <c r="DB1923" t="s">
        <v>3278</v>
      </c>
      <c r="DF1923" t="s">
        <v>3279</v>
      </c>
    </row>
    <row r="1924" spans="1:110" x14ac:dyDescent="0.25">
      <c r="L1924" t="s">
        <v>3280</v>
      </c>
      <c r="X1924" t="s">
        <v>3281</v>
      </c>
      <c r="AH1924" t="s">
        <v>2440</v>
      </c>
      <c r="AM1924" t="s">
        <v>3282</v>
      </c>
      <c r="AT1924" t="s">
        <v>3283</v>
      </c>
      <c r="BE1924" t="s">
        <v>2324</v>
      </c>
      <c r="BM1924" t="s">
        <v>2324</v>
      </c>
      <c r="BZ1924" t="s">
        <v>3187</v>
      </c>
      <c r="CM1924">
        <v>1.19</v>
      </c>
      <c r="CW1924">
        <v>257</v>
      </c>
      <c r="DB1924">
        <v>428</v>
      </c>
      <c r="DF1924">
        <v>514</v>
      </c>
    </row>
    <row r="1925" spans="1:110" x14ac:dyDescent="0.25">
      <c r="L1925" t="s">
        <v>3284</v>
      </c>
      <c r="X1925" t="s">
        <v>3281</v>
      </c>
      <c r="AH1925" t="s">
        <v>2440</v>
      </c>
      <c r="AM1925" t="s">
        <v>2324</v>
      </c>
      <c r="AT1925" t="s">
        <v>2324</v>
      </c>
      <c r="BE1925">
        <v>58</v>
      </c>
      <c r="BM1925" t="s">
        <v>3285</v>
      </c>
      <c r="BZ1925" t="s">
        <v>3190</v>
      </c>
      <c r="CM1925">
        <v>4</v>
      </c>
      <c r="CW1925">
        <v>572</v>
      </c>
      <c r="DB1925">
        <v>952</v>
      </c>
      <c r="DF1925" t="s">
        <v>3286</v>
      </c>
    </row>
    <row r="1926" spans="1:110" x14ac:dyDescent="0.25">
      <c r="BM1926" t="s">
        <v>1403</v>
      </c>
      <c r="CM1926">
        <v>5.19</v>
      </c>
      <c r="CW1926">
        <v>829</v>
      </c>
      <c r="DB1926" t="s">
        <v>3287</v>
      </c>
      <c r="DF1926" t="s">
        <v>3288</v>
      </c>
    </row>
    <row r="1927" spans="1:110" x14ac:dyDescent="0.25">
      <c r="A1927" t="s">
        <v>3289</v>
      </c>
    </row>
    <row r="1928" spans="1:110" x14ac:dyDescent="0.25">
      <c r="L1928" t="s">
        <v>3290</v>
      </c>
      <c r="X1928" t="s">
        <v>3291</v>
      </c>
      <c r="AH1928" t="s">
        <v>2324</v>
      </c>
      <c r="AM1928" t="s">
        <v>3292</v>
      </c>
      <c r="AT1928" t="s">
        <v>3293</v>
      </c>
      <c r="BE1928" t="s">
        <v>2324</v>
      </c>
      <c r="BM1928" t="s">
        <v>2324</v>
      </c>
      <c r="BZ1928" t="s">
        <v>3263</v>
      </c>
      <c r="CM1928">
        <v>0.54</v>
      </c>
      <c r="CW1928">
        <v>131</v>
      </c>
      <c r="DB1928">
        <v>219</v>
      </c>
      <c r="DF1928">
        <v>262</v>
      </c>
    </row>
    <row r="1929" spans="1:110" x14ac:dyDescent="0.25">
      <c r="L1929" t="s">
        <v>3294</v>
      </c>
      <c r="X1929" t="s">
        <v>3291</v>
      </c>
      <c r="AH1929" t="s">
        <v>2440</v>
      </c>
      <c r="AM1929" t="s">
        <v>2324</v>
      </c>
      <c r="AT1929" t="s">
        <v>2324</v>
      </c>
      <c r="BE1929">
        <v>54</v>
      </c>
      <c r="BM1929" t="s">
        <v>3295</v>
      </c>
      <c r="BZ1929" t="s">
        <v>3190</v>
      </c>
      <c r="CM1929">
        <v>4</v>
      </c>
      <c r="CW1929">
        <v>221</v>
      </c>
      <c r="DB1929">
        <v>369</v>
      </c>
      <c r="DF1929">
        <v>443</v>
      </c>
    </row>
    <row r="1930" spans="1:110" x14ac:dyDescent="0.25">
      <c r="BM1930" t="s">
        <v>1403</v>
      </c>
      <c r="CW1930">
        <v>352</v>
      </c>
      <c r="DB1930">
        <v>588</v>
      </c>
      <c r="DF1930">
        <v>705</v>
      </c>
    </row>
    <row r="1931" spans="1:110" x14ac:dyDescent="0.25">
      <c r="L1931" t="s">
        <v>3296</v>
      </c>
      <c r="X1931" t="s">
        <v>3192</v>
      </c>
      <c r="AH1931" t="s">
        <v>2324</v>
      </c>
      <c r="AM1931" t="s">
        <v>3297</v>
      </c>
      <c r="AT1931" t="s">
        <v>3298</v>
      </c>
      <c r="BE1931" t="s">
        <v>2324</v>
      </c>
      <c r="BM1931" t="s">
        <v>2324</v>
      </c>
      <c r="BZ1931" t="s">
        <v>3263</v>
      </c>
      <c r="CM1931">
        <v>0.54</v>
      </c>
      <c r="CW1931">
        <v>137</v>
      </c>
      <c r="DB1931">
        <v>230</v>
      </c>
      <c r="DF1931">
        <v>275</v>
      </c>
    </row>
    <row r="1932" spans="1:110" x14ac:dyDescent="0.25">
      <c r="L1932" t="s">
        <v>3299</v>
      </c>
      <c r="X1932" t="s">
        <v>3192</v>
      </c>
      <c r="AH1932" t="s">
        <v>2440</v>
      </c>
      <c r="AM1932" t="s">
        <v>2324</v>
      </c>
      <c r="AT1932" t="s">
        <v>2324</v>
      </c>
      <c r="BE1932">
        <v>55</v>
      </c>
      <c r="BM1932" t="s">
        <v>3300</v>
      </c>
      <c r="BZ1932" t="s">
        <v>3190</v>
      </c>
      <c r="CM1932">
        <v>4</v>
      </c>
      <c r="CW1932">
        <v>241</v>
      </c>
      <c r="DB1932">
        <v>404</v>
      </c>
      <c r="DF1932">
        <v>485</v>
      </c>
    </row>
    <row r="1933" spans="1:110" x14ac:dyDescent="0.25">
      <c r="BM1933" t="s">
        <v>1403</v>
      </c>
      <c r="CW1933">
        <v>378</v>
      </c>
      <c r="DB1933">
        <v>634</v>
      </c>
      <c r="DF1933">
        <v>760</v>
      </c>
    </row>
    <row r="1934" spans="1:110" x14ac:dyDescent="0.25">
      <c r="L1934" t="s">
        <v>3301</v>
      </c>
      <c r="X1934" t="s">
        <v>3170</v>
      </c>
      <c r="AH1934" t="s">
        <v>2324</v>
      </c>
      <c r="AM1934" t="s">
        <v>3302</v>
      </c>
      <c r="AT1934" t="s">
        <v>3303</v>
      </c>
      <c r="BE1934" t="s">
        <v>2324</v>
      </c>
      <c r="BM1934" t="s">
        <v>2324</v>
      </c>
      <c r="BZ1934" t="s">
        <v>3187</v>
      </c>
      <c r="CM1934">
        <v>1.19</v>
      </c>
      <c r="CW1934">
        <v>194</v>
      </c>
      <c r="DB1934">
        <v>325</v>
      </c>
      <c r="DF1934">
        <v>390</v>
      </c>
    </row>
    <row r="1935" spans="1:110" x14ac:dyDescent="0.25">
      <c r="L1935" t="s">
        <v>3304</v>
      </c>
      <c r="X1935" t="s">
        <v>3170</v>
      </c>
      <c r="AH1935" t="s">
        <v>2440</v>
      </c>
      <c r="AM1935" t="s">
        <v>2324</v>
      </c>
      <c r="AT1935" t="s">
        <v>2324</v>
      </c>
      <c r="BE1935">
        <v>56</v>
      </c>
      <c r="BM1935" t="s">
        <v>3305</v>
      </c>
      <c r="BZ1935" t="s">
        <v>3190</v>
      </c>
      <c r="CM1935">
        <v>4</v>
      </c>
      <c r="CW1935">
        <v>339</v>
      </c>
      <c r="DB1935">
        <v>568</v>
      </c>
      <c r="DF1935">
        <v>681</v>
      </c>
    </row>
    <row r="1936" spans="1:110" x14ac:dyDescent="0.25">
      <c r="BM1936" t="s">
        <v>1403</v>
      </c>
      <c r="CW1936">
        <v>533</v>
      </c>
      <c r="DB1936">
        <v>893</v>
      </c>
      <c r="DF1936" t="s">
        <v>3224</v>
      </c>
    </row>
    <row r="1937" spans="1:110" x14ac:dyDescent="0.25">
      <c r="L1937" t="s">
        <v>3306</v>
      </c>
      <c r="X1937" t="s">
        <v>3307</v>
      </c>
      <c r="AH1937" t="s">
        <v>2324</v>
      </c>
      <c r="AM1937" t="s">
        <v>3164</v>
      </c>
      <c r="AT1937" t="s">
        <v>3308</v>
      </c>
      <c r="BE1937" t="s">
        <v>2324</v>
      </c>
      <c r="BM1937" t="s">
        <v>2324</v>
      </c>
      <c r="BZ1937" t="s">
        <v>3187</v>
      </c>
      <c r="CM1937">
        <v>1.19</v>
      </c>
      <c r="CW1937">
        <v>227</v>
      </c>
      <c r="DB1937">
        <v>377</v>
      </c>
      <c r="DF1937">
        <v>453</v>
      </c>
    </row>
    <row r="1938" spans="1:110" x14ac:dyDescent="0.25">
      <c r="L1938" t="s">
        <v>3309</v>
      </c>
      <c r="X1938" t="s">
        <v>3307</v>
      </c>
      <c r="AH1938" t="s">
        <v>2440</v>
      </c>
      <c r="AM1938" t="s">
        <v>2324</v>
      </c>
      <c r="AT1938" t="s">
        <v>2324</v>
      </c>
      <c r="BE1938">
        <v>62</v>
      </c>
      <c r="BM1938" t="s">
        <v>3310</v>
      </c>
      <c r="BZ1938" t="s">
        <v>3190</v>
      </c>
      <c r="CM1938">
        <v>4</v>
      </c>
      <c r="CW1938">
        <v>462</v>
      </c>
      <c r="DB1938">
        <v>770</v>
      </c>
      <c r="DF1938">
        <v>923</v>
      </c>
    </row>
    <row r="1939" spans="1:110" x14ac:dyDescent="0.25">
      <c r="BM1939" t="s">
        <v>1403</v>
      </c>
      <c r="CW1939">
        <v>689</v>
      </c>
      <c r="DB1939" t="s">
        <v>3311</v>
      </c>
      <c r="DF1939" t="s">
        <v>3312</v>
      </c>
    </row>
    <row r="1940" spans="1:110" x14ac:dyDescent="0.25">
      <c r="A1940" t="s">
        <v>3313</v>
      </c>
    </row>
    <row r="1941" spans="1:110" x14ac:dyDescent="0.25">
      <c r="A1941" t="s">
        <v>3133</v>
      </c>
    </row>
    <row r="1942" spans="1:110" x14ac:dyDescent="0.25">
      <c r="A1942" t="s">
        <v>3134</v>
      </c>
    </row>
    <row r="1943" spans="1:110" x14ac:dyDescent="0.25">
      <c r="A1943" t="s">
        <v>3135</v>
      </c>
      <c r="L1943" t="s">
        <v>3136</v>
      </c>
      <c r="X1943" t="s">
        <v>3137</v>
      </c>
      <c r="AH1943" t="s">
        <v>3138</v>
      </c>
      <c r="AM1943" t="s">
        <v>3139</v>
      </c>
      <c r="AT1943" t="s">
        <v>3140</v>
      </c>
      <c r="BE1943" t="s">
        <v>3141</v>
      </c>
      <c r="BM1943" t="s">
        <v>3142</v>
      </c>
      <c r="BZ1943" t="s">
        <v>3143</v>
      </c>
      <c r="CM1943" t="s">
        <v>3144</v>
      </c>
      <c r="CW1943" t="s">
        <v>3145</v>
      </c>
      <c r="DB1943" t="s">
        <v>3146</v>
      </c>
    </row>
    <row r="1944" spans="1:110" x14ac:dyDescent="0.25">
      <c r="X1944" t="s">
        <v>2424</v>
      </c>
      <c r="AH1944" t="s">
        <v>2324</v>
      </c>
      <c r="AM1944" t="s">
        <v>3147</v>
      </c>
      <c r="AT1944" t="s">
        <v>3148</v>
      </c>
      <c r="BE1944" t="s">
        <v>3147</v>
      </c>
      <c r="BM1944" t="s">
        <v>3148</v>
      </c>
      <c r="BZ1944" t="s">
        <v>3149</v>
      </c>
      <c r="CM1944" t="s">
        <v>3150</v>
      </c>
      <c r="CW1944" t="s">
        <v>3150</v>
      </c>
      <c r="DB1944" t="s">
        <v>3150</v>
      </c>
      <c r="DF1944" t="s">
        <v>3151</v>
      </c>
    </row>
    <row r="1945" spans="1:110" x14ac:dyDescent="0.25">
      <c r="A1945" t="s">
        <v>3314</v>
      </c>
    </row>
    <row r="1946" spans="1:110" x14ac:dyDescent="0.25">
      <c r="L1946" t="s">
        <v>3315</v>
      </c>
      <c r="X1946" t="s">
        <v>3316</v>
      </c>
      <c r="AH1946" t="s">
        <v>2440</v>
      </c>
      <c r="AM1946" t="s">
        <v>3317</v>
      </c>
      <c r="AT1946" t="s">
        <v>3318</v>
      </c>
      <c r="BE1946" t="s">
        <v>2324</v>
      </c>
      <c r="BM1946" t="s">
        <v>2324</v>
      </c>
      <c r="BZ1946" t="s">
        <v>3263</v>
      </c>
      <c r="CM1946">
        <v>0.54</v>
      </c>
      <c r="CW1946">
        <v>133</v>
      </c>
      <c r="DB1946">
        <v>222</v>
      </c>
      <c r="DF1946">
        <v>266</v>
      </c>
    </row>
    <row r="1947" spans="1:110" x14ac:dyDescent="0.25">
      <c r="L1947" t="s">
        <v>3319</v>
      </c>
      <c r="X1947" t="s">
        <v>3316</v>
      </c>
      <c r="AH1947" t="s">
        <v>2440</v>
      </c>
      <c r="AM1947">
        <v>0</v>
      </c>
      <c r="AT1947">
        <v>0</v>
      </c>
      <c r="BE1947">
        <v>55</v>
      </c>
      <c r="BM1947" t="s">
        <v>3320</v>
      </c>
      <c r="BZ1947" t="s">
        <v>3190</v>
      </c>
      <c r="CM1947">
        <v>4</v>
      </c>
      <c r="CW1947">
        <v>227</v>
      </c>
      <c r="DB1947">
        <v>379</v>
      </c>
      <c r="DF1947">
        <v>454</v>
      </c>
    </row>
    <row r="1948" spans="1:110" x14ac:dyDescent="0.25">
      <c r="BM1948" t="s">
        <v>1403</v>
      </c>
      <c r="CW1948">
        <v>360</v>
      </c>
      <c r="DB1948">
        <v>601</v>
      </c>
      <c r="DF1948">
        <v>720</v>
      </c>
    </row>
    <row r="1949" spans="1:110" x14ac:dyDescent="0.25">
      <c r="L1949" t="s">
        <v>3321</v>
      </c>
      <c r="X1949" t="s">
        <v>3322</v>
      </c>
      <c r="AH1949" t="s">
        <v>2440</v>
      </c>
      <c r="AM1949" t="s">
        <v>3317</v>
      </c>
      <c r="AT1949" t="s">
        <v>3323</v>
      </c>
      <c r="BE1949">
        <v>0</v>
      </c>
      <c r="BM1949" t="s">
        <v>2324</v>
      </c>
      <c r="BZ1949" t="s">
        <v>3263</v>
      </c>
      <c r="CM1949">
        <v>0.54</v>
      </c>
      <c r="CW1949">
        <v>158</v>
      </c>
      <c r="DB1949">
        <v>264</v>
      </c>
      <c r="DF1949">
        <v>316</v>
      </c>
    </row>
    <row r="1950" spans="1:110" x14ac:dyDescent="0.25">
      <c r="L1950" t="s">
        <v>3324</v>
      </c>
      <c r="X1950" t="s">
        <v>3322</v>
      </c>
      <c r="AH1950" t="s">
        <v>2440</v>
      </c>
      <c r="AM1950">
        <v>0</v>
      </c>
      <c r="AT1950">
        <v>0</v>
      </c>
      <c r="BE1950">
        <v>55</v>
      </c>
      <c r="BM1950" t="s">
        <v>3320</v>
      </c>
      <c r="BZ1950" t="s">
        <v>3190</v>
      </c>
      <c r="CM1950">
        <v>4</v>
      </c>
      <c r="CW1950">
        <v>236</v>
      </c>
      <c r="DB1950">
        <v>392</v>
      </c>
      <c r="DF1950">
        <v>471</v>
      </c>
    </row>
    <row r="1951" spans="1:110" x14ac:dyDescent="0.25">
      <c r="BM1951" t="s">
        <v>1403</v>
      </c>
      <c r="CW1951">
        <v>394</v>
      </c>
      <c r="DB1951">
        <v>656</v>
      </c>
      <c r="DF1951">
        <v>787</v>
      </c>
    </row>
    <row r="1952" spans="1:110" x14ac:dyDescent="0.25">
      <c r="L1952" t="s">
        <v>3325</v>
      </c>
      <c r="X1952" t="s">
        <v>3326</v>
      </c>
      <c r="AH1952" t="s">
        <v>2440</v>
      </c>
      <c r="AM1952" t="s">
        <v>3327</v>
      </c>
      <c r="AT1952" t="s">
        <v>3328</v>
      </c>
      <c r="BE1952">
        <v>0</v>
      </c>
      <c r="BM1952" t="s">
        <v>2324</v>
      </c>
      <c r="BZ1952" t="s">
        <v>3187</v>
      </c>
      <c r="CM1952">
        <v>1.19</v>
      </c>
      <c r="CW1952">
        <v>208</v>
      </c>
      <c r="DB1952">
        <v>343</v>
      </c>
      <c r="DF1952">
        <v>412</v>
      </c>
    </row>
    <row r="1953" spans="1:110" x14ac:dyDescent="0.25">
      <c r="L1953" t="s">
        <v>3329</v>
      </c>
      <c r="X1953" t="s">
        <v>3326</v>
      </c>
      <c r="AH1953" t="s">
        <v>2440</v>
      </c>
      <c r="AM1953">
        <v>0</v>
      </c>
      <c r="AT1953">
        <v>0</v>
      </c>
      <c r="BE1953">
        <v>57</v>
      </c>
      <c r="BM1953" t="s">
        <v>3330</v>
      </c>
      <c r="BZ1953" t="s">
        <v>3190</v>
      </c>
      <c r="CM1953">
        <v>4</v>
      </c>
      <c r="CW1953">
        <v>385</v>
      </c>
      <c r="DB1953">
        <v>641</v>
      </c>
      <c r="DF1953">
        <v>769</v>
      </c>
    </row>
    <row r="1954" spans="1:110" x14ac:dyDescent="0.25">
      <c r="BM1954" t="s">
        <v>1403</v>
      </c>
      <c r="CW1954">
        <v>593</v>
      </c>
      <c r="DB1954">
        <v>984</v>
      </c>
      <c r="DF1954" t="s">
        <v>3331</v>
      </c>
    </row>
    <row r="1955" spans="1:110" x14ac:dyDescent="0.25">
      <c r="L1955" t="s">
        <v>3332</v>
      </c>
      <c r="X1955" t="s">
        <v>3333</v>
      </c>
      <c r="AH1955" t="s">
        <v>2440</v>
      </c>
      <c r="AM1955" t="s">
        <v>3164</v>
      </c>
      <c r="AT1955" t="s">
        <v>3334</v>
      </c>
      <c r="BE1955">
        <v>0</v>
      </c>
      <c r="BM1955" t="s">
        <v>2324</v>
      </c>
      <c r="BZ1955" t="s">
        <v>3187</v>
      </c>
      <c r="CM1955">
        <v>1.19</v>
      </c>
      <c r="CW1955">
        <v>243</v>
      </c>
      <c r="DB1955">
        <v>405</v>
      </c>
      <c r="DF1955">
        <v>486</v>
      </c>
    </row>
    <row r="1956" spans="1:110" x14ac:dyDescent="0.25">
      <c r="L1956" t="s">
        <v>3335</v>
      </c>
      <c r="X1956" t="s">
        <v>3333</v>
      </c>
      <c r="AH1956" t="s">
        <v>2440</v>
      </c>
      <c r="AM1956">
        <v>0</v>
      </c>
      <c r="AT1956">
        <v>0</v>
      </c>
      <c r="BE1956">
        <v>60</v>
      </c>
      <c r="BM1956" t="s">
        <v>3336</v>
      </c>
      <c r="BZ1956" t="s">
        <v>3190</v>
      </c>
      <c r="CM1956">
        <v>4</v>
      </c>
      <c r="CW1956">
        <v>541</v>
      </c>
      <c r="DB1956">
        <v>900</v>
      </c>
      <c r="DF1956" t="s">
        <v>3201</v>
      </c>
    </row>
    <row r="1957" spans="1:110" x14ac:dyDescent="0.25">
      <c r="BM1957" t="s">
        <v>1403</v>
      </c>
      <c r="CW1957">
        <v>784</v>
      </c>
      <c r="DB1957" t="s">
        <v>3337</v>
      </c>
      <c r="DF1957" t="s">
        <v>3338</v>
      </c>
    </row>
    <row r="1958" spans="1:110" x14ac:dyDescent="0.25">
      <c r="A1958" t="s">
        <v>1259</v>
      </c>
    </row>
    <row r="1959" spans="1:110" x14ac:dyDescent="0.25">
      <c r="L1959" t="s">
        <v>3339</v>
      </c>
      <c r="X1959" t="s">
        <v>3260</v>
      </c>
      <c r="AH1959" t="s">
        <v>2440</v>
      </c>
      <c r="AM1959" t="s">
        <v>3261</v>
      </c>
      <c r="AT1959" t="s">
        <v>3340</v>
      </c>
      <c r="BE1959" t="s">
        <v>2324</v>
      </c>
      <c r="BM1959" t="s">
        <v>2324</v>
      </c>
      <c r="BZ1959" t="s">
        <v>3263</v>
      </c>
      <c r="CM1959">
        <v>0.54</v>
      </c>
      <c r="CW1959">
        <v>131</v>
      </c>
      <c r="DB1959">
        <v>219</v>
      </c>
      <c r="DF1959">
        <v>262</v>
      </c>
    </row>
    <row r="1960" spans="1:110" x14ac:dyDescent="0.25">
      <c r="L1960" t="s">
        <v>3341</v>
      </c>
      <c r="X1960" t="s">
        <v>3260</v>
      </c>
      <c r="AH1960" t="s">
        <v>2440</v>
      </c>
      <c r="AM1960" t="s">
        <v>2324</v>
      </c>
      <c r="AT1960" t="s">
        <v>2324</v>
      </c>
      <c r="BE1960">
        <v>51</v>
      </c>
      <c r="BM1960" t="s">
        <v>3342</v>
      </c>
      <c r="BZ1960" t="s">
        <v>3190</v>
      </c>
      <c r="CM1960">
        <v>4</v>
      </c>
      <c r="CW1960">
        <v>221</v>
      </c>
      <c r="DB1960">
        <v>369</v>
      </c>
      <c r="DF1960">
        <v>443</v>
      </c>
    </row>
    <row r="1961" spans="1:110" x14ac:dyDescent="0.25">
      <c r="BM1961" t="s">
        <v>1403</v>
      </c>
      <c r="CM1961">
        <v>4.54</v>
      </c>
      <c r="CW1961">
        <v>352</v>
      </c>
      <c r="DB1961">
        <v>588</v>
      </c>
      <c r="DF1961">
        <v>705</v>
      </c>
    </row>
    <row r="1962" spans="1:110" x14ac:dyDescent="0.25">
      <c r="L1962" t="s">
        <v>3343</v>
      </c>
      <c r="X1962" t="s">
        <v>3267</v>
      </c>
      <c r="AH1962" t="s">
        <v>2440</v>
      </c>
      <c r="AM1962" t="s">
        <v>3344</v>
      </c>
      <c r="AT1962" t="s">
        <v>3340</v>
      </c>
      <c r="BE1962" t="s">
        <v>2324</v>
      </c>
      <c r="BM1962" t="s">
        <v>2324</v>
      </c>
      <c r="BZ1962" t="s">
        <v>3263</v>
      </c>
      <c r="CM1962">
        <v>0.54</v>
      </c>
      <c r="CW1962">
        <v>137</v>
      </c>
      <c r="DB1962">
        <v>230</v>
      </c>
      <c r="DF1962">
        <v>275</v>
      </c>
    </row>
    <row r="1963" spans="1:110" x14ac:dyDescent="0.25">
      <c r="L1963" t="s">
        <v>3345</v>
      </c>
      <c r="X1963" t="s">
        <v>3267</v>
      </c>
      <c r="AH1963" t="s">
        <v>2440</v>
      </c>
      <c r="AM1963" t="s">
        <v>2324</v>
      </c>
      <c r="AT1963" t="s">
        <v>2324</v>
      </c>
      <c r="BE1963">
        <v>51</v>
      </c>
      <c r="BM1963" t="s">
        <v>3342</v>
      </c>
      <c r="BZ1963" t="s">
        <v>3190</v>
      </c>
      <c r="CM1963">
        <v>4</v>
      </c>
      <c r="CW1963">
        <v>241</v>
      </c>
      <c r="DB1963">
        <v>404</v>
      </c>
      <c r="DF1963">
        <v>485</v>
      </c>
    </row>
    <row r="1964" spans="1:110" x14ac:dyDescent="0.25">
      <c r="BM1964" t="s">
        <v>1403</v>
      </c>
      <c r="CM1964">
        <v>4.54</v>
      </c>
      <c r="CW1964">
        <v>378</v>
      </c>
      <c r="DB1964">
        <v>634</v>
      </c>
      <c r="DF1964">
        <v>760</v>
      </c>
    </row>
    <row r="1965" spans="1:110" x14ac:dyDescent="0.25">
      <c r="L1965" t="s">
        <v>3346</v>
      </c>
      <c r="X1965" t="s">
        <v>3272</v>
      </c>
      <c r="AH1965" t="s">
        <v>2440</v>
      </c>
      <c r="AM1965" t="s">
        <v>3273</v>
      </c>
      <c r="AT1965" t="s">
        <v>3347</v>
      </c>
      <c r="BE1965" t="s">
        <v>2324</v>
      </c>
      <c r="BM1965" t="s">
        <v>2324</v>
      </c>
      <c r="BZ1965" t="s">
        <v>3187</v>
      </c>
      <c r="CM1965">
        <v>1.19</v>
      </c>
      <c r="CW1965">
        <v>194</v>
      </c>
      <c r="DB1965">
        <v>325</v>
      </c>
      <c r="DF1965">
        <v>390</v>
      </c>
    </row>
    <row r="1966" spans="1:110" x14ac:dyDescent="0.25">
      <c r="L1966" t="s">
        <v>3348</v>
      </c>
      <c r="X1966" t="s">
        <v>3272</v>
      </c>
      <c r="AH1966" t="s">
        <v>2440</v>
      </c>
      <c r="AM1966" t="s">
        <v>2324</v>
      </c>
      <c r="AT1966" t="s">
        <v>2324</v>
      </c>
      <c r="BE1966">
        <v>53</v>
      </c>
      <c r="BM1966" t="s">
        <v>3349</v>
      </c>
      <c r="BZ1966" t="s">
        <v>3190</v>
      </c>
      <c r="CM1966">
        <v>4</v>
      </c>
      <c r="CW1966">
        <v>339</v>
      </c>
      <c r="DB1966">
        <v>568</v>
      </c>
      <c r="DF1966">
        <v>681</v>
      </c>
    </row>
    <row r="1967" spans="1:110" x14ac:dyDescent="0.25">
      <c r="BM1967" t="s">
        <v>1403</v>
      </c>
      <c r="CM1967">
        <v>5.19</v>
      </c>
      <c r="CW1967">
        <v>533</v>
      </c>
      <c r="DB1967">
        <v>893</v>
      </c>
      <c r="DF1967" t="s">
        <v>3224</v>
      </c>
    </row>
    <row r="1968" spans="1:110" x14ac:dyDescent="0.25">
      <c r="L1968" t="s">
        <v>3350</v>
      </c>
      <c r="X1968" t="s">
        <v>3281</v>
      </c>
      <c r="AH1968" t="s">
        <v>2440</v>
      </c>
      <c r="AM1968" t="s">
        <v>3351</v>
      </c>
      <c r="AT1968" t="s">
        <v>3352</v>
      </c>
      <c r="BE1968" t="s">
        <v>2324</v>
      </c>
      <c r="BM1968" t="s">
        <v>2324</v>
      </c>
      <c r="BZ1968" t="s">
        <v>3187</v>
      </c>
      <c r="CM1968">
        <v>1.19</v>
      </c>
      <c r="CW1968">
        <v>227</v>
      </c>
      <c r="DB1968">
        <v>377</v>
      </c>
      <c r="DF1968">
        <v>453</v>
      </c>
    </row>
    <row r="1969" spans="1:110" x14ac:dyDescent="0.25">
      <c r="L1969" t="s">
        <v>3353</v>
      </c>
      <c r="X1969" t="s">
        <v>3281</v>
      </c>
      <c r="AH1969" t="s">
        <v>2440</v>
      </c>
      <c r="AM1969" t="s">
        <v>2324</v>
      </c>
      <c r="AT1969" t="s">
        <v>2324</v>
      </c>
      <c r="BE1969">
        <v>57</v>
      </c>
      <c r="BM1969" t="s">
        <v>3354</v>
      </c>
      <c r="BZ1969" t="s">
        <v>3190</v>
      </c>
      <c r="CM1969">
        <v>4</v>
      </c>
      <c r="CW1969">
        <v>462</v>
      </c>
      <c r="DB1969">
        <v>770</v>
      </c>
      <c r="DF1969">
        <v>923</v>
      </c>
    </row>
    <row r="1970" spans="1:110" x14ac:dyDescent="0.25">
      <c r="BM1970" t="s">
        <v>1403</v>
      </c>
      <c r="CM1970">
        <v>5.19</v>
      </c>
      <c r="CW1970">
        <v>689</v>
      </c>
      <c r="DB1970" t="s">
        <v>3311</v>
      </c>
      <c r="DF1970" t="s">
        <v>3312</v>
      </c>
    </row>
    <row r="1971" spans="1:110" x14ac:dyDescent="0.25">
      <c r="A1971" t="s">
        <v>3355</v>
      </c>
    </row>
    <row r="1972" spans="1:110" x14ac:dyDescent="0.25">
      <c r="L1972" t="s">
        <v>3356</v>
      </c>
      <c r="X1972" t="s">
        <v>3357</v>
      </c>
      <c r="AH1972" t="s">
        <v>2440</v>
      </c>
      <c r="AM1972" t="s">
        <v>3358</v>
      </c>
      <c r="AT1972" t="s">
        <v>3359</v>
      </c>
      <c r="BE1972">
        <v>49</v>
      </c>
      <c r="BM1972" t="s">
        <v>3360</v>
      </c>
      <c r="BZ1972" t="s">
        <v>3159</v>
      </c>
      <c r="CM1972">
        <v>5.19</v>
      </c>
      <c r="CW1972">
        <v>644</v>
      </c>
      <c r="DB1972" t="s">
        <v>3361</v>
      </c>
      <c r="DF1972" t="s">
        <v>3362</v>
      </c>
    </row>
    <row r="1973" spans="1:110" x14ac:dyDescent="0.25">
      <c r="L1973" t="s">
        <v>3363</v>
      </c>
      <c r="X1973" t="s">
        <v>3192</v>
      </c>
      <c r="AH1973" t="s">
        <v>2440</v>
      </c>
      <c r="AM1973" t="s">
        <v>3193</v>
      </c>
      <c r="AT1973" t="s">
        <v>3359</v>
      </c>
      <c r="BE1973">
        <v>52</v>
      </c>
      <c r="BM1973" t="s">
        <v>3364</v>
      </c>
      <c r="BZ1973" t="s">
        <v>3159</v>
      </c>
      <c r="CM1973">
        <v>5.19</v>
      </c>
      <c r="CW1973">
        <v>712</v>
      </c>
      <c r="DB1973" t="s">
        <v>3365</v>
      </c>
      <c r="DF1973" t="s">
        <v>3366</v>
      </c>
    </row>
    <row r="1974" spans="1:110" x14ac:dyDescent="0.25">
      <c r="L1974" t="s">
        <v>3367</v>
      </c>
      <c r="X1974" t="s">
        <v>3368</v>
      </c>
      <c r="AH1974" t="s">
        <v>2440</v>
      </c>
      <c r="AM1974" t="s">
        <v>3369</v>
      </c>
      <c r="AT1974" t="s">
        <v>3359</v>
      </c>
      <c r="BE1974">
        <v>57</v>
      </c>
      <c r="BM1974" t="s">
        <v>3370</v>
      </c>
      <c r="BZ1974" t="s">
        <v>3159</v>
      </c>
      <c r="CM1974">
        <v>5.19</v>
      </c>
      <c r="CW1974">
        <v>887</v>
      </c>
      <c r="DB1974" t="s">
        <v>3371</v>
      </c>
      <c r="DF1974" t="s">
        <v>3372</v>
      </c>
    </row>
    <row r="1975" spans="1:110" x14ac:dyDescent="0.25">
      <c r="A1975" t="s">
        <v>3373</v>
      </c>
    </row>
    <row r="1976" spans="1:110" x14ac:dyDescent="0.25">
      <c r="A1976" t="s">
        <v>1269</v>
      </c>
    </row>
    <row r="1977" spans="1:110" x14ac:dyDescent="0.25">
      <c r="L1977" t="s">
        <v>3374</v>
      </c>
      <c r="X1977" t="s">
        <v>3375</v>
      </c>
      <c r="AH1977" t="s">
        <v>2440</v>
      </c>
      <c r="AM1977" t="s">
        <v>2324</v>
      </c>
      <c r="AT1977" t="s">
        <v>2324</v>
      </c>
      <c r="BE1977">
        <v>52</v>
      </c>
      <c r="BM1977" t="s">
        <v>3376</v>
      </c>
      <c r="BZ1977" t="s">
        <v>3190</v>
      </c>
      <c r="CM1977">
        <v>4</v>
      </c>
      <c r="CW1977">
        <v>611</v>
      </c>
      <c r="DB1977" t="s">
        <v>3377</v>
      </c>
      <c r="DF1977" t="s">
        <v>3378</v>
      </c>
    </row>
    <row r="1978" spans="1:110" x14ac:dyDescent="0.25">
      <c r="L1978" t="s">
        <v>3379</v>
      </c>
      <c r="X1978" t="s">
        <v>3170</v>
      </c>
      <c r="AH1978" t="s">
        <v>2440</v>
      </c>
      <c r="AM1978" t="s">
        <v>2324</v>
      </c>
      <c r="AT1978" t="s">
        <v>2324</v>
      </c>
      <c r="BE1978">
        <v>54</v>
      </c>
      <c r="BM1978" t="s">
        <v>3380</v>
      </c>
      <c r="BZ1978" t="s">
        <v>3190</v>
      </c>
      <c r="CM1978">
        <v>4</v>
      </c>
      <c r="CW1978">
        <v>645</v>
      </c>
      <c r="DB1978" t="s">
        <v>3224</v>
      </c>
      <c r="DF1978" t="s">
        <v>3381</v>
      </c>
    </row>
    <row r="1979" spans="1:110" x14ac:dyDescent="0.25">
      <c r="L1979" t="s">
        <v>3382</v>
      </c>
      <c r="X1979" t="s">
        <v>3383</v>
      </c>
      <c r="AH1979" t="s">
        <v>2440</v>
      </c>
      <c r="AM1979" t="s">
        <v>2324</v>
      </c>
      <c r="AT1979" t="s">
        <v>2324</v>
      </c>
      <c r="BE1979">
        <v>58</v>
      </c>
      <c r="BM1979" t="s">
        <v>3384</v>
      </c>
      <c r="BZ1979" t="s">
        <v>3190</v>
      </c>
      <c r="CM1979">
        <v>4</v>
      </c>
      <c r="CW1979">
        <v>796</v>
      </c>
      <c r="DB1979" t="s">
        <v>3385</v>
      </c>
      <c r="DF1979" t="s">
        <v>3386</v>
      </c>
    </row>
    <row r="1980" spans="1:110" x14ac:dyDescent="0.25">
      <c r="L1980" t="s">
        <v>3387</v>
      </c>
      <c r="X1980" t="s">
        <v>3388</v>
      </c>
      <c r="AH1980" t="s">
        <v>2440</v>
      </c>
      <c r="AM1980" t="s">
        <v>2324</v>
      </c>
      <c r="AT1980" t="s">
        <v>2324</v>
      </c>
      <c r="BE1980">
        <v>58</v>
      </c>
      <c r="BM1980" t="s">
        <v>3384</v>
      </c>
      <c r="BZ1980" t="s">
        <v>3190</v>
      </c>
      <c r="CM1980">
        <v>4</v>
      </c>
      <c r="CW1980">
        <v>938</v>
      </c>
      <c r="DB1980" t="s">
        <v>3389</v>
      </c>
      <c r="DF1980" t="s">
        <v>3390</v>
      </c>
    </row>
    <row r="1981" spans="1:110" x14ac:dyDescent="0.25">
      <c r="L1981" t="s">
        <v>3391</v>
      </c>
      <c r="X1981" t="s">
        <v>3392</v>
      </c>
      <c r="AH1981" t="s">
        <v>2440</v>
      </c>
      <c r="AM1981" t="s">
        <v>2324</v>
      </c>
      <c r="AT1981" t="s">
        <v>2324</v>
      </c>
      <c r="BE1981">
        <v>58</v>
      </c>
      <c r="BM1981" t="s">
        <v>3393</v>
      </c>
      <c r="BZ1981" t="s">
        <v>3190</v>
      </c>
      <c r="CM1981">
        <v>4</v>
      </c>
      <c r="CW1981" t="s">
        <v>1275</v>
      </c>
      <c r="DB1981" t="s">
        <v>3394</v>
      </c>
      <c r="DF1981" t="s">
        <v>3395</v>
      </c>
    </row>
    <row r="1982" spans="1:110" x14ac:dyDescent="0.25">
      <c r="L1982" t="s">
        <v>3396</v>
      </c>
      <c r="X1982" t="s">
        <v>3397</v>
      </c>
      <c r="AH1982" t="s">
        <v>2440</v>
      </c>
      <c r="AM1982" t="s">
        <v>2324</v>
      </c>
      <c r="AT1982" t="s">
        <v>2324</v>
      </c>
      <c r="BE1982">
        <v>60</v>
      </c>
      <c r="BM1982" t="s">
        <v>3398</v>
      </c>
      <c r="BZ1982" t="s">
        <v>3190</v>
      </c>
      <c r="CM1982">
        <v>4</v>
      </c>
      <c r="CW1982" t="s">
        <v>1277</v>
      </c>
      <c r="DB1982" t="s">
        <v>3399</v>
      </c>
      <c r="DF1982" t="s">
        <v>3400</v>
      </c>
    </row>
    <row r="1983" spans="1:110" x14ac:dyDescent="0.25">
      <c r="L1983" t="s">
        <v>3401</v>
      </c>
      <c r="X1983" t="s">
        <v>3402</v>
      </c>
      <c r="AH1983" t="s">
        <v>2440</v>
      </c>
      <c r="AM1983" t="s">
        <v>2324</v>
      </c>
      <c r="AT1983" t="s">
        <v>2324</v>
      </c>
      <c r="BE1983">
        <v>60</v>
      </c>
      <c r="BM1983" t="s">
        <v>3403</v>
      </c>
      <c r="BZ1983" t="s">
        <v>3190</v>
      </c>
      <c r="CM1983">
        <v>4</v>
      </c>
      <c r="CW1983" t="s">
        <v>1279</v>
      </c>
      <c r="DB1983" t="s">
        <v>3404</v>
      </c>
      <c r="DF1983" t="s">
        <v>3405</v>
      </c>
    </row>
    <row r="1984" spans="1:110" x14ac:dyDescent="0.25">
      <c r="A1984" t="s">
        <v>3406</v>
      </c>
    </row>
    <row r="1985" spans="1:110" x14ac:dyDescent="0.25">
      <c r="L1985" t="s">
        <v>3183</v>
      </c>
      <c r="X1985" t="s">
        <v>3184</v>
      </c>
      <c r="AH1985" t="s">
        <v>2440</v>
      </c>
      <c r="AM1985" t="s">
        <v>3185</v>
      </c>
      <c r="AT1985" t="s">
        <v>3186</v>
      </c>
      <c r="BE1985" t="s">
        <v>2324</v>
      </c>
      <c r="BM1985" t="s">
        <v>2324</v>
      </c>
      <c r="BZ1985" t="s">
        <v>3187</v>
      </c>
      <c r="CM1985">
        <v>1.19</v>
      </c>
      <c r="CW1985">
        <v>177</v>
      </c>
      <c r="DB1985">
        <v>295</v>
      </c>
      <c r="DF1985">
        <v>354</v>
      </c>
    </row>
    <row r="1986" spans="1:110" x14ac:dyDescent="0.25">
      <c r="L1986" t="s">
        <v>3191</v>
      </c>
      <c r="X1986" t="s">
        <v>3192</v>
      </c>
      <c r="AH1986" t="s">
        <v>2440</v>
      </c>
      <c r="AM1986" t="s">
        <v>3193</v>
      </c>
      <c r="AT1986" t="s">
        <v>3186</v>
      </c>
      <c r="BE1986" t="s">
        <v>2324</v>
      </c>
      <c r="BM1986" t="s">
        <v>2324</v>
      </c>
      <c r="BZ1986" t="s">
        <v>3187</v>
      </c>
      <c r="CM1986">
        <v>1.19</v>
      </c>
      <c r="CW1986">
        <v>189</v>
      </c>
      <c r="DB1986">
        <v>315</v>
      </c>
      <c r="DF1986">
        <v>378</v>
      </c>
    </row>
    <row r="1987" spans="1:110" x14ac:dyDescent="0.25">
      <c r="L1987" t="s">
        <v>3196</v>
      </c>
      <c r="X1987" t="s">
        <v>3170</v>
      </c>
      <c r="AH1987" t="s">
        <v>2440</v>
      </c>
      <c r="AM1987" t="s">
        <v>3197</v>
      </c>
      <c r="AT1987" t="s">
        <v>3198</v>
      </c>
      <c r="BE1987" t="s">
        <v>2324</v>
      </c>
      <c r="BM1987" t="s">
        <v>2324</v>
      </c>
      <c r="BZ1987" t="s">
        <v>3187</v>
      </c>
      <c r="CM1987">
        <v>1.19</v>
      </c>
      <c r="CW1987">
        <v>250</v>
      </c>
      <c r="DB1987">
        <v>417</v>
      </c>
      <c r="DF1987">
        <v>500</v>
      </c>
    </row>
    <row r="1988" spans="1:110" x14ac:dyDescent="0.25">
      <c r="L1988" t="s">
        <v>3407</v>
      </c>
      <c r="X1988" t="s">
        <v>3408</v>
      </c>
      <c r="AH1988" t="s">
        <v>2440</v>
      </c>
      <c r="AM1988" t="s">
        <v>3171</v>
      </c>
      <c r="AT1988" t="s">
        <v>3409</v>
      </c>
      <c r="BE1988" t="s">
        <v>2324</v>
      </c>
      <c r="BM1988" t="s">
        <v>2324</v>
      </c>
      <c r="BZ1988" t="s">
        <v>3187</v>
      </c>
      <c r="CM1988">
        <v>1.19</v>
      </c>
      <c r="CW1988">
        <v>295</v>
      </c>
      <c r="DB1988">
        <v>492</v>
      </c>
      <c r="DF1988">
        <v>590</v>
      </c>
    </row>
    <row r="1989" spans="1:110" x14ac:dyDescent="0.25">
      <c r="A1989" t="s">
        <v>3410</v>
      </c>
    </row>
    <row r="1990" spans="1:110" x14ac:dyDescent="0.25">
      <c r="A1990" t="s">
        <v>3133</v>
      </c>
    </row>
    <row r="1991" spans="1:110" x14ac:dyDescent="0.25">
      <c r="A1991" t="s">
        <v>3134</v>
      </c>
    </row>
    <row r="1992" spans="1:110" x14ac:dyDescent="0.25">
      <c r="A1992" t="s">
        <v>3135</v>
      </c>
      <c r="L1992" t="s">
        <v>3136</v>
      </c>
      <c r="X1992" t="s">
        <v>3137</v>
      </c>
      <c r="AH1992" t="s">
        <v>3138</v>
      </c>
      <c r="AM1992" t="s">
        <v>3139</v>
      </c>
      <c r="AT1992" t="s">
        <v>3140</v>
      </c>
      <c r="BE1992" t="s">
        <v>3141</v>
      </c>
      <c r="BM1992" t="s">
        <v>3142</v>
      </c>
      <c r="BZ1992" t="s">
        <v>3143</v>
      </c>
      <c r="CM1992" t="s">
        <v>3144</v>
      </c>
      <c r="CW1992" t="s">
        <v>3145</v>
      </c>
      <c r="DB1992" t="s">
        <v>3146</v>
      </c>
    </row>
    <row r="1993" spans="1:110" x14ac:dyDescent="0.25">
      <c r="X1993" t="s">
        <v>2424</v>
      </c>
      <c r="AH1993" t="s">
        <v>2324</v>
      </c>
      <c r="AM1993" t="s">
        <v>3147</v>
      </c>
      <c r="AT1993" t="s">
        <v>3148</v>
      </c>
      <c r="BE1993" t="s">
        <v>3147</v>
      </c>
      <c r="BM1993" t="s">
        <v>3148</v>
      </c>
      <c r="BZ1993" t="s">
        <v>3149</v>
      </c>
      <c r="CM1993" t="s">
        <v>3150</v>
      </c>
      <c r="CW1993" t="s">
        <v>3150</v>
      </c>
      <c r="DB1993" t="s">
        <v>3150</v>
      </c>
      <c r="DF1993" t="s">
        <v>3151</v>
      </c>
    </row>
    <row r="1994" spans="1:110" x14ac:dyDescent="0.25">
      <c r="A1994" t="s">
        <v>3411</v>
      </c>
    </row>
    <row r="1995" spans="1:110" x14ac:dyDescent="0.25">
      <c r="L1995" t="s">
        <v>3215</v>
      </c>
      <c r="X1995" t="s">
        <v>3184</v>
      </c>
      <c r="AH1995" t="s">
        <v>2440</v>
      </c>
      <c r="AM1995" t="s">
        <v>3185</v>
      </c>
      <c r="AT1995" t="s">
        <v>3186</v>
      </c>
      <c r="BE1995" t="s">
        <v>2324</v>
      </c>
      <c r="BM1995" t="s">
        <v>2324</v>
      </c>
      <c r="BZ1995" t="s">
        <v>3187</v>
      </c>
      <c r="CM1995">
        <v>1.19</v>
      </c>
      <c r="CW1995">
        <v>177</v>
      </c>
      <c r="DB1995">
        <v>295</v>
      </c>
      <c r="DF1995">
        <v>354</v>
      </c>
    </row>
    <row r="1996" spans="1:110" x14ac:dyDescent="0.25">
      <c r="L1996" t="s">
        <v>3216</v>
      </c>
      <c r="X1996" t="s">
        <v>3192</v>
      </c>
      <c r="AH1996" t="s">
        <v>2440</v>
      </c>
      <c r="AM1996" t="s">
        <v>3193</v>
      </c>
      <c r="AT1996" t="s">
        <v>3186</v>
      </c>
      <c r="BE1996" t="s">
        <v>2324</v>
      </c>
      <c r="BM1996" t="s">
        <v>2324</v>
      </c>
      <c r="BZ1996" t="s">
        <v>3187</v>
      </c>
      <c r="CM1996">
        <v>1.19</v>
      </c>
      <c r="CW1996">
        <v>189</v>
      </c>
      <c r="DB1996">
        <v>315</v>
      </c>
      <c r="DF1996">
        <v>378</v>
      </c>
    </row>
    <row r="1997" spans="1:110" x14ac:dyDescent="0.25">
      <c r="L1997" t="s">
        <v>3217</v>
      </c>
      <c r="X1997" t="s">
        <v>3170</v>
      </c>
      <c r="AH1997" t="s">
        <v>2440</v>
      </c>
      <c r="AM1997" t="s">
        <v>3197</v>
      </c>
      <c r="AT1997" t="s">
        <v>3198</v>
      </c>
      <c r="BE1997" t="s">
        <v>2324</v>
      </c>
      <c r="BM1997" t="s">
        <v>2324</v>
      </c>
      <c r="BZ1997" t="s">
        <v>3187</v>
      </c>
      <c r="CM1997">
        <v>1.19</v>
      </c>
      <c r="CW1997">
        <v>250</v>
      </c>
      <c r="DB1997">
        <v>417</v>
      </c>
      <c r="DF1997">
        <v>500</v>
      </c>
    </row>
    <row r="1998" spans="1:110" x14ac:dyDescent="0.25">
      <c r="L1998" t="s">
        <v>3218</v>
      </c>
      <c r="X1998" t="s">
        <v>3205</v>
      </c>
      <c r="AH1998" t="s">
        <v>2440</v>
      </c>
      <c r="AM1998" t="s">
        <v>3206</v>
      </c>
      <c r="AT1998" t="s">
        <v>3207</v>
      </c>
      <c r="BE1998" t="s">
        <v>2324</v>
      </c>
      <c r="BM1998" t="s">
        <v>2324</v>
      </c>
      <c r="BZ1998" t="s">
        <v>3187</v>
      </c>
      <c r="CM1998">
        <v>1.19</v>
      </c>
      <c r="CW1998">
        <v>295</v>
      </c>
      <c r="DB1998">
        <v>492</v>
      </c>
      <c r="DF1998">
        <v>590</v>
      </c>
    </row>
    <row r="1999" spans="1:110" x14ac:dyDescent="0.25">
      <c r="A1999" t="s">
        <v>3412</v>
      </c>
    </row>
    <row r="2000" spans="1:110" x14ac:dyDescent="0.25">
      <c r="L2000" t="s">
        <v>3220</v>
      </c>
      <c r="X2000" t="s">
        <v>3184</v>
      </c>
      <c r="AH2000" t="s">
        <v>2440</v>
      </c>
      <c r="AM2000" t="s">
        <v>3221</v>
      </c>
      <c r="AT2000" t="s">
        <v>3222</v>
      </c>
      <c r="BE2000" t="s">
        <v>2324</v>
      </c>
      <c r="BM2000" t="s">
        <v>2324</v>
      </c>
      <c r="BZ2000" t="s">
        <v>3187</v>
      </c>
      <c r="CM2000">
        <v>1.19</v>
      </c>
      <c r="CW2000">
        <v>200</v>
      </c>
      <c r="DB2000">
        <v>336</v>
      </c>
      <c r="DF2000">
        <v>403</v>
      </c>
    </row>
    <row r="2001" spans="1:110" x14ac:dyDescent="0.25">
      <c r="L2001" t="s">
        <v>3225</v>
      </c>
      <c r="X2001" t="s">
        <v>3192</v>
      </c>
      <c r="AH2001" t="s">
        <v>2440</v>
      </c>
      <c r="AM2001" t="s">
        <v>3226</v>
      </c>
      <c r="AT2001" t="s">
        <v>3222</v>
      </c>
      <c r="BE2001" t="s">
        <v>2324</v>
      </c>
      <c r="BM2001" t="s">
        <v>2324</v>
      </c>
      <c r="BZ2001" t="s">
        <v>3187</v>
      </c>
      <c r="CM2001">
        <v>1.19</v>
      </c>
      <c r="CW2001">
        <v>210</v>
      </c>
      <c r="DB2001">
        <v>352</v>
      </c>
      <c r="DF2001">
        <v>422</v>
      </c>
    </row>
    <row r="2002" spans="1:110" x14ac:dyDescent="0.25">
      <c r="L2002" t="s">
        <v>3229</v>
      </c>
      <c r="X2002" t="s">
        <v>3230</v>
      </c>
      <c r="AH2002" t="s">
        <v>2440</v>
      </c>
      <c r="AM2002" t="s">
        <v>3231</v>
      </c>
      <c r="AT2002" t="s">
        <v>3232</v>
      </c>
      <c r="BE2002" t="s">
        <v>2324</v>
      </c>
      <c r="BM2002" t="s">
        <v>2324</v>
      </c>
      <c r="BZ2002" t="s">
        <v>3187</v>
      </c>
      <c r="CM2002">
        <v>1.19</v>
      </c>
      <c r="CW2002">
        <v>264</v>
      </c>
      <c r="DB2002">
        <v>444</v>
      </c>
      <c r="DF2002">
        <v>533</v>
      </c>
    </row>
    <row r="2003" spans="1:110" x14ac:dyDescent="0.25">
      <c r="L2003" t="s">
        <v>3238</v>
      </c>
      <c r="X2003" t="s">
        <v>3239</v>
      </c>
      <c r="AH2003" t="s">
        <v>2440</v>
      </c>
      <c r="AM2003" t="s">
        <v>3206</v>
      </c>
      <c r="AT2003" t="s">
        <v>3240</v>
      </c>
      <c r="BE2003" t="s">
        <v>2324</v>
      </c>
      <c r="BM2003" t="s">
        <v>2324</v>
      </c>
      <c r="BZ2003" t="s">
        <v>3187</v>
      </c>
      <c r="CM2003">
        <v>1.19</v>
      </c>
      <c r="CW2003">
        <v>320</v>
      </c>
      <c r="DB2003">
        <v>535</v>
      </c>
      <c r="DF2003">
        <v>642</v>
      </c>
    </row>
    <row r="2004" spans="1:110" x14ac:dyDescent="0.25">
      <c r="A2004" t="s">
        <v>3413</v>
      </c>
    </row>
    <row r="2005" spans="1:110" x14ac:dyDescent="0.25">
      <c r="L2005" t="s">
        <v>1222</v>
      </c>
      <c r="X2005" t="s">
        <v>3184</v>
      </c>
      <c r="AH2005" t="s">
        <v>2440</v>
      </c>
      <c r="AM2005" t="s">
        <v>3221</v>
      </c>
      <c r="AT2005" t="s">
        <v>3222</v>
      </c>
      <c r="BE2005" t="s">
        <v>2324</v>
      </c>
      <c r="BM2005" t="s">
        <v>2324</v>
      </c>
      <c r="BZ2005" t="s">
        <v>3187</v>
      </c>
      <c r="CM2005">
        <v>1.19</v>
      </c>
      <c r="CW2005">
        <v>180</v>
      </c>
      <c r="DB2005">
        <v>300</v>
      </c>
      <c r="DF2005">
        <v>360</v>
      </c>
    </row>
    <row r="2006" spans="1:110" x14ac:dyDescent="0.25">
      <c r="L2006" t="s">
        <v>3250</v>
      </c>
      <c r="X2006" t="s">
        <v>3192</v>
      </c>
      <c r="AH2006" t="s">
        <v>2440</v>
      </c>
      <c r="AM2006" t="s">
        <v>3226</v>
      </c>
      <c r="AT2006" t="s">
        <v>3222</v>
      </c>
      <c r="BE2006" t="s">
        <v>2324</v>
      </c>
      <c r="BM2006" t="s">
        <v>2324</v>
      </c>
      <c r="BZ2006" t="s">
        <v>3187</v>
      </c>
      <c r="CM2006">
        <v>1.19</v>
      </c>
      <c r="CW2006">
        <v>189</v>
      </c>
      <c r="DB2006">
        <v>315</v>
      </c>
      <c r="DF2006">
        <v>378</v>
      </c>
    </row>
    <row r="2007" spans="1:110" x14ac:dyDescent="0.25">
      <c r="L2007" t="s">
        <v>3252</v>
      </c>
      <c r="X2007" t="s">
        <v>3230</v>
      </c>
      <c r="AH2007" t="s">
        <v>2440</v>
      </c>
      <c r="AM2007" t="s">
        <v>3231</v>
      </c>
      <c r="AT2007" t="s">
        <v>3232</v>
      </c>
      <c r="BE2007" t="s">
        <v>2324</v>
      </c>
      <c r="BM2007" t="s">
        <v>2324</v>
      </c>
      <c r="BZ2007" t="s">
        <v>3187</v>
      </c>
      <c r="CM2007">
        <v>1.19</v>
      </c>
      <c r="CW2007">
        <v>238</v>
      </c>
      <c r="DB2007">
        <v>397</v>
      </c>
      <c r="DF2007">
        <v>476</v>
      </c>
    </row>
    <row r="2008" spans="1:110" x14ac:dyDescent="0.25">
      <c r="L2008" t="s">
        <v>3255</v>
      </c>
      <c r="X2008" t="s">
        <v>3239</v>
      </c>
      <c r="AH2008" t="s">
        <v>2440</v>
      </c>
      <c r="AM2008" t="s">
        <v>3206</v>
      </c>
      <c r="AT2008" t="s">
        <v>3240</v>
      </c>
      <c r="BE2008" t="s">
        <v>2324</v>
      </c>
      <c r="BM2008" t="s">
        <v>2324</v>
      </c>
      <c r="BZ2008" t="s">
        <v>3187</v>
      </c>
      <c r="CM2008">
        <v>1.19</v>
      </c>
      <c r="CW2008">
        <v>288</v>
      </c>
      <c r="DB2008">
        <v>480</v>
      </c>
      <c r="DF2008">
        <v>576</v>
      </c>
    </row>
    <row r="2009" spans="1:110" x14ac:dyDescent="0.25">
      <c r="A2009" t="s">
        <v>3414</v>
      </c>
    </row>
    <row r="2010" spans="1:110" x14ac:dyDescent="0.25">
      <c r="L2010" t="s">
        <v>3415</v>
      </c>
      <c r="X2010" t="s">
        <v>3416</v>
      </c>
      <c r="AH2010" t="s">
        <v>2440</v>
      </c>
      <c r="AM2010" t="s">
        <v>3417</v>
      </c>
      <c r="AT2010" t="s">
        <v>3418</v>
      </c>
      <c r="BE2010" t="s">
        <v>2324</v>
      </c>
      <c r="BM2010" t="s">
        <v>2324</v>
      </c>
      <c r="BZ2010" t="s">
        <v>3263</v>
      </c>
      <c r="CM2010">
        <v>0.54</v>
      </c>
      <c r="CW2010">
        <v>131</v>
      </c>
      <c r="DB2010">
        <v>218</v>
      </c>
      <c r="DF2010">
        <v>262</v>
      </c>
    </row>
    <row r="2011" spans="1:110" x14ac:dyDescent="0.25">
      <c r="L2011" t="s">
        <v>3259</v>
      </c>
      <c r="X2011" t="s">
        <v>3260</v>
      </c>
      <c r="AH2011" t="s">
        <v>2440</v>
      </c>
      <c r="AM2011" t="s">
        <v>3261</v>
      </c>
      <c r="AT2011" t="s">
        <v>3262</v>
      </c>
      <c r="BE2011" t="s">
        <v>2324</v>
      </c>
      <c r="BM2011" t="s">
        <v>2324</v>
      </c>
      <c r="BZ2011" t="s">
        <v>3263</v>
      </c>
      <c r="CM2011">
        <v>0.54</v>
      </c>
      <c r="CW2011">
        <v>154</v>
      </c>
      <c r="DB2011">
        <v>257</v>
      </c>
      <c r="DF2011">
        <v>308</v>
      </c>
    </row>
    <row r="2012" spans="1:110" x14ac:dyDescent="0.25">
      <c r="L2012" t="s">
        <v>3266</v>
      </c>
      <c r="X2012" t="s">
        <v>3267</v>
      </c>
      <c r="AH2012" t="s">
        <v>2440</v>
      </c>
      <c r="AM2012" t="s">
        <v>3268</v>
      </c>
      <c r="AT2012" t="s">
        <v>3269</v>
      </c>
      <c r="BE2012" t="s">
        <v>2324</v>
      </c>
      <c r="BM2012" t="s">
        <v>2324</v>
      </c>
      <c r="BZ2012" t="s">
        <v>3187</v>
      </c>
      <c r="CM2012">
        <v>1.19</v>
      </c>
      <c r="CW2012">
        <v>164</v>
      </c>
      <c r="DB2012">
        <v>273</v>
      </c>
      <c r="DF2012">
        <v>328</v>
      </c>
    </row>
    <row r="2013" spans="1:110" x14ac:dyDescent="0.25">
      <c r="L2013" t="s">
        <v>3271</v>
      </c>
      <c r="X2013" t="s">
        <v>3272</v>
      </c>
      <c r="AH2013" t="s">
        <v>2440</v>
      </c>
      <c r="AM2013" t="s">
        <v>3273</v>
      </c>
      <c r="AT2013" t="s">
        <v>3274</v>
      </c>
      <c r="BE2013" t="s">
        <v>2324</v>
      </c>
      <c r="BM2013" t="s">
        <v>2324</v>
      </c>
      <c r="BZ2013" t="s">
        <v>3187</v>
      </c>
      <c r="CM2013">
        <v>1.19</v>
      </c>
      <c r="CW2013">
        <v>220</v>
      </c>
      <c r="DB2013">
        <v>365</v>
      </c>
      <c r="DF2013">
        <v>438</v>
      </c>
    </row>
    <row r="2014" spans="1:110" x14ac:dyDescent="0.25">
      <c r="L2014" t="s">
        <v>3280</v>
      </c>
      <c r="X2014" t="s">
        <v>3281</v>
      </c>
      <c r="AH2014" t="s">
        <v>2440</v>
      </c>
      <c r="AM2014" t="s">
        <v>3282</v>
      </c>
      <c r="AT2014" t="s">
        <v>3283</v>
      </c>
      <c r="BE2014" t="s">
        <v>2324</v>
      </c>
      <c r="BM2014" t="s">
        <v>2324</v>
      </c>
      <c r="BZ2014" t="s">
        <v>3187</v>
      </c>
      <c r="CM2014">
        <v>1.19</v>
      </c>
      <c r="CW2014">
        <v>257</v>
      </c>
      <c r="DB2014">
        <v>428</v>
      </c>
      <c r="DF2014">
        <v>514</v>
      </c>
    </row>
    <row r="2015" spans="1:110" x14ac:dyDescent="0.25">
      <c r="A2015" t="s">
        <v>3419</v>
      </c>
    </row>
    <row r="2016" spans="1:110" x14ac:dyDescent="0.25">
      <c r="L2016" t="s">
        <v>3339</v>
      </c>
      <c r="X2016" t="s">
        <v>3260</v>
      </c>
      <c r="AH2016" t="s">
        <v>2440</v>
      </c>
      <c r="AM2016" t="s">
        <v>3261</v>
      </c>
      <c r="AT2016" t="s">
        <v>3340</v>
      </c>
      <c r="BE2016" t="s">
        <v>2324</v>
      </c>
      <c r="BM2016" t="s">
        <v>2324</v>
      </c>
      <c r="BZ2016" t="s">
        <v>3263</v>
      </c>
      <c r="CM2016">
        <v>0.54</v>
      </c>
      <c r="CW2016">
        <v>131</v>
      </c>
      <c r="DB2016">
        <v>219</v>
      </c>
      <c r="DF2016">
        <v>262</v>
      </c>
    </row>
    <row r="2017" spans="1:110" x14ac:dyDescent="0.25">
      <c r="L2017" t="s">
        <v>3343</v>
      </c>
      <c r="X2017" t="s">
        <v>3267</v>
      </c>
      <c r="AH2017" t="s">
        <v>2440</v>
      </c>
      <c r="AM2017" t="s">
        <v>3344</v>
      </c>
      <c r="AT2017" t="s">
        <v>3340</v>
      </c>
      <c r="BE2017" t="s">
        <v>2324</v>
      </c>
      <c r="BM2017" t="s">
        <v>2324</v>
      </c>
      <c r="BZ2017" t="s">
        <v>3263</v>
      </c>
      <c r="CM2017">
        <v>0.54</v>
      </c>
      <c r="CW2017">
        <v>137</v>
      </c>
      <c r="DB2017">
        <v>230</v>
      </c>
      <c r="DF2017">
        <v>275</v>
      </c>
    </row>
    <row r="2018" spans="1:110" x14ac:dyDescent="0.25">
      <c r="L2018" t="s">
        <v>3346</v>
      </c>
      <c r="X2018" t="s">
        <v>3272</v>
      </c>
      <c r="AH2018" t="s">
        <v>2440</v>
      </c>
      <c r="AM2018" t="s">
        <v>3273</v>
      </c>
      <c r="AT2018" t="s">
        <v>3347</v>
      </c>
      <c r="BE2018" t="s">
        <v>2324</v>
      </c>
      <c r="BM2018" t="s">
        <v>2324</v>
      </c>
      <c r="BZ2018" t="s">
        <v>3187</v>
      </c>
      <c r="CM2018">
        <v>1.19</v>
      </c>
      <c r="CW2018">
        <v>194</v>
      </c>
      <c r="DB2018">
        <v>325</v>
      </c>
      <c r="DF2018">
        <v>390</v>
      </c>
    </row>
    <row r="2019" spans="1:110" x14ac:dyDescent="0.25">
      <c r="L2019" t="s">
        <v>3350</v>
      </c>
      <c r="X2019" t="s">
        <v>3281</v>
      </c>
      <c r="AH2019" t="s">
        <v>2440</v>
      </c>
      <c r="AM2019" t="s">
        <v>3351</v>
      </c>
      <c r="AT2019" t="s">
        <v>3352</v>
      </c>
      <c r="BE2019" t="s">
        <v>2324</v>
      </c>
      <c r="BM2019" t="s">
        <v>2324</v>
      </c>
      <c r="BZ2019" t="s">
        <v>3187</v>
      </c>
      <c r="CM2019">
        <v>1.19</v>
      </c>
      <c r="CW2019">
        <v>227</v>
      </c>
      <c r="DB2019">
        <v>377</v>
      </c>
      <c r="DF2019">
        <v>453</v>
      </c>
    </row>
    <row r="2020" spans="1:110" x14ac:dyDescent="0.25">
      <c r="A2020" t="s">
        <v>3420</v>
      </c>
    </row>
    <row r="2021" spans="1:110" x14ac:dyDescent="0.25">
      <c r="L2021" t="s">
        <v>3421</v>
      </c>
      <c r="X2021" t="s">
        <v>3260</v>
      </c>
      <c r="AH2021" t="s">
        <v>2440</v>
      </c>
      <c r="AM2021" t="s">
        <v>3261</v>
      </c>
      <c r="AT2021" t="s">
        <v>3422</v>
      </c>
      <c r="BE2021" t="s">
        <v>2324</v>
      </c>
      <c r="BM2021" t="s">
        <v>2324</v>
      </c>
      <c r="BZ2021" t="s">
        <v>3187</v>
      </c>
      <c r="CM2021">
        <v>1.19</v>
      </c>
      <c r="CW2021">
        <v>280</v>
      </c>
      <c r="DB2021">
        <v>463</v>
      </c>
      <c r="DF2021">
        <v>556</v>
      </c>
    </row>
    <row r="2022" spans="1:110" x14ac:dyDescent="0.25">
      <c r="L2022" t="s">
        <v>3423</v>
      </c>
      <c r="X2022" t="s">
        <v>3192</v>
      </c>
      <c r="AH2022" t="s">
        <v>2440</v>
      </c>
      <c r="AM2022" t="s">
        <v>3193</v>
      </c>
      <c r="AT2022" t="s">
        <v>3422</v>
      </c>
      <c r="BE2022" t="s">
        <v>2324</v>
      </c>
      <c r="BM2022" t="s">
        <v>2324</v>
      </c>
      <c r="BZ2022" t="s">
        <v>3187</v>
      </c>
      <c r="CM2022">
        <v>1.19</v>
      </c>
      <c r="CW2022">
        <v>292</v>
      </c>
      <c r="DB2022">
        <v>483</v>
      </c>
      <c r="DF2022">
        <v>580</v>
      </c>
    </row>
    <row r="2023" spans="1:110" x14ac:dyDescent="0.25">
      <c r="L2023" t="s">
        <v>3424</v>
      </c>
      <c r="X2023" t="s">
        <v>3425</v>
      </c>
      <c r="AH2023" t="s">
        <v>2440</v>
      </c>
      <c r="AM2023" t="s">
        <v>3369</v>
      </c>
      <c r="AT2023" t="s">
        <v>3422</v>
      </c>
      <c r="BE2023" t="s">
        <v>2324</v>
      </c>
      <c r="BM2023" t="s">
        <v>2324</v>
      </c>
      <c r="BZ2023" t="s">
        <v>3187</v>
      </c>
      <c r="CM2023">
        <v>1.19</v>
      </c>
      <c r="CW2023">
        <v>300</v>
      </c>
      <c r="DB2023">
        <v>498</v>
      </c>
      <c r="DF2023">
        <v>597</v>
      </c>
    </row>
    <row r="2024" spans="1:110" x14ac:dyDescent="0.25">
      <c r="A2024" t="s">
        <v>3426</v>
      </c>
    </row>
    <row r="2025" spans="1:110" x14ac:dyDescent="0.25">
      <c r="L2025" t="s">
        <v>3427</v>
      </c>
      <c r="X2025" t="s">
        <v>3428</v>
      </c>
      <c r="AH2025" t="s">
        <v>2440</v>
      </c>
      <c r="AM2025" t="s">
        <v>3429</v>
      </c>
      <c r="AT2025" t="s">
        <v>3430</v>
      </c>
      <c r="BE2025" t="s">
        <v>2324</v>
      </c>
      <c r="BM2025" t="s">
        <v>2324</v>
      </c>
      <c r="BZ2025" t="s">
        <v>3431</v>
      </c>
      <c r="CM2025">
        <v>4.04</v>
      </c>
      <c r="CW2025">
        <v>368</v>
      </c>
      <c r="DB2025">
        <v>612</v>
      </c>
      <c r="DF2025">
        <v>734</v>
      </c>
    </row>
    <row r="2026" spans="1:110" x14ac:dyDescent="0.25">
      <c r="L2026" t="s">
        <v>3432</v>
      </c>
      <c r="X2026" t="s">
        <v>3433</v>
      </c>
      <c r="AH2026" t="s">
        <v>2440</v>
      </c>
      <c r="AM2026" t="s">
        <v>3429</v>
      </c>
      <c r="AT2026" t="s">
        <v>3430</v>
      </c>
      <c r="BE2026" t="s">
        <v>2324</v>
      </c>
      <c r="BM2026" t="s">
        <v>2324</v>
      </c>
      <c r="BZ2026" t="s">
        <v>3431</v>
      </c>
      <c r="CM2026">
        <v>4.04</v>
      </c>
      <c r="CW2026">
        <v>373</v>
      </c>
      <c r="DB2026">
        <v>620</v>
      </c>
      <c r="DF2026">
        <v>744</v>
      </c>
    </row>
    <row r="2027" spans="1:110" x14ac:dyDescent="0.25">
      <c r="L2027" t="s">
        <v>3434</v>
      </c>
      <c r="X2027" t="s">
        <v>3435</v>
      </c>
      <c r="AH2027" t="s">
        <v>2440</v>
      </c>
      <c r="AM2027" t="s">
        <v>3429</v>
      </c>
      <c r="AT2027" t="s">
        <v>3436</v>
      </c>
      <c r="BE2027" t="s">
        <v>2324</v>
      </c>
      <c r="BM2027" t="s">
        <v>2324</v>
      </c>
      <c r="BZ2027" t="s">
        <v>3431</v>
      </c>
      <c r="CM2027">
        <v>4.04</v>
      </c>
      <c r="CW2027">
        <v>393</v>
      </c>
      <c r="DB2027">
        <v>653</v>
      </c>
      <c r="DF2027">
        <v>783</v>
      </c>
    </row>
    <row r="2028" spans="1:110" x14ac:dyDescent="0.25">
      <c r="L2028" t="s">
        <v>3437</v>
      </c>
      <c r="X2028" t="s">
        <v>3438</v>
      </c>
      <c r="AH2028" t="s">
        <v>2440</v>
      </c>
      <c r="AM2028" t="s">
        <v>3429</v>
      </c>
      <c r="AT2028" t="s">
        <v>3439</v>
      </c>
      <c r="BE2028" t="s">
        <v>2324</v>
      </c>
      <c r="BM2028" t="s">
        <v>2324</v>
      </c>
      <c r="BZ2028" t="s">
        <v>3431</v>
      </c>
      <c r="CM2028">
        <v>4.04</v>
      </c>
      <c r="CW2028">
        <v>492</v>
      </c>
      <c r="DB2028">
        <v>818</v>
      </c>
      <c r="DF2028">
        <v>981</v>
      </c>
    </row>
    <row r="2029" spans="1:110" x14ac:dyDescent="0.25">
      <c r="A2029" t="s">
        <v>3440</v>
      </c>
    </row>
    <row r="2030" spans="1:110" x14ac:dyDescent="0.25">
      <c r="L2030" t="s">
        <v>3441</v>
      </c>
      <c r="X2030" t="s">
        <v>3433</v>
      </c>
      <c r="AH2030" t="s">
        <v>2440</v>
      </c>
      <c r="AM2030" t="s">
        <v>3442</v>
      </c>
      <c r="AT2030" t="s">
        <v>3443</v>
      </c>
      <c r="BE2030" t="s">
        <v>2324</v>
      </c>
      <c r="BM2030" t="s">
        <v>3444</v>
      </c>
      <c r="BZ2030" t="s">
        <v>3187</v>
      </c>
      <c r="CM2030">
        <v>1.19</v>
      </c>
      <c r="CW2030">
        <v>387</v>
      </c>
      <c r="DB2030">
        <v>642</v>
      </c>
      <c r="DF2030">
        <v>770</v>
      </c>
    </row>
    <row r="2031" spans="1:110" x14ac:dyDescent="0.25">
      <c r="L2031" t="s">
        <v>3445</v>
      </c>
      <c r="X2031" t="s">
        <v>3446</v>
      </c>
      <c r="AH2031" t="s">
        <v>2440</v>
      </c>
      <c r="AM2031" t="s">
        <v>3447</v>
      </c>
      <c r="AT2031" t="s">
        <v>3443</v>
      </c>
      <c r="BE2031" t="s">
        <v>2324</v>
      </c>
      <c r="BM2031" t="s">
        <v>3444</v>
      </c>
      <c r="BZ2031" t="s">
        <v>3187</v>
      </c>
      <c r="CM2031">
        <v>1.19</v>
      </c>
      <c r="CW2031">
        <v>396</v>
      </c>
      <c r="DB2031">
        <v>656</v>
      </c>
      <c r="DF2031">
        <v>787</v>
      </c>
    </row>
    <row r="2032" spans="1:110" x14ac:dyDescent="0.25">
      <c r="L2032" t="s">
        <v>3448</v>
      </c>
      <c r="X2032" t="s">
        <v>3449</v>
      </c>
      <c r="AH2032" t="s">
        <v>2440</v>
      </c>
      <c r="AM2032" t="s">
        <v>3450</v>
      </c>
      <c r="AT2032" t="s">
        <v>3451</v>
      </c>
      <c r="BE2032" t="s">
        <v>2324</v>
      </c>
      <c r="BM2032" t="s">
        <v>3452</v>
      </c>
      <c r="BZ2032" t="s">
        <v>3431</v>
      </c>
      <c r="CM2032">
        <v>4.04</v>
      </c>
      <c r="CW2032">
        <v>562</v>
      </c>
      <c r="DB2032">
        <v>931</v>
      </c>
      <c r="DF2032" t="s">
        <v>3453</v>
      </c>
    </row>
    <row r="2033" spans="1:110" x14ac:dyDescent="0.25">
      <c r="A2033" t="s">
        <v>3454</v>
      </c>
    </row>
    <row r="2034" spans="1:110" x14ac:dyDescent="0.25">
      <c r="A2034" t="s">
        <v>3455</v>
      </c>
    </row>
    <row r="2035" spans="1:110" x14ac:dyDescent="0.25">
      <c r="A2035" t="s">
        <v>3135</v>
      </c>
      <c r="L2035" t="s">
        <v>3136</v>
      </c>
      <c r="X2035" t="s">
        <v>3137</v>
      </c>
      <c r="AH2035" t="s">
        <v>3138</v>
      </c>
      <c r="AM2035" t="s">
        <v>3139</v>
      </c>
      <c r="AT2035" t="s">
        <v>3140</v>
      </c>
      <c r="BE2035" t="s">
        <v>3141</v>
      </c>
      <c r="BM2035" t="s">
        <v>3142</v>
      </c>
      <c r="BZ2035" t="s">
        <v>3143</v>
      </c>
      <c r="CM2035" t="s">
        <v>3144</v>
      </c>
      <c r="CW2035" t="s">
        <v>3145</v>
      </c>
      <c r="DB2035" t="s">
        <v>3146</v>
      </c>
    </row>
    <row r="2036" spans="1:110" x14ac:dyDescent="0.25">
      <c r="X2036" t="s">
        <v>2424</v>
      </c>
      <c r="AH2036" t="s">
        <v>2324</v>
      </c>
      <c r="AM2036" t="s">
        <v>3147</v>
      </c>
      <c r="AT2036" t="s">
        <v>3148</v>
      </c>
      <c r="BE2036" t="s">
        <v>3147</v>
      </c>
      <c r="BM2036" t="s">
        <v>3148</v>
      </c>
      <c r="BZ2036" t="s">
        <v>3149</v>
      </c>
      <c r="CM2036" t="s">
        <v>3150</v>
      </c>
      <c r="CW2036" t="s">
        <v>3150</v>
      </c>
      <c r="DB2036" t="s">
        <v>3150</v>
      </c>
      <c r="DF2036" t="s">
        <v>3151</v>
      </c>
    </row>
    <row r="2037" spans="1:110" x14ac:dyDescent="0.25">
      <c r="A2037" t="s">
        <v>3456</v>
      </c>
    </row>
    <row r="2038" spans="1:110" x14ac:dyDescent="0.25">
      <c r="L2038" t="s">
        <v>3457</v>
      </c>
      <c r="X2038" t="s">
        <v>3260</v>
      </c>
      <c r="AH2038" t="s">
        <v>2440</v>
      </c>
      <c r="AM2038" t="s">
        <v>3458</v>
      </c>
      <c r="AT2038" t="s">
        <v>3459</v>
      </c>
      <c r="BE2038" t="s">
        <v>2324</v>
      </c>
      <c r="BM2038" t="s">
        <v>2324</v>
      </c>
      <c r="BZ2038" t="s">
        <v>3431</v>
      </c>
      <c r="CM2038">
        <v>4.04</v>
      </c>
      <c r="CW2038">
        <v>288</v>
      </c>
      <c r="DB2038">
        <v>478</v>
      </c>
      <c r="DF2038">
        <v>574</v>
      </c>
    </row>
    <row r="2039" spans="1:110" x14ac:dyDescent="0.25">
      <c r="L2039" t="s">
        <v>3460</v>
      </c>
      <c r="X2039" t="s">
        <v>3433</v>
      </c>
      <c r="AH2039" t="s">
        <v>2440</v>
      </c>
      <c r="AM2039" t="s">
        <v>3461</v>
      </c>
      <c r="AT2039" t="s">
        <v>3462</v>
      </c>
      <c r="BE2039" t="s">
        <v>2324</v>
      </c>
      <c r="BM2039" t="s">
        <v>2324</v>
      </c>
      <c r="BZ2039" t="s">
        <v>3431</v>
      </c>
      <c r="CM2039">
        <v>4.04</v>
      </c>
      <c r="CW2039">
        <v>297</v>
      </c>
      <c r="DB2039">
        <v>493</v>
      </c>
      <c r="DF2039">
        <v>591</v>
      </c>
    </row>
    <row r="2040" spans="1:110" x14ac:dyDescent="0.25">
      <c r="L2040" t="s">
        <v>3463</v>
      </c>
      <c r="X2040" t="s">
        <v>3446</v>
      </c>
      <c r="AH2040" t="s">
        <v>2440</v>
      </c>
      <c r="AM2040" t="s">
        <v>3464</v>
      </c>
      <c r="AT2040" t="s">
        <v>3465</v>
      </c>
      <c r="BE2040" t="s">
        <v>2324</v>
      </c>
      <c r="BM2040" t="s">
        <v>2324</v>
      </c>
      <c r="BZ2040" t="s">
        <v>3431</v>
      </c>
      <c r="CM2040">
        <v>4.04</v>
      </c>
      <c r="CW2040">
        <v>398</v>
      </c>
      <c r="DB2040">
        <v>659</v>
      </c>
      <c r="DF2040">
        <v>791</v>
      </c>
    </row>
    <row r="2041" spans="1:110" x14ac:dyDescent="0.25">
      <c r="L2041" t="s">
        <v>3466</v>
      </c>
      <c r="X2041" t="s">
        <v>3449</v>
      </c>
      <c r="AH2041" t="s">
        <v>2440</v>
      </c>
      <c r="AM2041" t="s">
        <v>3467</v>
      </c>
      <c r="AT2041" t="s">
        <v>3468</v>
      </c>
      <c r="BE2041" t="s">
        <v>2324</v>
      </c>
      <c r="BM2041" t="s">
        <v>2324</v>
      </c>
      <c r="BZ2041" t="s">
        <v>3431</v>
      </c>
      <c r="CM2041">
        <v>4.04</v>
      </c>
      <c r="CW2041">
        <v>437</v>
      </c>
      <c r="DB2041">
        <v>725</v>
      </c>
      <c r="DF2041">
        <v>869</v>
      </c>
    </row>
    <row r="2042" spans="1:110" x14ac:dyDescent="0.25">
      <c r="A2042" t="s">
        <v>3469</v>
      </c>
    </row>
    <row r="2043" spans="1:110" x14ac:dyDescent="0.25">
      <c r="L2043" t="s">
        <v>3470</v>
      </c>
      <c r="X2043" t="s">
        <v>3260</v>
      </c>
      <c r="AH2043" t="s">
        <v>2440</v>
      </c>
      <c r="AM2043" t="s">
        <v>3471</v>
      </c>
      <c r="AT2043" t="s">
        <v>3472</v>
      </c>
      <c r="BE2043" t="s">
        <v>2324</v>
      </c>
      <c r="BM2043" t="s">
        <v>2324</v>
      </c>
      <c r="BZ2043" t="s">
        <v>3190</v>
      </c>
      <c r="CM2043">
        <v>4</v>
      </c>
      <c r="CW2043">
        <v>324</v>
      </c>
      <c r="DB2043">
        <v>537</v>
      </c>
      <c r="DF2043">
        <v>644</v>
      </c>
    </row>
    <row r="2044" spans="1:110" x14ac:dyDescent="0.25">
      <c r="L2044" t="s">
        <v>3473</v>
      </c>
      <c r="X2044" t="s">
        <v>3433</v>
      </c>
      <c r="AH2044" t="s">
        <v>2440</v>
      </c>
      <c r="AM2044" t="s">
        <v>3474</v>
      </c>
      <c r="AT2044" t="s">
        <v>3475</v>
      </c>
      <c r="BE2044" t="s">
        <v>2324</v>
      </c>
      <c r="BM2044" t="s">
        <v>2324</v>
      </c>
      <c r="BZ2044" t="s">
        <v>3190</v>
      </c>
      <c r="CM2044">
        <v>4</v>
      </c>
      <c r="CW2044">
        <v>333</v>
      </c>
      <c r="DB2044">
        <v>552</v>
      </c>
      <c r="DF2044">
        <v>663</v>
      </c>
    </row>
    <row r="2045" spans="1:110" x14ac:dyDescent="0.25">
      <c r="L2045" t="s">
        <v>3476</v>
      </c>
      <c r="X2045" t="s">
        <v>3446</v>
      </c>
      <c r="AH2045" t="s">
        <v>2440</v>
      </c>
      <c r="AM2045" t="s">
        <v>3471</v>
      </c>
      <c r="AT2045" t="s">
        <v>3477</v>
      </c>
      <c r="BE2045" t="s">
        <v>2324</v>
      </c>
      <c r="BM2045" t="s">
        <v>2324</v>
      </c>
      <c r="BZ2045" t="s">
        <v>3190</v>
      </c>
      <c r="CM2045">
        <v>4</v>
      </c>
      <c r="CW2045">
        <v>437</v>
      </c>
      <c r="DB2045">
        <v>724</v>
      </c>
      <c r="DF2045">
        <v>869</v>
      </c>
    </row>
    <row r="2046" spans="1:110" x14ac:dyDescent="0.25">
      <c r="L2046" t="s">
        <v>3478</v>
      </c>
      <c r="X2046" t="s">
        <v>3449</v>
      </c>
      <c r="AH2046" t="s">
        <v>2440</v>
      </c>
      <c r="AM2046" t="s">
        <v>3479</v>
      </c>
      <c r="AT2046" t="s">
        <v>3480</v>
      </c>
      <c r="BE2046" t="s">
        <v>2324</v>
      </c>
      <c r="BM2046" t="s">
        <v>2324</v>
      </c>
      <c r="BZ2046" t="s">
        <v>3190</v>
      </c>
      <c r="CM2046">
        <v>4</v>
      </c>
      <c r="CW2046">
        <v>473</v>
      </c>
      <c r="DB2046">
        <v>783</v>
      </c>
      <c r="DF2046">
        <v>940</v>
      </c>
    </row>
    <row r="2048" spans="1:110" x14ac:dyDescent="0.25">
      <c r="A2048" t="s">
        <v>3481</v>
      </c>
    </row>
    <row r="2049" spans="1:110" x14ac:dyDescent="0.25">
      <c r="L2049" t="s">
        <v>3482</v>
      </c>
      <c r="X2049" t="s">
        <v>3433</v>
      </c>
      <c r="AH2049" t="s">
        <v>2440</v>
      </c>
      <c r="AM2049" t="s">
        <v>2324</v>
      </c>
      <c r="AT2049" t="s">
        <v>2324</v>
      </c>
      <c r="BE2049">
        <v>48</v>
      </c>
      <c r="BM2049" t="s">
        <v>3483</v>
      </c>
      <c r="BZ2049" t="s">
        <v>3431</v>
      </c>
      <c r="CM2049">
        <v>4.04</v>
      </c>
      <c r="CW2049">
        <v>574</v>
      </c>
      <c r="DB2049">
        <v>953</v>
      </c>
      <c r="DF2049" t="s">
        <v>3484</v>
      </c>
    </row>
    <row r="2050" spans="1:110" x14ac:dyDescent="0.25">
      <c r="L2050" t="s">
        <v>3485</v>
      </c>
      <c r="X2050" t="s">
        <v>3170</v>
      </c>
      <c r="AH2050" t="s">
        <v>2440</v>
      </c>
      <c r="AM2050" t="s">
        <v>2324</v>
      </c>
      <c r="AT2050" t="s">
        <v>2324</v>
      </c>
      <c r="BE2050">
        <v>52</v>
      </c>
      <c r="BM2050" t="s">
        <v>3486</v>
      </c>
      <c r="BZ2050" t="s">
        <v>3431</v>
      </c>
      <c r="CM2050">
        <v>4.04</v>
      </c>
      <c r="CW2050">
        <v>618</v>
      </c>
      <c r="DB2050" t="s">
        <v>3487</v>
      </c>
      <c r="DF2050" t="s">
        <v>3488</v>
      </c>
    </row>
    <row r="2051" spans="1:110" x14ac:dyDescent="0.25">
      <c r="L2051" t="s">
        <v>3489</v>
      </c>
      <c r="X2051" t="s">
        <v>3438</v>
      </c>
      <c r="AH2051" t="s">
        <v>2440</v>
      </c>
      <c r="AM2051" t="s">
        <v>2324</v>
      </c>
      <c r="AT2051" t="s">
        <v>2324</v>
      </c>
      <c r="BE2051">
        <v>55</v>
      </c>
      <c r="BM2051" t="s">
        <v>3490</v>
      </c>
      <c r="BZ2051" t="s">
        <v>3431</v>
      </c>
      <c r="CM2051">
        <v>4.04</v>
      </c>
      <c r="CW2051">
        <v>806</v>
      </c>
      <c r="DB2051" t="s">
        <v>3491</v>
      </c>
      <c r="DF2051" t="s">
        <v>3492</v>
      </c>
    </row>
    <row r="2052" spans="1:110" x14ac:dyDescent="0.25">
      <c r="L2052" t="s">
        <v>3493</v>
      </c>
      <c r="X2052" t="s">
        <v>3494</v>
      </c>
      <c r="AH2052" t="s">
        <v>2440</v>
      </c>
      <c r="AM2052" t="s">
        <v>2324</v>
      </c>
      <c r="AT2052" t="s">
        <v>2324</v>
      </c>
      <c r="BE2052">
        <v>57</v>
      </c>
      <c r="BM2052" t="s">
        <v>3495</v>
      </c>
      <c r="BZ2052" t="s">
        <v>3190</v>
      </c>
      <c r="CM2052">
        <v>4</v>
      </c>
      <c r="CW2052">
        <v>955</v>
      </c>
      <c r="DB2052" t="s">
        <v>3386</v>
      </c>
      <c r="DF2052" t="s">
        <v>3496</v>
      </c>
    </row>
    <row r="2053" spans="1:110" x14ac:dyDescent="0.25">
      <c r="L2053" t="s">
        <v>3497</v>
      </c>
      <c r="X2053" t="s">
        <v>3498</v>
      </c>
      <c r="AH2053" t="s">
        <v>2440</v>
      </c>
      <c r="AM2053" t="s">
        <v>2324</v>
      </c>
      <c r="AT2053" t="s">
        <v>2324</v>
      </c>
      <c r="BE2053">
        <v>57</v>
      </c>
      <c r="BM2053" t="s">
        <v>3499</v>
      </c>
      <c r="BZ2053" t="s">
        <v>3190</v>
      </c>
      <c r="CM2053">
        <v>4</v>
      </c>
      <c r="CW2053" t="s">
        <v>3500</v>
      </c>
      <c r="DB2053" t="s">
        <v>3501</v>
      </c>
      <c r="DF2053" t="s">
        <v>3502</v>
      </c>
    </row>
    <row r="2054" spans="1:110" x14ac:dyDescent="0.25">
      <c r="L2054" t="s">
        <v>3503</v>
      </c>
      <c r="X2054" t="s">
        <v>3498</v>
      </c>
      <c r="AH2054" t="s">
        <v>2440</v>
      </c>
      <c r="AM2054" t="s">
        <v>2324</v>
      </c>
      <c r="AT2054" t="s">
        <v>2324</v>
      </c>
      <c r="BE2054">
        <v>57</v>
      </c>
      <c r="BM2054" t="s">
        <v>3504</v>
      </c>
      <c r="BZ2054" t="s">
        <v>3190</v>
      </c>
      <c r="CM2054">
        <v>4</v>
      </c>
      <c r="CW2054" t="s">
        <v>3505</v>
      </c>
      <c r="DB2054" t="s">
        <v>3506</v>
      </c>
      <c r="DF2054" t="s">
        <v>3507</v>
      </c>
    </row>
    <row r="2055" spans="1:110" x14ac:dyDescent="0.25">
      <c r="L2055" t="s">
        <v>3508</v>
      </c>
      <c r="X2055" t="s">
        <v>3509</v>
      </c>
      <c r="AH2055" t="s">
        <v>2440</v>
      </c>
      <c r="AM2055" t="s">
        <v>2324</v>
      </c>
      <c r="AT2055" t="s">
        <v>2324</v>
      </c>
      <c r="BE2055">
        <v>58</v>
      </c>
      <c r="BM2055" t="s">
        <v>3510</v>
      </c>
      <c r="BZ2055" t="s">
        <v>3190</v>
      </c>
      <c r="CM2055">
        <v>4</v>
      </c>
      <c r="CW2055" t="s">
        <v>3511</v>
      </c>
      <c r="DB2055" t="s">
        <v>3502</v>
      </c>
      <c r="DF2055" t="s">
        <v>3512</v>
      </c>
    </row>
    <row r="2056" spans="1:110" x14ac:dyDescent="0.25">
      <c r="L2056" t="s">
        <v>3513</v>
      </c>
      <c r="X2056" t="s">
        <v>3514</v>
      </c>
      <c r="AH2056" t="s">
        <v>2440</v>
      </c>
      <c r="AM2056" t="s">
        <v>2324</v>
      </c>
      <c r="AT2056" t="s">
        <v>2324</v>
      </c>
      <c r="BE2056">
        <v>59</v>
      </c>
      <c r="BM2056" t="s">
        <v>3515</v>
      </c>
      <c r="BZ2056" t="s">
        <v>3190</v>
      </c>
      <c r="CM2056">
        <v>4</v>
      </c>
      <c r="CW2056" t="s">
        <v>3516</v>
      </c>
      <c r="DB2056" t="s">
        <v>3517</v>
      </c>
      <c r="DF2056" t="s">
        <v>3518</v>
      </c>
    </row>
    <row r="2057" spans="1:110" x14ac:dyDescent="0.25">
      <c r="L2057" t="s">
        <v>3519</v>
      </c>
      <c r="X2057" t="s">
        <v>3520</v>
      </c>
      <c r="AH2057" t="s">
        <v>2440</v>
      </c>
      <c r="AM2057" t="s">
        <v>2324</v>
      </c>
      <c r="AT2057" t="s">
        <v>2324</v>
      </c>
      <c r="BE2057">
        <v>60</v>
      </c>
      <c r="BM2057" t="s">
        <v>3521</v>
      </c>
      <c r="BZ2057" t="s">
        <v>2324</v>
      </c>
      <c r="CM2057" t="s">
        <v>2324</v>
      </c>
      <c r="CW2057" t="s">
        <v>3522</v>
      </c>
      <c r="DB2057" t="s">
        <v>3523</v>
      </c>
      <c r="DF2057" t="s">
        <v>3524</v>
      </c>
    </row>
    <row r="2058" spans="1:110" x14ac:dyDescent="0.25">
      <c r="A2058" t="s">
        <v>3525</v>
      </c>
    </row>
    <row r="2059" spans="1:110" x14ac:dyDescent="0.25">
      <c r="A2059" t="s">
        <v>3526</v>
      </c>
    </row>
    <row r="2060" spans="1:110" x14ac:dyDescent="0.25">
      <c r="L2060" t="s">
        <v>3527</v>
      </c>
      <c r="X2060" t="s">
        <v>3433</v>
      </c>
      <c r="AH2060" t="s">
        <v>2440</v>
      </c>
      <c r="AM2060" t="s">
        <v>3528</v>
      </c>
      <c r="AT2060" t="s">
        <v>3529</v>
      </c>
      <c r="BE2060" t="s">
        <v>2324</v>
      </c>
      <c r="BM2060" t="s">
        <v>3530</v>
      </c>
      <c r="BZ2060" t="s">
        <v>3190</v>
      </c>
      <c r="CM2060">
        <v>4</v>
      </c>
      <c r="CW2060">
        <v>433</v>
      </c>
      <c r="DB2060">
        <v>726</v>
      </c>
      <c r="DF2060">
        <v>871</v>
      </c>
    </row>
    <row r="2061" spans="1:110" x14ac:dyDescent="0.25">
      <c r="L2061" t="s">
        <v>3531</v>
      </c>
      <c r="X2061" t="s">
        <v>3532</v>
      </c>
      <c r="AH2061" t="s">
        <v>2440</v>
      </c>
      <c r="AM2061" t="s">
        <v>3533</v>
      </c>
      <c r="AT2061" t="s">
        <v>3529</v>
      </c>
      <c r="BE2061" t="s">
        <v>2324</v>
      </c>
      <c r="BM2061" t="s">
        <v>3530</v>
      </c>
      <c r="BZ2061" t="s">
        <v>3190</v>
      </c>
      <c r="CM2061">
        <v>4</v>
      </c>
      <c r="CW2061">
        <v>442</v>
      </c>
      <c r="DB2061">
        <v>742</v>
      </c>
      <c r="DF2061">
        <v>890</v>
      </c>
    </row>
    <row r="2062" spans="1:110" x14ac:dyDescent="0.25">
      <c r="L2062" t="s">
        <v>3534</v>
      </c>
      <c r="X2062" t="s">
        <v>3438</v>
      </c>
      <c r="AH2062" t="s">
        <v>2440</v>
      </c>
      <c r="AM2062" t="s">
        <v>3535</v>
      </c>
      <c r="AT2062" t="s">
        <v>3536</v>
      </c>
      <c r="BE2062" t="s">
        <v>2324</v>
      </c>
      <c r="BM2062" t="s">
        <v>3537</v>
      </c>
      <c r="BZ2062" t="s">
        <v>3431</v>
      </c>
      <c r="CM2062">
        <v>4.04</v>
      </c>
      <c r="CW2062">
        <v>597</v>
      </c>
      <c r="DB2062" t="s">
        <v>3538</v>
      </c>
      <c r="DF2062" t="s">
        <v>3539</v>
      </c>
    </row>
    <row r="2063" spans="1:110" x14ac:dyDescent="0.25">
      <c r="L2063" t="s">
        <v>3540</v>
      </c>
      <c r="X2063" t="s">
        <v>3494</v>
      </c>
      <c r="AH2063" t="s">
        <v>2440</v>
      </c>
      <c r="AM2063" t="s">
        <v>3541</v>
      </c>
      <c r="AT2063" t="s">
        <v>3536</v>
      </c>
      <c r="BE2063" t="s">
        <v>2324</v>
      </c>
      <c r="BM2063" t="s">
        <v>3542</v>
      </c>
      <c r="BZ2063" t="s">
        <v>3431</v>
      </c>
      <c r="CM2063">
        <v>4.04</v>
      </c>
      <c r="CW2063">
        <v>600</v>
      </c>
      <c r="DB2063" t="s">
        <v>3543</v>
      </c>
      <c r="DF2063" t="s">
        <v>3544</v>
      </c>
    </row>
    <row r="2064" spans="1:110" x14ac:dyDescent="0.25">
      <c r="L2064" t="s">
        <v>3545</v>
      </c>
      <c r="X2064" t="s">
        <v>3498</v>
      </c>
      <c r="AH2064" t="s">
        <v>2440</v>
      </c>
      <c r="AM2064" t="s">
        <v>3546</v>
      </c>
      <c r="AT2064" t="s">
        <v>3547</v>
      </c>
      <c r="BE2064" t="s">
        <v>2324</v>
      </c>
      <c r="BM2064" t="s">
        <v>3537</v>
      </c>
      <c r="BZ2064" t="s">
        <v>3431</v>
      </c>
      <c r="CM2064">
        <v>4.04</v>
      </c>
      <c r="CW2064">
        <v>658</v>
      </c>
      <c r="DB2064" t="s">
        <v>3548</v>
      </c>
      <c r="DF2064" t="s">
        <v>3549</v>
      </c>
    </row>
    <row r="2065" spans="1:110" x14ac:dyDescent="0.25">
      <c r="L2065" t="s">
        <v>3550</v>
      </c>
      <c r="X2065" t="s">
        <v>3509</v>
      </c>
      <c r="AH2065" t="s">
        <v>2440</v>
      </c>
      <c r="AM2065" t="s">
        <v>3551</v>
      </c>
      <c r="AT2065" t="s">
        <v>3547</v>
      </c>
      <c r="BE2065" t="s">
        <v>2324</v>
      </c>
      <c r="BM2065" t="s">
        <v>3537</v>
      </c>
      <c r="BZ2065" t="s">
        <v>3431</v>
      </c>
      <c r="CM2065">
        <v>4.04</v>
      </c>
      <c r="CW2065">
        <v>714</v>
      </c>
      <c r="DB2065" t="s">
        <v>3552</v>
      </c>
      <c r="DF2065" t="s">
        <v>3553</v>
      </c>
    </row>
    <row r="2066" spans="1:110" x14ac:dyDescent="0.25">
      <c r="L2066" t="s">
        <v>3554</v>
      </c>
      <c r="X2066" t="s">
        <v>3514</v>
      </c>
      <c r="AH2066" t="s">
        <v>2440</v>
      </c>
      <c r="AM2066" t="s">
        <v>3555</v>
      </c>
      <c r="AT2066" t="s">
        <v>3556</v>
      </c>
      <c r="BE2066" t="s">
        <v>2324</v>
      </c>
      <c r="BM2066" t="s">
        <v>3542</v>
      </c>
      <c r="BZ2066" t="s">
        <v>3431</v>
      </c>
      <c r="CM2066">
        <v>4.04</v>
      </c>
      <c r="CW2066">
        <v>790</v>
      </c>
      <c r="DB2066" t="s">
        <v>3557</v>
      </c>
      <c r="DF2066" t="s">
        <v>3558</v>
      </c>
    </row>
    <row r="2067" spans="1:110" x14ac:dyDescent="0.25">
      <c r="L2067" t="s">
        <v>3559</v>
      </c>
      <c r="X2067" t="s">
        <v>3560</v>
      </c>
      <c r="AH2067" t="s">
        <v>2440</v>
      </c>
      <c r="AM2067" t="s">
        <v>3561</v>
      </c>
      <c r="AT2067" t="s">
        <v>3562</v>
      </c>
      <c r="BE2067" t="s">
        <v>2324</v>
      </c>
      <c r="BM2067" t="s">
        <v>3542</v>
      </c>
      <c r="BZ2067" t="s">
        <v>3431</v>
      </c>
      <c r="CM2067">
        <v>4.04</v>
      </c>
      <c r="CW2067">
        <v>793</v>
      </c>
      <c r="DB2067" t="s">
        <v>3563</v>
      </c>
      <c r="DF2067" t="s">
        <v>3564</v>
      </c>
    </row>
    <row r="2068" spans="1:110" x14ac:dyDescent="0.25">
      <c r="A2068" t="s">
        <v>3565</v>
      </c>
    </row>
    <row r="2069" spans="1:110" x14ac:dyDescent="0.25">
      <c r="A2069" t="s">
        <v>3566</v>
      </c>
    </row>
    <row r="2070" spans="1:110" x14ac:dyDescent="0.25">
      <c r="L2070" t="s">
        <v>3567</v>
      </c>
      <c r="X2070" t="s">
        <v>3433</v>
      </c>
      <c r="AH2070" t="s">
        <v>2440</v>
      </c>
      <c r="AM2070" t="s">
        <v>3568</v>
      </c>
      <c r="AT2070" t="s">
        <v>3569</v>
      </c>
      <c r="BE2070" t="s">
        <v>2324</v>
      </c>
      <c r="BM2070" t="s">
        <v>2324</v>
      </c>
      <c r="BZ2070" t="s">
        <v>3431</v>
      </c>
      <c r="CM2070">
        <v>4.04</v>
      </c>
      <c r="CW2070">
        <v>405</v>
      </c>
      <c r="DB2070">
        <v>674</v>
      </c>
      <c r="DF2070">
        <v>809</v>
      </c>
    </row>
    <row r="2071" spans="1:110" x14ac:dyDescent="0.25">
      <c r="L2071" t="s">
        <v>3570</v>
      </c>
      <c r="X2071" t="s">
        <v>3170</v>
      </c>
      <c r="AH2071" t="s">
        <v>2440</v>
      </c>
      <c r="AM2071" t="s">
        <v>3571</v>
      </c>
      <c r="AT2071" t="s">
        <v>3572</v>
      </c>
      <c r="BE2071" t="s">
        <v>2324</v>
      </c>
      <c r="BM2071" t="s">
        <v>2324</v>
      </c>
      <c r="BZ2071" t="s">
        <v>3431</v>
      </c>
      <c r="CM2071">
        <v>4.04</v>
      </c>
      <c r="CW2071">
        <v>427</v>
      </c>
      <c r="DB2071">
        <v>712</v>
      </c>
      <c r="DF2071">
        <v>855</v>
      </c>
    </row>
    <row r="2072" spans="1:110" x14ac:dyDescent="0.25">
      <c r="L2072" t="s">
        <v>3573</v>
      </c>
      <c r="X2072" t="s">
        <v>3574</v>
      </c>
      <c r="AH2072" t="s">
        <v>2440</v>
      </c>
      <c r="AM2072" t="s">
        <v>3575</v>
      </c>
      <c r="AT2072" t="s">
        <v>3576</v>
      </c>
      <c r="BE2072" t="s">
        <v>2324</v>
      </c>
      <c r="BM2072" t="s">
        <v>2324</v>
      </c>
      <c r="BZ2072" t="s">
        <v>3431</v>
      </c>
      <c r="CM2072">
        <v>4.04</v>
      </c>
      <c r="CW2072">
        <v>508</v>
      </c>
      <c r="DB2072">
        <v>847</v>
      </c>
      <c r="DF2072" t="s">
        <v>3577</v>
      </c>
    </row>
    <row r="2073" spans="1:110" x14ac:dyDescent="0.25">
      <c r="L2073" t="s">
        <v>3578</v>
      </c>
      <c r="X2073" t="s">
        <v>3494</v>
      </c>
      <c r="AH2073" t="s">
        <v>2440</v>
      </c>
      <c r="AM2073" t="s">
        <v>3551</v>
      </c>
      <c r="AT2073" t="s">
        <v>3579</v>
      </c>
      <c r="BE2073" t="s">
        <v>2324</v>
      </c>
      <c r="BM2073" t="s">
        <v>2324</v>
      </c>
      <c r="BZ2073" t="s">
        <v>3431</v>
      </c>
      <c r="CM2073">
        <v>4.04</v>
      </c>
      <c r="CW2073">
        <v>524</v>
      </c>
      <c r="DB2073">
        <v>874</v>
      </c>
      <c r="DF2073" t="s">
        <v>3580</v>
      </c>
    </row>
    <row r="2074" spans="1:110" x14ac:dyDescent="0.25">
      <c r="L2074" t="s">
        <v>3581</v>
      </c>
      <c r="X2074" t="s">
        <v>3582</v>
      </c>
      <c r="AH2074" t="s">
        <v>2440</v>
      </c>
      <c r="AM2074" t="s">
        <v>3583</v>
      </c>
      <c r="AT2074" t="s">
        <v>3579</v>
      </c>
      <c r="BE2074" t="s">
        <v>2324</v>
      </c>
      <c r="BM2074" t="s">
        <v>2324</v>
      </c>
      <c r="BZ2074" t="s">
        <v>3431</v>
      </c>
      <c r="CM2074">
        <v>4.04</v>
      </c>
      <c r="CW2074">
        <v>537</v>
      </c>
      <c r="DB2074">
        <v>896</v>
      </c>
      <c r="DF2074" t="s">
        <v>3210</v>
      </c>
    </row>
    <row r="2075" spans="1:110" x14ac:dyDescent="0.25">
      <c r="L2075" t="s">
        <v>3584</v>
      </c>
      <c r="X2075" t="s">
        <v>3582</v>
      </c>
      <c r="AH2075" t="s">
        <v>2440</v>
      </c>
      <c r="AM2075" t="s">
        <v>3585</v>
      </c>
      <c r="AT2075" t="s">
        <v>3586</v>
      </c>
      <c r="BE2075" t="s">
        <v>2324</v>
      </c>
      <c r="BM2075" t="s">
        <v>2324</v>
      </c>
      <c r="BZ2075" t="s">
        <v>3431</v>
      </c>
      <c r="CM2075">
        <v>4.04</v>
      </c>
      <c r="CW2075">
        <v>639</v>
      </c>
      <c r="DB2075" t="s">
        <v>3587</v>
      </c>
      <c r="DF2075" t="s">
        <v>3588</v>
      </c>
    </row>
    <row r="2076" spans="1:110" x14ac:dyDescent="0.25">
      <c r="L2076" t="s">
        <v>3589</v>
      </c>
      <c r="X2076" t="s">
        <v>3514</v>
      </c>
      <c r="AH2076" t="s">
        <v>2440</v>
      </c>
      <c r="AM2076" t="s">
        <v>3590</v>
      </c>
      <c r="AT2076" t="s">
        <v>3591</v>
      </c>
      <c r="BE2076" t="s">
        <v>2324</v>
      </c>
      <c r="BM2076" t="s">
        <v>2324</v>
      </c>
      <c r="BZ2076" t="s">
        <v>3431</v>
      </c>
      <c r="CM2076">
        <v>4.04</v>
      </c>
      <c r="CW2076">
        <v>761</v>
      </c>
      <c r="DB2076" t="s">
        <v>3592</v>
      </c>
      <c r="DF2076" t="s">
        <v>3593</v>
      </c>
    </row>
    <row r="2077" spans="1:110" x14ac:dyDescent="0.25">
      <c r="L2077" t="s">
        <v>3594</v>
      </c>
      <c r="X2077" t="s">
        <v>3520</v>
      </c>
      <c r="AH2077" t="s">
        <v>2440</v>
      </c>
      <c r="AM2077" t="s">
        <v>3595</v>
      </c>
      <c r="AT2077" t="s">
        <v>3596</v>
      </c>
      <c r="BE2077" t="s">
        <v>2324</v>
      </c>
      <c r="BM2077" t="s">
        <v>2324</v>
      </c>
      <c r="BZ2077" t="s">
        <v>3431</v>
      </c>
      <c r="CM2077">
        <v>4.04</v>
      </c>
      <c r="CW2077">
        <v>779</v>
      </c>
      <c r="DB2077" t="s">
        <v>3597</v>
      </c>
      <c r="DF2077" t="s">
        <v>3598</v>
      </c>
    </row>
    <row r="2078" spans="1:110" x14ac:dyDescent="0.25">
      <c r="A2078" t="s">
        <v>3599</v>
      </c>
    </row>
    <row r="2079" spans="1:110" x14ac:dyDescent="0.25">
      <c r="A2079" t="s">
        <v>3455</v>
      </c>
    </row>
    <row r="2080" spans="1:110" x14ac:dyDescent="0.25">
      <c r="A2080" t="s">
        <v>3135</v>
      </c>
      <c r="L2080" t="s">
        <v>3136</v>
      </c>
      <c r="X2080" t="s">
        <v>3137</v>
      </c>
      <c r="AH2080" t="s">
        <v>3138</v>
      </c>
      <c r="AM2080" t="s">
        <v>3139</v>
      </c>
      <c r="AT2080" t="s">
        <v>3140</v>
      </c>
      <c r="BE2080" t="s">
        <v>3141</v>
      </c>
      <c r="BM2080" t="s">
        <v>3142</v>
      </c>
      <c r="BZ2080" t="s">
        <v>3143</v>
      </c>
      <c r="CM2080" t="s">
        <v>3144</v>
      </c>
      <c r="CW2080" t="s">
        <v>3145</v>
      </c>
      <c r="DB2080" t="s">
        <v>3146</v>
      </c>
    </row>
    <row r="2081" spans="1:110" x14ac:dyDescent="0.25">
      <c r="X2081" t="s">
        <v>2424</v>
      </c>
      <c r="AH2081" t="s">
        <v>2324</v>
      </c>
      <c r="AM2081" t="s">
        <v>3147</v>
      </c>
      <c r="AT2081" t="s">
        <v>3148</v>
      </c>
      <c r="BE2081" t="s">
        <v>3147</v>
      </c>
      <c r="BM2081" t="s">
        <v>3148</v>
      </c>
      <c r="BZ2081" t="s">
        <v>3149</v>
      </c>
      <c r="CM2081" t="s">
        <v>3150</v>
      </c>
      <c r="CW2081" t="s">
        <v>3150</v>
      </c>
      <c r="DB2081" t="s">
        <v>3150</v>
      </c>
      <c r="DF2081" t="s">
        <v>3151</v>
      </c>
    </row>
    <row r="2082" spans="1:110" x14ac:dyDescent="0.25">
      <c r="A2082" t="s">
        <v>3600</v>
      </c>
    </row>
    <row r="2083" spans="1:110" x14ac:dyDescent="0.25">
      <c r="A2083" t="s">
        <v>3601</v>
      </c>
    </row>
    <row r="2084" spans="1:110" x14ac:dyDescent="0.25">
      <c r="L2084" t="s">
        <v>3602</v>
      </c>
      <c r="X2084" t="s">
        <v>3433</v>
      </c>
      <c r="AH2084" t="s">
        <v>2440</v>
      </c>
      <c r="AM2084" t="s">
        <v>3603</v>
      </c>
      <c r="AT2084" t="s">
        <v>3604</v>
      </c>
      <c r="BE2084" t="s">
        <v>2324</v>
      </c>
      <c r="BM2084" t="s">
        <v>2324</v>
      </c>
      <c r="BZ2084" t="s">
        <v>3431</v>
      </c>
      <c r="CM2084">
        <v>4.04</v>
      </c>
      <c r="CW2084">
        <v>376</v>
      </c>
      <c r="DB2084">
        <v>630</v>
      </c>
      <c r="DF2084">
        <v>756</v>
      </c>
    </row>
    <row r="2085" spans="1:110" x14ac:dyDescent="0.25">
      <c r="L2085" t="s">
        <v>3605</v>
      </c>
      <c r="X2085" t="s">
        <v>3170</v>
      </c>
      <c r="AH2085" t="s">
        <v>2440</v>
      </c>
      <c r="AM2085" t="s">
        <v>3533</v>
      </c>
      <c r="AT2085" t="s">
        <v>3606</v>
      </c>
      <c r="BE2085" t="s">
        <v>2324</v>
      </c>
      <c r="BM2085" t="s">
        <v>2324</v>
      </c>
      <c r="BZ2085" t="s">
        <v>3431</v>
      </c>
      <c r="CM2085">
        <v>4.04</v>
      </c>
      <c r="CW2085">
        <v>416</v>
      </c>
      <c r="DB2085">
        <v>696</v>
      </c>
      <c r="DF2085">
        <v>836</v>
      </c>
    </row>
    <row r="2086" spans="1:110" x14ac:dyDescent="0.25">
      <c r="L2086" t="s">
        <v>3607</v>
      </c>
      <c r="X2086" t="s">
        <v>3438</v>
      </c>
      <c r="AH2086" t="s">
        <v>2440</v>
      </c>
      <c r="AM2086" t="s">
        <v>3533</v>
      </c>
      <c r="AT2086" t="s">
        <v>3608</v>
      </c>
      <c r="BE2086" t="s">
        <v>2324</v>
      </c>
      <c r="BM2086" t="s">
        <v>2324</v>
      </c>
      <c r="BZ2086" t="s">
        <v>3431</v>
      </c>
      <c r="CM2086">
        <v>4.04</v>
      </c>
      <c r="CW2086">
        <v>531</v>
      </c>
      <c r="DB2086">
        <v>889</v>
      </c>
      <c r="DF2086" t="s">
        <v>3609</v>
      </c>
    </row>
    <row r="2087" spans="1:110" x14ac:dyDescent="0.25">
      <c r="L2087" t="s">
        <v>3610</v>
      </c>
      <c r="X2087" t="s">
        <v>3494</v>
      </c>
      <c r="AH2087" t="s">
        <v>2440</v>
      </c>
      <c r="AM2087" t="s">
        <v>3611</v>
      </c>
      <c r="AT2087" t="s">
        <v>3612</v>
      </c>
      <c r="BE2087" t="s">
        <v>2324</v>
      </c>
      <c r="BM2087" t="s">
        <v>2324</v>
      </c>
      <c r="BZ2087" t="s">
        <v>3431</v>
      </c>
      <c r="CM2087">
        <v>4.04</v>
      </c>
      <c r="CW2087">
        <v>553</v>
      </c>
      <c r="DB2087">
        <v>927</v>
      </c>
      <c r="DF2087" t="s">
        <v>3613</v>
      </c>
    </row>
    <row r="2088" spans="1:110" x14ac:dyDescent="0.25">
      <c r="L2088" t="s">
        <v>3614</v>
      </c>
      <c r="X2088" t="s">
        <v>3498</v>
      </c>
      <c r="AH2088" t="s">
        <v>2440</v>
      </c>
      <c r="AM2088" t="s">
        <v>3615</v>
      </c>
      <c r="AT2088" t="s">
        <v>3616</v>
      </c>
      <c r="BE2088" t="s">
        <v>2324</v>
      </c>
      <c r="BM2088" t="s">
        <v>2324</v>
      </c>
      <c r="BZ2088" t="s">
        <v>3431</v>
      </c>
      <c r="CM2088">
        <v>4.04</v>
      </c>
      <c r="CW2088">
        <v>612</v>
      </c>
      <c r="DB2088" t="s">
        <v>3617</v>
      </c>
      <c r="DF2088" t="s">
        <v>3618</v>
      </c>
    </row>
    <row r="2089" spans="1:110" x14ac:dyDescent="0.25">
      <c r="L2089" t="s">
        <v>3619</v>
      </c>
      <c r="X2089" t="s">
        <v>3498</v>
      </c>
      <c r="AH2089" t="s">
        <v>2440</v>
      </c>
      <c r="AM2089" t="s">
        <v>3620</v>
      </c>
      <c r="AT2089" t="s">
        <v>3616</v>
      </c>
      <c r="BE2089" t="s">
        <v>2324</v>
      </c>
      <c r="BM2089" t="s">
        <v>2324</v>
      </c>
      <c r="BZ2089" t="s">
        <v>3431</v>
      </c>
      <c r="CM2089">
        <v>4.04</v>
      </c>
      <c r="CW2089">
        <v>742</v>
      </c>
      <c r="DB2089" t="s">
        <v>3621</v>
      </c>
      <c r="DF2089" t="s">
        <v>3622</v>
      </c>
    </row>
    <row r="2090" spans="1:110" x14ac:dyDescent="0.25">
      <c r="L2090" t="s">
        <v>3623</v>
      </c>
      <c r="X2090" t="s">
        <v>3514</v>
      </c>
      <c r="AH2090" t="s">
        <v>2440</v>
      </c>
      <c r="AM2090" t="s">
        <v>3585</v>
      </c>
      <c r="AT2090" t="s">
        <v>3624</v>
      </c>
      <c r="BE2090" t="s">
        <v>2324</v>
      </c>
      <c r="BM2090" t="s">
        <v>2324</v>
      </c>
      <c r="BZ2090" t="s">
        <v>3431</v>
      </c>
      <c r="CM2090">
        <v>4.04</v>
      </c>
      <c r="CW2090">
        <v>837</v>
      </c>
      <c r="DB2090" t="s">
        <v>3625</v>
      </c>
      <c r="DF2090" t="s">
        <v>3626</v>
      </c>
    </row>
    <row r="2091" spans="1:110" x14ac:dyDescent="0.25">
      <c r="L2091" t="s">
        <v>3627</v>
      </c>
      <c r="X2091" t="s">
        <v>3520</v>
      </c>
      <c r="AH2091" t="s">
        <v>2440</v>
      </c>
      <c r="AM2091" t="s">
        <v>3628</v>
      </c>
      <c r="AT2091" t="s">
        <v>3629</v>
      </c>
      <c r="BE2091" t="s">
        <v>2324</v>
      </c>
      <c r="BM2091" t="s">
        <v>2324</v>
      </c>
      <c r="BZ2091" t="s">
        <v>3431</v>
      </c>
      <c r="CM2091">
        <v>4.04</v>
      </c>
      <c r="CW2091">
        <v>852</v>
      </c>
      <c r="DB2091" t="s">
        <v>3630</v>
      </c>
      <c r="DF2091" t="s">
        <v>3631</v>
      </c>
    </row>
    <row r="2092" spans="1:110" x14ac:dyDescent="0.25">
      <c r="A2092" t="s">
        <v>3632</v>
      </c>
    </row>
    <row r="2093" spans="1:110" x14ac:dyDescent="0.25">
      <c r="A2093" t="s">
        <v>3633</v>
      </c>
    </row>
    <row r="2094" spans="1:110" x14ac:dyDescent="0.25">
      <c r="A2094" t="s">
        <v>3634</v>
      </c>
      <c r="X2094" t="s">
        <v>3449</v>
      </c>
      <c r="AH2094" t="s">
        <v>2440</v>
      </c>
      <c r="AM2094" t="s">
        <v>3635</v>
      </c>
      <c r="AT2094" t="s">
        <v>3636</v>
      </c>
      <c r="BE2094" t="s">
        <v>2324</v>
      </c>
      <c r="BM2094" t="s">
        <v>2324</v>
      </c>
      <c r="BZ2094" t="s">
        <v>3187</v>
      </c>
      <c r="CM2094">
        <v>1.19</v>
      </c>
      <c r="CW2094">
        <v>288</v>
      </c>
      <c r="DB2094">
        <v>480</v>
      </c>
      <c r="DF2094">
        <v>576</v>
      </c>
    </row>
    <row r="2095" spans="1:110" x14ac:dyDescent="0.25">
      <c r="A2095" t="s">
        <v>3600</v>
      </c>
    </row>
    <row r="2096" spans="1:110" x14ac:dyDescent="0.25">
      <c r="A2096" t="s">
        <v>3637</v>
      </c>
    </row>
    <row r="2097" spans="1:110" x14ac:dyDescent="0.25">
      <c r="A2097" t="s">
        <v>3638</v>
      </c>
      <c r="X2097" t="s">
        <v>3639</v>
      </c>
      <c r="AH2097" t="s">
        <v>3640</v>
      </c>
      <c r="AM2097" t="s">
        <v>3641</v>
      </c>
      <c r="AT2097" t="s">
        <v>3642</v>
      </c>
      <c r="BE2097">
        <v>59</v>
      </c>
      <c r="BM2097" t="s">
        <v>3643</v>
      </c>
      <c r="BZ2097" t="s">
        <v>2324</v>
      </c>
      <c r="CM2097" t="s">
        <v>2324</v>
      </c>
      <c r="CW2097" t="s">
        <v>3644</v>
      </c>
      <c r="DB2097" t="s">
        <v>3645</v>
      </c>
      <c r="DF2097" t="s">
        <v>3646</v>
      </c>
    </row>
    <row r="2098" spans="1:110" x14ac:dyDescent="0.25">
      <c r="A2098" t="s">
        <v>3647</v>
      </c>
    </row>
    <row r="2099" spans="1:110" x14ac:dyDescent="0.25">
      <c r="L2099" t="s">
        <v>3648</v>
      </c>
      <c r="X2099" t="s">
        <v>3649</v>
      </c>
      <c r="AH2099" t="s">
        <v>2440</v>
      </c>
      <c r="AM2099" t="s">
        <v>3650</v>
      </c>
      <c r="AT2099" t="s">
        <v>3651</v>
      </c>
      <c r="BE2099">
        <v>61</v>
      </c>
      <c r="BM2099" t="s">
        <v>3652</v>
      </c>
      <c r="BZ2099" t="s">
        <v>3653</v>
      </c>
      <c r="CM2099">
        <v>8.0399999999999991</v>
      </c>
      <c r="CW2099" t="s">
        <v>3235</v>
      </c>
      <c r="DB2099" t="s">
        <v>3654</v>
      </c>
      <c r="DF2099" t="s">
        <v>3655</v>
      </c>
    </row>
    <row r="2100" spans="1:110" x14ac:dyDescent="0.25">
      <c r="L2100" t="s">
        <v>3656</v>
      </c>
      <c r="X2100" t="s">
        <v>3657</v>
      </c>
      <c r="AH2100" t="s">
        <v>2440</v>
      </c>
      <c r="AM2100" t="s">
        <v>3658</v>
      </c>
      <c r="AT2100" t="s">
        <v>3659</v>
      </c>
      <c r="BE2100">
        <v>63</v>
      </c>
      <c r="BM2100" t="s">
        <v>3660</v>
      </c>
      <c r="BZ2100" t="s">
        <v>3653</v>
      </c>
      <c r="CM2100">
        <v>8.0399999999999991</v>
      </c>
      <c r="CW2100" t="s">
        <v>3661</v>
      </c>
      <c r="DB2100" t="s">
        <v>3662</v>
      </c>
      <c r="DF2100" t="s">
        <v>3663</v>
      </c>
    </row>
    <row r="2101" spans="1:110" x14ac:dyDescent="0.25">
      <c r="A2101" t="s">
        <v>3664</v>
      </c>
    </row>
    <row r="2102" spans="1:110" x14ac:dyDescent="0.25">
      <c r="L2102" t="s">
        <v>3665</v>
      </c>
      <c r="X2102" t="s">
        <v>3666</v>
      </c>
      <c r="AH2102" t="s">
        <v>2440</v>
      </c>
      <c r="AM2102" t="s">
        <v>3667</v>
      </c>
      <c r="AT2102" t="s">
        <v>3668</v>
      </c>
      <c r="BE2102" t="s">
        <v>3669</v>
      </c>
      <c r="BM2102" t="s">
        <v>2324</v>
      </c>
      <c r="BZ2102" t="s">
        <v>3670</v>
      </c>
      <c r="CM2102">
        <v>4.04</v>
      </c>
      <c r="CW2102">
        <v>457</v>
      </c>
      <c r="DB2102">
        <v>649</v>
      </c>
      <c r="DF2102">
        <v>779</v>
      </c>
    </row>
    <row r="2103" spans="1:110" x14ac:dyDescent="0.25">
      <c r="L2103" t="s">
        <v>3671</v>
      </c>
      <c r="X2103" t="s">
        <v>3672</v>
      </c>
      <c r="AH2103" t="s">
        <v>2440</v>
      </c>
      <c r="AM2103" t="s">
        <v>3667</v>
      </c>
      <c r="AT2103" t="s">
        <v>3673</v>
      </c>
      <c r="BE2103" t="s">
        <v>3674</v>
      </c>
      <c r="BM2103" t="s">
        <v>2324</v>
      </c>
      <c r="BZ2103" t="s">
        <v>3670</v>
      </c>
      <c r="CM2103">
        <v>4.04</v>
      </c>
      <c r="CW2103">
        <v>524</v>
      </c>
      <c r="DB2103">
        <v>744</v>
      </c>
      <c r="DF2103">
        <v>893</v>
      </c>
    </row>
    <row r="2104" spans="1:110" x14ac:dyDescent="0.25">
      <c r="A2104" t="s">
        <v>3675</v>
      </c>
    </row>
    <row r="2105" spans="1:110" x14ac:dyDescent="0.25">
      <c r="A2105" t="s">
        <v>3676</v>
      </c>
      <c r="X2105" t="s">
        <v>3677</v>
      </c>
      <c r="AH2105" t="s">
        <v>3678</v>
      </c>
      <c r="AM2105" t="s">
        <v>3679</v>
      </c>
      <c r="AT2105" t="s">
        <v>3680</v>
      </c>
      <c r="BE2105" t="s">
        <v>2324</v>
      </c>
      <c r="BM2105" t="s">
        <v>2324</v>
      </c>
      <c r="BZ2105" t="s">
        <v>3670</v>
      </c>
      <c r="CM2105">
        <v>4.04</v>
      </c>
      <c r="CW2105" t="s">
        <v>3681</v>
      </c>
      <c r="DB2105" t="s">
        <v>3682</v>
      </c>
      <c r="DF2105" t="s">
        <v>3683</v>
      </c>
    </row>
    <row r="2106" spans="1:110" x14ac:dyDescent="0.25">
      <c r="A2106" t="s">
        <v>3684</v>
      </c>
    </row>
    <row r="2107" spans="1:110" x14ac:dyDescent="0.25">
      <c r="L2107" t="s">
        <v>3685</v>
      </c>
      <c r="X2107" t="s">
        <v>3686</v>
      </c>
      <c r="AH2107" t="s">
        <v>2440</v>
      </c>
      <c r="AM2107" t="s">
        <v>3687</v>
      </c>
      <c r="AT2107" t="s">
        <v>3688</v>
      </c>
      <c r="BE2107">
        <v>53</v>
      </c>
      <c r="BM2107" t="s">
        <v>3689</v>
      </c>
      <c r="BZ2107" t="s">
        <v>3690</v>
      </c>
      <c r="CM2107">
        <v>4.54</v>
      </c>
      <c r="CW2107" t="s">
        <v>3691</v>
      </c>
      <c r="DB2107" t="s">
        <v>3692</v>
      </c>
      <c r="DF2107" t="s">
        <v>3693</v>
      </c>
    </row>
    <row r="2108" spans="1:110" x14ac:dyDescent="0.25">
      <c r="L2108" t="s">
        <v>3694</v>
      </c>
      <c r="X2108" t="s">
        <v>3695</v>
      </c>
      <c r="AH2108" t="s">
        <v>2440</v>
      </c>
      <c r="AM2108" t="s">
        <v>3687</v>
      </c>
      <c r="AT2108" t="s">
        <v>3688</v>
      </c>
      <c r="BE2108">
        <v>54</v>
      </c>
      <c r="BM2108" t="s">
        <v>3689</v>
      </c>
      <c r="BZ2108" t="s">
        <v>3690</v>
      </c>
      <c r="CM2108">
        <v>4.54</v>
      </c>
      <c r="CW2108" t="s">
        <v>3696</v>
      </c>
      <c r="DB2108" t="s">
        <v>3697</v>
      </c>
      <c r="DF2108" t="s">
        <v>3698</v>
      </c>
    </row>
    <row r="2109" spans="1:110" x14ac:dyDescent="0.25">
      <c r="A2109" t="s">
        <v>3699</v>
      </c>
    </row>
    <row r="2110" spans="1:110" x14ac:dyDescent="0.25">
      <c r="L2110" t="s">
        <v>3700</v>
      </c>
      <c r="X2110" t="s">
        <v>3701</v>
      </c>
      <c r="AH2110" t="s">
        <v>3640</v>
      </c>
      <c r="AM2110">
        <v>58</v>
      </c>
      <c r="AT2110" t="s">
        <v>3702</v>
      </c>
      <c r="BE2110" t="s">
        <v>2324</v>
      </c>
      <c r="BM2110" t="s">
        <v>2324</v>
      </c>
      <c r="BZ2110" t="s">
        <v>3431</v>
      </c>
      <c r="CM2110">
        <v>4.04</v>
      </c>
      <c r="CW2110">
        <v>997</v>
      </c>
      <c r="DB2110" t="s">
        <v>3703</v>
      </c>
      <c r="DF2110" t="s">
        <v>3704</v>
      </c>
    </row>
    <row r="2111" spans="1:110" x14ac:dyDescent="0.25">
      <c r="L2111" t="s">
        <v>3705</v>
      </c>
      <c r="X2111" t="s">
        <v>3706</v>
      </c>
      <c r="AH2111" t="s">
        <v>3640</v>
      </c>
      <c r="AM2111">
        <v>58</v>
      </c>
      <c r="AT2111" t="s">
        <v>3707</v>
      </c>
      <c r="BE2111" t="s">
        <v>2324</v>
      </c>
      <c r="BM2111" t="s">
        <v>2324</v>
      </c>
      <c r="BZ2111" t="s">
        <v>3431</v>
      </c>
      <c r="CM2111">
        <v>4.04</v>
      </c>
      <c r="CW2111" t="s">
        <v>3548</v>
      </c>
      <c r="DB2111" t="s">
        <v>3212</v>
      </c>
      <c r="DF2111" t="s">
        <v>3708</v>
      </c>
    </row>
    <row r="2112" spans="1:110" x14ac:dyDescent="0.25">
      <c r="L2112" t="s">
        <v>3709</v>
      </c>
      <c r="X2112" t="s">
        <v>3710</v>
      </c>
      <c r="AH2112" t="s">
        <v>3640</v>
      </c>
      <c r="AM2112">
        <v>58</v>
      </c>
      <c r="AT2112" t="s">
        <v>3711</v>
      </c>
      <c r="BE2112" t="s">
        <v>2324</v>
      </c>
      <c r="BM2112" t="s">
        <v>2324</v>
      </c>
      <c r="BZ2112" t="s">
        <v>3431</v>
      </c>
      <c r="CM2112">
        <v>4.04</v>
      </c>
      <c r="CW2112" t="s">
        <v>3712</v>
      </c>
      <c r="DB2112" t="s">
        <v>3713</v>
      </c>
      <c r="DF2112" t="s">
        <v>3714</v>
      </c>
    </row>
    <row r="2113" spans="1:110" x14ac:dyDescent="0.25">
      <c r="L2113" t="s">
        <v>3715</v>
      </c>
      <c r="X2113" t="s">
        <v>3716</v>
      </c>
      <c r="AH2113" t="s">
        <v>3640</v>
      </c>
      <c r="AM2113">
        <v>62</v>
      </c>
      <c r="AT2113" t="s">
        <v>3717</v>
      </c>
      <c r="BE2113" t="s">
        <v>2324</v>
      </c>
      <c r="BM2113" t="s">
        <v>2324</v>
      </c>
      <c r="BZ2113" t="s">
        <v>3431</v>
      </c>
      <c r="CM2113">
        <v>4.04</v>
      </c>
      <c r="CW2113" t="s">
        <v>3718</v>
      </c>
      <c r="DB2113" t="s">
        <v>3719</v>
      </c>
      <c r="DF2113" t="s">
        <v>3720</v>
      </c>
    </row>
    <row r="2114" spans="1:110" x14ac:dyDescent="0.25">
      <c r="L2114" t="s">
        <v>3721</v>
      </c>
      <c r="X2114" t="s">
        <v>3722</v>
      </c>
      <c r="AH2114" t="s">
        <v>3640</v>
      </c>
      <c r="AM2114">
        <v>60</v>
      </c>
      <c r="AT2114" t="s">
        <v>3723</v>
      </c>
      <c r="BE2114" t="s">
        <v>2324</v>
      </c>
      <c r="BM2114" t="s">
        <v>2324</v>
      </c>
      <c r="BZ2114" t="s">
        <v>3431</v>
      </c>
      <c r="CM2114">
        <v>4.04</v>
      </c>
      <c r="CW2114" t="s">
        <v>3724</v>
      </c>
      <c r="DB2114" t="s">
        <v>3725</v>
      </c>
      <c r="DF2114" t="s">
        <v>3726</v>
      </c>
    </row>
    <row r="2115" spans="1:110" x14ac:dyDescent="0.25">
      <c r="A2115" t="s">
        <v>3727</v>
      </c>
    </row>
    <row r="2116" spans="1:110" x14ac:dyDescent="0.25">
      <c r="A2116" t="s">
        <v>3455</v>
      </c>
    </row>
    <row r="2117" spans="1:110" x14ac:dyDescent="0.25">
      <c r="A2117" t="s">
        <v>3135</v>
      </c>
      <c r="L2117" t="s">
        <v>3136</v>
      </c>
      <c r="X2117" t="s">
        <v>3137</v>
      </c>
      <c r="AH2117" t="s">
        <v>3138</v>
      </c>
      <c r="AM2117" t="s">
        <v>3139</v>
      </c>
      <c r="AT2117" t="s">
        <v>3140</v>
      </c>
      <c r="BE2117" t="s">
        <v>3141</v>
      </c>
      <c r="BM2117" t="s">
        <v>3142</v>
      </c>
      <c r="BZ2117" t="s">
        <v>3143</v>
      </c>
      <c r="CM2117" t="s">
        <v>3144</v>
      </c>
      <c r="CW2117" t="s">
        <v>3145</v>
      </c>
      <c r="DB2117" t="s">
        <v>3146</v>
      </c>
    </row>
    <row r="2118" spans="1:110" x14ac:dyDescent="0.25">
      <c r="X2118" t="s">
        <v>2424</v>
      </c>
      <c r="AH2118" t="s">
        <v>2324</v>
      </c>
      <c r="AM2118" t="s">
        <v>3147</v>
      </c>
      <c r="AT2118" t="s">
        <v>3148</v>
      </c>
      <c r="BE2118" t="s">
        <v>3147</v>
      </c>
      <c r="BM2118" t="s">
        <v>3148</v>
      </c>
      <c r="BZ2118" t="s">
        <v>3149</v>
      </c>
      <c r="CM2118" t="s">
        <v>3150</v>
      </c>
      <c r="CW2118" t="s">
        <v>3150</v>
      </c>
      <c r="DB2118" t="s">
        <v>3150</v>
      </c>
      <c r="DF2118" t="s">
        <v>3151</v>
      </c>
    </row>
    <row r="2119" spans="1:110" x14ac:dyDescent="0.25">
      <c r="A2119" t="s">
        <v>3728</v>
      </c>
    </row>
    <row r="2120" spans="1:110" x14ac:dyDescent="0.25">
      <c r="L2120" t="s">
        <v>3729</v>
      </c>
      <c r="X2120" t="s">
        <v>3730</v>
      </c>
      <c r="AH2120" t="s">
        <v>3678</v>
      </c>
      <c r="AM2120" t="s">
        <v>3731</v>
      </c>
      <c r="AT2120" t="s">
        <v>3732</v>
      </c>
      <c r="BE2120" t="s">
        <v>2324</v>
      </c>
      <c r="BM2120" t="s">
        <v>2324</v>
      </c>
      <c r="BZ2120" t="s">
        <v>3733</v>
      </c>
      <c r="CM2120">
        <v>5.24</v>
      </c>
      <c r="CW2120">
        <v>383</v>
      </c>
      <c r="DB2120">
        <v>441</v>
      </c>
      <c r="DF2120">
        <v>529</v>
      </c>
    </row>
    <row r="2121" spans="1:110" x14ac:dyDescent="0.25">
      <c r="L2121" t="s">
        <v>3734</v>
      </c>
      <c r="X2121" t="s">
        <v>3735</v>
      </c>
      <c r="AH2121" t="s">
        <v>3678</v>
      </c>
      <c r="AM2121" t="s">
        <v>3736</v>
      </c>
      <c r="AT2121" t="s">
        <v>3737</v>
      </c>
      <c r="BE2121" t="s">
        <v>2324</v>
      </c>
      <c r="BM2121" t="s">
        <v>2324</v>
      </c>
      <c r="BZ2121" t="s">
        <v>3733</v>
      </c>
      <c r="CM2121">
        <v>5.24</v>
      </c>
      <c r="CW2121">
        <v>426</v>
      </c>
      <c r="DB2121">
        <v>486</v>
      </c>
      <c r="DF2121">
        <v>583</v>
      </c>
    </row>
    <row r="2122" spans="1:110" x14ac:dyDescent="0.25">
      <c r="A2122" t="s">
        <v>3738</v>
      </c>
      <c r="L2122" t="s">
        <v>3136</v>
      </c>
      <c r="X2122" t="s">
        <v>3739</v>
      </c>
      <c r="AH2122" t="s">
        <v>3138</v>
      </c>
      <c r="AM2122" t="s">
        <v>3740</v>
      </c>
      <c r="AT2122" t="s">
        <v>3140</v>
      </c>
      <c r="BE2122" t="s">
        <v>3741</v>
      </c>
      <c r="BM2122" t="s">
        <v>3142</v>
      </c>
      <c r="BZ2122" t="s">
        <v>3742</v>
      </c>
      <c r="CM2122" t="s">
        <v>3743</v>
      </c>
      <c r="CW2122" t="s">
        <v>3145</v>
      </c>
      <c r="DB2122" t="s">
        <v>3146</v>
      </c>
    </row>
    <row r="2123" spans="1:110" x14ac:dyDescent="0.25">
      <c r="X2123" t="s">
        <v>3744</v>
      </c>
      <c r="AH2123" t="s">
        <v>2324</v>
      </c>
      <c r="AM2123" t="s">
        <v>3147</v>
      </c>
      <c r="AT2123" t="s">
        <v>3148</v>
      </c>
      <c r="BE2123" t="s">
        <v>3745</v>
      </c>
      <c r="BM2123" t="s">
        <v>3148</v>
      </c>
      <c r="BZ2123" t="s">
        <v>3746</v>
      </c>
      <c r="CM2123" t="s">
        <v>3747</v>
      </c>
      <c r="CW2123" t="s">
        <v>3150</v>
      </c>
      <c r="DB2123" t="s">
        <v>3150</v>
      </c>
      <c r="DF2123" t="s">
        <v>3151</v>
      </c>
    </row>
    <row r="2124" spans="1:110" x14ac:dyDescent="0.25">
      <c r="A2124" t="s">
        <v>3748</v>
      </c>
    </row>
    <row r="2125" spans="1:110" x14ac:dyDescent="0.25">
      <c r="L2125" t="s">
        <v>3749</v>
      </c>
      <c r="X2125" t="s">
        <v>3750</v>
      </c>
      <c r="AH2125" t="s">
        <v>3678</v>
      </c>
      <c r="AM2125" t="s">
        <v>3751</v>
      </c>
      <c r="AT2125" t="s">
        <v>3752</v>
      </c>
      <c r="BE2125" t="s">
        <v>3753</v>
      </c>
      <c r="BM2125" t="s">
        <v>2324</v>
      </c>
      <c r="BZ2125" t="s">
        <v>3754</v>
      </c>
      <c r="CM2125">
        <v>1.1499999999999999</v>
      </c>
      <c r="CW2125">
        <v>180</v>
      </c>
      <c r="DB2125">
        <v>228</v>
      </c>
      <c r="DF2125">
        <v>274</v>
      </c>
    </row>
    <row r="2126" spans="1:110" x14ac:dyDescent="0.25">
      <c r="L2126" t="s">
        <v>3755</v>
      </c>
      <c r="X2126" t="s">
        <v>3756</v>
      </c>
      <c r="AH2126" t="s">
        <v>3678</v>
      </c>
      <c r="AM2126" t="s">
        <v>3757</v>
      </c>
      <c r="AT2126" t="s">
        <v>3758</v>
      </c>
      <c r="BE2126" t="s">
        <v>3753</v>
      </c>
      <c r="BM2126" t="s">
        <v>2324</v>
      </c>
      <c r="BZ2126" t="s">
        <v>3754</v>
      </c>
      <c r="CM2126">
        <v>1.1499999999999999</v>
      </c>
      <c r="CW2126">
        <v>229</v>
      </c>
      <c r="DB2126">
        <v>291</v>
      </c>
      <c r="DF2126">
        <v>349</v>
      </c>
    </row>
    <row r="2127" spans="1:110" x14ac:dyDescent="0.25">
      <c r="L2127" t="s">
        <v>3759</v>
      </c>
      <c r="X2127" t="s">
        <v>3760</v>
      </c>
      <c r="AH2127" t="s">
        <v>3678</v>
      </c>
      <c r="AM2127" t="s">
        <v>3761</v>
      </c>
      <c r="AT2127" t="s">
        <v>3762</v>
      </c>
      <c r="BE2127" t="s">
        <v>3753</v>
      </c>
      <c r="BM2127" t="s">
        <v>2324</v>
      </c>
      <c r="BZ2127" t="s">
        <v>3190</v>
      </c>
      <c r="CM2127">
        <v>4</v>
      </c>
      <c r="CW2127">
        <v>277</v>
      </c>
      <c r="DB2127">
        <v>351</v>
      </c>
      <c r="DF2127">
        <v>421</v>
      </c>
    </row>
    <row r="2128" spans="1:110" x14ac:dyDescent="0.25">
      <c r="A2128" t="s">
        <v>3763</v>
      </c>
    </row>
    <row r="2129" spans="1:110" x14ac:dyDescent="0.25">
      <c r="L2129" t="s">
        <v>3764</v>
      </c>
      <c r="X2129" t="s">
        <v>3765</v>
      </c>
      <c r="BZ2129" t="s">
        <v>2324</v>
      </c>
      <c r="CM2129" t="s">
        <v>2324</v>
      </c>
      <c r="CW2129">
        <v>174</v>
      </c>
      <c r="DB2129">
        <v>234</v>
      </c>
      <c r="DF2129">
        <v>281</v>
      </c>
    </row>
    <row r="2130" spans="1:110" x14ac:dyDescent="0.25">
      <c r="L2130" t="s">
        <v>3766</v>
      </c>
      <c r="X2130" t="s">
        <v>3767</v>
      </c>
      <c r="BZ2130" t="s">
        <v>2324</v>
      </c>
      <c r="CM2130" t="s">
        <v>2324</v>
      </c>
      <c r="CW2130">
        <v>247</v>
      </c>
      <c r="DB2130">
        <v>334</v>
      </c>
      <c r="DF2130">
        <v>401</v>
      </c>
    </row>
    <row r="2131" spans="1:110" x14ac:dyDescent="0.25">
      <c r="A2131" t="s">
        <v>3768</v>
      </c>
    </row>
    <row r="2132" spans="1:110" x14ac:dyDescent="0.25">
      <c r="L2132" t="s">
        <v>3769</v>
      </c>
      <c r="X2132" t="s">
        <v>3770</v>
      </c>
      <c r="BZ2132" t="s">
        <v>3771</v>
      </c>
      <c r="CM2132">
        <v>0.04</v>
      </c>
      <c r="CW2132">
        <v>312.17</v>
      </c>
      <c r="DB2132">
        <v>520</v>
      </c>
      <c r="DF2132">
        <v>624</v>
      </c>
    </row>
    <row r="2133" spans="1:110" x14ac:dyDescent="0.25">
      <c r="L2133" t="s">
        <v>3772</v>
      </c>
      <c r="X2133" t="s">
        <v>3773</v>
      </c>
      <c r="BZ2133" t="s">
        <v>3771</v>
      </c>
      <c r="CM2133">
        <v>0.04</v>
      </c>
      <c r="CW2133">
        <v>310</v>
      </c>
      <c r="DB2133">
        <v>517</v>
      </c>
      <c r="DF2133">
        <v>621</v>
      </c>
    </row>
    <row r="2134" spans="1:110" x14ac:dyDescent="0.25">
      <c r="L2134" t="s">
        <v>3774</v>
      </c>
      <c r="X2134" t="s">
        <v>3775</v>
      </c>
      <c r="BZ2134" t="s">
        <v>3771</v>
      </c>
      <c r="CM2134">
        <v>0.04</v>
      </c>
      <c r="CW2134">
        <v>27.22</v>
      </c>
      <c r="DB2134">
        <v>45</v>
      </c>
      <c r="DF2134">
        <v>54</v>
      </c>
    </row>
    <row r="2135" spans="1:110" x14ac:dyDescent="0.25">
      <c r="L2135" t="s">
        <v>3776</v>
      </c>
      <c r="X2135" t="s">
        <v>3777</v>
      </c>
      <c r="BZ2135" t="s">
        <v>3771</v>
      </c>
      <c r="CM2135">
        <v>0.04</v>
      </c>
      <c r="CW2135">
        <v>13.56</v>
      </c>
      <c r="DB2135">
        <v>23</v>
      </c>
      <c r="DF2135">
        <v>27</v>
      </c>
    </row>
    <row r="2136" spans="1:110" x14ac:dyDescent="0.25">
      <c r="L2136" t="s">
        <v>3778</v>
      </c>
      <c r="X2136" t="s">
        <v>3779</v>
      </c>
      <c r="BZ2136" t="s">
        <v>3771</v>
      </c>
      <c r="CM2136">
        <v>0.04</v>
      </c>
      <c r="CW2136">
        <v>42</v>
      </c>
      <c r="DB2136">
        <v>70</v>
      </c>
      <c r="DF2136">
        <v>84</v>
      </c>
    </row>
    <row r="2137" spans="1:110" x14ac:dyDescent="0.25">
      <c r="L2137" t="s">
        <v>3780</v>
      </c>
      <c r="X2137" t="s">
        <v>3781</v>
      </c>
      <c r="BZ2137" t="s">
        <v>3771</v>
      </c>
      <c r="CM2137">
        <v>0.04</v>
      </c>
      <c r="CW2137">
        <v>68.27</v>
      </c>
      <c r="DB2137">
        <v>113</v>
      </c>
      <c r="DF2137">
        <v>135</v>
      </c>
    </row>
    <row r="2138" spans="1:110" x14ac:dyDescent="0.25">
      <c r="L2138" t="s">
        <v>3782</v>
      </c>
      <c r="X2138" t="s">
        <v>3783</v>
      </c>
      <c r="BZ2138" t="s">
        <v>3771</v>
      </c>
      <c r="CM2138">
        <v>0.04</v>
      </c>
      <c r="CW2138">
        <v>58.01</v>
      </c>
      <c r="DB2138">
        <v>93</v>
      </c>
      <c r="DF2138">
        <v>112</v>
      </c>
    </row>
    <row r="2139" spans="1:110" x14ac:dyDescent="0.25">
      <c r="L2139" t="s">
        <v>3784</v>
      </c>
      <c r="X2139" t="s">
        <v>3785</v>
      </c>
      <c r="BZ2139" t="s">
        <v>3771</v>
      </c>
      <c r="CM2139">
        <v>0.04</v>
      </c>
      <c r="CW2139">
        <v>34.31</v>
      </c>
      <c r="DB2139">
        <v>56</v>
      </c>
      <c r="DF2139">
        <v>67</v>
      </c>
    </row>
    <row r="2140" spans="1:110" x14ac:dyDescent="0.25">
      <c r="L2140" t="s">
        <v>3786</v>
      </c>
      <c r="X2140" t="s">
        <v>3787</v>
      </c>
      <c r="BZ2140" t="s">
        <v>3771</v>
      </c>
      <c r="CM2140">
        <v>0.04</v>
      </c>
      <c r="CW2140">
        <v>58.74</v>
      </c>
      <c r="DB2140">
        <v>97</v>
      </c>
      <c r="DF2140">
        <v>116</v>
      </c>
    </row>
    <row r="2141" spans="1:110" x14ac:dyDescent="0.25">
      <c r="L2141" t="s">
        <v>3788</v>
      </c>
      <c r="X2141" t="s">
        <v>3789</v>
      </c>
      <c r="BZ2141" t="s">
        <v>3771</v>
      </c>
      <c r="CM2141">
        <v>0.04</v>
      </c>
      <c r="CW2141">
        <v>48</v>
      </c>
      <c r="DB2141">
        <v>78</v>
      </c>
      <c r="DF2141">
        <v>94</v>
      </c>
    </row>
    <row r="2142" spans="1:110" x14ac:dyDescent="0.25">
      <c r="L2142" t="s">
        <v>3790</v>
      </c>
      <c r="X2142" t="s">
        <v>3789</v>
      </c>
      <c r="BZ2142" t="s">
        <v>3771</v>
      </c>
      <c r="CM2142">
        <v>0.04</v>
      </c>
      <c r="CW2142">
        <v>61</v>
      </c>
      <c r="DB2142">
        <v>98</v>
      </c>
      <c r="DF2142">
        <v>118</v>
      </c>
    </row>
    <row r="2143" spans="1:110" x14ac:dyDescent="0.25">
      <c r="L2143" t="s">
        <v>3791</v>
      </c>
      <c r="X2143" t="s">
        <v>3792</v>
      </c>
      <c r="BZ2143" t="s">
        <v>3771</v>
      </c>
      <c r="CM2143">
        <v>0.04</v>
      </c>
      <c r="CW2143">
        <v>220.69</v>
      </c>
      <c r="DB2143">
        <v>363</v>
      </c>
      <c r="DF2143">
        <v>435</v>
      </c>
    </row>
    <row r="2144" spans="1:110" x14ac:dyDescent="0.25">
      <c r="L2144" t="s">
        <v>3793</v>
      </c>
      <c r="X2144" t="s">
        <v>3794</v>
      </c>
      <c r="BZ2144" t="s">
        <v>2324</v>
      </c>
      <c r="CM2144" t="s">
        <v>2324</v>
      </c>
      <c r="CW2144">
        <v>9.5299999999999994</v>
      </c>
      <c r="DB2144">
        <v>16</v>
      </c>
      <c r="DF2144">
        <v>19</v>
      </c>
    </row>
    <row r="2145" spans="1:110" x14ac:dyDescent="0.25">
      <c r="L2145" t="s">
        <v>3795</v>
      </c>
      <c r="X2145" t="s">
        <v>3796</v>
      </c>
      <c r="BZ2145" t="s">
        <v>2324</v>
      </c>
      <c r="CM2145" t="s">
        <v>2324</v>
      </c>
      <c r="CW2145">
        <v>9.5299999999999994</v>
      </c>
      <c r="DB2145">
        <v>16</v>
      </c>
      <c r="DF2145">
        <v>19</v>
      </c>
    </row>
    <row r="2146" spans="1:110" x14ac:dyDescent="0.25">
      <c r="L2146" t="s">
        <v>3797</v>
      </c>
      <c r="X2146" t="s">
        <v>3798</v>
      </c>
      <c r="BZ2146" t="s">
        <v>3771</v>
      </c>
      <c r="CM2146">
        <v>0.04</v>
      </c>
      <c r="CW2146">
        <v>389.68</v>
      </c>
      <c r="DB2146">
        <v>555</v>
      </c>
      <c r="DF2146">
        <v>666</v>
      </c>
    </row>
    <row r="2147" spans="1:110" x14ac:dyDescent="0.25">
      <c r="L2147" t="s">
        <v>3799</v>
      </c>
      <c r="X2147" t="s">
        <v>3800</v>
      </c>
      <c r="BZ2147" t="s">
        <v>2324</v>
      </c>
      <c r="CM2147" t="s">
        <v>2324</v>
      </c>
      <c r="CW2147">
        <v>1.64</v>
      </c>
      <c r="DB2147">
        <v>3</v>
      </c>
      <c r="DF2147">
        <v>3</v>
      </c>
    </row>
    <row r="2148" spans="1:110" x14ac:dyDescent="0.25">
      <c r="L2148" t="s">
        <v>3801</v>
      </c>
      <c r="X2148" t="s">
        <v>3802</v>
      </c>
      <c r="BZ2148" t="s">
        <v>3771</v>
      </c>
      <c r="CM2148">
        <v>0.04</v>
      </c>
      <c r="CW2148">
        <v>107.96</v>
      </c>
      <c r="DB2148">
        <v>178</v>
      </c>
      <c r="DF2148">
        <v>213</v>
      </c>
    </row>
    <row r="2149" spans="1:110" x14ac:dyDescent="0.25">
      <c r="L2149" t="s">
        <v>3803</v>
      </c>
      <c r="X2149" t="s">
        <v>3804</v>
      </c>
      <c r="BZ2149" t="s">
        <v>3771</v>
      </c>
      <c r="CM2149">
        <v>0.04</v>
      </c>
      <c r="CW2149">
        <v>169.88</v>
      </c>
      <c r="DB2149">
        <v>279</v>
      </c>
      <c r="DF2149">
        <v>335</v>
      </c>
    </row>
    <row r="2150" spans="1:110" x14ac:dyDescent="0.25">
      <c r="L2150" t="s">
        <v>3805</v>
      </c>
      <c r="X2150" t="s">
        <v>3806</v>
      </c>
      <c r="BZ2150" t="s">
        <v>3771</v>
      </c>
      <c r="CM2150">
        <v>0.04</v>
      </c>
      <c r="CW2150">
        <v>67.319999999999993</v>
      </c>
      <c r="DB2150">
        <v>111</v>
      </c>
      <c r="DF2150">
        <v>133</v>
      </c>
    </row>
    <row r="2151" spans="1:110" x14ac:dyDescent="0.25">
      <c r="A2151" t="s">
        <v>3807</v>
      </c>
    </row>
    <row r="2152" spans="1:110" x14ac:dyDescent="0.25">
      <c r="A2152" t="s">
        <v>3455</v>
      </c>
    </row>
    <row r="2153" spans="1:110" x14ac:dyDescent="0.25">
      <c r="A2153" t="s">
        <v>3135</v>
      </c>
      <c r="L2153" t="s">
        <v>3136</v>
      </c>
      <c r="X2153" t="s">
        <v>3137</v>
      </c>
      <c r="AH2153" t="s">
        <v>3138</v>
      </c>
      <c r="AM2153" t="s">
        <v>3139</v>
      </c>
      <c r="AT2153" t="s">
        <v>3140</v>
      </c>
      <c r="BE2153" t="s">
        <v>3141</v>
      </c>
      <c r="BM2153" t="s">
        <v>3142</v>
      </c>
      <c r="BZ2153" t="s">
        <v>3143</v>
      </c>
      <c r="CM2153" t="s">
        <v>3144</v>
      </c>
      <c r="CW2153" t="s">
        <v>3145</v>
      </c>
      <c r="DB2153" t="s">
        <v>3146</v>
      </c>
    </row>
    <row r="2154" spans="1:110" x14ac:dyDescent="0.25">
      <c r="X2154" t="s">
        <v>2424</v>
      </c>
      <c r="AH2154" t="s">
        <v>2324</v>
      </c>
      <c r="AM2154" t="s">
        <v>3147</v>
      </c>
      <c r="AT2154" t="s">
        <v>3148</v>
      </c>
      <c r="BE2154" t="s">
        <v>3147</v>
      </c>
      <c r="BM2154" t="s">
        <v>3148</v>
      </c>
      <c r="BZ2154" t="s">
        <v>3149</v>
      </c>
      <c r="CM2154" t="s">
        <v>3150</v>
      </c>
      <c r="CW2154" t="s">
        <v>3150</v>
      </c>
      <c r="DB2154" t="s">
        <v>3150</v>
      </c>
      <c r="DF2154" t="s">
        <v>3151</v>
      </c>
    </row>
    <row r="2155" spans="1:110" x14ac:dyDescent="0.25">
      <c r="L2155" t="s">
        <v>3808</v>
      </c>
      <c r="X2155" t="s">
        <v>3809</v>
      </c>
      <c r="BZ2155" t="s">
        <v>3771</v>
      </c>
      <c r="CM2155">
        <v>0.04</v>
      </c>
      <c r="CW2155">
        <v>389.68</v>
      </c>
      <c r="DB2155">
        <v>555</v>
      </c>
      <c r="DF2155">
        <v>666</v>
      </c>
    </row>
    <row r="2156" spans="1:110" x14ac:dyDescent="0.25">
      <c r="L2156" t="s">
        <v>3810</v>
      </c>
      <c r="X2156" t="s">
        <v>3811</v>
      </c>
      <c r="BZ2156" t="s">
        <v>3771</v>
      </c>
      <c r="CM2156">
        <v>0.04</v>
      </c>
      <c r="CW2156">
        <v>10.64</v>
      </c>
      <c r="DB2156">
        <v>15</v>
      </c>
      <c r="DF2156">
        <v>18</v>
      </c>
    </row>
    <row r="2157" spans="1:110" x14ac:dyDescent="0.25">
      <c r="L2157" t="s">
        <v>3812</v>
      </c>
      <c r="X2157" t="s">
        <v>3813</v>
      </c>
      <c r="BZ2157" t="s">
        <v>2324</v>
      </c>
      <c r="CM2157" t="s">
        <v>2324</v>
      </c>
      <c r="CW2157">
        <v>1.5</v>
      </c>
      <c r="DB2157">
        <v>2</v>
      </c>
      <c r="DF2157">
        <v>2</v>
      </c>
    </row>
    <row r="2158" spans="1:110" x14ac:dyDescent="0.25">
      <c r="L2158" t="s">
        <v>3814</v>
      </c>
      <c r="X2158" t="s">
        <v>3815</v>
      </c>
      <c r="BZ2158" t="s">
        <v>3771</v>
      </c>
      <c r="CM2158">
        <v>0.04</v>
      </c>
      <c r="CW2158">
        <v>34.58</v>
      </c>
      <c r="DB2158">
        <v>58</v>
      </c>
      <c r="DF2158">
        <v>69</v>
      </c>
    </row>
    <row r="2159" spans="1:110" x14ac:dyDescent="0.25">
      <c r="L2159" t="s">
        <v>3816</v>
      </c>
      <c r="X2159" t="s">
        <v>3817</v>
      </c>
      <c r="BZ2159" t="s">
        <v>3771</v>
      </c>
      <c r="CM2159">
        <v>0.04</v>
      </c>
      <c r="CW2159">
        <v>193.1</v>
      </c>
      <c r="DB2159">
        <v>221</v>
      </c>
      <c r="DF2159">
        <v>265</v>
      </c>
    </row>
    <row r="2160" spans="1:110" x14ac:dyDescent="0.25">
      <c r="L2160" t="s">
        <v>3818</v>
      </c>
      <c r="X2160" t="s">
        <v>3819</v>
      </c>
      <c r="BZ2160" t="s">
        <v>3771</v>
      </c>
      <c r="CM2160">
        <v>0.04</v>
      </c>
      <c r="CW2160">
        <v>191.37</v>
      </c>
      <c r="DB2160">
        <v>239</v>
      </c>
      <c r="DF2160">
        <v>287</v>
      </c>
    </row>
    <row r="2161" spans="12:110" x14ac:dyDescent="0.25">
      <c r="L2161" t="s">
        <v>3820</v>
      </c>
      <c r="X2161" t="s">
        <v>3821</v>
      </c>
      <c r="BZ2161" t="s">
        <v>2324</v>
      </c>
      <c r="CM2161" t="s">
        <v>2324</v>
      </c>
      <c r="CW2161">
        <v>30.72</v>
      </c>
      <c r="DB2161">
        <v>34</v>
      </c>
      <c r="DF2161">
        <v>41</v>
      </c>
    </row>
    <row r="2162" spans="12:110" x14ac:dyDescent="0.25">
      <c r="L2162" t="s">
        <v>3822</v>
      </c>
      <c r="X2162" t="s">
        <v>3823</v>
      </c>
      <c r="BZ2162" t="s">
        <v>2324</v>
      </c>
      <c r="CM2162" t="s">
        <v>2324</v>
      </c>
      <c r="CW2162">
        <v>26.79</v>
      </c>
      <c r="DB2162">
        <v>38</v>
      </c>
      <c r="DF2162">
        <v>45</v>
      </c>
    </row>
    <row r="2163" spans="12:110" x14ac:dyDescent="0.25">
      <c r="L2163" t="s">
        <v>3824</v>
      </c>
      <c r="X2163" t="s">
        <v>3825</v>
      </c>
      <c r="BZ2163" t="s">
        <v>2324</v>
      </c>
      <c r="CM2163" t="s">
        <v>2324</v>
      </c>
      <c r="CW2163">
        <v>41.53</v>
      </c>
      <c r="DB2163">
        <v>55</v>
      </c>
      <c r="DF2163">
        <v>66</v>
      </c>
    </row>
    <row r="2164" spans="12:110" x14ac:dyDescent="0.25">
      <c r="L2164" t="s">
        <v>3826</v>
      </c>
      <c r="X2164" t="s">
        <v>3827</v>
      </c>
      <c r="BZ2164" t="s">
        <v>2324</v>
      </c>
      <c r="CM2164" t="s">
        <v>2324</v>
      </c>
      <c r="CW2164">
        <v>9.91</v>
      </c>
      <c r="DB2164">
        <v>13</v>
      </c>
      <c r="DF2164">
        <v>16</v>
      </c>
    </row>
    <row r="2165" spans="12:110" x14ac:dyDescent="0.25">
      <c r="L2165" t="s">
        <v>3828</v>
      </c>
      <c r="X2165" t="s">
        <v>3829</v>
      </c>
      <c r="BZ2165" t="s">
        <v>2324</v>
      </c>
      <c r="CM2165" t="s">
        <v>2324</v>
      </c>
      <c r="CW2165">
        <v>18.239999999999998</v>
      </c>
      <c r="DB2165">
        <v>30</v>
      </c>
      <c r="DF2165">
        <v>36</v>
      </c>
    </row>
    <row r="2166" spans="12:110" x14ac:dyDescent="0.25">
      <c r="L2166" t="s">
        <v>3830</v>
      </c>
      <c r="X2166" t="s">
        <v>3831</v>
      </c>
      <c r="BZ2166" t="s">
        <v>2324</v>
      </c>
      <c r="CM2166" t="s">
        <v>2324</v>
      </c>
      <c r="CW2166">
        <v>32.42</v>
      </c>
      <c r="DB2166">
        <v>47</v>
      </c>
      <c r="DF2166">
        <v>56</v>
      </c>
    </row>
    <row r="2167" spans="12:110" x14ac:dyDescent="0.25">
      <c r="L2167" t="s">
        <v>3832</v>
      </c>
      <c r="X2167" t="s">
        <v>3833</v>
      </c>
      <c r="BZ2167" t="s">
        <v>2324</v>
      </c>
      <c r="CM2167" t="s">
        <v>2324</v>
      </c>
      <c r="CW2167">
        <v>3.32</v>
      </c>
      <c r="DB2167">
        <v>6</v>
      </c>
      <c r="DF2167">
        <v>7</v>
      </c>
    </row>
    <row r="2168" spans="12:110" x14ac:dyDescent="0.25">
      <c r="L2168" t="s">
        <v>3834</v>
      </c>
      <c r="X2168" t="s">
        <v>3835</v>
      </c>
      <c r="BZ2168" t="s">
        <v>2324</v>
      </c>
      <c r="CM2168" t="s">
        <v>2324</v>
      </c>
      <c r="CW2168">
        <v>3.32</v>
      </c>
      <c r="DB2168">
        <v>6</v>
      </c>
      <c r="DF2168">
        <v>7</v>
      </c>
    </row>
    <row r="2169" spans="12:110" x14ac:dyDescent="0.25">
      <c r="L2169" t="s">
        <v>3836</v>
      </c>
      <c r="X2169" t="s">
        <v>3837</v>
      </c>
      <c r="BZ2169" t="s">
        <v>2324</v>
      </c>
      <c r="CM2169" t="s">
        <v>2324</v>
      </c>
      <c r="CW2169">
        <v>3.32</v>
      </c>
      <c r="DB2169">
        <v>6</v>
      </c>
      <c r="DF2169">
        <v>7</v>
      </c>
    </row>
    <row r="2170" spans="12:110" x14ac:dyDescent="0.25">
      <c r="L2170" t="s">
        <v>3838</v>
      </c>
      <c r="X2170" t="s">
        <v>3839</v>
      </c>
      <c r="BZ2170" t="s">
        <v>2324</v>
      </c>
      <c r="CM2170" t="s">
        <v>2324</v>
      </c>
      <c r="CW2170">
        <v>3.32</v>
      </c>
      <c r="DB2170">
        <v>6</v>
      </c>
      <c r="DF2170">
        <v>7</v>
      </c>
    </row>
    <row r="2171" spans="12:110" x14ac:dyDescent="0.25">
      <c r="L2171" t="s">
        <v>3840</v>
      </c>
      <c r="X2171" t="s">
        <v>3841</v>
      </c>
      <c r="BZ2171" t="s">
        <v>2324</v>
      </c>
      <c r="CM2171" t="s">
        <v>2324</v>
      </c>
      <c r="CW2171">
        <v>3.32</v>
      </c>
      <c r="DB2171">
        <v>6</v>
      </c>
      <c r="DF2171">
        <v>7</v>
      </c>
    </row>
    <row r="2172" spans="12:110" x14ac:dyDescent="0.25">
      <c r="L2172" t="s">
        <v>3842</v>
      </c>
      <c r="X2172" t="s">
        <v>3843</v>
      </c>
      <c r="BZ2172" t="s">
        <v>2324</v>
      </c>
      <c r="CM2172" t="s">
        <v>2324</v>
      </c>
      <c r="CW2172">
        <v>3.32</v>
      </c>
      <c r="DB2172">
        <v>6</v>
      </c>
      <c r="DF2172">
        <v>7</v>
      </c>
    </row>
    <row r="2173" spans="12:110" x14ac:dyDescent="0.25">
      <c r="L2173" t="s">
        <v>3844</v>
      </c>
      <c r="X2173" t="s">
        <v>3845</v>
      </c>
      <c r="BZ2173" t="s">
        <v>2324</v>
      </c>
      <c r="CM2173" t="s">
        <v>2324</v>
      </c>
      <c r="CW2173">
        <v>4.43</v>
      </c>
      <c r="DB2173">
        <v>8</v>
      </c>
      <c r="DF2173">
        <v>9</v>
      </c>
    </row>
    <row r="2174" spans="12:110" x14ac:dyDescent="0.25">
      <c r="L2174" t="s">
        <v>3846</v>
      </c>
      <c r="X2174" t="s">
        <v>3847</v>
      </c>
      <c r="BZ2174" t="s">
        <v>2324</v>
      </c>
      <c r="CM2174" t="s">
        <v>2324</v>
      </c>
      <c r="CW2174">
        <v>63.06</v>
      </c>
      <c r="DB2174">
        <v>85</v>
      </c>
      <c r="DF2174">
        <v>102</v>
      </c>
    </row>
    <row r="2175" spans="12:110" x14ac:dyDescent="0.25">
      <c r="L2175" t="s">
        <v>3848</v>
      </c>
      <c r="X2175" t="s">
        <v>3849</v>
      </c>
      <c r="BZ2175" t="s">
        <v>2324</v>
      </c>
      <c r="CM2175" t="s">
        <v>2324</v>
      </c>
      <c r="CW2175">
        <v>63.23</v>
      </c>
      <c r="DB2175">
        <v>84</v>
      </c>
      <c r="DF2175">
        <v>101</v>
      </c>
    </row>
    <row r="2176" spans="12:110" x14ac:dyDescent="0.25">
      <c r="L2176" t="s">
        <v>3850</v>
      </c>
      <c r="X2176" t="s">
        <v>3851</v>
      </c>
      <c r="BZ2176" t="s">
        <v>2324</v>
      </c>
      <c r="CM2176" t="s">
        <v>2324</v>
      </c>
      <c r="CW2176">
        <v>22.96</v>
      </c>
      <c r="DB2176">
        <v>30</v>
      </c>
      <c r="DF2176">
        <v>36</v>
      </c>
    </row>
    <row r="2177" spans="1:111" x14ac:dyDescent="0.25">
      <c r="L2177" t="s">
        <v>3852</v>
      </c>
      <c r="X2177" t="s">
        <v>3853</v>
      </c>
      <c r="BZ2177" t="s">
        <v>2324</v>
      </c>
      <c r="CM2177" t="s">
        <v>2324</v>
      </c>
      <c r="CW2177">
        <v>58.11</v>
      </c>
      <c r="DB2177">
        <v>78</v>
      </c>
      <c r="DF2177">
        <v>93</v>
      </c>
    </row>
    <row r="2178" spans="1:111" x14ac:dyDescent="0.25">
      <c r="L2178" t="s">
        <v>3854</v>
      </c>
      <c r="X2178" t="s">
        <v>3855</v>
      </c>
      <c r="BZ2178" t="s">
        <v>2324</v>
      </c>
      <c r="CM2178" t="s">
        <v>2324</v>
      </c>
      <c r="CW2178">
        <v>51.96</v>
      </c>
      <c r="DB2178">
        <v>69</v>
      </c>
      <c r="DF2178">
        <v>83</v>
      </c>
    </row>
    <row r="2179" spans="1:111" x14ac:dyDescent="0.25">
      <c r="A2179" t="s">
        <v>3856</v>
      </c>
    </row>
    <row r="2180" spans="1:111" x14ac:dyDescent="0.25">
      <c r="A2180" t="s">
        <v>3857</v>
      </c>
      <c r="BJ2180" t="s">
        <v>3858</v>
      </c>
    </row>
    <row r="2181" spans="1:111" x14ac:dyDescent="0.25">
      <c r="A2181" t="s">
        <v>3859</v>
      </c>
    </row>
    <row r="2182" spans="1:111" x14ac:dyDescent="0.25">
      <c r="A2182" t="s">
        <v>3860</v>
      </c>
    </row>
    <row r="2183" spans="1:111" x14ac:dyDescent="0.25">
      <c r="A2183" t="s">
        <v>3861</v>
      </c>
    </row>
    <row r="2184" spans="1:111" x14ac:dyDescent="0.25">
      <c r="A2184" t="s">
        <v>3862</v>
      </c>
      <c r="N2184" t="s">
        <v>3136</v>
      </c>
      <c r="AK2184" t="s">
        <v>3863</v>
      </c>
      <c r="AT2184" t="s">
        <v>3138</v>
      </c>
      <c r="BJ2184" t="s">
        <v>3864</v>
      </c>
      <c r="BW2184" t="s">
        <v>3865</v>
      </c>
      <c r="CH2184" t="s">
        <v>3866</v>
      </c>
      <c r="CU2184" t="s">
        <v>3867</v>
      </c>
      <c r="DA2184" t="s">
        <v>3868</v>
      </c>
    </row>
    <row r="2185" spans="1:111" x14ac:dyDescent="0.25">
      <c r="AK2185" t="s">
        <v>2424</v>
      </c>
      <c r="AT2185" t="s">
        <v>2324</v>
      </c>
      <c r="BJ2185" t="s">
        <v>3148</v>
      </c>
      <c r="BW2185" t="s">
        <v>3147</v>
      </c>
      <c r="CH2185" t="s">
        <v>3148</v>
      </c>
      <c r="CU2185" t="s">
        <v>3150</v>
      </c>
      <c r="DA2185" t="s">
        <v>3150</v>
      </c>
      <c r="DG2185" t="s">
        <v>3151</v>
      </c>
    </row>
    <row r="2186" spans="1:111" x14ac:dyDescent="0.25">
      <c r="A2186" t="s">
        <v>1293</v>
      </c>
    </row>
    <row r="2187" spans="1:111" x14ac:dyDescent="0.25">
      <c r="A2187" t="s">
        <v>3869</v>
      </c>
    </row>
    <row r="2188" spans="1:111" x14ac:dyDescent="0.25">
      <c r="N2188" t="s">
        <v>3870</v>
      </c>
      <c r="AK2188" t="s">
        <v>3871</v>
      </c>
      <c r="AT2188" t="s">
        <v>2440</v>
      </c>
      <c r="BB2188">
        <v>29</v>
      </c>
      <c r="BJ2188" t="s">
        <v>3872</v>
      </c>
      <c r="BW2188" t="s">
        <v>2324</v>
      </c>
      <c r="CH2188" t="s">
        <v>2324</v>
      </c>
      <c r="CU2188">
        <v>936</v>
      </c>
      <c r="DA2188" t="s">
        <v>3873</v>
      </c>
      <c r="DG2188" t="s">
        <v>3874</v>
      </c>
    </row>
    <row r="2189" spans="1:111" x14ac:dyDescent="0.25">
      <c r="N2189" t="s">
        <v>3875</v>
      </c>
      <c r="AK2189" t="s">
        <v>3871</v>
      </c>
      <c r="AT2189" t="s">
        <v>2440</v>
      </c>
      <c r="BJ2189" t="s">
        <v>2324</v>
      </c>
      <c r="BW2189">
        <v>52</v>
      </c>
      <c r="CH2189" t="s">
        <v>3876</v>
      </c>
      <c r="CU2189">
        <v>778</v>
      </c>
      <c r="DA2189" t="s">
        <v>3877</v>
      </c>
      <c r="DG2189" t="s">
        <v>3564</v>
      </c>
    </row>
    <row r="2190" spans="1:111" x14ac:dyDescent="0.25">
      <c r="CH2190" t="s">
        <v>1403</v>
      </c>
      <c r="CU2190" t="s">
        <v>3878</v>
      </c>
      <c r="DA2190" t="s">
        <v>3879</v>
      </c>
      <c r="DG2190" t="s">
        <v>3880</v>
      </c>
    </row>
    <row r="2191" spans="1:111" x14ac:dyDescent="0.25">
      <c r="N2191" t="s">
        <v>3881</v>
      </c>
      <c r="AK2191" t="s">
        <v>3882</v>
      </c>
      <c r="AT2191" t="s">
        <v>2440</v>
      </c>
      <c r="BB2191">
        <v>29</v>
      </c>
      <c r="BJ2191" t="s">
        <v>3872</v>
      </c>
      <c r="BW2191" t="s">
        <v>2324</v>
      </c>
      <c r="CH2191" t="s">
        <v>2324</v>
      </c>
      <c r="CU2191">
        <v>968</v>
      </c>
      <c r="DA2191" t="s">
        <v>3883</v>
      </c>
      <c r="DG2191" t="s">
        <v>3884</v>
      </c>
    </row>
    <row r="2192" spans="1:111" x14ac:dyDescent="0.25">
      <c r="N2192" t="s">
        <v>3885</v>
      </c>
      <c r="AK2192" t="s">
        <v>3882</v>
      </c>
      <c r="AT2192" t="s">
        <v>2440</v>
      </c>
      <c r="BJ2192" t="s">
        <v>2324</v>
      </c>
      <c r="BW2192">
        <v>52</v>
      </c>
      <c r="CH2192" t="s">
        <v>3876</v>
      </c>
      <c r="CU2192">
        <v>806</v>
      </c>
      <c r="DA2192" t="s">
        <v>3886</v>
      </c>
      <c r="DG2192" t="s">
        <v>3887</v>
      </c>
    </row>
    <row r="2193" spans="14:111" x14ac:dyDescent="0.25">
      <c r="CH2193" t="s">
        <v>1403</v>
      </c>
      <c r="CU2193" t="s">
        <v>3888</v>
      </c>
      <c r="DA2193" t="s">
        <v>3889</v>
      </c>
      <c r="DG2193" t="s">
        <v>3890</v>
      </c>
    </row>
    <row r="2194" spans="14:111" x14ac:dyDescent="0.25">
      <c r="N2194" t="s">
        <v>3891</v>
      </c>
      <c r="AK2194" t="s">
        <v>3892</v>
      </c>
      <c r="AT2194" t="s">
        <v>2440</v>
      </c>
      <c r="BB2194">
        <v>29</v>
      </c>
      <c r="BJ2194" t="s">
        <v>3872</v>
      </c>
      <c r="BW2194" t="s">
        <v>2324</v>
      </c>
      <c r="CH2194" t="s">
        <v>2324</v>
      </c>
      <c r="CU2194" t="s">
        <v>3893</v>
      </c>
      <c r="DA2194" t="s">
        <v>3894</v>
      </c>
      <c r="DG2194" t="s">
        <v>3895</v>
      </c>
    </row>
    <row r="2195" spans="14:111" x14ac:dyDescent="0.25">
      <c r="N2195" t="s">
        <v>3896</v>
      </c>
      <c r="AK2195" t="s">
        <v>3892</v>
      </c>
      <c r="AT2195" t="s">
        <v>2440</v>
      </c>
      <c r="BJ2195" t="s">
        <v>2324</v>
      </c>
      <c r="BW2195">
        <v>55</v>
      </c>
      <c r="CH2195" t="s">
        <v>3897</v>
      </c>
      <c r="CU2195" t="s">
        <v>3898</v>
      </c>
      <c r="DA2195" t="s">
        <v>3899</v>
      </c>
      <c r="DG2195" t="s">
        <v>3900</v>
      </c>
    </row>
    <row r="2196" spans="14:111" x14ac:dyDescent="0.25">
      <c r="CH2196" t="s">
        <v>1403</v>
      </c>
      <c r="CU2196" t="s">
        <v>3901</v>
      </c>
      <c r="DA2196" t="s">
        <v>3902</v>
      </c>
      <c r="DG2196" t="s">
        <v>3903</v>
      </c>
    </row>
    <row r="2197" spans="14:111" x14ac:dyDescent="0.25">
      <c r="N2197" t="s">
        <v>3904</v>
      </c>
      <c r="AK2197" t="s">
        <v>3905</v>
      </c>
      <c r="AT2197" t="s">
        <v>2440</v>
      </c>
      <c r="BB2197">
        <v>29</v>
      </c>
      <c r="BJ2197" t="s">
        <v>3872</v>
      </c>
      <c r="BW2197" t="s">
        <v>2324</v>
      </c>
      <c r="CH2197" t="s">
        <v>2324</v>
      </c>
      <c r="CU2197" t="s">
        <v>3893</v>
      </c>
      <c r="DA2197" t="s">
        <v>3894</v>
      </c>
      <c r="DG2197" t="s">
        <v>3895</v>
      </c>
    </row>
    <row r="2198" spans="14:111" x14ac:dyDescent="0.25">
      <c r="N2198" t="s">
        <v>3906</v>
      </c>
      <c r="AK2198" t="s">
        <v>3905</v>
      </c>
      <c r="AT2198" t="s">
        <v>2440</v>
      </c>
      <c r="BJ2198" t="s">
        <v>2324</v>
      </c>
      <c r="BW2198">
        <v>55</v>
      </c>
      <c r="CH2198" t="s">
        <v>3897</v>
      </c>
      <c r="CU2198" t="s">
        <v>3907</v>
      </c>
      <c r="DA2198" t="s">
        <v>3908</v>
      </c>
      <c r="DG2198" t="s">
        <v>3909</v>
      </c>
    </row>
    <row r="2199" spans="14:111" x14ac:dyDescent="0.25">
      <c r="CH2199" t="s">
        <v>1403</v>
      </c>
      <c r="CU2199" t="s">
        <v>3910</v>
      </c>
      <c r="DA2199" t="s">
        <v>3911</v>
      </c>
      <c r="DG2199" t="s">
        <v>3912</v>
      </c>
    </row>
    <row r="2200" spans="14:111" x14ac:dyDescent="0.25">
      <c r="N2200" t="s">
        <v>3913</v>
      </c>
      <c r="AK2200" t="s">
        <v>3871</v>
      </c>
      <c r="AT2200" t="s">
        <v>2440</v>
      </c>
      <c r="BB2200">
        <v>29</v>
      </c>
      <c r="BJ2200" t="s">
        <v>3872</v>
      </c>
      <c r="BW2200" t="s">
        <v>2324</v>
      </c>
      <c r="CH2200" t="s">
        <v>2324</v>
      </c>
      <c r="CU2200">
        <v>936</v>
      </c>
      <c r="DA2200" t="s">
        <v>3873</v>
      </c>
      <c r="DG2200" t="s">
        <v>3874</v>
      </c>
    </row>
    <row r="2201" spans="14:111" x14ac:dyDescent="0.25">
      <c r="N2201" t="s">
        <v>3914</v>
      </c>
      <c r="AK2201" t="s">
        <v>3915</v>
      </c>
      <c r="AT2201" t="s">
        <v>2440</v>
      </c>
      <c r="BJ2201" t="s">
        <v>2324</v>
      </c>
      <c r="BW2201">
        <v>55</v>
      </c>
      <c r="CH2201" t="s">
        <v>3876</v>
      </c>
      <c r="CU2201">
        <v>864</v>
      </c>
      <c r="DA2201" t="s">
        <v>3916</v>
      </c>
      <c r="DG2201" t="s">
        <v>3917</v>
      </c>
    </row>
    <row r="2202" spans="14:111" x14ac:dyDescent="0.25">
      <c r="CH2202" t="s">
        <v>1403</v>
      </c>
      <c r="CU2202" t="s">
        <v>3918</v>
      </c>
      <c r="DA2202" t="s">
        <v>3400</v>
      </c>
      <c r="DG2202" t="s">
        <v>3919</v>
      </c>
    </row>
    <row r="2203" spans="14:111" x14ac:dyDescent="0.25">
      <c r="N2203" t="s">
        <v>3920</v>
      </c>
      <c r="AK2203" t="s">
        <v>3882</v>
      </c>
      <c r="AT2203" t="s">
        <v>2440</v>
      </c>
      <c r="BB2203">
        <v>29</v>
      </c>
      <c r="BJ2203" t="s">
        <v>3872</v>
      </c>
      <c r="BW2203" t="s">
        <v>2324</v>
      </c>
      <c r="CH2203" t="s">
        <v>2324</v>
      </c>
      <c r="CU2203">
        <v>968</v>
      </c>
      <c r="DA2203" t="s">
        <v>3883</v>
      </c>
      <c r="DG2203" t="s">
        <v>3884</v>
      </c>
    </row>
    <row r="2204" spans="14:111" x14ac:dyDescent="0.25">
      <c r="N2204" t="s">
        <v>3921</v>
      </c>
      <c r="AK2204" t="s">
        <v>3882</v>
      </c>
      <c r="AT2204" t="s">
        <v>2440</v>
      </c>
      <c r="BJ2204" t="s">
        <v>2324</v>
      </c>
      <c r="BW2204">
        <v>55</v>
      </c>
      <c r="CH2204" t="s">
        <v>3876</v>
      </c>
      <c r="CU2204">
        <v>876</v>
      </c>
      <c r="DA2204" t="s">
        <v>3922</v>
      </c>
      <c r="DG2204" t="s">
        <v>3923</v>
      </c>
    </row>
    <row r="2205" spans="14:111" x14ac:dyDescent="0.25">
      <c r="CH2205" t="s">
        <v>1403</v>
      </c>
      <c r="CU2205" t="s">
        <v>3924</v>
      </c>
      <c r="DA2205" t="s">
        <v>3925</v>
      </c>
      <c r="DG2205" t="s">
        <v>3926</v>
      </c>
    </row>
    <row r="2206" spans="14:111" x14ac:dyDescent="0.25">
      <c r="N2206" t="s">
        <v>3927</v>
      </c>
      <c r="AK2206" t="s">
        <v>3892</v>
      </c>
      <c r="AT2206" t="s">
        <v>2440</v>
      </c>
      <c r="BB2206">
        <v>29</v>
      </c>
      <c r="BJ2206" t="s">
        <v>3872</v>
      </c>
      <c r="BW2206" t="s">
        <v>2324</v>
      </c>
      <c r="CH2206" t="s">
        <v>2324</v>
      </c>
      <c r="CU2206" t="s">
        <v>3893</v>
      </c>
      <c r="DA2206" t="s">
        <v>3894</v>
      </c>
      <c r="DG2206" t="s">
        <v>3895</v>
      </c>
    </row>
    <row r="2207" spans="14:111" x14ac:dyDescent="0.25">
      <c r="N2207" t="s">
        <v>3928</v>
      </c>
      <c r="AK2207" t="s">
        <v>3929</v>
      </c>
      <c r="AT2207" t="s">
        <v>2440</v>
      </c>
      <c r="BJ2207" t="s">
        <v>2324</v>
      </c>
      <c r="BW2207">
        <v>55</v>
      </c>
      <c r="CH2207" t="s">
        <v>3930</v>
      </c>
      <c r="CU2207" t="s">
        <v>3931</v>
      </c>
      <c r="DA2207" t="s">
        <v>3932</v>
      </c>
      <c r="DG2207" t="s">
        <v>3933</v>
      </c>
    </row>
    <row r="2208" spans="14:111" x14ac:dyDescent="0.25">
      <c r="CH2208" t="s">
        <v>1403</v>
      </c>
      <c r="CU2208" t="s">
        <v>3934</v>
      </c>
      <c r="DA2208" t="s">
        <v>3935</v>
      </c>
      <c r="DG2208" t="s">
        <v>3936</v>
      </c>
    </row>
    <row r="2209" spans="1:111" x14ac:dyDescent="0.25">
      <c r="A2209" t="s">
        <v>3937</v>
      </c>
    </row>
    <row r="2210" spans="1:111" x14ac:dyDescent="0.25">
      <c r="A2210" t="s">
        <v>3938</v>
      </c>
    </row>
    <row r="2211" spans="1:111" x14ac:dyDescent="0.25">
      <c r="A2211" t="s">
        <v>3862</v>
      </c>
      <c r="N2211" t="s">
        <v>3136</v>
      </c>
      <c r="AK2211" t="s">
        <v>3863</v>
      </c>
      <c r="AT2211" t="s">
        <v>3138</v>
      </c>
      <c r="BJ2211" t="s">
        <v>3864</v>
      </c>
      <c r="BW2211" t="s">
        <v>3865</v>
      </c>
      <c r="CH2211" t="s">
        <v>3866</v>
      </c>
      <c r="CU2211" t="s">
        <v>3867</v>
      </c>
      <c r="DA2211" t="s">
        <v>3868</v>
      </c>
    </row>
    <row r="2212" spans="1:111" x14ac:dyDescent="0.25">
      <c r="AK2212" t="s">
        <v>2424</v>
      </c>
      <c r="AT2212" t="s">
        <v>2324</v>
      </c>
      <c r="BJ2212" t="s">
        <v>3148</v>
      </c>
      <c r="BW2212" t="s">
        <v>3147</v>
      </c>
      <c r="CH2212" t="s">
        <v>3148</v>
      </c>
      <c r="CU2212" t="s">
        <v>3150</v>
      </c>
      <c r="DA2212" t="s">
        <v>3150</v>
      </c>
      <c r="DG2212" t="s">
        <v>3151</v>
      </c>
    </row>
    <row r="2213" spans="1:111" x14ac:dyDescent="0.25">
      <c r="N2213" t="s">
        <v>3939</v>
      </c>
      <c r="AK2213" t="s">
        <v>3905</v>
      </c>
      <c r="AT2213" t="s">
        <v>2440</v>
      </c>
      <c r="BB2213">
        <v>29</v>
      </c>
      <c r="BJ2213" t="s">
        <v>3872</v>
      </c>
      <c r="BW2213" t="s">
        <v>2324</v>
      </c>
      <c r="CH2213" t="s">
        <v>2324</v>
      </c>
      <c r="CU2213" t="s">
        <v>3893</v>
      </c>
      <c r="DA2213" t="s">
        <v>3894</v>
      </c>
      <c r="DG2213" t="s">
        <v>3895</v>
      </c>
    </row>
    <row r="2214" spans="1:111" x14ac:dyDescent="0.25">
      <c r="N2214" t="s">
        <v>3940</v>
      </c>
      <c r="AK2214" t="s">
        <v>3941</v>
      </c>
      <c r="AT2214" t="s">
        <v>2440</v>
      </c>
      <c r="BJ2214" t="s">
        <v>2324</v>
      </c>
      <c r="BW2214">
        <v>55</v>
      </c>
      <c r="CH2214" t="s">
        <v>3930</v>
      </c>
      <c r="CU2214" t="s">
        <v>3613</v>
      </c>
      <c r="DA2214" t="s">
        <v>3942</v>
      </c>
      <c r="DG2214" t="s">
        <v>3943</v>
      </c>
    </row>
    <row r="2215" spans="1:111" x14ac:dyDescent="0.25">
      <c r="CH2215" t="s">
        <v>1403</v>
      </c>
      <c r="CU2215" t="s">
        <v>3944</v>
      </c>
      <c r="DA2215" t="s">
        <v>3945</v>
      </c>
      <c r="DG2215" t="s">
        <v>3946</v>
      </c>
    </row>
    <row r="2216" spans="1:111" x14ac:dyDescent="0.25">
      <c r="N2216" t="s">
        <v>3947</v>
      </c>
      <c r="AK2216" t="s">
        <v>3948</v>
      </c>
      <c r="AT2216" t="s">
        <v>2440</v>
      </c>
      <c r="BB2216">
        <v>29</v>
      </c>
      <c r="BJ2216" t="s">
        <v>3872</v>
      </c>
      <c r="BW2216" t="s">
        <v>2324</v>
      </c>
      <c r="CH2216" t="s">
        <v>2324</v>
      </c>
      <c r="CU2216" t="s">
        <v>3167</v>
      </c>
      <c r="DA2216" t="s">
        <v>3949</v>
      </c>
      <c r="DG2216" t="s">
        <v>3950</v>
      </c>
    </row>
    <row r="2217" spans="1:111" x14ac:dyDescent="0.25">
      <c r="N2217" t="s">
        <v>3951</v>
      </c>
      <c r="AK2217" t="s">
        <v>3892</v>
      </c>
      <c r="AT2217" t="s">
        <v>2440</v>
      </c>
      <c r="BJ2217" t="s">
        <v>2324</v>
      </c>
      <c r="BW2217">
        <v>55</v>
      </c>
      <c r="CH2217" t="s">
        <v>3952</v>
      </c>
      <c r="CU2217" t="s">
        <v>3931</v>
      </c>
      <c r="DA2217" t="s">
        <v>3932</v>
      </c>
      <c r="DG2217" t="s">
        <v>3933</v>
      </c>
    </row>
    <row r="2218" spans="1:111" x14ac:dyDescent="0.25">
      <c r="CH2218" t="s">
        <v>1403</v>
      </c>
      <c r="CU2218" t="s">
        <v>3953</v>
      </c>
      <c r="DA2218" t="s">
        <v>3954</v>
      </c>
      <c r="DG2218" t="s">
        <v>3955</v>
      </c>
    </row>
    <row r="2219" spans="1:111" x14ac:dyDescent="0.25">
      <c r="N2219" t="s">
        <v>3956</v>
      </c>
      <c r="AK2219" t="s">
        <v>3957</v>
      </c>
      <c r="AT2219" t="s">
        <v>2440</v>
      </c>
      <c r="BB2219">
        <v>29</v>
      </c>
      <c r="BJ2219" t="s">
        <v>3958</v>
      </c>
      <c r="BW2219" t="s">
        <v>2324</v>
      </c>
      <c r="CH2219" t="s">
        <v>2324</v>
      </c>
      <c r="CU2219" t="s">
        <v>3959</v>
      </c>
      <c r="DA2219" t="s">
        <v>3960</v>
      </c>
      <c r="DG2219" t="s">
        <v>3961</v>
      </c>
    </row>
    <row r="2220" spans="1:111" x14ac:dyDescent="0.25">
      <c r="N2220" t="s">
        <v>3962</v>
      </c>
      <c r="AK2220" t="s">
        <v>3957</v>
      </c>
      <c r="AT2220" t="s">
        <v>2440</v>
      </c>
      <c r="BJ2220" t="s">
        <v>2324</v>
      </c>
      <c r="BW2220">
        <v>55</v>
      </c>
      <c r="CH2220" t="s">
        <v>3952</v>
      </c>
      <c r="CU2220" t="s">
        <v>3613</v>
      </c>
      <c r="DA2220" t="s">
        <v>3942</v>
      </c>
      <c r="DG2220" t="s">
        <v>3943</v>
      </c>
    </row>
    <row r="2221" spans="1:111" x14ac:dyDescent="0.25">
      <c r="CH2221" t="s">
        <v>1403</v>
      </c>
      <c r="CU2221" t="s">
        <v>3963</v>
      </c>
      <c r="DA2221" t="s">
        <v>3964</v>
      </c>
      <c r="DG2221" t="s">
        <v>3965</v>
      </c>
    </row>
    <row r="2222" spans="1:111" x14ac:dyDescent="0.25">
      <c r="N2222" t="s">
        <v>3966</v>
      </c>
      <c r="AK2222" t="s">
        <v>3967</v>
      </c>
      <c r="AT2222" t="s">
        <v>2440</v>
      </c>
      <c r="BB2222">
        <v>29</v>
      </c>
      <c r="BJ2222" t="s">
        <v>3958</v>
      </c>
      <c r="BW2222" t="s">
        <v>2324</v>
      </c>
      <c r="CH2222" t="s">
        <v>2324</v>
      </c>
      <c r="CU2222" t="s">
        <v>3968</v>
      </c>
      <c r="DA2222" t="s">
        <v>3901</v>
      </c>
      <c r="DG2222" t="s">
        <v>3969</v>
      </c>
    </row>
    <row r="2223" spans="1:111" x14ac:dyDescent="0.25">
      <c r="N2223" t="s">
        <v>3970</v>
      </c>
      <c r="AK2223" t="s">
        <v>3967</v>
      </c>
      <c r="AT2223" t="s">
        <v>2440</v>
      </c>
      <c r="BJ2223" t="s">
        <v>2324</v>
      </c>
      <c r="BW2223">
        <v>60</v>
      </c>
      <c r="CH2223" t="s">
        <v>3971</v>
      </c>
      <c r="CU2223" t="s">
        <v>3972</v>
      </c>
      <c r="DA2223" t="s">
        <v>3973</v>
      </c>
      <c r="DG2223" t="s">
        <v>3974</v>
      </c>
    </row>
    <row r="2224" spans="1:111" x14ac:dyDescent="0.25">
      <c r="CH2224" t="s">
        <v>1403</v>
      </c>
      <c r="CU2224" t="s">
        <v>3975</v>
      </c>
      <c r="DA2224" t="s">
        <v>3976</v>
      </c>
      <c r="DG2224" t="s">
        <v>3977</v>
      </c>
    </row>
    <row r="2225" spans="1:111" x14ac:dyDescent="0.25">
      <c r="N2225" t="s">
        <v>3978</v>
      </c>
      <c r="AK2225" t="s">
        <v>3979</v>
      </c>
      <c r="AT2225" t="s">
        <v>2440</v>
      </c>
      <c r="BB2225">
        <v>29</v>
      </c>
      <c r="BJ2225" t="s">
        <v>3958</v>
      </c>
      <c r="BW2225" t="s">
        <v>2324</v>
      </c>
      <c r="CH2225" t="s">
        <v>2324</v>
      </c>
      <c r="CU2225" t="s">
        <v>3968</v>
      </c>
      <c r="DA2225" t="s">
        <v>3901</v>
      </c>
      <c r="DG2225" t="s">
        <v>3969</v>
      </c>
    </row>
    <row r="2226" spans="1:111" x14ac:dyDescent="0.25">
      <c r="N2226" t="s">
        <v>3980</v>
      </c>
      <c r="AK2226" t="s">
        <v>3979</v>
      </c>
      <c r="AT2226" t="s">
        <v>2440</v>
      </c>
      <c r="BJ2226" t="s">
        <v>2324</v>
      </c>
      <c r="BW2226">
        <v>61</v>
      </c>
      <c r="CH2226" t="s">
        <v>3971</v>
      </c>
      <c r="CU2226" t="s">
        <v>3552</v>
      </c>
      <c r="DA2226" t="s">
        <v>3981</v>
      </c>
      <c r="DG2226" t="s">
        <v>3982</v>
      </c>
    </row>
    <row r="2227" spans="1:111" x14ac:dyDescent="0.25">
      <c r="CH2227" t="s">
        <v>1403</v>
      </c>
      <c r="CU2227" t="s">
        <v>3983</v>
      </c>
      <c r="DA2227" t="s">
        <v>3984</v>
      </c>
      <c r="DG2227" t="s">
        <v>3985</v>
      </c>
    </row>
    <row r="2228" spans="1:111" x14ac:dyDescent="0.25">
      <c r="N2228" t="s">
        <v>3986</v>
      </c>
      <c r="AK2228" t="s">
        <v>3987</v>
      </c>
      <c r="AT2228" t="s">
        <v>2440</v>
      </c>
      <c r="BB2228">
        <v>29</v>
      </c>
      <c r="BJ2228" t="s">
        <v>3958</v>
      </c>
      <c r="BW2228" t="s">
        <v>2324</v>
      </c>
      <c r="CH2228" t="s">
        <v>2324</v>
      </c>
      <c r="CU2228" t="s">
        <v>3968</v>
      </c>
      <c r="DA2228" t="s">
        <v>3901</v>
      </c>
      <c r="DG2228" t="s">
        <v>3969</v>
      </c>
    </row>
    <row r="2229" spans="1:111" x14ac:dyDescent="0.25">
      <c r="N2229" t="s">
        <v>3988</v>
      </c>
      <c r="AK2229" t="s">
        <v>3987</v>
      </c>
      <c r="AT2229" t="s">
        <v>2440</v>
      </c>
      <c r="BJ2229" t="s">
        <v>2324</v>
      </c>
      <c r="BW2229">
        <v>61</v>
      </c>
      <c r="CH2229" t="s">
        <v>3971</v>
      </c>
      <c r="CU2229" t="s">
        <v>3235</v>
      </c>
      <c r="DA2229" t="s">
        <v>3989</v>
      </c>
      <c r="DG2229" t="s">
        <v>3960</v>
      </c>
    </row>
    <row r="2230" spans="1:111" x14ac:dyDescent="0.25">
      <c r="CH2230" t="s">
        <v>1403</v>
      </c>
      <c r="CU2230" t="s">
        <v>3990</v>
      </c>
      <c r="DA2230" t="s">
        <v>3991</v>
      </c>
      <c r="DG2230" t="s">
        <v>3992</v>
      </c>
    </row>
    <row r="2231" spans="1:111" x14ac:dyDescent="0.25">
      <c r="A2231" t="s">
        <v>3993</v>
      </c>
    </row>
    <row r="2232" spans="1:111" x14ac:dyDescent="0.25">
      <c r="A2232" t="s">
        <v>3860</v>
      </c>
    </row>
    <row r="2233" spans="1:111" x14ac:dyDescent="0.25">
      <c r="A2233" t="s">
        <v>3861</v>
      </c>
    </row>
    <row r="2234" spans="1:111" x14ac:dyDescent="0.25">
      <c r="A2234" t="s">
        <v>3862</v>
      </c>
      <c r="N2234" t="s">
        <v>3136</v>
      </c>
      <c r="AK2234" t="s">
        <v>3863</v>
      </c>
      <c r="AT2234" t="s">
        <v>3138</v>
      </c>
      <c r="BJ2234" t="s">
        <v>3864</v>
      </c>
      <c r="BW2234" t="s">
        <v>3865</v>
      </c>
      <c r="CH2234" t="s">
        <v>3866</v>
      </c>
      <c r="CU2234" t="s">
        <v>3867</v>
      </c>
      <c r="DA2234" t="s">
        <v>3868</v>
      </c>
    </row>
    <row r="2235" spans="1:111" x14ac:dyDescent="0.25">
      <c r="AK2235" t="s">
        <v>2424</v>
      </c>
      <c r="AT2235" t="s">
        <v>2324</v>
      </c>
      <c r="BJ2235" t="s">
        <v>3148</v>
      </c>
      <c r="BW2235" t="s">
        <v>3147</v>
      </c>
      <c r="CH2235" t="s">
        <v>3148</v>
      </c>
      <c r="CU2235" t="s">
        <v>3150</v>
      </c>
      <c r="DA2235" t="s">
        <v>3150</v>
      </c>
      <c r="DG2235" t="s">
        <v>3151</v>
      </c>
    </row>
    <row r="2236" spans="1:111" x14ac:dyDescent="0.25">
      <c r="A2236" t="s">
        <v>3994</v>
      </c>
    </row>
    <row r="2237" spans="1:111" x14ac:dyDescent="0.25">
      <c r="N2237" t="s">
        <v>3995</v>
      </c>
      <c r="AK2237" t="s">
        <v>3915</v>
      </c>
      <c r="AT2237" t="s">
        <v>2440</v>
      </c>
      <c r="BB2237">
        <v>29</v>
      </c>
      <c r="BJ2237" t="s">
        <v>3996</v>
      </c>
      <c r="BW2237" t="s">
        <v>2324</v>
      </c>
      <c r="CH2237" t="s">
        <v>2324</v>
      </c>
      <c r="CU2237" t="s">
        <v>3997</v>
      </c>
      <c r="DA2237" t="s">
        <v>3998</v>
      </c>
      <c r="DG2237" t="s">
        <v>3999</v>
      </c>
    </row>
    <row r="2238" spans="1:111" x14ac:dyDescent="0.25">
      <c r="N2238" t="s">
        <v>3914</v>
      </c>
      <c r="AK2238" t="s">
        <v>3915</v>
      </c>
      <c r="AT2238" t="s">
        <v>2440</v>
      </c>
      <c r="BJ2238" t="s">
        <v>2324</v>
      </c>
      <c r="BW2238">
        <v>55</v>
      </c>
      <c r="CH2238" t="s">
        <v>3876</v>
      </c>
      <c r="CU2238">
        <v>864</v>
      </c>
      <c r="DA2238" t="s">
        <v>3916</v>
      </c>
      <c r="DG2238" t="s">
        <v>3917</v>
      </c>
    </row>
    <row r="2239" spans="1:111" x14ac:dyDescent="0.25">
      <c r="CH2239" t="s">
        <v>1403</v>
      </c>
      <c r="CU2239" t="s">
        <v>4000</v>
      </c>
      <c r="DA2239" t="s">
        <v>4001</v>
      </c>
      <c r="DG2239" t="s">
        <v>4002</v>
      </c>
    </row>
    <row r="2240" spans="1:111" x14ac:dyDescent="0.25">
      <c r="N2240" t="s">
        <v>4003</v>
      </c>
      <c r="AK2240" t="s">
        <v>3882</v>
      </c>
      <c r="AT2240" t="s">
        <v>2440</v>
      </c>
      <c r="BB2240">
        <v>29</v>
      </c>
      <c r="BJ2240" t="s">
        <v>3996</v>
      </c>
      <c r="BW2240" t="s">
        <v>2324</v>
      </c>
      <c r="CH2240" t="s">
        <v>2324</v>
      </c>
      <c r="CU2240" t="s">
        <v>4004</v>
      </c>
      <c r="DA2240" t="s">
        <v>4005</v>
      </c>
      <c r="DG2240" t="s">
        <v>4006</v>
      </c>
    </row>
    <row r="2241" spans="14:111" x14ac:dyDescent="0.25">
      <c r="N2241" t="s">
        <v>3921</v>
      </c>
      <c r="AK2241" t="s">
        <v>3882</v>
      </c>
      <c r="AT2241" t="s">
        <v>2440</v>
      </c>
      <c r="BJ2241" t="s">
        <v>2324</v>
      </c>
      <c r="BW2241">
        <v>55</v>
      </c>
      <c r="CH2241" t="s">
        <v>3876</v>
      </c>
      <c r="CU2241">
        <v>876</v>
      </c>
      <c r="DA2241" t="s">
        <v>3922</v>
      </c>
      <c r="DG2241" t="s">
        <v>3923</v>
      </c>
    </row>
    <row r="2242" spans="14:111" x14ac:dyDescent="0.25">
      <c r="CH2242" t="s">
        <v>1403</v>
      </c>
      <c r="CU2242" t="s">
        <v>4007</v>
      </c>
      <c r="DA2242" t="s">
        <v>4008</v>
      </c>
      <c r="DG2242" t="s">
        <v>4009</v>
      </c>
    </row>
    <row r="2243" spans="14:111" x14ac:dyDescent="0.25">
      <c r="N2243" t="s">
        <v>4010</v>
      </c>
      <c r="AK2243" t="s">
        <v>3929</v>
      </c>
      <c r="AT2243" t="s">
        <v>2440</v>
      </c>
      <c r="BB2243">
        <v>29</v>
      </c>
      <c r="BJ2243" t="s">
        <v>3996</v>
      </c>
      <c r="BW2243" t="s">
        <v>2324</v>
      </c>
      <c r="CH2243" t="s">
        <v>2324</v>
      </c>
      <c r="CU2243" t="s">
        <v>4011</v>
      </c>
      <c r="DA2243" t="s">
        <v>3405</v>
      </c>
      <c r="DG2243" t="s">
        <v>4012</v>
      </c>
    </row>
    <row r="2244" spans="14:111" x14ac:dyDescent="0.25">
      <c r="N2244" t="s">
        <v>3928</v>
      </c>
      <c r="AK2244" t="s">
        <v>3929</v>
      </c>
      <c r="AT2244" t="s">
        <v>2440</v>
      </c>
      <c r="BJ2244" t="s">
        <v>2324</v>
      </c>
      <c r="BW2244">
        <v>55</v>
      </c>
      <c r="CH2244" t="s">
        <v>3930</v>
      </c>
      <c r="CU2244" t="s">
        <v>3931</v>
      </c>
      <c r="DA2244" t="s">
        <v>3932</v>
      </c>
      <c r="DG2244" t="s">
        <v>3933</v>
      </c>
    </row>
    <row r="2245" spans="14:111" x14ac:dyDescent="0.25">
      <c r="CH2245" t="s">
        <v>1403</v>
      </c>
      <c r="CU2245" t="s">
        <v>4013</v>
      </c>
      <c r="DA2245" t="s">
        <v>4014</v>
      </c>
      <c r="DG2245" t="s">
        <v>4015</v>
      </c>
    </row>
    <row r="2246" spans="14:111" x14ac:dyDescent="0.25">
      <c r="N2246" t="s">
        <v>4016</v>
      </c>
      <c r="AK2246" t="s">
        <v>3941</v>
      </c>
      <c r="AT2246" t="s">
        <v>2440</v>
      </c>
      <c r="BB2246">
        <v>29</v>
      </c>
      <c r="BJ2246" t="s">
        <v>3996</v>
      </c>
      <c r="BW2246" t="s">
        <v>2324</v>
      </c>
      <c r="CH2246" t="s">
        <v>2324</v>
      </c>
      <c r="CU2246" t="s">
        <v>4017</v>
      </c>
      <c r="DA2246" t="s">
        <v>4018</v>
      </c>
      <c r="DG2246" t="s">
        <v>4019</v>
      </c>
    </row>
    <row r="2247" spans="14:111" x14ac:dyDescent="0.25">
      <c r="N2247" t="s">
        <v>3940</v>
      </c>
      <c r="AK2247" t="s">
        <v>3941</v>
      </c>
      <c r="AT2247" t="s">
        <v>2440</v>
      </c>
      <c r="BJ2247" t="s">
        <v>2324</v>
      </c>
      <c r="BW2247">
        <v>55</v>
      </c>
      <c r="CH2247" t="s">
        <v>3930</v>
      </c>
      <c r="CU2247" t="s">
        <v>3613</v>
      </c>
      <c r="DA2247" t="s">
        <v>3942</v>
      </c>
      <c r="DG2247" t="s">
        <v>3943</v>
      </c>
    </row>
    <row r="2248" spans="14:111" x14ac:dyDescent="0.25">
      <c r="CH2248" t="s">
        <v>1403</v>
      </c>
      <c r="CU2248" t="s">
        <v>3925</v>
      </c>
      <c r="DA2248" t="s">
        <v>4020</v>
      </c>
      <c r="DG2248" t="s">
        <v>4021</v>
      </c>
    </row>
    <row r="2249" spans="14:111" x14ac:dyDescent="0.25">
      <c r="N2249" t="s">
        <v>4022</v>
      </c>
      <c r="AK2249" t="s">
        <v>3929</v>
      </c>
      <c r="AT2249" t="s">
        <v>2440</v>
      </c>
      <c r="BB2249">
        <v>29</v>
      </c>
      <c r="BJ2249" t="s">
        <v>3996</v>
      </c>
      <c r="BW2249" t="s">
        <v>2324</v>
      </c>
      <c r="CH2249" t="s">
        <v>2324</v>
      </c>
      <c r="CU2249" t="s">
        <v>4023</v>
      </c>
      <c r="DA2249" t="s">
        <v>4024</v>
      </c>
      <c r="DG2249" t="s">
        <v>4025</v>
      </c>
    </row>
    <row r="2250" spans="14:111" x14ac:dyDescent="0.25">
      <c r="N2250" t="s">
        <v>3951</v>
      </c>
      <c r="AK2250" t="s">
        <v>3892</v>
      </c>
      <c r="AT2250" t="s">
        <v>2440</v>
      </c>
      <c r="BJ2250" t="s">
        <v>2324</v>
      </c>
      <c r="BW2250">
        <v>55</v>
      </c>
      <c r="CH2250" t="s">
        <v>3952</v>
      </c>
      <c r="CU2250" t="s">
        <v>3931</v>
      </c>
      <c r="DA2250" t="s">
        <v>3932</v>
      </c>
      <c r="DG2250" t="s">
        <v>3933</v>
      </c>
    </row>
    <row r="2251" spans="14:111" x14ac:dyDescent="0.25">
      <c r="CH2251" t="s">
        <v>1403</v>
      </c>
      <c r="CU2251" t="s">
        <v>4026</v>
      </c>
      <c r="DA2251" t="s">
        <v>4027</v>
      </c>
      <c r="DG2251" t="s">
        <v>4028</v>
      </c>
    </row>
    <row r="2252" spans="14:111" x14ac:dyDescent="0.25">
      <c r="N2252" t="s">
        <v>4029</v>
      </c>
      <c r="AK2252" t="s">
        <v>3957</v>
      </c>
      <c r="AT2252" t="s">
        <v>2440</v>
      </c>
      <c r="BB2252">
        <v>29</v>
      </c>
      <c r="BJ2252" t="s">
        <v>3996</v>
      </c>
      <c r="BW2252" t="s">
        <v>2324</v>
      </c>
      <c r="CH2252" t="s">
        <v>2324</v>
      </c>
      <c r="CU2252" t="s">
        <v>4030</v>
      </c>
      <c r="DA2252" t="s">
        <v>4031</v>
      </c>
      <c r="DG2252" t="s">
        <v>4032</v>
      </c>
    </row>
    <row r="2253" spans="14:111" x14ac:dyDescent="0.25">
      <c r="N2253" t="s">
        <v>3962</v>
      </c>
      <c r="AK2253" t="s">
        <v>3957</v>
      </c>
      <c r="AT2253" t="s">
        <v>2440</v>
      </c>
      <c r="BJ2253" t="s">
        <v>2324</v>
      </c>
      <c r="BW2253">
        <v>55</v>
      </c>
      <c r="CH2253" t="s">
        <v>3952</v>
      </c>
      <c r="CU2253" t="s">
        <v>3613</v>
      </c>
      <c r="DA2253" t="s">
        <v>3942</v>
      </c>
      <c r="DG2253" t="s">
        <v>3943</v>
      </c>
    </row>
    <row r="2254" spans="14:111" x14ac:dyDescent="0.25">
      <c r="CH2254" t="s">
        <v>1403</v>
      </c>
      <c r="CU2254" t="s">
        <v>4033</v>
      </c>
      <c r="DA2254" t="s">
        <v>4034</v>
      </c>
      <c r="DG2254" t="s">
        <v>4035</v>
      </c>
    </row>
    <row r="2255" spans="14:111" x14ac:dyDescent="0.25">
      <c r="N2255" t="s">
        <v>4036</v>
      </c>
      <c r="AK2255" t="s">
        <v>3967</v>
      </c>
      <c r="AT2255" t="s">
        <v>2440</v>
      </c>
      <c r="BB2255">
        <v>29</v>
      </c>
      <c r="BJ2255" t="s">
        <v>3996</v>
      </c>
      <c r="BW2255" t="s">
        <v>2324</v>
      </c>
      <c r="CH2255" t="s">
        <v>2324</v>
      </c>
      <c r="CU2255" t="s">
        <v>4037</v>
      </c>
      <c r="DA2255" t="s">
        <v>4038</v>
      </c>
      <c r="DG2255" t="s">
        <v>4039</v>
      </c>
    </row>
    <row r="2256" spans="14:111" x14ac:dyDescent="0.25">
      <c r="N2256" t="s">
        <v>3970</v>
      </c>
      <c r="AK2256" t="s">
        <v>3967</v>
      </c>
      <c r="AT2256" t="s">
        <v>2440</v>
      </c>
      <c r="BJ2256" t="s">
        <v>2324</v>
      </c>
      <c r="BW2256">
        <v>60</v>
      </c>
      <c r="CH2256" t="s">
        <v>3971</v>
      </c>
      <c r="CU2256" t="s">
        <v>3972</v>
      </c>
      <c r="DA2256" t="s">
        <v>3973</v>
      </c>
      <c r="DG2256" t="s">
        <v>3974</v>
      </c>
    </row>
    <row r="2257" spans="1:111" x14ac:dyDescent="0.25">
      <c r="CH2257" t="s">
        <v>1403</v>
      </c>
      <c r="CU2257" t="s">
        <v>4040</v>
      </c>
      <c r="DA2257" t="s">
        <v>4041</v>
      </c>
      <c r="DG2257" t="s">
        <v>4042</v>
      </c>
    </row>
    <row r="2258" spans="1:111" x14ac:dyDescent="0.25">
      <c r="A2258" t="s">
        <v>4043</v>
      </c>
    </row>
    <row r="2259" spans="1:111" x14ac:dyDescent="0.25">
      <c r="A2259" t="s">
        <v>3860</v>
      </c>
    </row>
    <row r="2260" spans="1:111" x14ac:dyDescent="0.25">
      <c r="A2260" t="s">
        <v>3861</v>
      </c>
    </row>
    <row r="2261" spans="1:111" x14ac:dyDescent="0.25">
      <c r="A2261" t="s">
        <v>3862</v>
      </c>
      <c r="N2261" t="s">
        <v>3136</v>
      </c>
      <c r="AK2261" t="s">
        <v>3863</v>
      </c>
      <c r="AT2261" t="s">
        <v>3138</v>
      </c>
      <c r="BJ2261" t="s">
        <v>3864</v>
      </c>
      <c r="BW2261" t="s">
        <v>3865</v>
      </c>
      <c r="CH2261" t="s">
        <v>3866</v>
      </c>
      <c r="CU2261" t="s">
        <v>3867</v>
      </c>
      <c r="DA2261" t="s">
        <v>3868</v>
      </c>
    </row>
    <row r="2262" spans="1:111" x14ac:dyDescent="0.25">
      <c r="AK2262" t="s">
        <v>2424</v>
      </c>
      <c r="AT2262" t="s">
        <v>2324</v>
      </c>
      <c r="BJ2262" t="s">
        <v>3148</v>
      </c>
      <c r="BW2262" t="s">
        <v>3147</v>
      </c>
      <c r="CH2262" t="s">
        <v>3148</v>
      </c>
      <c r="CU2262" t="s">
        <v>3150</v>
      </c>
      <c r="DA2262" t="s">
        <v>3150</v>
      </c>
      <c r="DG2262" t="s">
        <v>3151</v>
      </c>
    </row>
    <row r="2263" spans="1:111" x14ac:dyDescent="0.25">
      <c r="N2263" t="s">
        <v>4044</v>
      </c>
      <c r="AK2263" t="s">
        <v>3979</v>
      </c>
      <c r="AT2263" t="s">
        <v>2440</v>
      </c>
      <c r="BB2263">
        <v>29</v>
      </c>
      <c r="BJ2263" t="s">
        <v>3996</v>
      </c>
      <c r="BW2263" t="s">
        <v>2324</v>
      </c>
      <c r="CH2263" t="s">
        <v>2324</v>
      </c>
      <c r="CU2263" t="s">
        <v>4037</v>
      </c>
      <c r="DA2263" t="s">
        <v>4038</v>
      </c>
      <c r="DG2263" t="s">
        <v>4039</v>
      </c>
    </row>
    <row r="2264" spans="1:111" x14ac:dyDescent="0.25">
      <c r="N2264" t="s">
        <v>3980</v>
      </c>
      <c r="AK2264" t="s">
        <v>3979</v>
      </c>
      <c r="AT2264" t="s">
        <v>2440</v>
      </c>
      <c r="BJ2264" t="s">
        <v>2324</v>
      </c>
      <c r="BW2264">
        <v>61</v>
      </c>
      <c r="CH2264" t="s">
        <v>3971</v>
      </c>
      <c r="CU2264" t="s">
        <v>3552</v>
      </c>
      <c r="DA2264" t="s">
        <v>3981</v>
      </c>
      <c r="DG2264" t="s">
        <v>3982</v>
      </c>
    </row>
    <row r="2265" spans="1:111" x14ac:dyDescent="0.25">
      <c r="CH2265" t="s">
        <v>1403</v>
      </c>
      <c r="CU2265" t="s">
        <v>4045</v>
      </c>
      <c r="DA2265" t="s">
        <v>4046</v>
      </c>
      <c r="DG2265" t="s">
        <v>4047</v>
      </c>
    </row>
    <row r="2266" spans="1:111" x14ac:dyDescent="0.25">
      <c r="N2266" t="s">
        <v>4048</v>
      </c>
      <c r="AK2266" t="s">
        <v>3987</v>
      </c>
      <c r="AT2266" t="s">
        <v>2440</v>
      </c>
      <c r="BB2266">
        <v>29</v>
      </c>
      <c r="BJ2266" t="s">
        <v>3996</v>
      </c>
      <c r="BW2266" t="s">
        <v>2324</v>
      </c>
      <c r="CH2266" t="s">
        <v>2324</v>
      </c>
      <c r="CU2266" t="s">
        <v>4037</v>
      </c>
      <c r="DA2266" t="s">
        <v>4038</v>
      </c>
      <c r="DG2266" t="s">
        <v>4039</v>
      </c>
    </row>
    <row r="2267" spans="1:111" x14ac:dyDescent="0.25">
      <c r="N2267" t="s">
        <v>3988</v>
      </c>
      <c r="AK2267" t="s">
        <v>3987</v>
      </c>
      <c r="AT2267" t="s">
        <v>2440</v>
      </c>
      <c r="BJ2267" t="s">
        <v>2324</v>
      </c>
      <c r="BW2267">
        <v>61</v>
      </c>
      <c r="CH2267" t="s">
        <v>3971</v>
      </c>
      <c r="CU2267" t="s">
        <v>3235</v>
      </c>
      <c r="DA2267" t="s">
        <v>3989</v>
      </c>
      <c r="DG2267" t="s">
        <v>3960</v>
      </c>
    </row>
    <row r="2268" spans="1:111" x14ac:dyDescent="0.25">
      <c r="CH2268" t="s">
        <v>1403</v>
      </c>
      <c r="CU2268" t="s">
        <v>4049</v>
      </c>
      <c r="DA2268" t="s">
        <v>4050</v>
      </c>
      <c r="DG2268" t="s">
        <v>4051</v>
      </c>
    </row>
    <row r="2269" spans="1:111" x14ac:dyDescent="0.25">
      <c r="A2269" t="s">
        <v>4052</v>
      </c>
    </row>
    <row r="2270" spans="1:111" x14ac:dyDescent="0.25">
      <c r="A2270" t="s">
        <v>4053</v>
      </c>
    </row>
    <row r="2271" spans="1:111" x14ac:dyDescent="0.25">
      <c r="N2271" t="s">
        <v>4054</v>
      </c>
      <c r="AK2271" t="s">
        <v>4055</v>
      </c>
      <c r="AT2271" t="s">
        <v>2440</v>
      </c>
      <c r="BJ2271" t="s">
        <v>2324</v>
      </c>
      <c r="BW2271">
        <v>58</v>
      </c>
      <c r="CH2271" t="s">
        <v>4056</v>
      </c>
      <c r="CU2271" t="s">
        <v>4057</v>
      </c>
      <c r="DA2271" t="s">
        <v>4058</v>
      </c>
      <c r="DG2271" t="s">
        <v>4059</v>
      </c>
    </row>
    <row r="2272" spans="1:111" x14ac:dyDescent="0.25">
      <c r="N2272" t="s">
        <v>4060</v>
      </c>
      <c r="AK2272" t="s">
        <v>4061</v>
      </c>
      <c r="AT2272" t="s">
        <v>2440</v>
      </c>
      <c r="BJ2272" t="s">
        <v>2324</v>
      </c>
      <c r="BW2272">
        <v>58</v>
      </c>
      <c r="CH2272" t="s">
        <v>4056</v>
      </c>
      <c r="CU2272" t="s">
        <v>4062</v>
      </c>
      <c r="DA2272" t="s">
        <v>4063</v>
      </c>
      <c r="DG2272" t="s">
        <v>4064</v>
      </c>
    </row>
    <row r="2273" spans="1:111" x14ac:dyDescent="0.25">
      <c r="N2273" t="s">
        <v>4065</v>
      </c>
      <c r="AK2273" t="s">
        <v>4066</v>
      </c>
      <c r="AT2273" t="s">
        <v>2440</v>
      </c>
      <c r="BJ2273" t="s">
        <v>2324</v>
      </c>
      <c r="BW2273">
        <v>56</v>
      </c>
      <c r="CH2273" t="s">
        <v>4056</v>
      </c>
      <c r="CU2273" t="s">
        <v>4067</v>
      </c>
      <c r="DA2273" t="s">
        <v>4068</v>
      </c>
      <c r="DG2273" t="s">
        <v>4069</v>
      </c>
    </row>
    <row r="2274" spans="1:111" x14ac:dyDescent="0.25">
      <c r="N2274" t="s">
        <v>4070</v>
      </c>
      <c r="AK2274" t="s">
        <v>4071</v>
      </c>
      <c r="AT2274" t="s">
        <v>2440</v>
      </c>
      <c r="BJ2274" t="s">
        <v>2324</v>
      </c>
      <c r="BW2274">
        <v>61</v>
      </c>
      <c r="CH2274" t="s">
        <v>4072</v>
      </c>
      <c r="CU2274" t="s">
        <v>4073</v>
      </c>
      <c r="DA2274" t="s">
        <v>4074</v>
      </c>
      <c r="DG2274" t="s">
        <v>4075</v>
      </c>
    </row>
    <row r="2275" spans="1:111" x14ac:dyDescent="0.25">
      <c r="N2275" t="s">
        <v>4076</v>
      </c>
      <c r="AK2275" t="s">
        <v>4071</v>
      </c>
      <c r="AT2275" t="s">
        <v>2440</v>
      </c>
      <c r="BJ2275" t="s">
        <v>2324</v>
      </c>
      <c r="BW2275">
        <v>61</v>
      </c>
      <c r="CH2275" t="s">
        <v>4072</v>
      </c>
      <c r="CU2275" t="s">
        <v>4077</v>
      </c>
      <c r="DA2275" t="s">
        <v>4078</v>
      </c>
      <c r="DG2275" t="s">
        <v>4079</v>
      </c>
    </row>
    <row r="2276" spans="1:111" x14ac:dyDescent="0.25">
      <c r="N2276" t="s">
        <v>4080</v>
      </c>
      <c r="AK2276" t="s">
        <v>3967</v>
      </c>
      <c r="AT2276" t="s">
        <v>2440</v>
      </c>
      <c r="BJ2276" t="s">
        <v>4081</v>
      </c>
      <c r="BW2276">
        <v>61</v>
      </c>
      <c r="CH2276" t="s">
        <v>4072</v>
      </c>
      <c r="CU2276" t="s">
        <v>4082</v>
      </c>
      <c r="DA2276" t="s">
        <v>4083</v>
      </c>
      <c r="DG2276" t="s">
        <v>4084</v>
      </c>
    </row>
    <row r="2277" spans="1:111" x14ac:dyDescent="0.25">
      <c r="N2277" t="s">
        <v>4085</v>
      </c>
      <c r="AK2277" t="s">
        <v>4086</v>
      </c>
      <c r="AT2277" t="s">
        <v>2440</v>
      </c>
      <c r="BJ2277" t="s">
        <v>4081</v>
      </c>
      <c r="BW2277">
        <v>61</v>
      </c>
      <c r="CH2277" t="s">
        <v>4072</v>
      </c>
      <c r="CU2277" t="s">
        <v>4087</v>
      </c>
      <c r="DA2277" t="s">
        <v>4088</v>
      </c>
      <c r="DG2277" t="s">
        <v>4089</v>
      </c>
    </row>
    <row r="2278" spans="1:111" x14ac:dyDescent="0.25">
      <c r="N2278" t="s">
        <v>4090</v>
      </c>
      <c r="AK2278" t="s">
        <v>4091</v>
      </c>
      <c r="AT2278" t="s">
        <v>2440</v>
      </c>
      <c r="BJ2278" t="s">
        <v>4081</v>
      </c>
      <c r="BW2278">
        <v>61</v>
      </c>
      <c r="CH2278" t="s">
        <v>4072</v>
      </c>
      <c r="CU2278" t="s">
        <v>4092</v>
      </c>
      <c r="DA2278" t="s">
        <v>4093</v>
      </c>
      <c r="DG2278" t="s">
        <v>4094</v>
      </c>
    </row>
    <row r="2279" spans="1:111" x14ac:dyDescent="0.25">
      <c r="A2279" t="s">
        <v>4095</v>
      </c>
    </row>
    <row r="2280" spans="1:111" x14ac:dyDescent="0.25">
      <c r="N2280" t="s">
        <v>4096</v>
      </c>
      <c r="AK2280" t="s">
        <v>4097</v>
      </c>
      <c r="AT2280" t="s">
        <v>2440</v>
      </c>
      <c r="BB2280">
        <v>28</v>
      </c>
      <c r="BJ2280" t="s">
        <v>4098</v>
      </c>
      <c r="BW2280" t="s">
        <v>2324</v>
      </c>
      <c r="CH2280" t="s">
        <v>2324</v>
      </c>
      <c r="CU2280" t="s">
        <v>4099</v>
      </c>
      <c r="DA2280" t="s">
        <v>4100</v>
      </c>
      <c r="DG2280" t="s">
        <v>4101</v>
      </c>
    </row>
    <row r="2281" spans="1:111" x14ac:dyDescent="0.25">
      <c r="N2281" t="s">
        <v>4102</v>
      </c>
      <c r="AK2281" t="s">
        <v>4097</v>
      </c>
      <c r="AT2281" t="s">
        <v>2440</v>
      </c>
      <c r="BJ2281" t="s">
        <v>2324</v>
      </c>
      <c r="BW2281">
        <v>45</v>
      </c>
      <c r="CH2281" t="s">
        <v>4103</v>
      </c>
      <c r="CU2281">
        <v>962</v>
      </c>
      <c r="DA2281" t="s">
        <v>4104</v>
      </c>
      <c r="DG2281" t="s">
        <v>4105</v>
      </c>
    </row>
    <row r="2282" spans="1:111" x14ac:dyDescent="0.25">
      <c r="CH2282" t="s">
        <v>1403</v>
      </c>
      <c r="CU2282" t="s">
        <v>3974</v>
      </c>
      <c r="DA2282" t="s">
        <v>4106</v>
      </c>
      <c r="DG2282" t="s">
        <v>4107</v>
      </c>
    </row>
    <row r="2283" spans="1:111" x14ac:dyDescent="0.25">
      <c r="N2283" t="s">
        <v>4108</v>
      </c>
      <c r="AK2283" t="s">
        <v>3957</v>
      </c>
      <c r="AT2283" t="s">
        <v>2440</v>
      </c>
      <c r="BB2283">
        <v>30</v>
      </c>
      <c r="BJ2283" t="s">
        <v>4098</v>
      </c>
      <c r="BW2283" t="s">
        <v>2324</v>
      </c>
      <c r="CH2283" t="s">
        <v>2324</v>
      </c>
      <c r="CU2283" t="s">
        <v>4109</v>
      </c>
      <c r="DA2283" t="s">
        <v>4110</v>
      </c>
      <c r="DG2283" t="s">
        <v>4111</v>
      </c>
    </row>
    <row r="2284" spans="1:111" x14ac:dyDescent="0.25">
      <c r="N2284" t="s">
        <v>4112</v>
      </c>
      <c r="AK2284" t="s">
        <v>4113</v>
      </c>
      <c r="AT2284" t="s">
        <v>2440</v>
      </c>
      <c r="BJ2284" t="s">
        <v>2324</v>
      </c>
      <c r="BW2284">
        <v>46</v>
      </c>
      <c r="CH2284" t="s">
        <v>4114</v>
      </c>
      <c r="CU2284" t="s">
        <v>4115</v>
      </c>
      <c r="DA2284" t="s">
        <v>4116</v>
      </c>
      <c r="DG2284" t="s">
        <v>4117</v>
      </c>
    </row>
    <row r="2285" spans="1:111" x14ac:dyDescent="0.25">
      <c r="CH2285" t="s">
        <v>1403</v>
      </c>
      <c r="CU2285" t="s">
        <v>4118</v>
      </c>
      <c r="DA2285" t="s">
        <v>4119</v>
      </c>
      <c r="DG2285" t="s">
        <v>4120</v>
      </c>
    </row>
    <row r="2286" spans="1:111" x14ac:dyDescent="0.25">
      <c r="N2286" t="s">
        <v>4108</v>
      </c>
      <c r="AK2286" t="s">
        <v>3957</v>
      </c>
      <c r="AT2286" t="s">
        <v>2440</v>
      </c>
      <c r="BB2286">
        <v>30</v>
      </c>
      <c r="BJ2286" t="s">
        <v>4098</v>
      </c>
      <c r="BW2286" t="s">
        <v>2324</v>
      </c>
      <c r="CH2286" t="s">
        <v>2324</v>
      </c>
      <c r="CU2286" t="s">
        <v>4109</v>
      </c>
      <c r="DA2286" t="s">
        <v>4110</v>
      </c>
      <c r="DG2286" t="s">
        <v>4111</v>
      </c>
    </row>
    <row r="2287" spans="1:111" x14ac:dyDescent="0.25">
      <c r="N2287" t="s">
        <v>4121</v>
      </c>
      <c r="AK2287" t="s">
        <v>3957</v>
      </c>
      <c r="AT2287" t="s">
        <v>2440</v>
      </c>
      <c r="BJ2287" t="s">
        <v>2324</v>
      </c>
      <c r="BW2287">
        <v>49</v>
      </c>
      <c r="CH2287" t="s">
        <v>4114</v>
      </c>
      <c r="CU2287" t="s">
        <v>4122</v>
      </c>
      <c r="DA2287" t="s">
        <v>4123</v>
      </c>
      <c r="DG2287" t="s">
        <v>4124</v>
      </c>
    </row>
    <row r="2288" spans="1:111" x14ac:dyDescent="0.25">
      <c r="CH2288" t="s">
        <v>1403</v>
      </c>
      <c r="CU2288" t="s">
        <v>3961</v>
      </c>
      <c r="DA2288" t="s">
        <v>4125</v>
      </c>
      <c r="DG2288" t="s">
        <v>4126</v>
      </c>
    </row>
    <row r="2289" spans="1:111" x14ac:dyDescent="0.25">
      <c r="A2289" t="s">
        <v>4127</v>
      </c>
    </row>
    <row r="2290" spans="1:111" x14ac:dyDescent="0.25">
      <c r="A2290" t="s">
        <v>3860</v>
      </c>
    </row>
    <row r="2291" spans="1:111" x14ac:dyDescent="0.25">
      <c r="A2291" t="s">
        <v>3861</v>
      </c>
    </row>
    <row r="2292" spans="1:111" x14ac:dyDescent="0.25">
      <c r="A2292" t="s">
        <v>3862</v>
      </c>
      <c r="N2292" t="s">
        <v>3136</v>
      </c>
      <c r="AK2292" t="s">
        <v>3863</v>
      </c>
      <c r="AT2292" t="s">
        <v>3138</v>
      </c>
      <c r="BJ2292" t="s">
        <v>3864</v>
      </c>
      <c r="BW2292" t="s">
        <v>3865</v>
      </c>
      <c r="CH2292" t="s">
        <v>3866</v>
      </c>
      <c r="CU2292" t="s">
        <v>3867</v>
      </c>
      <c r="DA2292" t="s">
        <v>3868</v>
      </c>
    </row>
    <row r="2293" spans="1:111" x14ac:dyDescent="0.25">
      <c r="AK2293" t="s">
        <v>2424</v>
      </c>
      <c r="AT2293" t="s">
        <v>2324</v>
      </c>
      <c r="BJ2293" t="s">
        <v>3148</v>
      </c>
      <c r="BW2293" t="s">
        <v>3147</v>
      </c>
      <c r="CH2293" t="s">
        <v>3148</v>
      </c>
      <c r="CU2293" t="s">
        <v>3150</v>
      </c>
      <c r="DA2293" t="s">
        <v>3150</v>
      </c>
      <c r="DG2293" t="s">
        <v>3151</v>
      </c>
    </row>
    <row r="2294" spans="1:111" x14ac:dyDescent="0.25">
      <c r="N2294" t="s">
        <v>4128</v>
      </c>
      <c r="AK2294" t="s">
        <v>4129</v>
      </c>
      <c r="AT2294" t="s">
        <v>2440</v>
      </c>
      <c r="BB2294">
        <v>32</v>
      </c>
      <c r="BJ2294" t="s">
        <v>4098</v>
      </c>
      <c r="BW2294" t="s">
        <v>2324</v>
      </c>
      <c r="CH2294" t="s">
        <v>2324</v>
      </c>
      <c r="CU2294" t="s">
        <v>4130</v>
      </c>
      <c r="DA2294" t="s">
        <v>4131</v>
      </c>
      <c r="DG2294" t="s">
        <v>4132</v>
      </c>
    </row>
    <row r="2295" spans="1:111" x14ac:dyDescent="0.25">
      <c r="N2295" t="s">
        <v>4133</v>
      </c>
      <c r="AK2295" t="s">
        <v>4134</v>
      </c>
      <c r="AT2295" t="s">
        <v>2440</v>
      </c>
      <c r="BJ2295" t="s">
        <v>4081</v>
      </c>
      <c r="BW2295">
        <v>50</v>
      </c>
      <c r="CH2295" t="s">
        <v>4135</v>
      </c>
      <c r="CU2295" t="s">
        <v>4136</v>
      </c>
      <c r="DA2295" t="s">
        <v>4137</v>
      </c>
      <c r="DG2295" t="s">
        <v>4138</v>
      </c>
    </row>
    <row r="2296" spans="1:111" x14ac:dyDescent="0.25">
      <c r="CH2296" t="s">
        <v>1403</v>
      </c>
      <c r="CU2296" t="s">
        <v>4139</v>
      </c>
      <c r="DA2296" t="s">
        <v>4140</v>
      </c>
      <c r="DG2296" t="s">
        <v>4141</v>
      </c>
    </row>
    <row r="2297" spans="1:111" x14ac:dyDescent="0.25">
      <c r="N2297" t="s">
        <v>4128</v>
      </c>
      <c r="AK2297" t="s">
        <v>4129</v>
      </c>
      <c r="AT2297" t="s">
        <v>2440</v>
      </c>
      <c r="BB2297">
        <v>32</v>
      </c>
      <c r="BJ2297" t="s">
        <v>4098</v>
      </c>
      <c r="BW2297" t="s">
        <v>2324</v>
      </c>
      <c r="CH2297" t="s">
        <v>2324</v>
      </c>
      <c r="CU2297" t="s">
        <v>4130</v>
      </c>
      <c r="DA2297" t="s">
        <v>4131</v>
      </c>
      <c r="DG2297" t="s">
        <v>4132</v>
      </c>
    </row>
    <row r="2298" spans="1:111" x14ac:dyDescent="0.25">
      <c r="N2298" t="s">
        <v>4142</v>
      </c>
      <c r="AK2298" t="s">
        <v>4143</v>
      </c>
      <c r="AT2298" t="s">
        <v>2440</v>
      </c>
      <c r="BJ2298" t="s">
        <v>4081</v>
      </c>
      <c r="BW2298">
        <v>51</v>
      </c>
      <c r="CH2298" t="s">
        <v>4135</v>
      </c>
      <c r="CU2298" t="s">
        <v>4144</v>
      </c>
      <c r="DA2298" t="s">
        <v>4145</v>
      </c>
      <c r="DG2298" t="s">
        <v>4146</v>
      </c>
    </row>
    <row r="2299" spans="1:111" x14ac:dyDescent="0.25">
      <c r="CH2299" t="s">
        <v>1403</v>
      </c>
      <c r="CU2299" t="s">
        <v>4147</v>
      </c>
      <c r="DA2299" t="s">
        <v>4148</v>
      </c>
      <c r="DG2299" t="s">
        <v>4149</v>
      </c>
    </row>
    <row r="2300" spans="1:111" x14ac:dyDescent="0.25">
      <c r="N2300" t="s">
        <v>4128</v>
      </c>
      <c r="AK2300" t="s">
        <v>4129</v>
      </c>
      <c r="AT2300" t="s">
        <v>2440</v>
      </c>
      <c r="BB2300">
        <v>32</v>
      </c>
      <c r="BJ2300" t="s">
        <v>4098</v>
      </c>
      <c r="BW2300" t="s">
        <v>2324</v>
      </c>
      <c r="CH2300" t="s">
        <v>2324</v>
      </c>
      <c r="CU2300" t="s">
        <v>4130</v>
      </c>
      <c r="DA2300" t="s">
        <v>4131</v>
      </c>
      <c r="DG2300" t="s">
        <v>4132</v>
      </c>
    </row>
    <row r="2301" spans="1:111" x14ac:dyDescent="0.25">
      <c r="N2301" t="s">
        <v>4150</v>
      </c>
      <c r="AK2301" t="s">
        <v>4129</v>
      </c>
      <c r="AT2301" t="s">
        <v>2440</v>
      </c>
      <c r="BJ2301" t="s">
        <v>4081</v>
      </c>
      <c r="BW2301">
        <v>55</v>
      </c>
      <c r="CH2301" t="s">
        <v>4135</v>
      </c>
      <c r="CU2301" t="s">
        <v>3213</v>
      </c>
      <c r="DA2301" t="s">
        <v>4151</v>
      </c>
      <c r="DG2301" t="s">
        <v>4152</v>
      </c>
    </row>
    <row r="2302" spans="1:111" x14ac:dyDescent="0.25">
      <c r="CH2302" t="s">
        <v>1403</v>
      </c>
      <c r="CU2302" t="s">
        <v>4153</v>
      </c>
      <c r="DA2302" t="s">
        <v>4154</v>
      </c>
      <c r="DG2302" t="s">
        <v>4155</v>
      </c>
    </row>
    <row r="2303" spans="1:111" x14ac:dyDescent="0.25">
      <c r="A2303" t="s">
        <v>4156</v>
      </c>
    </row>
    <row r="2304" spans="1:111" x14ac:dyDescent="0.25">
      <c r="N2304" t="s">
        <v>4157</v>
      </c>
      <c r="AK2304" t="s">
        <v>3957</v>
      </c>
      <c r="AT2304" t="s">
        <v>2440</v>
      </c>
      <c r="BB2304">
        <v>32</v>
      </c>
      <c r="BJ2304" t="s">
        <v>4158</v>
      </c>
      <c r="BW2304" t="s">
        <v>2324</v>
      </c>
      <c r="CH2304" t="s">
        <v>2324</v>
      </c>
      <c r="CU2304" t="s">
        <v>4159</v>
      </c>
      <c r="DA2304" t="s">
        <v>4160</v>
      </c>
      <c r="DG2304" t="s">
        <v>4161</v>
      </c>
    </row>
    <row r="2305" spans="1:111" x14ac:dyDescent="0.25">
      <c r="N2305" t="s">
        <v>4102</v>
      </c>
      <c r="AK2305" t="s">
        <v>4097</v>
      </c>
      <c r="AT2305" t="s">
        <v>2440</v>
      </c>
      <c r="BJ2305" t="s">
        <v>2324</v>
      </c>
      <c r="BW2305">
        <v>45</v>
      </c>
      <c r="CH2305" t="s">
        <v>4103</v>
      </c>
      <c r="CU2305">
        <v>962</v>
      </c>
      <c r="DA2305" t="s">
        <v>4104</v>
      </c>
      <c r="DG2305" t="s">
        <v>4105</v>
      </c>
    </row>
    <row r="2306" spans="1:111" x14ac:dyDescent="0.25">
      <c r="CH2306" t="s">
        <v>1403</v>
      </c>
      <c r="CU2306" t="s">
        <v>4162</v>
      </c>
      <c r="DA2306" t="s">
        <v>4163</v>
      </c>
      <c r="DG2306" t="s">
        <v>4164</v>
      </c>
    </row>
    <row r="2307" spans="1:111" x14ac:dyDescent="0.25">
      <c r="N2307" t="s">
        <v>4165</v>
      </c>
      <c r="AK2307" t="s">
        <v>3957</v>
      </c>
      <c r="AT2307" t="s">
        <v>2440</v>
      </c>
      <c r="BB2307">
        <v>32</v>
      </c>
      <c r="BJ2307" t="s">
        <v>4158</v>
      </c>
      <c r="BW2307" t="s">
        <v>2324</v>
      </c>
      <c r="CH2307" t="s">
        <v>2324</v>
      </c>
      <c r="CU2307" t="s">
        <v>4166</v>
      </c>
      <c r="DA2307" t="s">
        <v>4167</v>
      </c>
      <c r="DG2307" t="s">
        <v>4168</v>
      </c>
    </row>
    <row r="2308" spans="1:111" x14ac:dyDescent="0.25">
      <c r="N2308" t="s">
        <v>4112</v>
      </c>
      <c r="AK2308" t="s">
        <v>4113</v>
      </c>
      <c r="AT2308" t="s">
        <v>2440</v>
      </c>
      <c r="BJ2308" t="s">
        <v>2324</v>
      </c>
      <c r="BW2308">
        <v>46</v>
      </c>
      <c r="CH2308" t="s">
        <v>4114</v>
      </c>
      <c r="CU2308" t="s">
        <v>4115</v>
      </c>
      <c r="DA2308" t="s">
        <v>4116</v>
      </c>
      <c r="DG2308" t="s">
        <v>4117</v>
      </c>
    </row>
    <row r="2309" spans="1:111" x14ac:dyDescent="0.25">
      <c r="CH2309" t="s">
        <v>1403</v>
      </c>
      <c r="CU2309" t="s">
        <v>4169</v>
      </c>
      <c r="DA2309" t="s">
        <v>4170</v>
      </c>
      <c r="DG2309" t="s">
        <v>4171</v>
      </c>
    </row>
    <row r="2310" spans="1:111" x14ac:dyDescent="0.25">
      <c r="N2310" t="s">
        <v>4165</v>
      </c>
      <c r="AK2310" t="s">
        <v>3957</v>
      </c>
      <c r="AT2310" t="s">
        <v>2440</v>
      </c>
      <c r="BB2310">
        <v>32</v>
      </c>
      <c r="BJ2310" t="s">
        <v>4158</v>
      </c>
      <c r="BW2310" t="s">
        <v>2324</v>
      </c>
      <c r="CH2310" t="s">
        <v>2324</v>
      </c>
      <c r="CU2310" t="s">
        <v>4166</v>
      </c>
      <c r="DA2310" t="s">
        <v>4167</v>
      </c>
      <c r="DG2310" t="s">
        <v>4168</v>
      </c>
    </row>
    <row r="2311" spans="1:111" x14ac:dyDescent="0.25">
      <c r="N2311" t="s">
        <v>4121</v>
      </c>
      <c r="AK2311" t="s">
        <v>3957</v>
      </c>
      <c r="AT2311" t="s">
        <v>2440</v>
      </c>
      <c r="BJ2311" t="s">
        <v>2324</v>
      </c>
      <c r="BW2311">
        <v>49</v>
      </c>
      <c r="CH2311" t="s">
        <v>4114</v>
      </c>
      <c r="CU2311" t="s">
        <v>4122</v>
      </c>
      <c r="DA2311" t="s">
        <v>4123</v>
      </c>
      <c r="DG2311" t="s">
        <v>4124</v>
      </c>
    </row>
    <row r="2312" spans="1:111" x14ac:dyDescent="0.25">
      <c r="CH2312" t="s">
        <v>1403</v>
      </c>
      <c r="CU2312" t="s">
        <v>4172</v>
      </c>
      <c r="DA2312" t="s">
        <v>4173</v>
      </c>
      <c r="DG2312" t="s">
        <v>4174</v>
      </c>
    </row>
    <row r="2313" spans="1:111" x14ac:dyDescent="0.25">
      <c r="N2313" t="s">
        <v>4175</v>
      </c>
      <c r="AK2313" t="s">
        <v>4129</v>
      </c>
      <c r="AT2313" t="s">
        <v>2440</v>
      </c>
      <c r="BB2313">
        <v>32</v>
      </c>
      <c r="BJ2313" t="s">
        <v>4176</v>
      </c>
      <c r="BW2313" t="s">
        <v>2324</v>
      </c>
      <c r="CH2313" t="s">
        <v>2324</v>
      </c>
      <c r="CU2313" t="s">
        <v>4177</v>
      </c>
      <c r="DA2313" t="s">
        <v>4178</v>
      </c>
      <c r="DG2313" t="s">
        <v>4179</v>
      </c>
    </row>
    <row r="2314" spans="1:111" x14ac:dyDescent="0.25">
      <c r="N2314" t="s">
        <v>4133</v>
      </c>
      <c r="AK2314" t="s">
        <v>4134</v>
      </c>
      <c r="AT2314" t="s">
        <v>2440</v>
      </c>
      <c r="BJ2314" t="s">
        <v>4081</v>
      </c>
      <c r="BW2314">
        <v>50</v>
      </c>
      <c r="CH2314" t="s">
        <v>4135</v>
      </c>
      <c r="CU2314" t="s">
        <v>4136</v>
      </c>
      <c r="DA2314" t="s">
        <v>4137</v>
      </c>
      <c r="DG2314" t="s">
        <v>4138</v>
      </c>
    </row>
    <row r="2315" spans="1:111" x14ac:dyDescent="0.25">
      <c r="CH2315" t="s">
        <v>1403</v>
      </c>
      <c r="CU2315" t="s">
        <v>4180</v>
      </c>
      <c r="DA2315" t="s">
        <v>4181</v>
      </c>
      <c r="DG2315" t="s">
        <v>4182</v>
      </c>
    </row>
    <row r="2316" spans="1:111" x14ac:dyDescent="0.25">
      <c r="A2316" t="s">
        <v>4183</v>
      </c>
    </row>
    <row r="2317" spans="1:111" x14ac:dyDescent="0.25">
      <c r="A2317" t="s">
        <v>3860</v>
      </c>
    </row>
    <row r="2318" spans="1:111" x14ac:dyDescent="0.25">
      <c r="A2318" t="s">
        <v>3861</v>
      </c>
    </row>
    <row r="2319" spans="1:111" x14ac:dyDescent="0.25">
      <c r="A2319" t="s">
        <v>3862</v>
      </c>
      <c r="N2319" t="s">
        <v>3136</v>
      </c>
      <c r="AK2319" t="s">
        <v>3863</v>
      </c>
      <c r="AT2319" t="s">
        <v>3138</v>
      </c>
      <c r="BJ2319" t="s">
        <v>3864</v>
      </c>
      <c r="BW2319" t="s">
        <v>3865</v>
      </c>
      <c r="CH2319" t="s">
        <v>3866</v>
      </c>
      <c r="CU2319" t="s">
        <v>3867</v>
      </c>
      <c r="DA2319" t="s">
        <v>3868</v>
      </c>
    </row>
    <row r="2320" spans="1:111" x14ac:dyDescent="0.25">
      <c r="AK2320" t="s">
        <v>2424</v>
      </c>
      <c r="AT2320" t="s">
        <v>2324</v>
      </c>
      <c r="BJ2320" t="s">
        <v>3148</v>
      </c>
      <c r="BW2320" t="s">
        <v>3147</v>
      </c>
      <c r="CH2320" t="s">
        <v>3148</v>
      </c>
      <c r="CU2320" t="s">
        <v>3150</v>
      </c>
      <c r="DA2320" t="s">
        <v>3150</v>
      </c>
      <c r="DG2320" t="s">
        <v>3151</v>
      </c>
    </row>
    <row r="2321" spans="1:111" x14ac:dyDescent="0.25">
      <c r="N2321" t="s">
        <v>4175</v>
      </c>
      <c r="AK2321" t="s">
        <v>4129</v>
      </c>
      <c r="AT2321" t="s">
        <v>2440</v>
      </c>
      <c r="BB2321">
        <v>32</v>
      </c>
      <c r="BJ2321" t="s">
        <v>4176</v>
      </c>
      <c r="BW2321" t="s">
        <v>2324</v>
      </c>
      <c r="CH2321" t="s">
        <v>2324</v>
      </c>
      <c r="CU2321" t="s">
        <v>4177</v>
      </c>
      <c r="DA2321" t="s">
        <v>4178</v>
      </c>
      <c r="DG2321" t="s">
        <v>4179</v>
      </c>
    </row>
    <row r="2322" spans="1:111" x14ac:dyDescent="0.25">
      <c r="N2322" t="s">
        <v>4142</v>
      </c>
      <c r="AK2322" t="s">
        <v>4143</v>
      </c>
      <c r="AT2322" t="s">
        <v>2440</v>
      </c>
      <c r="BJ2322" t="s">
        <v>4081</v>
      </c>
      <c r="BW2322">
        <v>51</v>
      </c>
      <c r="CH2322" t="s">
        <v>4135</v>
      </c>
      <c r="CU2322" t="s">
        <v>4144</v>
      </c>
      <c r="DA2322" t="s">
        <v>4145</v>
      </c>
      <c r="DG2322" t="s">
        <v>4146</v>
      </c>
    </row>
    <row r="2323" spans="1:111" x14ac:dyDescent="0.25">
      <c r="CH2323" t="s">
        <v>1403</v>
      </c>
      <c r="CU2323" t="s">
        <v>4184</v>
      </c>
      <c r="DA2323" t="s">
        <v>4185</v>
      </c>
      <c r="DG2323" t="s">
        <v>4186</v>
      </c>
    </row>
    <row r="2324" spans="1:111" x14ac:dyDescent="0.25">
      <c r="N2324" t="s">
        <v>4175</v>
      </c>
      <c r="AK2324" t="s">
        <v>4129</v>
      </c>
      <c r="AT2324" t="s">
        <v>2440</v>
      </c>
      <c r="BB2324">
        <v>32</v>
      </c>
      <c r="BJ2324" t="s">
        <v>4176</v>
      </c>
      <c r="BW2324" t="s">
        <v>2324</v>
      </c>
      <c r="CH2324" t="s">
        <v>2324</v>
      </c>
      <c r="CU2324" t="s">
        <v>4177</v>
      </c>
      <c r="DA2324" t="s">
        <v>4178</v>
      </c>
      <c r="DG2324" t="s">
        <v>4179</v>
      </c>
    </row>
    <row r="2325" spans="1:111" x14ac:dyDescent="0.25">
      <c r="N2325" t="s">
        <v>4150</v>
      </c>
      <c r="AK2325" t="s">
        <v>4129</v>
      </c>
      <c r="AT2325" t="s">
        <v>2440</v>
      </c>
      <c r="BJ2325" t="s">
        <v>4081</v>
      </c>
      <c r="BW2325">
        <v>55</v>
      </c>
      <c r="CH2325" t="s">
        <v>4135</v>
      </c>
      <c r="CU2325" t="s">
        <v>3213</v>
      </c>
      <c r="DA2325" t="s">
        <v>4151</v>
      </c>
      <c r="DG2325" t="s">
        <v>4152</v>
      </c>
    </row>
    <row r="2326" spans="1:111" x14ac:dyDescent="0.25">
      <c r="CH2326" t="s">
        <v>1403</v>
      </c>
      <c r="CU2326" t="s">
        <v>4187</v>
      </c>
      <c r="DA2326" t="s">
        <v>4188</v>
      </c>
      <c r="DG2326" t="s">
        <v>4189</v>
      </c>
    </row>
    <row r="2327" spans="1:111" x14ac:dyDescent="0.25">
      <c r="A2327" t="s">
        <v>4190</v>
      </c>
    </row>
    <row r="2328" spans="1:111" x14ac:dyDescent="0.25">
      <c r="N2328" t="s">
        <v>4191</v>
      </c>
      <c r="AK2328" t="s">
        <v>4192</v>
      </c>
      <c r="AT2328" t="s">
        <v>2440</v>
      </c>
      <c r="BJ2328" t="s">
        <v>4081</v>
      </c>
      <c r="BW2328">
        <v>47</v>
      </c>
      <c r="CH2328" t="s">
        <v>4193</v>
      </c>
      <c r="CU2328" t="s">
        <v>4194</v>
      </c>
      <c r="DA2328" t="s">
        <v>4195</v>
      </c>
      <c r="DG2328" t="s">
        <v>4196</v>
      </c>
    </row>
    <row r="2329" spans="1:111" x14ac:dyDescent="0.25">
      <c r="N2329" t="s">
        <v>4197</v>
      </c>
      <c r="AK2329" t="s">
        <v>4198</v>
      </c>
      <c r="AT2329" t="s">
        <v>2440</v>
      </c>
      <c r="BJ2329" t="s">
        <v>4081</v>
      </c>
      <c r="BW2329">
        <v>48</v>
      </c>
      <c r="CH2329" t="s">
        <v>4199</v>
      </c>
      <c r="CU2329" t="s">
        <v>4200</v>
      </c>
      <c r="DA2329" t="s">
        <v>4201</v>
      </c>
      <c r="DG2329" t="s">
        <v>4202</v>
      </c>
    </row>
    <row r="2330" spans="1:111" x14ac:dyDescent="0.25">
      <c r="N2330" t="s">
        <v>4203</v>
      </c>
      <c r="AK2330" t="s">
        <v>4204</v>
      </c>
      <c r="AT2330" t="s">
        <v>2440</v>
      </c>
      <c r="BJ2330" t="s">
        <v>4081</v>
      </c>
      <c r="BW2330">
        <v>49</v>
      </c>
      <c r="CH2330" t="s">
        <v>4199</v>
      </c>
      <c r="CU2330" t="s">
        <v>4205</v>
      </c>
      <c r="DA2330" t="s">
        <v>4206</v>
      </c>
      <c r="DG2330" t="s">
        <v>4207</v>
      </c>
    </row>
    <row r="2331" spans="1:111" x14ac:dyDescent="0.25">
      <c r="N2331" t="s">
        <v>4208</v>
      </c>
      <c r="AK2331" t="s">
        <v>4134</v>
      </c>
      <c r="AT2331" t="s">
        <v>2440</v>
      </c>
      <c r="BJ2331" t="s">
        <v>4081</v>
      </c>
      <c r="BW2331">
        <v>54</v>
      </c>
      <c r="CH2331" t="s">
        <v>4209</v>
      </c>
      <c r="CU2331" t="s">
        <v>4210</v>
      </c>
      <c r="DA2331" t="s">
        <v>4211</v>
      </c>
      <c r="DG2331" t="s">
        <v>4212</v>
      </c>
    </row>
    <row r="2332" spans="1:111" x14ac:dyDescent="0.25">
      <c r="N2332" t="s">
        <v>4213</v>
      </c>
      <c r="AK2332" t="s">
        <v>4143</v>
      </c>
      <c r="AT2332" t="s">
        <v>2440</v>
      </c>
      <c r="BJ2332" t="s">
        <v>4081</v>
      </c>
      <c r="BW2332">
        <v>54</v>
      </c>
      <c r="CH2332" t="s">
        <v>4209</v>
      </c>
      <c r="CU2332" t="s">
        <v>4214</v>
      </c>
      <c r="DA2332" t="s">
        <v>4215</v>
      </c>
      <c r="DG2332" t="s">
        <v>4216</v>
      </c>
    </row>
    <row r="2333" spans="1:111" x14ac:dyDescent="0.25">
      <c r="N2333" t="s">
        <v>4217</v>
      </c>
      <c r="AK2333" t="s">
        <v>4218</v>
      </c>
      <c r="AT2333" t="s">
        <v>2440</v>
      </c>
      <c r="BJ2333" t="s">
        <v>4081</v>
      </c>
      <c r="BW2333">
        <v>57</v>
      </c>
      <c r="CH2333" t="s">
        <v>4209</v>
      </c>
      <c r="CU2333" t="s">
        <v>4219</v>
      </c>
      <c r="DA2333" t="s">
        <v>4220</v>
      </c>
      <c r="DG2333" t="s">
        <v>4221</v>
      </c>
    </row>
    <row r="2334" spans="1:111" x14ac:dyDescent="0.25">
      <c r="N2334" t="s">
        <v>4222</v>
      </c>
      <c r="AK2334" t="s">
        <v>4223</v>
      </c>
      <c r="AT2334" t="s">
        <v>2440</v>
      </c>
      <c r="BJ2334" t="s">
        <v>4081</v>
      </c>
      <c r="BW2334">
        <v>60</v>
      </c>
      <c r="CH2334" t="s">
        <v>4224</v>
      </c>
      <c r="CU2334" t="s">
        <v>4225</v>
      </c>
      <c r="DA2334" t="s">
        <v>4226</v>
      </c>
      <c r="DG2334" t="s">
        <v>4227</v>
      </c>
    </row>
    <row r="2335" spans="1:111" x14ac:dyDescent="0.25">
      <c r="N2335" t="s">
        <v>4228</v>
      </c>
      <c r="AK2335" t="s">
        <v>4229</v>
      </c>
      <c r="AT2335" t="s">
        <v>2440</v>
      </c>
      <c r="BJ2335" t="s">
        <v>4081</v>
      </c>
      <c r="BW2335">
        <v>62</v>
      </c>
      <c r="CH2335" t="s">
        <v>4224</v>
      </c>
      <c r="CU2335" t="s">
        <v>4230</v>
      </c>
      <c r="DA2335" t="s">
        <v>4231</v>
      </c>
      <c r="DG2335" t="s">
        <v>4232</v>
      </c>
    </row>
    <row r="2336" spans="1:111" x14ac:dyDescent="0.25">
      <c r="N2336" t="s">
        <v>4233</v>
      </c>
      <c r="AK2336" t="s">
        <v>4234</v>
      </c>
      <c r="AT2336" t="s">
        <v>2440</v>
      </c>
      <c r="BJ2336" t="s">
        <v>4081</v>
      </c>
      <c r="BW2336">
        <v>64</v>
      </c>
      <c r="CH2336" t="s">
        <v>4224</v>
      </c>
      <c r="CU2336" t="s">
        <v>4235</v>
      </c>
      <c r="DA2336" t="s">
        <v>4236</v>
      </c>
      <c r="DG2336" t="s">
        <v>4237</v>
      </c>
    </row>
    <row r="2337" spans="1:111" x14ac:dyDescent="0.25">
      <c r="N2337" t="s">
        <v>4238</v>
      </c>
      <c r="AK2337" t="s">
        <v>4239</v>
      </c>
      <c r="AT2337" t="s">
        <v>2440</v>
      </c>
      <c r="BJ2337" t="s">
        <v>4081</v>
      </c>
      <c r="BW2337">
        <v>66</v>
      </c>
      <c r="CH2337" t="s">
        <v>4224</v>
      </c>
      <c r="CU2337" t="s">
        <v>4240</v>
      </c>
      <c r="DA2337" t="s">
        <v>4241</v>
      </c>
      <c r="DG2337" t="s">
        <v>4242</v>
      </c>
    </row>
    <row r="2338" spans="1:111" x14ac:dyDescent="0.25">
      <c r="N2338" t="s">
        <v>4243</v>
      </c>
      <c r="AK2338" t="s">
        <v>4244</v>
      </c>
      <c r="AT2338" t="s">
        <v>2440</v>
      </c>
      <c r="BJ2338" t="s">
        <v>4081</v>
      </c>
      <c r="BW2338">
        <v>64</v>
      </c>
      <c r="CH2338" t="s">
        <v>4245</v>
      </c>
      <c r="CU2338" t="s">
        <v>4246</v>
      </c>
      <c r="DA2338" t="s">
        <v>4247</v>
      </c>
      <c r="DG2338" t="s">
        <v>4248</v>
      </c>
    </row>
    <row r="2339" spans="1:111" x14ac:dyDescent="0.25">
      <c r="N2339" t="s">
        <v>4249</v>
      </c>
      <c r="AK2339" t="s">
        <v>4250</v>
      </c>
      <c r="AT2339" t="s">
        <v>2440</v>
      </c>
      <c r="BJ2339" t="s">
        <v>4081</v>
      </c>
      <c r="BW2339">
        <v>69</v>
      </c>
      <c r="CH2339" t="s">
        <v>4245</v>
      </c>
      <c r="CU2339" t="s">
        <v>4251</v>
      </c>
      <c r="DA2339" t="s">
        <v>4252</v>
      </c>
      <c r="DG2339" t="s">
        <v>4253</v>
      </c>
    </row>
    <row r="2340" spans="1:111" x14ac:dyDescent="0.25">
      <c r="N2340" t="s">
        <v>4254</v>
      </c>
      <c r="AK2340" t="s">
        <v>4255</v>
      </c>
      <c r="AT2340" t="s">
        <v>2440</v>
      </c>
      <c r="BJ2340" t="s">
        <v>4081</v>
      </c>
      <c r="BW2340">
        <v>64</v>
      </c>
      <c r="CH2340" t="s">
        <v>4256</v>
      </c>
      <c r="CU2340" t="s">
        <v>4257</v>
      </c>
      <c r="DA2340" t="s">
        <v>4258</v>
      </c>
      <c r="DG2340" t="s">
        <v>4259</v>
      </c>
    </row>
    <row r="2341" spans="1:111" x14ac:dyDescent="0.25">
      <c r="N2341" t="s">
        <v>4260</v>
      </c>
      <c r="AK2341" t="s">
        <v>4261</v>
      </c>
      <c r="AT2341" t="s">
        <v>2440</v>
      </c>
      <c r="BJ2341" t="s">
        <v>4081</v>
      </c>
      <c r="BW2341">
        <v>73</v>
      </c>
      <c r="CH2341" t="s">
        <v>4256</v>
      </c>
      <c r="CU2341" t="s">
        <v>4262</v>
      </c>
      <c r="DA2341" t="s">
        <v>4263</v>
      </c>
      <c r="DG2341" t="s">
        <v>4264</v>
      </c>
    </row>
    <row r="2342" spans="1:111" x14ac:dyDescent="0.25">
      <c r="N2342" t="s">
        <v>4265</v>
      </c>
      <c r="AK2342" t="s">
        <v>4266</v>
      </c>
      <c r="AT2342" t="s">
        <v>2440</v>
      </c>
      <c r="BJ2342" t="s">
        <v>4081</v>
      </c>
      <c r="BW2342">
        <v>64</v>
      </c>
      <c r="CH2342" t="s">
        <v>4267</v>
      </c>
      <c r="CU2342" t="s">
        <v>4268</v>
      </c>
      <c r="DA2342" t="s">
        <v>4269</v>
      </c>
      <c r="DG2342" t="s">
        <v>4270</v>
      </c>
    </row>
    <row r="2343" spans="1:111" x14ac:dyDescent="0.25">
      <c r="N2343" t="s">
        <v>4271</v>
      </c>
      <c r="AK2343" t="s">
        <v>4272</v>
      </c>
      <c r="AT2343" t="s">
        <v>2440</v>
      </c>
      <c r="BJ2343" t="s">
        <v>4081</v>
      </c>
      <c r="BW2343">
        <v>69</v>
      </c>
      <c r="CH2343" t="s">
        <v>4267</v>
      </c>
      <c r="CU2343" t="s">
        <v>4273</v>
      </c>
      <c r="DA2343" t="s">
        <v>4274</v>
      </c>
      <c r="DG2343" t="s">
        <v>4275</v>
      </c>
    </row>
    <row r="2344" spans="1:111" x14ac:dyDescent="0.25">
      <c r="N2344" t="s">
        <v>4276</v>
      </c>
      <c r="AK2344" t="s">
        <v>4277</v>
      </c>
      <c r="AT2344" t="s">
        <v>2440</v>
      </c>
      <c r="BJ2344" t="s">
        <v>4081</v>
      </c>
      <c r="BW2344">
        <v>64</v>
      </c>
      <c r="CH2344" t="s">
        <v>4278</v>
      </c>
      <c r="CU2344" t="s">
        <v>4279</v>
      </c>
      <c r="DA2344" t="s">
        <v>4280</v>
      </c>
      <c r="DG2344" t="s">
        <v>4281</v>
      </c>
    </row>
    <row r="2345" spans="1:111" x14ac:dyDescent="0.25">
      <c r="N2345" t="s">
        <v>4282</v>
      </c>
      <c r="AK2345" t="s">
        <v>4283</v>
      </c>
      <c r="AT2345" t="s">
        <v>2440</v>
      </c>
      <c r="BJ2345" t="s">
        <v>4081</v>
      </c>
      <c r="BW2345">
        <v>73</v>
      </c>
      <c r="CH2345" t="s">
        <v>4278</v>
      </c>
      <c r="CU2345" t="s">
        <v>4284</v>
      </c>
      <c r="DA2345" t="s">
        <v>4285</v>
      </c>
      <c r="DG2345" t="s">
        <v>4286</v>
      </c>
    </row>
    <row r="2346" spans="1:111" x14ac:dyDescent="0.25">
      <c r="A2346" t="s">
        <v>4287</v>
      </c>
    </row>
    <row r="2347" spans="1:111" x14ac:dyDescent="0.25">
      <c r="A2347" t="s">
        <v>3860</v>
      </c>
    </row>
    <row r="2348" spans="1:111" x14ac:dyDescent="0.25">
      <c r="A2348" t="s">
        <v>3861</v>
      </c>
    </row>
    <row r="2349" spans="1:111" x14ac:dyDescent="0.25">
      <c r="A2349" t="s">
        <v>3862</v>
      </c>
      <c r="N2349" t="s">
        <v>3136</v>
      </c>
      <c r="AK2349" t="s">
        <v>3863</v>
      </c>
      <c r="AT2349" t="s">
        <v>3138</v>
      </c>
      <c r="BJ2349" t="s">
        <v>3864</v>
      </c>
      <c r="BW2349" t="s">
        <v>3865</v>
      </c>
      <c r="CH2349" t="s">
        <v>3866</v>
      </c>
      <c r="CU2349" t="s">
        <v>3867</v>
      </c>
      <c r="DA2349" t="s">
        <v>3868</v>
      </c>
    </row>
    <row r="2350" spans="1:111" x14ac:dyDescent="0.25">
      <c r="AK2350" t="s">
        <v>2424</v>
      </c>
      <c r="AT2350" t="s">
        <v>2324</v>
      </c>
      <c r="BJ2350" t="s">
        <v>3148</v>
      </c>
      <c r="BW2350" t="s">
        <v>3147</v>
      </c>
      <c r="CH2350" t="s">
        <v>3148</v>
      </c>
      <c r="CU2350" t="s">
        <v>3150</v>
      </c>
      <c r="DA2350" t="s">
        <v>3150</v>
      </c>
      <c r="DG2350" t="s">
        <v>3151</v>
      </c>
    </row>
    <row r="2351" spans="1:111" x14ac:dyDescent="0.25">
      <c r="A2351" t="s">
        <v>4288</v>
      </c>
    </row>
    <row r="2352" spans="1:111" x14ac:dyDescent="0.25">
      <c r="A2352" t="s">
        <v>4289</v>
      </c>
    </row>
    <row r="2353" spans="1:111" x14ac:dyDescent="0.25">
      <c r="N2353" t="s">
        <v>4290</v>
      </c>
      <c r="AK2353" t="s">
        <v>4291</v>
      </c>
      <c r="AT2353" t="s">
        <v>4292</v>
      </c>
      <c r="BB2353">
        <v>36</v>
      </c>
      <c r="BJ2353" t="s">
        <v>4293</v>
      </c>
      <c r="BW2353" t="s">
        <v>4294</v>
      </c>
      <c r="CH2353" t="s">
        <v>4295</v>
      </c>
      <c r="CU2353" t="s">
        <v>3625</v>
      </c>
      <c r="DA2353" t="s">
        <v>4296</v>
      </c>
      <c r="DG2353" t="s">
        <v>4297</v>
      </c>
    </row>
    <row r="2354" spans="1:111" x14ac:dyDescent="0.25">
      <c r="N2354" t="s">
        <v>4298</v>
      </c>
      <c r="AK2354" t="s">
        <v>4299</v>
      </c>
      <c r="AT2354" t="s">
        <v>4292</v>
      </c>
      <c r="BB2354">
        <v>38</v>
      </c>
      <c r="BJ2354" t="s">
        <v>4300</v>
      </c>
      <c r="BW2354" t="s">
        <v>4294</v>
      </c>
      <c r="CH2354" t="s">
        <v>4301</v>
      </c>
      <c r="CU2354" t="s">
        <v>4104</v>
      </c>
      <c r="DA2354" t="s">
        <v>4302</v>
      </c>
      <c r="DG2354" t="s">
        <v>4303</v>
      </c>
    </row>
    <row r="2355" spans="1:111" x14ac:dyDescent="0.25">
      <c r="N2355" t="s">
        <v>4304</v>
      </c>
      <c r="AK2355" t="s">
        <v>4291</v>
      </c>
      <c r="AT2355" t="s">
        <v>4292</v>
      </c>
      <c r="BB2355">
        <v>36</v>
      </c>
      <c r="BJ2355" t="s">
        <v>4293</v>
      </c>
      <c r="BW2355" t="s">
        <v>4294</v>
      </c>
      <c r="CH2355" t="s">
        <v>4305</v>
      </c>
      <c r="CU2355" t="s">
        <v>4306</v>
      </c>
      <c r="DA2355" t="s">
        <v>4307</v>
      </c>
      <c r="DG2355" t="s">
        <v>4308</v>
      </c>
    </row>
    <row r="2356" spans="1:111" x14ac:dyDescent="0.25">
      <c r="N2356" t="s">
        <v>4309</v>
      </c>
      <c r="AK2356" t="s">
        <v>4299</v>
      </c>
      <c r="AT2356" t="s">
        <v>4292</v>
      </c>
      <c r="BB2356">
        <v>38</v>
      </c>
      <c r="BJ2356" t="s">
        <v>4300</v>
      </c>
      <c r="BW2356" t="s">
        <v>4294</v>
      </c>
      <c r="CH2356" t="s">
        <v>4310</v>
      </c>
      <c r="CU2356" t="s">
        <v>4311</v>
      </c>
      <c r="DA2356" t="s">
        <v>4312</v>
      </c>
      <c r="DG2356" t="s">
        <v>4313</v>
      </c>
    </row>
    <row r="2357" spans="1:111" x14ac:dyDescent="0.25">
      <c r="A2357" t="s">
        <v>4314</v>
      </c>
    </row>
    <row r="2358" spans="1:111" x14ac:dyDescent="0.25">
      <c r="N2358" t="s">
        <v>4315</v>
      </c>
      <c r="AK2358" t="s">
        <v>4316</v>
      </c>
      <c r="AT2358" t="s">
        <v>3640</v>
      </c>
      <c r="BJ2358" t="s">
        <v>2324</v>
      </c>
      <c r="BW2358">
        <v>63</v>
      </c>
      <c r="CH2358" t="s">
        <v>4317</v>
      </c>
      <c r="CU2358">
        <v>624</v>
      </c>
      <c r="DA2358">
        <v>838</v>
      </c>
      <c r="DG2358" t="s">
        <v>4318</v>
      </c>
    </row>
    <row r="2359" spans="1:111" x14ac:dyDescent="0.25">
      <c r="N2359" t="s">
        <v>4319</v>
      </c>
      <c r="AK2359" t="s">
        <v>4316</v>
      </c>
      <c r="AT2359" t="s">
        <v>3640</v>
      </c>
      <c r="BJ2359">
        <v>0</v>
      </c>
      <c r="BW2359">
        <v>63</v>
      </c>
      <c r="CH2359" t="s">
        <v>4317</v>
      </c>
      <c r="CU2359">
        <v>678</v>
      </c>
      <c r="DA2359">
        <v>910</v>
      </c>
      <c r="DG2359" t="s">
        <v>4320</v>
      </c>
    </row>
    <row r="2360" spans="1:111" x14ac:dyDescent="0.25">
      <c r="CH2360" t="s">
        <v>1403</v>
      </c>
      <c r="CU2360" t="s">
        <v>4321</v>
      </c>
      <c r="DA2360" t="s">
        <v>4322</v>
      </c>
      <c r="DG2360" t="s">
        <v>4323</v>
      </c>
    </row>
    <row r="2361" spans="1:111" x14ac:dyDescent="0.25">
      <c r="A2361" t="s">
        <v>4324</v>
      </c>
    </row>
    <row r="2362" spans="1:111" x14ac:dyDescent="0.25">
      <c r="N2362" t="s">
        <v>4325</v>
      </c>
      <c r="AK2362" t="s">
        <v>4326</v>
      </c>
      <c r="AT2362" t="s">
        <v>4327</v>
      </c>
      <c r="CH2362" t="s">
        <v>4328</v>
      </c>
      <c r="CU2362">
        <v>533</v>
      </c>
      <c r="DA2362">
        <v>639</v>
      </c>
      <c r="DG2362">
        <v>786</v>
      </c>
    </row>
    <row r="2363" spans="1:111" x14ac:dyDescent="0.25">
      <c r="N2363" t="s">
        <v>4329</v>
      </c>
      <c r="AK2363" t="s">
        <v>4330</v>
      </c>
      <c r="AT2363" t="s">
        <v>4327</v>
      </c>
      <c r="CH2363" t="s">
        <v>4331</v>
      </c>
      <c r="CU2363">
        <v>676</v>
      </c>
      <c r="DA2363">
        <v>810</v>
      </c>
      <c r="DG2363">
        <v>996</v>
      </c>
    </row>
    <row r="2364" spans="1:111" x14ac:dyDescent="0.25">
      <c r="N2364" t="s">
        <v>4332</v>
      </c>
      <c r="AK2364" t="s">
        <v>4333</v>
      </c>
      <c r="AT2364" t="s">
        <v>4327</v>
      </c>
      <c r="CH2364" t="s">
        <v>4334</v>
      </c>
      <c r="CU2364">
        <v>825</v>
      </c>
      <c r="DA2364">
        <v>988</v>
      </c>
      <c r="DG2364" t="s">
        <v>4335</v>
      </c>
    </row>
    <row r="2365" spans="1:111" x14ac:dyDescent="0.25">
      <c r="N2365" t="s">
        <v>4336</v>
      </c>
      <c r="AK2365" t="s">
        <v>4337</v>
      </c>
      <c r="AT2365" t="s">
        <v>4338</v>
      </c>
      <c r="CH2365" t="s">
        <v>4339</v>
      </c>
      <c r="CU2365" t="s">
        <v>3691</v>
      </c>
      <c r="DA2365" t="s">
        <v>4340</v>
      </c>
      <c r="DG2365" t="s">
        <v>4341</v>
      </c>
    </row>
    <row r="2366" spans="1:111" x14ac:dyDescent="0.25">
      <c r="N2366" t="s">
        <v>4342</v>
      </c>
      <c r="AK2366" t="s">
        <v>4343</v>
      </c>
      <c r="AT2366" t="s">
        <v>4344</v>
      </c>
      <c r="CH2366" t="s">
        <v>4345</v>
      </c>
      <c r="CU2366">
        <v>724</v>
      </c>
      <c r="DA2366">
        <v>868</v>
      </c>
      <c r="DG2366" t="s">
        <v>4346</v>
      </c>
    </row>
    <row r="2367" spans="1:111" x14ac:dyDescent="0.25">
      <c r="N2367" t="s">
        <v>4347</v>
      </c>
      <c r="AK2367" t="s">
        <v>4348</v>
      </c>
      <c r="AT2367" t="s">
        <v>4344</v>
      </c>
      <c r="CH2367" t="s">
        <v>4349</v>
      </c>
      <c r="CU2367">
        <v>823</v>
      </c>
      <c r="DA2367">
        <v>987</v>
      </c>
      <c r="DG2367" t="s">
        <v>4350</v>
      </c>
    </row>
    <row r="2368" spans="1:111" x14ac:dyDescent="0.25">
      <c r="N2368" t="s">
        <v>4351</v>
      </c>
      <c r="AK2368" t="s">
        <v>4352</v>
      </c>
      <c r="AT2368" t="s">
        <v>4344</v>
      </c>
      <c r="CH2368" t="s">
        <v>4353</v>
      </c>
      <c r="CU2368" t="s">
        <v>3714</v>
      </c>
      <c r="DA2368" t="s">
        <v>4354</v>
      </c>
      <c r="DG2368" t="s">
        <v>4355</v>
      </c>
    </row>
    <row r="2369" spans="1:111" x14ac:dyDescent="0.25">
      <c r="N2369" t="s">
        <v>4356</v>
      </c>
      <c r="AK2369" t="s">
        <v>4357</v>
      </c>
      <c r="AT2369" t="s">
        <v>4358</v>
      </c>
      <c r="CH2369" t="s">
        <v>4359</v>
      </c>
      <c r="CU2369" t="s">
        <v>3972</v>
      </c>
      <c r="DA2369" t="s">
        <v>4360</v>
      </c>
      <c r="DG2369" t="s">
        <v>4361</v>
      </c>
    </row>
    <row r="2370" spans="1:111" x14ac:dyDescent="0.25">
      <c r="N2370" t="s">
        <v>4362</v>
      </c>
      <c r="AT2370" t="s">
        <v>4363</v>
      </c>
      <c r="CU2370">
        <v>251</v>
      </c>
      <c r="DA2370">
        <v>421</v>
      </c>
      <c r="DG2370">
        <v>518</v>
      </c>
    </row>
    <row r="2371" spans="1:111" x14ac:dyDescent="0.25">
      <c r="N2371" t="s">
        <v>4364</v>
      </c>
      <c r="AT2371" t="s">
        <v>4365</v>
      </c>
      <c r="CU2371">
        <v>232</v>
      </c>
      <c r="DA2371">
        <v>272</v>
      </c>
      <c r="DG2371">
        <v>335</v>
      </c>
    </row>
    <row r="2372" spans="1:111" x14ac:dyDescent="0.25">
      <c r="N2372" t="s">
        <v>4366</v>
      </c>
      <c r="DA2372" t="s">
        <v>3858</v>
      </c>
    </row>
    <row r="2373" spans="1:111" x14ac:dyDescent="0.25">
      <c r="A2373" t="s">
        <v>4367</v>
      </c>
    </row>
    <row r="2374" spans="1:111" x14ac:dyDescent="0.25">
      <c r="A2374" t="s">
        <v>4368</v>
      </c>
    </row>
    <row r="2375" spans="1:111" x14ac:dyDescent="0.25">
      <c r="A2375" t="s">
        <v>4369</v>
      </c>
    </row>
    <row r="2376" spans="1:111" x14ac:dyDescent="0.25">
      <c r="A2376" t="s">
        <v>4370</v>
      </c>
    </row>
    <row r="2377" spans="1:111" x14ac:dyDescent="0.25">
      <c r="A2377" t="s">
        <v>4371</v>
      </c>
    </row>
    <row r="2379" spans="1:111" x14ac:dyDescent="0.25">
      <c r="F2379" t="s">
        <v>4372</v>
      </c>
      <c r="AX2379" t="s">
        <v>4373</v>
      </c>
    </row>
    <row r="2380" spans="1:111" x14ac:dyDescent="0.25">
      <c r="AX2380" t="s">
        <v>8</v>
      </c>
      <c r="BT2380" t="s">
        <v>9</v>
      </c>
    </row>
    <row r="2381" spans="1:111" x14ac:dyDescent="0.25">
      <c r="F2381" t="s">
        <v>10</v>
      </c>
      <c r="S2381" t="s">
        <v>925</v>
      </c>
      <c r="AX2381" t="s">
        <v>4374</v>
      </c>
      <c r="BT2381" t="s">
        <v>4375</v>
      </c>
    </row>
    <row r="2382" spans="1:111" x14ac:dyDescent="0.25">
      <c r="F2382" t="s">
        <v>12</v>
      </c>
      <c r="S2382" t="s">
        <v>4376</v>
      </c>
    </row>
    <row r="2383" spans="1:111" x14ac:dyDescent="0.25">
      <c r="F2383" t="s">
        <v>13</v>
      </c>
      <c r="S2383" t="s">
        <v>4377</v>
      </c>
    </row>
    <row r="2384" spans="1:111" x14ac:dyDescent="0.25">
      <c r="F2384" t="s">
        <v>14</v>
      </c>
      <c r="S2384" t="s">
        <v>676</v>
      </c>
    </row>
    <row r="2385" spans="6:72" x14ac:dyDescent="0.25">
      <c r="F2385" t="s">
        <v>15</v>
      </c>
      <c r="S2385" t="s">
        <v>951</v>
      </c>
    </row>
    <row r="2386" spans="6:72" x14ac:dyDescent="0.25">
      <c r="F2386" t="s">
        <v>16</v>
      </c>
      <c r="S2386" t="s">
        <v>4372</v>
      </c>
    </row>
    <row r="2387" spans="6:72" x14ac:dyDescent="0.25">
      <c r="F2387" t="s">
        <v>17</v>
      </c>
      <c r="S2387" t="s">
        <v>914</v>
      </c>
    </row>
    <row r="2388" spans="6:72" x14ac:dyDescent="0.25">
      <c r="F2388" t="s">
        <v>18</v>
      </c>
      <c r="S2388" t="s">
        <v>878</v>
      </c>
      <c r="AX2388" t="s">
        <v>4378</v>
      </c>
    </row>
    <row r="2389" spans="6:72" x14ac:dyDescent="0.25">
      <c r="F2389" t="s">
        <v>20</v>
      </c>
      <c r="S2389" t="s">
        <v>878</v>
      </c>
      <c r="AX2389" t="s">
        <v>4378</v>
      </c>
    </row>
    <row r="2390" spans="6:72" x14ac:dyDescent="0.25">
      <c r="F2390" t="s">
        <v>21</v>
      </c>
      <c r="S2390" t="s">
        <v>878</v>
      </c>
      <c r="AX2390" t="s">
        <v>4378</v>
      </c>
    </row>
    <row r="2391" spans="6:72" x14ac:dyDescent="0.25">
      <c r="F2391" t="s">
        <v>22</v>
      </c>
      <c r="S2391">
        <v>45708</v>
      </c>
    </row>
    <row r="2392" spans="6:72" x14ac:dyDescent="0.25">
      <c r="S2392" t="s">
        <v>542</v>
      </c>
    </row>
    <row r="2394" spans="6:72" x14ac:dyDescent="0.25">
      <c r="F2394" t="s">
        <v>543</v>
      </c>
      <c r="S2394" t="s">
        <v>544</v>
      </c>
      <c r="BH2394" t="s">
        <v>4379</v>
      </c>
      <c r="BM2394" t="s">
        <v>546</v>
      </c>
      <c r="BT2394" t="s">
        <v>547</v>
      </c>
    </row>
    <row r="2395" spans="6:72" x14ac:dyDescent="0.25">
      <c r="S2395" t="s">
        <v>4380</v>
      </c>
      <c r="BH2395" t="s">
        <v>6</v>
      </c>
      <c r="BM2395">
        <v>4</v>
      </c>
      <c r="BT2395" t="s">
        <v>4381</v>
      </c>
    </row>
    <row r="2396" spans="6:72" x14ac:dyDescent="0.25">
      <c r="S2396" t="s">
        <v>4382</v>
      </c>
      <c r="BH2396" t="s">
        <v>6</v>
      </c>
      <c r="BM2396">
        <v>4</v>
      </c>
    </row>
    <row r="2397" spans="6:72" x14ac:dyDescent="0.25">
      <c r="S2397" t="s">
        <v>4383</v>
      </c>
      <c r="BH2397" t="s">
        <v>6</v>
      </c>
      <c r="BM2397">
        <v>4</v>
      </c>
    </row>
    <row r="2398" spans="6:72" x14ac:dyDescent="0.25">
      <c r="S2398" t="s">
        <v>4384</v>
      </c>
      <c r="BH2398" t="s">
        <v>6</v>
      </c>
      <c r="BM2398">
        <v>4</v>
      </c>
    </row>
    <row r="2399" spans="6:72" x14ac:dyDescent="0.25">
      <c r="S2399" t="s">
        <v>685</v>
      </c>
      <c r="BH2399" t="s">
        <v>551</v>
      </c>
      <c r="BM2399">
        <v>20</v>
      </c>
    </row>
    <row r="2400" spans="6:72" x14ac:dyDescent="0.25">
      <c r="S2400" t="s">
        <v>549</v>
      </c>
      <c r="BH2400" t="s">
        <v>551</v>
      </c>
      <c r="BM2400">
        <v>20</v>
      </c>
    </row>
    <row r="2401" spans="1:72" x14ac:dyDescent="0.25">
      <c r="S2401" t="s">
        <v>734</v>
      </c>
      <c r="BH2401" t="s">
        <v>551</v>
      </c>
      <c r="BM2401">
        <v>20</v>
      </c>
    </row>
    <row r="2402" spans="1:72" x14ac:dyDescent="0.25">
      <c r="S2402" t="s">
        <v>735</v>
      </c>
      <c r="BH2402" t="s">
        <v>551</v>
      </c>
      <c r="BM2402">
        <v>20</v>
      </c>
    </row>
    <row r="2403" spans="1:72" x14ac:dyDescent="0.25">
      <c r="S2403" t="s">
        <v>4385</v>
      </c>
      <c r="BH2403" t="s">
        <v>551</v>
      </c>
      <c r="BM2403">
        <v>10</v>
      </c>
    </row>
    <row r="2404" spans="1:72" x14ac:dyDescent="0.25">
      <c r="S2404" t="s">
        <v>4386</v>
      </c>
      <c r="BH2404" t="s">
        <v>6</v>
      </c>
      <c r="BM2404">
        <v>1</v>
      </c>
    </row>
    <row r="2405" spans="1:72" x14ac:dyDescent="0.25">
      <c r="S2405" t="s">
        <v>584</v>
      </c>
      <c r="BH2405" t="s">
        <v>2</v>
      </c>
      <c r="BM2405">
        <v>3</v>
      </c>
    </row>
    <row r="2406" spans="1:72" x14ac:dyDescent="0.25">
      <c r="S2406" t="s">
        <v>4387</v>
      </c>
      <c r="BT2406" t="s">
        <v>4388</v>
      </c>
    </row>
    <row r="2407" spans="1:72" x14ac:dyDescent="0.25">
      <c r="A2407" t="s">
        <v>4389</v>
      </c>
    </row>
    <row r="2408" spans="1:72" x14ac:dyDescent="0.25">
      <c r="A2408" t="s">
        <v>4390</v>
      </c>
    </row>
    <row r="2409" spans="1:72" x14ac:dyDescent="0.25">
      <c r="A2409" t="s">
        <v>594</v>
      </c>
      <c r="S2409" t="s">
        <v>595</v>
      </c>
    </row>
    <row r="2410" spans="1:72" x14ac:dyDescent="0.25">
      <c r="A2410" t="s">
        <v>596</v>
      </c>
      <c r="S2410" t="s">
        <v>952</v>
      </c>
    </row>
    <row r="2411" spans="1:72" x14ac:dyDescent="0.25">
      <c r="A2411" t="s">
        <v>597</v>
      </c>
      <c r="S2411" t="s">
        <v>932</v>
      </c>
    </row>
    <row r="2412" spans="1:72" x14ac:dyDescent="0.25">
      <c r="A2412" t="s">
        <v>598</v>
      </c>
      <c r="S2412" t="s">
        <v>616</v>
      </c>
    </row>
    <row r="2413" spans="1:72" x14ac:dyDescent="0.25">
      <c r="A2413" t="s">
        <v>599</v>
      </c>
      <c r="S2413" t="s">
        <v>4391</v>
      </c>
    </row>
    <row r="2414" spans="1:72" x14ac:dyDescent="0.25">
      <c r="A2414" t="s">
        <v>600</v>
      </c>
      <c r="U2414" t="s">
        <v>601</v>
      </c>
    </row>
    <row r="2415" spans="1:72" x14ac:dyDescent="0.25">
      <c r="U2415" t="s">
        <v>606</v>
      </c>
    </row>
    <row r="2416" spans="1:72" x14ac:dyDescent="0.25">
      <c r="U2416" t="s">
        <v>4392</v>
      </c>
    </row>
    <row r="2417" spans="1:65" x14ac:dyDescent="0.25">
      <c r="A2417" t="s">
        <v>602</v>
      </c>
      <c r="S2417" t="s">
        <v>607</v>
      </c>
    </row>
    <row r="2418" spans="1:65" x14ac:dyDescent="0.25">
      <c r="S2418" t="s">
        <v>603</v>
      </c>
    </row>
    <row r="2419" spans="1:65" x14ac:dyDescent="0.25">
      <c r="S2419" t="s">
        <v>617</v>
      </c>
    </row>
    <row r="2420" spans="1:65" x14ac:dyDescent="0.25">
      <c r="S2420" t="s">
        <v>608</v>
      </c>
    </row>
    <row r="2421" spans="1:65" x14ac:dyDescent="0.25">
      <c r="A2421" t="s">
        <v>604</v>
      </c>
    </row>
    <row r="2422" spans="1:65" x14ac:dyDescent="0.25">
      <c r="A2422" t="s">
        <v>878</v>
      </c>
    </row>
    <row r="2423" spans="1:65" x14ac:dyDescent="0.25">
      <c r="A2423" t="s">
        <v>946</v>
      </c>
    </row>
    <row r="2424" spans="1:65" x14ac:dyDescent="0.25">
      <c r="A2424" t="s">
        <v>951</v>
      </c>
    </row>
    <row r="2425" spans="1:65" x14ac:dyDescent="0.25">
      <c r="A2425" t="s">
        <v>4393</v>
      </c>
    </row>
    <row r="2426" spans="1:65" x14ac:dyDescent="0.25">
      <c r="A2426" t="s">
        <v>7</v>
      </c>
    </row>
    <row r="2427" spans="1:65" x14ac:dyDescent="0.25">
      <c r="A2427" t="s">
        <v>822</v>
      </c>
    </row>
    <row r="2428" spans="1:65" x14ac:dyDescent="0.25">
      <c r="A2428" t="s">
        <v>883</v>
      </c>
    </row>
    <row r="2429" spans="1:65" x14ac:dyDescent="0.25">
      <c r="A2429" t="s">
        <v>9</v>
      </c>
      <c r="BM2429" t="s">
        <v>8</v>
      </c>
    </row>
    <row r="2430" spans="1:65" x14ac:dyDescent="0.25">
      <c r="A2430" t="s">
        <v>10</v>
      </c>
      <c r="L2430" t="s">
        <v>925</v>
      </c>
    </row>
    <row r="2431" spans="1:65" x14ac:dyDescent="0.25">
      <c r="A2431" t="s">
        <v>12</v>
      </c>
      <c r="L2431" t="s">
        <v>4394</v>
      </c>
    </row>
    <row r="2432" spans="1:65" x14ac:dyDescent="0.25">
      <c r="A2432" t="s">
        <v>13</v>
      </c>
      <c r="L2432" t="s">
        <v>4377</v>
      </c>
    </row>
    <row r="2433" spans="1:76" x14ac:dyDescent="0.25">
      <c r="A2433" t="s">
        <v>14</v>
      </c>
      <c r="L2433" t="s">
        <v>676</v>
      </c>
    </row>
    <row r="2434" spans="1:76" x14ac:dyDescent="0.25">
      <c r="A2434" t="s">
        <v>15</v>
      </c>
      <c r="L2434" t="s">
        <v>951</v>
      </c>
    </row>
    <row r="2435" spans="1:76" x14ac:dyDescent="0.25">
      <c r="A2435" t="s">
        <v>16</v>
      </c>
      <c r="L2435" t="s">
        <v>4372</v>
      </c>
    </row>
    <row r="2436" spans="1:76" x14ac:dyDescent="0.25">
      <c r="A2436" t="s">
        <v>18</v>
      </c>
      <c r="L2436" t="s">
        <v>4395</v>
      </c>
    </row>
    <row r="2437" spans="1:76" x14ac:dyDescent="0.25">
      <c r="A2437" t="s">
        <v>22</v>
      </c>
      <c r="L2437" t="s">
        <v>4396</v>
      </c>
    </row>
    <row r="2438" spans="1:76" x14ac:dyDescent="0.25">
      <c r="L2438" t="s">
        <v>884</v>
      </c>
    </row>
    <row r="2441" spans="1:76" x14ac:dyDescent="0.25">
      <c r="A2441" t="s">
        <v>543</v>
      </c>
      <c r="L2441" t="s">
        <v>544</v>
      </c>
      <c r="BS2441" t="s">
        <v>546</v>
      </c>
      <c r="BX2441" t="s">
        <v>4379</v>
      </c>
    </row>
    <row r="2442" spans="1:76" x14ac:dyDescent="0.25">
      <c r="L2442" t="s">
        <v>4397</v>
      </c>
      <c r="BS2442" t="s">
        <v>4397</v>
      </c>
      <c r="BX2442" t="s">
        <v>4397</v>
      </c>
    </row>
    <row r="2443" spans="1:76" x14ac:dyDescent="0.25">
      <c r="L2443" t="s">
        <v>4397</v>
      </c>
      <c r="BS2443" t="s">
        <v>4397</v>
      </c>
      <c r="BX2443" t="s">
        <v>4397</v>
      </c>
    </row>
    <row r="2444" spans="1:76" x14ac:dyDescent="0.25">
      <c r="L2444" t="s">
        <v>4397</v>
      </c>
      <c r="BS2444" t="s">
        <v>4397</v>
      </c>
      <c r="BX2444" t="s">
        <v>4397</v>
      </c>
    </row>
    <row r="2445" spans="1:76" x14ac:dyDescent="0.25">
      <c r="L2445" t="s">
        <v>4397</v>
      </c>
      <c r="BS2445" t="s">
        <v>4397</v>
      </c>
      <c r="BX2445" t="s">
        <v>4397</v>
      </c>
    </row>
    <row r="2446" spans="1:76" x14ac:dyDescent="0.25">
      <c r="L2446" t="s">
        <v>4397</v>
      </c>
      <c r="BS2446" t="s">
        <v>4397</v>
      </c>
      <c r="BX2446" t="s">
        <v>4397</v>
      </c>
    </row>
    <row r="2447" spans="1:76" x14ac:dyDescent="0.25">
      <c r="L2447" t="s">
        <v>685</v>
      </c>
      <c r="BS2447" t="s">
        <v>3756</v>
      </c>
      <c r="BX2447" t="s">
        <v>551</v>
      </c>
    </row>
    <row r="2448" spans="1:76" x14ac:dyDescent="0.25">
      <c r="L2448" t="s">
        <v>4397</v>
      </c>
      <c r="BS2448" t="s">
        <v>4397</v>
      </c>
      <c r="BX2448" t="s">
        <v>4397</v>
      </c>
    </row>
    <row r="2449" spans="1:76" x14ac:dyDescent="0.25">
      <c r="L2449" t="s">
        <v>4397</v>
      </c>
      <c r="BS2449" t="s">
        <v>4397</v>
      </c>
      <c r="BX2449" t="s">
        <v>4397</v>
      </c>
    </row>
    <row r="2450" spans="1:76" x14ac:dyDescent="0.25">
      <c r="L2450" t="s">
        <v>4397</v>
      </c>
      <c r="BS2450" t="s">
        <v>4397</v>
      </c>
      <c r="BX2450" t="s">
        <v>4397</v>
      </c>
    </row>
    <row r="2451" spans="1:76" x14ac:dyDescent="0.25">
      <c r="L2451" t="s">
        <v>4397</v>
      </c>
      <c r="BS2451" t="s">
        <v>4397</v>
      </c>
      <c r="BX2451" t="s">
        <v>4397</v>
      </c>
    </row>
    <row r="2452" spans="1:76" x14ac:dyDescent="0.25">
      <c r="L2452" t="s">
        <v>4397</v>
      </c>
      <c r="BS2452" t="s">
        <v>4397</v>
      </c>
      <c r="BX2452" t="s">
        <v>4397</v>
      </c>
    </row>
    <row r="2453" spans="1:76" x14ac:dyDescent="0.25">
      <c r="L2453" t="s">
        <v>4397</v>
      </c>
      <c r="BS2453" t="s">
        <v>4397</v>
      </c>
      <c r="BX2453" t="s">
        <v>4397</v>
      </c>
    </row>
    <row r="2454" spans="1:76" x14ac:dyDescent="0.25">
      <c r="L2454" t="s">
        <v>4397</v>
      </c>
      <c r="BS2454" t="s">
        <v>4397</v>
      </c>
      <c r="BX2454" t="s">
        <v>4397</v>
      </c>
    </row>
    <row r="2455" spans="1:76" x14ac:dyDescent="0.25">
      <c r="L2455" t="s">
        <v>4397</v>
      </c>
      <c r="BS2455" t="s">
        <v>4397</v>
      </c>
      <c r="BX2455" t="s">
        <v>4397</v>
      </c>
    </row>
    <row r="2456" spans="1:76" x14ac:dyDescent="0.25">
      <c r="I2456" t="s">
        <v>824</v>
      </c>
      <c r="BG2456" t="s">
        <v>825</v>
      </c>
      <c r="BT2456" t="s">
        <v>826</v>
      </c>
    </row>
    <row r="2457" spans="1:76" x14ac:dyDescent="0.25">
      <c r="BG2457" t="s">
        <v>827</v>
      </c>
      <c r="BT2457">
        <v>2</v>
      </c>
    </row>
    <row r="2458" spans="1:76" x14ac:dyDescent="0.25">
      <c r="BG2458" t="s">
        <v>828</v>
      </c>
      <c r="BT2458" t="s">
        <v>916</v>
      </c>
    </row>
    <row r="2459" spans="1:76" x14ac:dyDescent="0.25">
      <c r="A2459" t="s">
        <v>4398</v>
      </c>
    </row>
    <row r="2460" spans="1:76" x14ac:dyDescent="0.25">
      <c r="I2460" t="s">
        <v>829</v>
      </c>
      <c r="AM2460" t="s">
        <v>915</v>
      </c>
    </row>
    <row r="2461" spans="1:76" x14ac:dyDescent="0.25">
      <c r="I2461" t="s">
        <v>830</v>
      </c>
      <c r="AM2461" t="s">
        <v>878</v>
      </c>
      <c r="BG2461" t="s">
        <v>4378</v>
      </c>
      <c r="BT2461" t="s">
        <v>945</v>
      </c>
    </row>
    <row r="2462" spans="1:76" x14ac:dyDescent="0.25">
      <c r="I2462" t="s">
        <v>831</v>
      </c>
      <c r="AM2462" t="s">
        <v>917</v>
      </c>
    </row>
    <row r="2463" spans="1:76" x14ac:dyDescent="0.25">
      <c r="I2463" t="s">
        <v>832</v>
      </c>
      <c r="AM2463">
        <v>53100972</v>
      </c>
    </row>
    <row r="2464" spans="1:76" x14ac:dyDescent="0.25">
      <c r="I2464" t="s">
        <v>833</v>
      </c>
      <c r="AM2464">
        <v>2121276179</v>
      </c>
    </row>
    <row r="2465" spans="1:72" x14ac:dyDescent="0.25">
      <c r="I2465" t="s">
        <v>834</v>
      </c>
      <c r="AM2465" t="s">
        <v>951</v>
      </c>
    </row>
    <row r="2466" spans="1:72" x14ac:dyDescent="0.25">
      <c r="A2466" t="s">
        <v>4399</v>
      </c>
    </row>
    <row r="2467" spans="1:72" x14ac:dyDescent="0.25">
      <c r="I2467" t="s">
        <v>829</v>
      </c>
      <c r="AM2467" t="s">
        <v>919</v>
      </c>
    </row>
    <row r="2468" spans="1:72" x14ac:dyDescent="0.25">
      <c r="I2468" t="s">
        <v>830</v>
      </c>
      <c r="AM2468" t="s">
        <v>4376</v>
      </c>
      <c r="BG2468">
        <v>0</v>
      </c>
      <c r="BT2468">
        <v>0</v>
      </c>
    </row>
    <row r="2469" spans="1:72" x14ac:dyDescent="0.25">
      <c r="I2469" t="s">
        <v>831</v>
      </c>
      <c r="AM2469" t="s">
        <v>4377</v>
      </c>
    </row>
    <row r="2470" spans="1:72" x14ac:dyDescent="0.25">
      <c r="I2470" t="s">
        <v>832</v>
      </c>
    </row>
    <row r="2471" spans="1:72" x14ac:dyDescent="0.25">
      <c r="I2471" t="s">
        <v>833</v>
      </c>
    </row>
    <row r="2472" spans="1:72" x14ac:dyDescent="0.25">
      <c r="I2472" t="s">
        <v>837</v>
      </c>
    </row>
    <row r="2473" spans="1:72" x14ac:dyDescent="0.25">
      <c r="A2473" t="s">
        <v>838</v>
      </c>
      <c r="AM2473" t="s">
        <v>920</v>
      </c>
      <c r="BJ2473" t="s">
        <v>4400</v>
      </c>
    </row>
    <row r="2474" spans="1:72" x14ac:dyDescent="0.25">
      <c r="I2474" t="s">
        <v>839</v>
      </c>
      <c r="S2474" t="s">
        <v>840</v>
      </c>
      <c r="BT2474" t="s">
        <v>546</v>
      </c>
    </row>
    <row r="2475" spans="1:72" x14ac:dyDescent="0.25">
      <c r="I2475" t="s">
        <v>4401</v>
      </c>
      <c r="S2475" t="s">
        <v>676</v>
      </c>
      <c r="BT2475" t="s">
        <v>922</v>
      </c>
    </row>
    <row r="2476" spans="1:72" x14ac:dyDescent="0.25">
      <c r="A2476" t="s">
        <v>4402</v>
      </c>
    </row>
    <row r="2477" spans="1:72" x14ac:dyDescent="0.25">
      <c r="A2477" t="s">
        <v>923</v>
      </c>
    </row>
    <row r="2478" spans="1:72" x14ac:dyDescent="0.25">
      <c r="A2478" t="s">
        <v>878</v>
      </c>
    </row>
    <row r="2479" spans="1:72" x14ac:dyDescent="0.25">
      <c r="I2479" t="s">
        <v>843</v>
      </c>
      <c r="BG2479" t="s">
        <v>843</v>
      </c>
    </row>
    <row r="2480" spans="1:72" x14ac:dyDescent="0.25">
      <c r="I2480" t="s">
        <v>844</v>
      </c>
      <c r="BG2480" t="s">
        <v>845</v>
      </c>
    </row>
    <row r="2481" spans="1:65" x14ac:dyDescent="0.25">
      <c r="A2481" t="s">
        <v>4403</v>
      </c>
    </row>
    <row r="2482" spans="1:65" x14ac:dyDescent="0.25">
      <c r="A2482" t="s">
        <v>541</v>
      </c>
      <c r="J2482" t="s">
        <v>4404</v>
      </c>
      <c r="BM2482" t="s">
        <v>624</v>
      </c>
    </row>
    <row r="2483" spans="1:65" x14ac:dyDescent="0.25">
      <c r="A2483">
        <v>1</v>
      </c>
      <c r="J2483" t="s">
        <v>1492</v>
      </c>
      <c r="BM2483">
        <v>2.86</v>
      </c>
    </row>
    <row r="2484" spans="1:65" x14ac:dyDescent="0.25">
      <c r="A2484">
        <v>2</v>
      </c>
      <c r="J2484" t="s">
        <v>4385</v>
      </c>
      <c r="BM2484">
        <v>4.29</v>
      </c>
    </row>
    <row r="2485" spans="1:65" x14ac:dyDescent="0.25">
      <c r="A2485">
        <v>3</v>
      </c>
      <c r="J2485" t="s">
        <v>4405</v>
      </c>
      <c r="BM2485">
        <v>6.11</v>
      </c>
    </row>
    <row r="2486" spans="1:65" x14ac:dyDescent="0.25">
      <c r="A2486">
        <v>4</v>
      </c>
      <c r="J2486" t="s">
        <v>684</v>
      </c>
      <c r="BM2486">
        <v>4.1500000000000004</v>
      </c>
    </row>
    <row r="2487" spans="1:65" x14ac:dyDescent="0.25">
      <c r="A2487">
        <v>5</v>
      </c>
      <c r="J2487" t="s">
        <v>685</v>
      </c>
      <c r="BM2487">
        <v>5.25</v>
      </c>
    </row>
    <row r="2488" spans="1:65" x14ac:dyDescent="0.25">
      <c r="A2488">
        <v>6</v>
      </c>
      <c r="J2488" t="s">
        <v>714</v>
      </c>
      <c r="BM2488">
        <v>8.9</v>
      </c>
    </row>
    <row r="2489" spans="1:65" x14ac:dyDescent="0.25">
      <c r="A2489">
        <v>7</v>
      </c>
      <c r="J2489" t="s">
        <v>686</v>
      </c>
      <c r="BM2489">
        <v>1.65</v>
      </c>
    </row>
    <row r="2490" spans="1:65" x14ac:dyDescent="0.25">
      <c r="A2490">
        <v>8</v>
      </c>
      <c r="J2490" t="s">
        <v>687</v>
      </c>
      <c r="BM2490">
        <v>2.5</v>
      </c>
    </row>
    <row r="2491" spans="1:65" x14ac:dyDescent="0.25">
      <c r="A2491">
        <v>9</v>
      </c>
      <c r="J2491" t="s">
        <v>688</v>
      </c>
      <c r="BM2491">
        <v>3.45</v>
      </c>
    </row>
    <row r="2492" spans="1:65" x14ac:dyDescent="0.25">
      <c r="A2492">
        <v>10</v>
      </c>
      <c r="J2492" t="s">
        <v>689</v>
      </c>
      <c r="BM2492">
        <v>5.5</v>
      </c>
    </row>
    <row r="2493" spans="1:65" x14ac:dyDescent="0.25">
      <c r="A2493">
        <v>11</v>
      </c>
      <c r="J2493" t="s">
        <v>715</v>
      </c>
      <c r="BM2493">
        <v>9.3000000000000007</v>
      </c>
    </row>
    <row r="2494" spans="1:65" x14ac:dyDescent="0.25">
      <c r="A2494">
        <v>12</v>
      </c>
      <c r="J2494" t="s">
        <v>549</v>
      </c>
      <c r="BM2494">
        <v>0.48</v>
      </c>
    </row>
    <row r="2495" spans="1:65" x14ac:dyDescent="0.25">
      <c r="A2495">
        <v>13</v>
      </c>
      <c r="J2495" t="s">
        <v>643</v>
      </c>
      <c r="BM2495">
        <v>0.54</v>
      </c>
    </row>
    <row r="2496" spans="1:65" x14ac:dyDescent="0.25">
      <c r="A2496">
        <v>14</v>
      </c>
      <c r="J2496" t="s">
        <v>619</v>
      </c>
      <c r="BM2496">
        <v>1</v>
      </c>
    </row>
    <row r="2497" spans="1:65" x14ac:dyDescent="0.25">
      <c r="A2497">
        <v>15</v>
      </c>
      <c r="J2497" t="s">
        <v>734</v>
      </c>
      <c r="BM2497">
        <v>0.56999999999999995</v>
      </c>
    </row>
    <row r="2498" spans="1:65" x14ac:dyDescent="0.25">
      <c r="A2498">
        <v>16</v>
      </c>
      <c r="J2498" t="s">
        <v>735</v>
      </c>
      <c r="BM2498">
        <v>0.96</v>
      </c>
    </row>
    <row r="2499" spans="1:65" x14ac:dyDescent="0.25">
      <c r="A2499">
        <v>17</v>
      </c>
      <c r="J2499" t="s">
        <v>736</v>
      </c>
      <c r="BM2499">
        <v>1.66</v>
      </c>
    </row>
    <row r="2500" spans="1:65" x14ac:dyDescent="0.25">
      <c r="A2500">
        <v>18</v>
      </c>
      <c r="J2500" t="s">
        <v>737</v>
      </c>
      <c r="BM2500">
        <v>3.33</v>
      </c>
    </row>
    <row r="2501" spans="1:65" x14ac:dyDescent="0.25">
      <c r="A2501">
        <v>19</v>
      </c>
      <c r="J2501" t="s">
        <v>738</v>
      </c>
      <c r="BM2501">
        <v>1.75</v>
      </c>
    </row>
    <row r="2502" spans="1:65" x14ac:dyDescent="0.25">
      <c r="A2502">
        <v>20</v>
      </c>
      <c r="J2502" t="s">
        <v>739</v>
      </c>
      <c r="BM2502">
        <v>0.78</v>
      </c>
    </row>
    <row r="2503" spans="1:65" x14ac:dyDescent="0.25">
      <c r="A2503">
        <v>21</v>
      </c>
      <c r="J2503" t="s">
        <v>740</v>
      </c>
      <c r="BM2503">
        <v>1.49</v>
      </c>
    </row>
    <row r="2504" spans="1:65" x14ac:dyDescent="0.25">
      <c r="A2504">
        <v>22</v>
      </c>
      <c r="J2504" t="s">
        <v>741</v>
      </c>
      <c r="BM2504">
        <v>0.26</v>
      </c>
    </row>
    <row r="2505" spans="1:65" x14ac:dyDescent="0.25">
      <c r="A2505">
        <v>23</v>
      </c>
      <c r="J2505" t="s">
        <v>742</v>
      </c>
      <c r="BM2505">
        <v>0.36</v>
      </c>
    </row>
    <row r="2506" spans="1:65" x14ac:dyDescent="0.25">
      <c r="A2506">
        <v>24</v>
      </c>
      <c r="J2506" t="s">
        <v>696</v>
      </c>
      <c r="BM2506">
        <v>4.26</v>
      </c>
    </row>
    <row r="2507" spans="1:65" x14ac:dyDescent="0.25">
      <c r="A2507">
        <v>25</v>
      </c>
      <c r="J2507" t="s">
        <v>695</v>
      </c>
      <c r="BM2507">
        <v>5.95</v>
      </c>
    </row>
    <row r="2508" spans="1:65" x14ac:dyDescent="0.25">
      <c r="A2508">
        <v>26</v>
      </c>
      <c r="J2508" t="s">
        <v>694</v>
      </c>
      <c r="BM2508">
        <v>6.8</v>
      </c>
    </row>
    <row r="2509" spans="1:65" x14ac:dyDescent="0.25">
      <c r="A2509">
        <v>27</v>
      </c>
      <c r="J2509" t="s">
        <v>693</v>
      </c>
      <c r="BM2509">
        <v>11.57</v>
      </c>
    </row>
    <row r="2510" spans="1:65" x14ac:dyDescent="0.25">
      <c r="A2510">
        <v>28</v>
      </c>
      <c r="J2510" t="s">
        <v>699</v>
      </c>
      <c r="BM2510">
        <v>16.29</v>
      </c>
    </row>
    <row r="2511" spans="1:65" x14ac:dyDescent="0.25">
      <c r="A2511">
        <v>29</v>
      </c>
      <c r="J2511" t="s">
        <v>700</v>
      </c>
      <c r="BM2511">
        <v>23.23</v>
      </c>
    </row>
    <row r="2512" spans="1:65" x14ac:dyDescent="0.25">
      <c r="A2512">
        <v>30</v>
      </c>
      <c r="J2512" t="s">
        <v>743</v>
      </c>
      <c r="BM2512">
        <v>0.65</v>
      </c>
    </row>
    <row r="2513" spans="1:65" x14ac:dyDescent="0.25">
      <c r="A2513">
        <v>31</v>
      </c>
      <c r="J2513" t="s">
        <v>744</v>
      </c>
      <c r="BM2513">
        <v>0.77</v>
      </c>
    </row>
    <row r="2514" spans="1:65" x14ac:dyDescent="0.25">
      <c r="A2514">
        <v>32</v>
      </c>
      <c r="J2514" t="s">
        <v>622</v>
      </c>
      <c r="BM2514">
        <v>1.1599999999999999</v>
      </c>
    </row>
    <row r="2515" spans="1:65" x14ac:dyDescent="0.25">
      <c r="A2515">
        <v>33</v>
      </c>
      <c r="J2515" t="s">
        <v>625</v>
      </c>
      <c r="BM2515">
        <v>24</v>
      </c>
    </row>
    <row r="2516" spans="1:65" x14ac:dyDescent="0.25">
      <c r="A2516">
        <v>34</v>
      </c>
      <c r="J2516" t="s">
        <v>626</v>
      </c>
      <c r="BM2516">
        <v>45</v>
      </c>
    </row>
    <row r="2517" spans="1:65" x14ac:dyDescent="0.25">
      <c r="A2517">
        <v>35</v>
      </c>
      <c r="J2517" t="s">
        <v>648</v>
      </c>
      <c r="BM2517">
        <v>29</v>
      </c>
    </row>
    <row r="2518" spans="1:65" x14ac:dyDescent="0.25">
      <c r="A2518">
        <v>36</v>
      </c>
      <c r="J2518" t="s">
        <v>647</v>
      </c>
      <c r="BM2518">
        <v>89</v>
      </c>
    </row>
    <row r="2519" spans="1:65" x14ac:dyDescent="0.25">
      <c r="A2519">
        <v>37</v>
      </c>
      <c r="J2519" t="s">
        <v>716</v>
      </c>
      <c r="BM2519">
        <v>32</v>
      </c>
    </row>
    <row r="2520" spans="1:65" x14ac:dyDescent="0.25">
      <c r="A2520" t="s">
        <v>745</v>
      </c>
      <c r="J2520" t="s">
        <v>644</v>
      </c>
      <c r="S2520" t="s">
        <v>645</v>
      </c>
      <c r="AF2520" t="s">
        <v>613</v>
      </c>
    </row>
    <row r="2521" spans="1:65" x14ac:dyDescent="0.25">
      <c r="A2521" t="s">
        <v>551</v>
      </c>
      <c r="J2521" t="s">
        <v>4406</v>
      </c>
      <c r="S2521">
        <v>45331</v>
      </c>
      <c r="AF2521" t="s">
        <v>717</v>
      </c>
      <c r="AM2521" t="s">
        <v>621</v>
      </c>
    </row>
    <row r="2522" spans="1:65" x14ac:dyDescent="0.25">
      <c r="A2522" t="s">
        <v>551</v>
      </c>
      <c r="J2522" t="s">
        <v>4406</v>
      </c>
      <c r="S2522">
        <v>45331</v>
      </c>
      <c r="AF2522" t="s">
        <v>717</v>
      </c>
      <c r="AM2522">
        <v>0.3</v>
      </c>
    </row>
    <row r="2523" spans="1:65" x14ac:dyDescent="0.25">
      <c r="A2523" t="s">
        <v>551</v>
      </c>
      <c r="J2523" t="s">
        <v>4406</v>
      </c>
      <c r="S2523">
        <v>45331</v>
      </c>
      <c r="AF2523" t="s">
        <v>717</v>
      </c>
    </row>
    <row r="2524" spans="1:65" x14ac:dyDescent="0.25">
      <c r="A2524" t="s">
        <v>551</v>
      </c>
      <c r="J2524" t="s">
        <v>4406</v>
      </c>
      <c r="S2524">
        <v>45331</v>
      </c>
      <c r="AF2524" t="s">
        <v>717</v>
      </c>
    </row>
    <row r="2525" spans="1:65" x14ac:dyDescent="0.25">
      <c r="A2525" t="s">
        <v>551</v>
      </c>
      <c r="J2525" t="s">
        <v>4406</v>
      </c>
      <c r="S2525">
        <v>45331</v>
      </c>
      <c r="AF2525" t="s">
        <v>717</v>
      </c>
    </row>
    <row r="2526" spans="1:65" x14ac:dyDescent="0.25">
      <c r="A2526" t="s">
        <v>551</v>
      </c>
      <c r="J2526" t="s">
        <v>4407</v>
      </c>
      <c r="S2526">
        <v>45405</v>
      </c>
      <c r="AF2526" t="s">
        <v>717</v>
      </c>
    </row>
    <row r="2527" spans="1:65" x14ac:dyDescent="0.25">
      <c r="A2527" t="s">
        <v>551</v>
      </c>
      <c r="J2527" t="s">
        <v>4406</v>
      </c>
      <c r="S2527">
        <v>45331</v>
      </c>
      <c r="AF2527" t="s">
        <v>717</v>
      </c>
    </row>
    <row r="2528" spans="1:65" x14ac:dyDescent="0.25">
      <c r="A2528" t="s">
        <v>551</v>
      </c>
      <c r="J2528" t="s">
        <v>4406</v>
      </c>
      <c r="S2528">
        <v>45331</v>
      </c>
      <c r="AF2528" t="s">
        <v>717</v>
      </c>
    </row>
    <row r="2529" spans="1:39" x14ac:dyDescent="0.25">
      <c r="A2529" t="s">
        <v>551</v>
      </c>
      <c r="J2529" t="s">
        <v>4406</v>
      </c>
      <c r="S2529">
        <v>45331</v>
      </c>
      <c r="AF2529" t="s">
        <v>717</v>
      </c>
    </row>
    <row r="2530" spans="1:39" x14ac:dyDescent="0.25">
      <c r="A2530" t="s">
        <v>551</v>
      </c>
      <c r="J2530" t="s">
        <v>4406</v>
      </c>
      <c r="S2530">
        <v>45331</v>
      </c>
      <c r="AF2530" t="s">
        <v>717</v>
      </c>
    </row>
    <row r="2531" spans="1:39" x14ac:dyDescent="0.25">
      <c r="A2531" t="s">
        <v>551</v>
      </c>
      <c r="J2531" t="s">
        <v>4406</v>
      </c>
      <c r="S2531">
        <v>45331</v>
      </c>
      <c r="AF2531" t="s">
        <v>717</v>
      </c>
    </row>
    <row r="2532" spans="1:39" x14ac:dyDescent="0.25">
      <c r="A2532" t="s">
        <v>551</v>
      </c>
      <c r="J2532" t="s">
        <v>4408</v>
      </c>
      <c r="S2532">
        <v>45271</v>
      </c>
      <c r="AF2532" t="s">
        <v>717</v>
      </c>
    </row>
    <row r="2533" spans="1:39" x14ac:dyDescent="0.25">
      <c r="A2533" t="s">
        <v>551</v>
      </c>
      <c r="J2533" t="s">
        <v>4409</v>
      </c>
      <c r="S2533">
        <v>45271</v>
      </c>
      <c r="AF2533" t="s">
        <v>717</v>
      </c>
    </row>
    <row r="2534" spans="1:39" x14ac:dyDescent="0.25">
      <c r="A2534" t="s">
        <v>2</v>
      </c>
      <c r="J2534" t="s">
        <v>4410</v>
      </c>
      <c r="S2534">
        <v>45271</v>
      </c>
      <c r="AF2534" t="s">
        <v>717</v>
      </c>
    </row>
    <row r="2535" spans="1:39" x14ac:dyDescent="0.25">
      <c r="A2535" t="s">
        <v>551</v>
      </c>
      <c r="J2535" t="s">
        <v>4411</v>
      </c>
      <c r="S2535">
        <v>45271</v>
      </c>
      <c r="AF2535" t="s">
        <v>718</v>
      </c>
    </row>
    <row r="2536" spans="1:39" x14ac:dyDescent="0.25">
      <c r="A2536" t="s">
        <v>551</v>
      </c>
      <c r="J2536" t="s">
        <v>4412</v>
      </c>
      <c r="S2536">
        <v>45271</v>
      </c>
      <c r="AF2536" t="s">
        <v>718</v>
      </c>
    </row>
    <row r="2537" spans="1:39" x14ac:dyDescent="0.25">
      <c r="A2537" t="s">
        <v>551</v>
      </c>
      <c r="J2537" t="s">
        <v>4413</v>
      </c>
      <c r="S2537">
        <v>45306</v>
      </c>
      <c r="AF2537" t="s">
        <v>718</v>
      </c>
      <c r="AM2537" t="s">
        <v>4414</v>
      </c>
    </row>
    <row r="2538" spans="1:39" x14ac:dyDescent="0.25">
      <c r="A2538" t="s">
        <v>551</v>
      </c>
      <c r="J2538" t="s">
        <v>4413</v>
      </c>
      <c r="S2538">
        <v>45306</v>
      </c>
      <c r="AF2538" t="s">
        <v>718</v>
      </c>
      <c r="AM2538" t="s">
        <v>4415</v>
      </c>
    </row>
    <row r="2539" spans="1:39" x14ac:dyDescent="0.25">
      <c r="A2539" t="s">
        <v>551</v>
      </c>
      <c r="J2539" t="s">
        <v>4413</v>
      </c>
      <c r="S2539">
        <v>45306</v>
      </c>
      <c r="AF2539" t="s">
        <v>718</v>
      </c>
      <c r="AM2539" t="s">
        <v>4416</v>
      </c>
    </row>
    <row r="2540" spans="1:39" x14ac:dyDescent="0.25">
      <c r="A2540" t="s">
        <v>551</v>
      </c>
      <c r="J2540" t="s">
        <v>4417</v>
      </c>
      <c r="S2540">
        <v>45271</v>
      </c>
      <c r="AF2540" t="s">
        <v>718</v>
      </c>
    </row>
    <row r="2541" spans="1:39" x14ac:dyDescent="0.25">
      <c r="A2541" t="s">
        <v>551</v>
      </c>
      <c r="J2541" t="s">
        <v>4418</v>
      </c>
      <c r="S2541">
        <v>45306</v>
      </c>
      <c r="AF2541" t="s">
        <v>718</v>
      </c>
    </row>
    <row r="2542" spans="1:39" x14ac:dyDescent="0.25">
      <c r="A2542" t="s">
        <v>551</v>
      </c>
      <c r="J2542" t="s">
        <v>4419</v>
      </c>
      <c r="S2542">
        <v>45271</v>
      </c>
      <c r="AF2542" t="s">
        <v>718</v>
      </c>
    </row>
    <row r="2543" spans="1:39" x14ac:dyDescent="0.25">
      <c r="A2543" t="s">
        <v>551</v>
      </c>
      <c r="J2543" t="s">
        <v>4420</v>
      </c>
      <c r="S2543">
        <v>45303</v>
      </c>
      <c r="AF2543" t="s">
        <v>718</v>
      </c>
    </row>
    <row r="2544" spans="1:39" x14ac:dyDescent="0.25">
      <c r="A2544" t="s">
        <v>2</v>
      </c>
      <c r="J2544" t="s">
        <v>4421</v>
      </c>
      <c r="S2544">
        <v>45303</v>
      </c>
      <c r="AF2544" t="s">
        <v>718</v>
      </c>
    </row>
    <row r="2545" spans="1:65" x14ac:dyDescent="0.25">
      <c r="A2545" t="s">
        <v>2</v>
      </c>
      <c r="J2545" t="s">
        <v>4413</v>
      </c>
      <c r="S2545">
        <v>45306</v>
      </c>
      <c r="AF2545" t="s">
        <v>718</v>
      </c>
      <c r="AM2545" t="s">
        <v>4422</v>
      </c>
    </row>
    <row r="2546" spans="1:65" x14ac:dyDescent="0.25">
      <c r="A2546" t="s">
        <v>2</v>
      </c>
      <c r="J2546" t="s">
        <v>4413</v>
      </c>
      <c r="S2546">
        <v>45306</v>
      </c>
      <c r="AF2546" t="s">
        <v>718</v>
      </c>
      <c r="AM2546" t="s">
        <v>4423</v>
      </c>
    </row>
    <row r="2547" spans="1:65" x14ac:dyDescent="0.25">
      <c r="A2547" t="s">
        <v>2</v>
      </c>
      <c r="J2547" t="s">
        <v>4413</v>
      </c>
      <c r="S2547">
        <v>45306</v>
      </c>
      <c r="AF2547" t="s">
        <v>718</v>
      </c>
      <c r="AM2547" t="s">
        <v>4424</v>
      </c>
    </row>
    <row r="2548" spans="1:65" x14ac:dyDescent="0.25">
      <c r="A2548" t="s">
        <v>2</v>
      </c>
      <c r="J2548" t="s">
        <v>4413</v>
      </c>
      <c r="S2548">
        <v>45306</v>
      </c>
      <c r="AF2548" t="s">
        <v>718</v>
      </c>
      <c r="AM2548" t="s">
        <v>4425</v>
      </c>
    </row>
    <row r="2549" spans="1:65" x14ac:dyDescent="0.25">
      <c r="A2549" t="s">
        <v>2</v>
      </c>
      <c r="J2549" t="s">
        <v>4413</v>
      </c>
      <c r="S2549">
        <v>45306</v>
      </c>
      <c r="AF2549" t="s">
        <v>718</v>
      </c>
    </row>
    <row r="2550" spans="1:65" x14ac:dyDescent="0.25">
      <c r="A2550" t="s">
        <v>551</v>
      </c>
      <c r="J2550" t="s">
        <v>4426</v>
      </c>
      <c r="S2550">
        <v>45271</v>
      </c>
      <c r="AF2550" t="s">
        <v>718</v>
      </c>
    </row>
    <row r="2551" spans="1:65" x14ac:dyDescent="0.25">
      <c r="A2551" t="s">
        <v>551</v>
      </c>
      <c r="J2551" t="s">
        <v>4427</v>
      </c>
      <c r="S2551">
        <v>45271</v>
      </c>
      <c r="AF2551" t="s">
        <v>718</v>
      </c>
    </row>
    <row r="2552" spans="1:65" x14ac:dyDescent="0.25">
      <c r="A2552" t="s">
        <v>2</v>
      </c>
      <c r="J2552" t="s">
        <v>4417</v>
      </c>
      <c r="S2552">
        <v>45271</v>
      </c>
      <c r="AF2552" t="s">
        <v>718</v>
      </c>
    </row>
    <row r="2553" spans="1:65" x14ac:dyDescent="0.25">
      <c r="A2553" t="s">
        <v>713</v>
      </c>
      <c r="J2553" t="s">
        <v>4428</v>
      </c>
      <c r="S2553">
        <v>45457</v>
      </c>
      <c r="AF2553" t="s">
        <v>717</v>
      </c>
    </row>
    <row r="2554" spans="1:65" x14ac:dyDescent="0.25">
      <c r="A2554" t="s">
        <v>713</v>
      </c>
      <c r="J2554" t="s">
        <v>4429</v>
      </c>
      <c r="S2554">
        <v>45457</v>
      </c>
      <c r="AF2554" t="s">
        <v>717</v>
      </c>
    </row>
    <row r="2555" spans="1:65" x14ac:dyDescent="0.25">
      <c r="A2555" t="s">
        <v>2</v>
      </c>
      <c r="J2555" t="s">
        <v>646</v>
      </c>
      <c r="S2555">
        <v>45271</v>
      </c>
      <c r="AF2555" t="s">
        <v>717</v>
      </c>
    </row>
    <row r="2556" spans="1:65" x14ac:dyDescent="0.25">
      <c r="A2556" t="s">
        <v>2</v>
      </c>
      <c r="J2556" t="s">
        <v>646</v>
      </c>
      <c r="S2556">
        <v>45271</v>
      </c>
      <c r="AF2556" t="s">
        <v>717</v>
      </c>
    </row>
    <row r="2557" spans="1:65" x14ac:dyDescent="0.25">
      <c r="A2557" t="s">
        <v>2</v>
      </c>
      <c r="J2557" t="s">
        <v>646</v>
      </c>
      <c r="S2557">
        <v>45344</v>
      </c>
      <c r="AF2557" t="s">
        <v>717</v>
      </c>
    </row>
    <row r="2559" spans="1:65" x14ac:dyDescent="0.25">
      <c r="A2559" t="s">
        <v>4430</v>
      </c>
    </row>
    <row r="2560" spans="1:65" x14ac:dyDescent="0.25">
      <c r="A2560" t="s">
        <v>541</v>
      </c>
      <c r="J2560" t="s">
        <v>4431</v>
      </c>
      <c r="BM2560" t="s">
        <v>624</v>
      </c>
    </row>
    <row r="2561" spans="1:65" x14ac:dyDescent="0.25">
      <c r="A2561">
        <v>1</v>
      </c>
      <c r="J2561" t="s">
        <v>4432</v>
      </c>
      <c r="BM2561">
        <v>7.46</v>
      </c>
    </row>
    <row r="2562" spans="1:65" x14ac:dyDescent="0.25">
      <c r="A2562">
        <v>2</v>
      </c>
      <c r="J2562" t="s">
        <v>4385</v>
      </c>
      <c r="BM2562">
        <v>8.2200000000000006</v>
      </c>
    </row>
    <row r="2563" spans="1:65" x14ac:dyDescent="0.25">
      <c r="A2563">
        <v>3</v>
      </c>
      <c r="J2563" t="s">
        <v>4433</v>
      </c>
      <c r="BM2563">
        <v>9.93</v>
      </c>
    </row>
    <row r="2564" spans="1:65" x14ac:dyDescent="0.25">
      <c r="A2564">
        <v>4</v>
      </c>
      <c r="J2564" t="s">
        <v>620</v>
      </c>
      <c r="BM2564">
        <v>19.399999999999999</v>
      </c>
    </row>
    <row r="2565" spans="1:65" x14ac:dyDescent="0.25">
      <c r="A2565">
        <v>5</v>
      </c>
      <c r="J2565" t="s">
        <v>684</v>
      </c>
      <c r="BM2565">
        <v>8.9600000000000009</v>
      </c>
    </row>
    <row r="2566" spans="1:65" x14ac:dyDescent="0.25">
      <c r="A2566">
        <v>6</v>
      </c>
      <c r="J2566" t="s">
        <v>685</v>
      </c>
      <c r="BM2566">
        <v>11.2</v>
      </c>
    </row>
    <row r="2567" spans="1:65" x14ac:dyDescent="0.25">
      <c r="A2567">
        <v>7</v>
      </c>
      <c r="J2567" t="s">
        <v>686</v>
      </c>
      <c r="BM2567">
        <v>3.74</v>
      </c>
    </row>
    <row r="2568" spans="1:65" x14ac:dyDescent="0.25">
      <c r="A2568">
        <v>8</v>
      </c>
      <c r="J2568" t="s">
        <v>687</v>
      </c>
      <c r="BM2568">
        <v>5.56</v>
      </c>
    </row>
    <row r="2569" spans="1:65" x14ac:dyDescent="0.25">
      <c r="A2569">
        <v>9</v>
      </c>
      <c r="J2569" t="s">
        <v>688</v>
      </c>
      <c r="BM2569">
        <v>7.38</v>
      </c>
    </row>
    <row r="2570" spans="1:65" x14ac:dyDescent="0.25">
      <c r="A2570">
        <v>10</v>
      </c>
      <c r="J2570" t="s">
        <v>689</v>
      </c>
      <c r="BM2570">
        <v>12.44</v>
      </c>
    </row>
    <row r="2571" spans="1:65" x14ac:dyDescent="0.25">
      <c r="A2571">
        <v>11</v>
      </c>
      <c r="J2571" t="s">
        <v>549</v>
      </c>
      <c r="BM2571">
        <v>0.96</v>
      </c>
    </row>
    <row r="2572" spans="1:65" x14ac:dyDescent="0.25">
      <c r="A2572">
        <v>12</v>
      </c>
      <c r="J2572" t="s">
        <v>550</v>
      </c>
      <c r="BM2572">
        <v>0.96</v>
      </c>
    </row>
    <row r="2573" spans="1:65" x14ac:dyDescent="0.25">
      <c r="A2573">
        <v>13</v>
      </c>
      <c r="J2573" t="s">
        <v>643</v>
      </c>
      <c r="BM2573">
        <v>1.08</v>
      </c>
    </row>
    <row r="2574" spans="1:65" x14ac:dyDescent="0.25">
      <c r="A2574">
        <v>14</v>
      </c>
      <c r="J2574" t="s">
        <v>640</v>
      </c>
      <c r="BM2574">
        <v>1.66</v>
      </c>
    </row>
    <row r="2575" spans="1:65" x14ac:dyDescent="0.25">
      <c r="A2575">
        <v>15</v>
      </c>
      <c r="J2575" t="s">
        <v>586</v>
      </c>
      <c r="BM2575">
        <v>25.66</v>
      </c>
    </row>
    <row r="2576" spans="1:65" x14ac:dyDescent="0.25">
      <c r="A2576">
        <v>16</v>
      </c>
      <c r="J2576" t="s">
        <v>587</v>
      </c>
      <c r="BM2576">
        <v>29.29</v>
      </c>
    </row>
    <row r="2577" spans="1:65" x14ac:dyDescent="0.25">
      <c r="A2577">
        <v>17</v>
      </c>
      <c r="J2577" t="s">
        <v>677</v>
      </c>
      <c r="BM2577">
        <v>44.06</v>
      </c>
    </row>
    <row r="2578" spans="1:65" x14ac:dyDescent="0.25">
      <c r="A2578">
        <v>18</v>
      </c>
      <c r="J2578" t="s">
        <v>583</v>
      </c>
      <c r="BM2578">
        <v>15.78</v>
      </c>
    </row>
    <row r="2579" spans="1:65" x14ac:dyDescent="0.25">
      <c r="A2579">
        <v>19</v>
      </c>
      <c r="J2579" t="s">
        <v>584</v>
      </c>
      <c r="BM2579">
        <v>44.54</v>
      </c>
    </row>
    <row r="2580" spans="1:65" x14ac:dyDescent="0.25">
      <c r="A2580">
        <v>20</v>
      </c>
      <c r="J2580" t="s">
        <v>885</v>
      </c>
      <c r="BM2580">
        <v>73.78</v>
      </c>
    </row>
    <row r="2581" spans="1:65" x14ac:dyDescent="0.25">
      <c r="A2581">
        <v>21</v>
      </c>
      <c r="J2581" t="s">
        <v>585</v>
      </c>
      <c r="BM2581">
        <v>4.8</v>
      </c>
    </row>
    <row r="2582" spans="1:65" x14ac:dyDescent="0.25">
      <c r="A2582">
        <v>22</v>
      </c>
      <c r="J2582" t="s">
        <v>886</v>
      </c>
      <c r="BM2582">
        <v>149</v>
      </c>
    </row>
    <row r="2583" spans="1:65" x14ac:dyDescent="0.25">
      <c r="A2583">
        <v>23</v>
      </c>
      <c r="J2583" t="s">
        <v>649</v>
      </c>
      <c r="BM2583">
        <v>137</v>
      </c>
    </row>
    <row r="2584" spans="1:65" x14ac:dyDescent="0.25">
      <c r="A2584">
        <v>24</v>
      </c>
      <c r="J2584" t="s">
        <v>4434</v>
      </c>
      <c r="BM2584">
        <v>112.06</v>
      </c>
    </row>
    <row r="2585" spans="1:65" x14ac:dyDescent="0.25">
      <c r="A2585">
        <v>25</v>
      </c>
      <c r="J2585" t="s">
        <v>679</v>
      </c>
      <c r="BM2585">
        <v>103.36</v>
      </c>
    </row>
    <row r="2586" spans="1:65" x14ac:dyDescent="0.25">
      <c r="A2586">
        <v>26</v>
      </c>
      <c r="J2586" t="s">
        <v>650</v>
      </c>
      <c r="BM2586">
        <v>331</v>
      </c>
    </row>
    <row r="2587" spans="1:65" x14ac:dyDescent="0.25">
      <c r="A2587">
        <v>27</v>
      </c>
      <c r="J2587" t="s">
        <v>887</v>
      </c>
      <c r="BM2587">
        <v>158</v>
      </c>
    </row>
    <row r="2588" spans="1:65" x14ac:dyDescent="0.25">
      <c r="A2588">
        <v>28</v>
      </c>
      <c r="J2588" t="s">
        <v>4435</v>
      </c>
      <c r="BM2588">
        <v>182</v>
      </c>
    </row>
    <row r="2589" spans="1:65" x14ac:dyDescent="0.25">
      <c r="A2589">
        <v>29</v>
      </c>
      <c r="J2589" t="s">
        <v>652</v>
      </c>
      <c r="BM2589">
        <v>292</v>
      </c>
    </row>
    <row r="2590" spans="1:65" x14ac:dyDescent="0.25">
      <c r="A2590">
        <v>30</v>
      </c>
      <c r="J2590" t="s">
        <v>653</v>
      </c>
      <c r="BM2590">
        <v>331</v>
      </c>
    </row>
    <row r="2591" spans="1:65" x14ac:dyDescent="0.25">
      <c r="A2591">
        <v>31</v>
      </c>
      <c r="J2591" t="s">
        <v>654</v>
      </c>
      <c r="BM2591">
        <v>473</v>
      </c>
    </row>
    <row r="2592" spans="1:65" x14ac:dyDescent="0.25">
      <c r="A2592">
        <v>32</v>
      </c>
      <c r="J2592" t="s">
        <v>655</v>
      </c>
      <c r="BM2592">
        <v>53</v>
      </c>
    </row>
    <row r="2593" spans="1:65" x14ac:dyDescent="0.25">
      <c r="A2593">
        <v>33</v>
      </c>
      <c r="J2593" t="s">
        <v>656</v>
      </c>
      <c r="BM2593">
        <v>367</v>
      </c>
    </row>
    <row r="2594" spans="1:65" x14ac:dyDescent="0.25">
      <c r="A2594">
        <v>34</v>
      </c>
      <c r="J2594" t="s">
        <v>657</v>
      </c>
      <c r="BM2594">
        <v>441</v>
      </c>
    </row>
    <row r="2595" spans="1:65" x14ac:dyDescent="0.25">
      <c r="A2595">
        <v>35</v>
      </c>
      <c r="J2595" t="s">
        <v>658</v>
      </c>
      <c r="BM2595">
        <v>132</v>
      </c>
    </row>
    <row r="2596" spans="1:65" x14ac:dyDescent="0.25">
      <c r="A2596">
        <v>36</v>
      </c>
      <c r="J2596" t="s">
        <v>659</v>
      </c>
      <c r="BM2596">
        <v>97</v>
      </c>
    </row>
    <row r="2597" spans="1:65" x14ac:dyDescent="0.25">
      <c r="A2597">
        <v>37</v>
      </c>
      <c r="J2597" t="s">
        <v>660</v>
      </c>
      <c r="BM2597">
        <v>103</v>
      </c>
    </row>
    <row r="2598" spans="1:65" x14ac:dyDescent="0.25">
      <c r="A2598">
        <v>38</v>
      </c>
      <c r="J2598" t="s">
        <v>662</v>
      </c>
      <c r="BM2598">
        <v>118</v>
      </c>
    </row>
    <row r="2599" spans="1:65" x14ac:dyDescent="0.25">
      <c r="A2599">
        <v>39</v>
      </c>
      <c r="J2599" t="s">
        <v>661</v>
      </c>
      <c r="BM2599">
        <v>344</v>
      </c>
    </row>
    <row r="2600" spans="1:65" x14ac:dyDescent="0.25">
      <c r="A2600" t="s">
        <v>745</v>
      </c>
      <c r="J2600" t="s">
        <v>612</v>
      </c>
      <c r="S2600" t="s">
        <v>613</v>
      </c>
    </row>
    <row r="2601" spans="1:65" x14ac:dyDescent="0.25">
      <c r="A2601" t="s">
        <v>551</v>
      </c>
      <c r="J2601" t="s">
        <v>4436</v>
      </c>
      <c r="S2601" t="s">
        <v>581</v>
      </c>
      <c r="Z2601" t="s">
        <v>621</v>
      </c>
    </row>
    <row r="2602" spans="1:65" x14ac:dyDescent="0.25">
      <c r="A2602" t="s">
        <v>551</v>
      </c>
      <c r="J2602" t="s">
        <v>4436</v>
      </c>
      <c r="S2602" t="s">
        <v>581</v>
      </c>
      <c r="Z2602">
        <v>0.3</v>
      </c>
    </row>
    <row r="2603" spans="1:65" x14ac:dyDescent="0.25">
      <c r="A2603" t="s">
        <v>551</v>
      </c>
      <c r="J2603" t="s">
        <v>4436</v>
      </c>
      <c r="S2603" t="s">
        <v>581</v>
      </c>
    </row>
    <row r="2604" spans="1:65" x14ac:dyDescent="0.25">
      <c r="A2604" t="s">
        <v>551</v>
      </c>
      <c r="J2604" t="s">
        <v>4436</v>
      </c>
      <c r="S2604" t="s">
        <v>581</v>
      </c>
    </row>
    <row r="2605" spans="1:65" x14ac:dyDescent="0.25">
      <c r="A2605" t="s">
        <v>551</v>
      </c>
      <c r="J2605" t="s">
        <v>4436</v>
      </c>
      <c r="S2605" t="s">
        <v>581</v>
      </c>
    </row>
    <row r="2606" spans="1:65" x14ac:dyDescent="0.25">
      <c r="A2606" t="s">
        <v>551</v>
      </c>
      <c r="J2606" t="s">
        <v>4436</v>
      </c>
      <c r="S2606" t="s">
        <v>581</v>
      </c>
    </row>
    <row r="2607" spans="1:65" x14ac:dyDescent="0.25">
      <c r="A2607" t="s">
        <v>551</v>
      </c>
      <c r="J2607" t="s">
        <v>4436</v>
      </c>
      <c r="S2607" t="s">
        <v>581</v>
      </c>
    </row>
    <row r="2608" spans="1:65" x14ac:dyDescent="0.25">
      <c r="A2608" t="s">
        <v>551</v>
      </c>
      <c r="J2608" t="s">
        <v>4436</v>
      </c>
      <c r="S2608" t="s">
        <v>581</v>
      </c>
    </row>
    <row r="2609" spans="1:19" x14ac:dyDescent="0.25">
      <c r="A2609" t="s">
        <v>551</v>
      </c>
      <c r="J2609" t="s">
        <v>4436</v>
      </c>
      <c r="S2609" t="s">
        <v>581</v>
      </c>
    </row>
    <row r="2610" spans="1:19" x14ac:dyDescent="0.25">
      <c r="A2610" t="s">
        <v>551</v>
      </c>
      <c r="J2610" t="s">
        <v>4436</v>
      </c>
      <c r="S2610" t="s">
        <v>581</v>
      </c>
    </row>
    <row r="2611" spans="1:19" x14ac:dyDescent="0.25">
      <c r="A2611" t="s">
        <v>551</v>
      </c>
      <c r="J2611" t="s">
        <v>4436</v>
      </c>
      <c r="S2611" t="s">
        <v>581</v>
      </c>
    </row>
    <row r="2612" spans="1:19" x14ac:dyDescent="0.25">
      <c r="A2612" t="s">
        <v>551</v>
      </c>
      <c r="J2612" t="s">
        <v>4436</v>
      </c>
      <c r="S2612" t="s">
        <v>581</v>
      </c>
    </row>
    <row r="2613" spans="1:19" x14ac:dyDescent="0.25">
      <c r="A2613" t="s">
        <v>551</v>
      </c>
      <c r="J2613" t="s">
        <v>4436</v>
      </c>
      <c r="S2613" t="s">
        <v>581</v>
      </c>
    </row>
    <row r="2614" spans="1:19" x14ac:dyDescent="0.25">
      <c r="A2614" t="s">
        <v>2</v>
      </c>
      <c r="J2614" t="s">
        <v>4436</v>
      </c>
      <c r="S2614" t="s">
        <v>581</v>
      </c>
    </row>
    <row r="2615" spans="1:19" x14ac:dyDescent="0.25">
      <c r="A2615" t="s">
        <v>2</v>
      </c>
      <c r="J2615" t="s">
        <v>4436</v>
      </c>
      <c r="S2615" t="s">
        <v>581</v>
      </c>
    </row>
    <row r="2616" spans="1:19" x14ac:dyDescent="0.25">
      <c r="A2616" t="s">
        <v>2</v>
      </c>
      <c r="J2616" t="s">
        <v>4436</v>
      </c>
      <c r="S2616" t="s">
        <v>581</v>
      </c>
    </row>
    <row r="2617" spans="1:19" x14ac:dyDescent="0.25">
      <c r="A2617" t="s">
        <v>2</v>
      </c>
      <c r="J2617" t="s">
        <v>4436</v>
      </c>
      <c r="S2617" t="s">
        <v>581</v>
      </c>
    </row>
    <row r="2618" spans="1:19" x14ac:dyDescent="0.25">
      <c r="A2618" t="s">
        <v>2</v>
      </c>
      <c r="J2618" t="s">
        <v>4436</v>
      </c>
      <c r="S2618" t="s">
        <v>581</v>
      </c>
    </row>
    <row r="2619" spans="1:19" x14ac:dyDescent="0.25">
      <c r="A2619" t="s">
        <v>2</v>
      </c>
      <c r="J2619" t="s">
        <v>4436</v>
      </c>
      <c r="S2619" t="s">
        <v>581</v>
      </c>
    </row>
    <row r="2620" spans="1:19" x14ac:dyDescent="0.25">
      <c r="A2620" t="s">
        <v>2</v>
      </c>
      <c r="J2620" t="s">
        <v>4436</v>
      </c>
      <c r="S2620" t="s">
        <v>581</v>
      </c>
    </row>
    <row r="2621" spans="1:19" x14ac:dyDescent="0.25">
      <c r="A2621" t="s">
        <v>2</v>
      </c>
      <c r="J2621" t="s">
        <v>4436</v>
      </c>
      <c r="S2621" t="s">
        <v>581</v>
      </c>
    </row>
    <row r="2622" spans="1:19" x14ac:dyDescent="0.25">
      <c r="A2622" t="s">
        <v>2</v>
      </c>
      <c r="J2622" t="s">
        <v>4436</v>
      </c>
      <c r="S2622" t="s">
        <v>581</v>
      </c>
    </row>
    <row r="2623" spans="1:19" x14ac:dyDescent="0.25">
      <c r="A2623" t="s">
        <v>2</v>
      </c>
      <c r="J2623" t="s">
        <v>4436</v>
      </c>
      <c r="S2623" t="s">
        <v>581</v>
      </c>
    </row>
    <row r="2624" spans="1:19" x14ac:dyDescent="0.25">
      <c r="A2624" t="s">
        <v>2</v>
      </c>
      <c r="J2624" t="s">
        <v>4436</v>
      </c>
      <c r="S2624" t="s">
        <v>581</v>
      </c>
    </row>
    <row r="2625" spans="1:72" x14ac:dyDescent="0.25">
      <c r="A2625" t="s">
        <v>2</v>
      </c>
      <c r="J2625" t="s">
        <v>4436</v>
      </c>
      <c r="S2625" t="s">
        <v>581</v>
      </c>
    </row>
    <row r="2626" spans="1:72" x14ac:dyDescent="0.25">
      <c r="A2626" t="s">
        <v>2</v>
      </c>
      <c r="J2626" t="s">
        <v>4436</v>
      </c>
      <c r="S2626" t="s">
        <v>581</v>
      </c>
    </row>
    <row r="2627" spans="1:72" x14ac:dyDescent="0.25">
      <c r="A2627" t="s">
        <v>2</v>
      </c>
      <c r="J2627" t="s">
        <v>4436</v>
      </c>
      <c r="S2627" t="s">
        <v>581</v>
      </c>
    </row>
    <row r="2628" spans="1:72" x14ac:dyDescent="0.25">
      <c r="A2628" t="s">
        <v>2</v>
      </c>
      <c r="J2628" t="s">
        <v>4436</v>
      </c>
      <c r="S2628" t="s">
        <v>581</v>
      </c>
    </row>
    <row r="2629" spans="1:72" x14ac:dyDescent="0.25">
      <c r="A2629" t="s">
        <v>2</v>
      </c>
      <c r="J2629" t="s">
        <v>4436</v>
      </c>
      <c r="S2629" t="s">
        <v>581</v>
      </c>
    </row>
    <row r="2630" spans="1:72" x14ac:dyDescent="0.25">
      <c r="A2630" t="s">
        <v>2</v>
      </c>
      <c r="J2630" t="s">
        <v>4436</v>
      </c>
      <c r="S2630" t="s">
        <v>581</v>
      </c>
    </row>
    <row r="2631" spans="1:72" x14ac:dyDescent="0.25">
      <c r="A2631" t="s">
        <v>2</v>
      </c>
      <c r="J2631" t="s">
        <v>4436</v>
      </c>
      <c r="S2631" t="s">
        <v>581</v>
      </c>
    </row>
    <row r="2632" spans="1:72" x14ac:dyDescent="0.25">
      <c r="A2632" t="s">
        <v>2</v>
      </c>
      <c r="J2632" t="s">
        <v>4436</v>
      </c>
      <c r="S2632" t="s">
        <v>581</v>
      </c>
    </row>
    <row r="2633" spans="1:72" x14ac:dyDescent="0.25">
      <c r="A2633" t="s">
        <v>2</v>
      </c>
      <c r="J2633" t="s">
        <v>4436</v>
      </c>
      <c r="S2633" t="s">
        <v>581</v>
      </c>
    </row>
    <row r="2634" spans="1:72" x14ac:dyDescent="0.25">
      <c r="A2634" t="s">
        <v>2</v>
      </c>
      <c r="J2634" t="s">
        <v>4436</v>
      </c>
      <c r="S2634" t="s">
        <v>581</v>
      </c>
    </row>
    <row r="2635" spans="1:72" x14ac:dyDescent="0.25">
      <c r="A2635" t="s">
        <v>2</v>
      </c>
      <c r="J2635" t="s">
        <v>4436</v>
      </c>
      <c r="S2635" t="s">
        <v>581</v>
      </c>
    </row>
    <row r="2636" spans="1:72" x14ac:dyDescent="0.25">
      <c r="A2636" t="s">
        <v>2</v>
      </c>
      <c r="J2636" t="s">
        <v>4436</v>
      </c>
      <c r="S2636" t="s">
        <v>581</v>
      </c>
    </row>
    <row r="2637" spans="1:72" x14ac:dyDescent="0.25">
      <c r="A2637" t="s">
        <v>2</v>
      </c>
      <c r="J2637" t="s">
        <v>4436</v>
      </c>
      <c r="S2637" t="s">
        <v>581</v>
      </c>
    </row>
    <row r="2638" spans="1:72" x14ac:dyDescent="0.25">
      <c r="A2638" t="s">
        <v>2</v>
      </c>
      <c r="J2638" t="s">
        <v>4436</v>
      </c>
      <c r="S2638" t="s">
        <v>581</v>
      </c>
    </row>
    <row r="2639" spans="1:72" x14ac:dyDescent="0.25">
      <c r="A2639" t="s">
        <v>2</v>
      </c>
      <c r="J2639" t="s">
        <v>4436</v>
      </c>
      <c r="S2639" t="s">
        <v>581</v>
      </c>
    </row>
    <row r="2640" spans="1:72" x14ac:dyDescent="0.25">
      <c r="A2640" t="s">
        <v>541</v>
      </c>
      <c r="J2640" t="s">
        <v>4437</v>
      </c>
      <c r="BT2640" t="s">
        <v>624</v>
      </c>
    </row>
    <row r="2641" spans="1:72" x14ac:dyDescent="0.25">
      <c r="J2641" t="s">
        <v>4438</v>
      </c>
    </row>
    <row r="2642" spans="1:72" x14ac:dyDescent="0.25">
      <c r="A2642">
        <v>1</v>
      </c>
      <c r="J2642" t="s">
        <v>727</v>
      </c>
      <c r="BT2642">
        <v>692</v>
      </c>
    </row>
    <row r="2643" spans="1:72" x14ac:dyDescent="0.25">
      <c r="A2643">
        <v>2</v>
      </c>
      <c r="J2643" t="s">
        <v>4439</v>
      </c>
      <c r="BT2643">
        <v>721</v>
      </c>
    </row>
    <row r="2644" spans="1:72" x14ac:dyDescent="0.25">
      <c r="A2644">
        <v>3</v>
      </c>
      <c r="J2644" t="s">
        <v>4440</v>
      </c>
      <c r="BT2644">
        <v>833</v>
      </c>
    </row>
    <row r="2645" spans="1:72" x14ac:dyDescent="0.25">
      <c r="A2645">
        <v>4</v>
      </c>
      <c r="J2645" t="s">
        <v>4441</v>
      </c>
      <c r="BT2645">
        <v>885</v>
      </c>
    </row>
    <row r="2646" spans="1:72" x14ac:dyDescent="0.25">
      <c r="A2646">
        <v>5</v>
      </c>
      <c r="J2646" t="s">
        <v>4442</v>
      </c>
      <c r="BT2646" t="s">
        <v>4443</v>
      </c>
    </row>
    <row r="2647" spans="1:72" x14ac:dyDescent="0.25">
      <c r="A2647">
        <v>6</v>
      </c>
      <c r="J2647" t="s">
        <v>4444</v>
      </c>
      <c r="BT2647" t="s">
        <v>4445</v>
      </c>
    </row>
    <row r="2648" spans="1:72" x14ac:dyDescent="0.25">
      <c r="A2648">
        <v>7</v>
      </c>
      <c r="J2648" t="s">
        <v>4446</v>
      </c>
      <c r="BT2648" t="s">
        <v>4447</v>
      </c>
    </row>
    <row r="2649" spans="1:72" x14ac:dyDescent="0.25">
      <c r="A2649">
        <v>8</v>
      </c>
      <c r="J2649" t="s">
        <v>4448</v>
      </c>
      <c r="BT2649" t="s">
        <v>4449</v>
      </c>
    </row>
    <row r="2650" spans="1:72" x14ac:dyDescent="0.25">
      <c r="A2650">
        <v>9</v>
      </c>
      <c r="J2650" t="s">
        <v>4450</v>
      </c>
      <c r="BT2650" t="s">
        <v>4451</v>
      </c>
    </row>
    <row r="2651" spans="1:72" x14ac:dyDescent="0.25">
      <c r="A2651">
        <v>10</v>
      </c>
      <c r="J2651" t="s">
        <v>4452</v>
      </c>
      <c r="BT2651" t="s">
        <v>4453</v>
      </c>
    </row>
    <row r="2652" spans="1:72" x14ac:dyDescent="0.25">
      <c r="A2652">
        <v>11</v>
      </c>
      <c r="J2652" t="s">
        <v>4454</v>
      </c>
      <c r="BT2652" t="s">
        <v>4455</v>
      </c>
    </row>
    <row r="2653" spans="1:72" x14ac:dyDescent="0.25">
      <c r="A2653">
        <v>12</v>
      </c>
      <c r="J2653" t="s">
        <v>4456</v>
      </c>
      <c r="BT2653" t="s">
        <v>4457</v>
      </c>
    </row>
    <row r="2654" spans="1:72" x14ac:dyDescent="0.25">
      <c r="A2654">
        <v>13</v>
      </c>
      <c r="J2654" t="s">
        <v>4458</v>
      </c>
      <c r="BT2654" t="s">
        <v>4459</v>
      </c>
    </row>
    <row r="2655" spans="1:72" x14ac:dyDescent="0.25">
      <c r="A2655">
        <v>14</v>
      </c>
      <c r="J2655" t="s">
        <v>4460</v>
      </c>
      <c r="BT2655" t="s">
        <v>4461</v>
      </c>
    </row>
    <row r="2656" spans="1:72" x14ac:dyDescent="0.25">
      <c r="A2656">
        <v>15</v>
      </c>
      <c r="J2656" t="s">
        <v>4462</v>
      </c>
      <c r="BT2656" t="s">
        <v>4463</v>
      </c>
    </row>
    <row r="2657" spans="1:72" x14ac:dyDescent="0.25">
      <c r="J2657" t="s">
        <v>4464</v>
      </c>
    </row>
    <row r="2658" spans="1:72" x14ac:dyDescent="0.25">
      <c r="J2658" t="s">
        <v>4465</v>
      </c>
    </row>
    <row r="2659" spans="1:72" x14ac:dyDescent="0.25">
      <c r="A2659">
        <v>15</v>
      </c>
      <c r="J2659" t="s">
        <v>4466</v>
      </c>
      <c r="BT2659" t="s">
        <v>4467</v>
      </c>
    </row>
    <row r="2660" spans="1:72" x14ac:dyDescent="0.25">
      <c r="A2660">
        <v>16</v>
      </c>
      <c r="J2660" t="s">
        <v>4468</v>
      </c>
      <c r="BT2660" t="s">
        <v>4469</v>
      </c>
    </row>
    <row r="2661" spans="1:72" x14ac:dyDescent="0.25">
      <c r="A2661">
        <v>17</v>
      </c>
      <c r="J2661" t="s">
        <v>4470</v>
      </c>
      <c r="BT2661" t="s">
        <v>4471</v>
      </c>
    </row>
    <row r="2662" spans="1:72" x14ac:dyDescent="0.25">
      <c r="A2662">
        <v>18</v>
      </c>
      <c r="J2662" t="s">
        <v>4472</v>
      </c>
      <c r="BT2662" t="s">
        <v>4473</v>
      </c>
    </row>
    <row r="2663" spans="1:72" x14ac:dyDescent="0.25">
      <c r="A2663">
        <v>19</v>
      </c>
      <c r="J2663" t="s">
        <v>4474</v>
      </c>
      <c r="BT2663" t="s">
        <v>4475</v>
      </c>
    </row>
    <row r="2664" spans="1:72" x14ac:dyDescent="0.25">
      <c r="A2664">
        <v>20</v>
      </c>
      <c r="J2664" t="s">
        <v>4476</v>
      </c>
      <c r="BT2664" t="s">
        <v>4477</v>
      </c>
    </row>
    <row r="2665" spans="1:72" x14ac:dyDescent="0.25">
      <c r="A2665">
        <v>21</v>
      </c>
      <c r="J2665" t="s">
        <v>4478</v>
      </c>
      <c r="BT2665" t="s">
        <v>4479</v>
      </c>
    </row>
    <row r="2666" spans="1:72" x14ac:dyDescent="0.25">
      <c r="A2666">
        <v>22</v>
      </c>
      <c r="J2666" t="s">
        <v>4480</v>
      </c>
      <c r="BT2666" t="s">
        <v>4481</v>
      </c>
    </row>
    <row r="2667" spans="1:72" x14ac:dyDescent="0.25">
      <c r="J2667" t="s">
        <v>4482</v>
      </c>
    </row>
    <row r="2668" spans="1:72" x14ac:dyDescent="0.25">
      <c r="A2668">
        <v>23</v>
      </c>
      <c r="J2668" t="s">
        <v>4483</v>
      </c>
      <c r="BT2668">
        <v>301</v>
      </c>
    </row>
    <row r="2669" spans="1:72" x14ac:dyDescent="0.25">
      <c r="A2669">
        <v>24</v>
      </c>
      <c r="J2669" t="s">
        <v>4484</v>
      </c>
      <c r="BT2669">
        <v>301</v>
      </c>
    </row>
    <row r="2670" spans="1:72" x14ac:dyDescent="0.25">
      <c r="A2670">
        <v>25</v>
      </c>
      <c r="J2670" t="s">
        <v>4485</v>
      </c>
      <c r="BT2670">
        <v>310</v>
      </c>
    </row>
    <row r="2671" spans="1:72" x14ac:dyDescent="0.25">
      <c r="A2671">
        <v>26</v>
      </c>
      <c r="J2671" t="s">
        <v>4486</v>
      </c>
      <c r="BT2671">
        <v>373</v>
      </c>
    </row>
    <row r="2672" spans="1:72" x14ac:dyDescent="0.25">
      <c r="A2672">
        <v>27</v>
      </c>
      <c r="J2672" t="s">
        <v>4487</v>
      </c>
      <c r="BT2672">
        <v>491</v>
      </c>
    </row>
    <row r="2673" spans="1:72" x14ac:dyDescent="0.25">
      <c r="A2673">
        <v>28</v>
      </c>
      <c r="J2673" t="s">
        <v>4488</v>
      </c>
      <c r="BT2673">
        <v>402</v>
      </c>
    </row>
    <row r="2674" spans="1:72" x14ac:dyDescent="0.25">
      <c r="A2674">
        <v>29</v>
      </c>
      <c r="J2674" t="s">
        <v>4489</v>
      </c>
      <c r="BT2674">
        <v>482</v>
      </c>
    </row>
    <row r="2675" spans="1:72" x14ac:dyDescent="0.25">
      <c r="A2675">
        <v>30</v>
      </c>
      <c r="J2675" t="s">
        <v>4490</v>
      </c>
      <c r="BT2675">
        <v>555</v>
      </c>
    </row>
    <row r="2676" spans="1:72" x14ac:dyDescent="0.25">
      <c r="A2676">
        <v>31</v>
      </c>
      <c r="J2676" t="s">
        <v>4491</v>
      </c>
      <c r="BT2676">
        <v>615</v>
      </c>
    </row>
    <row r="2677" spans="1:72" x14ac:dyDescent="0.25">
      <c r="A2677">
        <v>32</v>
      </c>
      <c r="J2677" t="s">
        <v>4492</v>
      </c>
      <c r="BT2677">
        <v>520</v>
      </c>
    </row>
    <row r="2678" spans="1:72" x14ac:dyDescent="0.25">
      <c r="A2678">
        <v>33</v>
      </c>
      <c r="J2678" t="s">
        <v>4493</v>
      </c>
      <c r="BT2678">
        <v>603</v>
      </c>
    </row>
    <row r="2679" spans="1:72" x14ac:dyDescent="0.25">
      <c r="A2679">
        <v>34</v>
      </c>
      <c r="J2679" t="s">
        <v>4494</v>
      </c>
      <c r="BT2679">
        <v>497</v>
      </c>
    </row>
    <row r="2680" spans="1:72" x14ac:dyDescent="0.25">
      <c r="A2680">
        <v>35</v>
      </c>
      <c r="J2680" t="s">
        <v>4495</v>
      </c>
      <c r="BT2680">
        <v>576</v>
      </c>
    </row>
    <row r="2681" spans="1:72" x14ac:dyDescent="0.25">
      <c r="A2681">
        <v>36</v>
      </c>
      <c r="J2681" t="s">
        <v>4496</v>
      </c>
      <c r="BT2681">
        <v>786</v>
      </c>
    </row>
    <row r="2682" spans="1:72" x14ac:dyDescent="0.25">
      <c r="A2682">
        <v>37</v>
      </c>
      <c r="J2682" t="s">
        <v>4497</v>
      </c>
      <c r="BT2682">
        <v>797</v>
      </c>
    </row>
    <row r="2683" spans="1:72" x14ac:dyDescent="0.25">
      <c r="A2683">
        <v>38</v>
      </c>
      <c r="J2683" t="s">
        <v>4498</v>
      </c>
      <c r="BT2683">
        <v>868</v>
      </c>
    </row>
    <row r="2684" spans="1:72" x14ac:dyDescent="0.25">
      <c r="A2684">
        <v>39</v>
      </c>
      <c r="J2684" t="s">
        <v>4499</v>
      </c>
      <c r="BT2684">
        <v>615</v>
      </c>
    </row>
    <row r="2685" spans="1:72" x14ac:dyDescent="0.25">
      <c r="A2685">
        <v>40</v>
      </c>
      <c r="J2685" t="s">
        <v>4500</v>
      </c>
      <c r="BT2685">
        <v>612</v>
      </c>
    </row>
    <row r="2686" spans="1:72" x14ac:dyDescent="0.25">
      <c r="A2686">
        <v>41</v>
      </c>
      <c r="J2686" t="s">
        <v>4501</v>
      </c>
      <c r="BT2686">
        <v>730</v>
      </c>
    </row>
    <row r="2687" spans="1:72" x14ac:dyDescent="0.25">
      <c r="A2687">
        <v>42</v>
      </c>
      <c r="J2687" t="s">
        <v>4502</v>
      </c>
      <c r="BT2687">
        <v>622</v>
      </c>
    </row>
    <row r="2688" spans="1:72" x14ac:dyDescent="0.25">
      <c r="A2688">
        <v>43</v>
      </c>
      <c r="J2688" t="s">
        <v>4503</v>
      </c>
      <c r="BT2688">
        <v>631</v>
      </c>
    </row>
    <row r="2689" spans="1:72" x14ac:dyDescent="0.25">
      <c r="A2689">
        <v>44</v>
      </c>
      <c r="J2689" t="s">
        <v>4504</v>
      </c>
      <c r="BT2689">
        <v>809</v>
      </c>
    </row>
    <row r="2690" spans="1:72" x14ac:dyDescent="0.25">
      <c r="J2690" t="s">
        <v>4505</v>
      </c>
    </row>
    <row r="2691" spans="1:72" x14ac:dyDescent="0.25">
      <c r="J2691" t="s">
        <v>4506</v>
      </c>
    </row>
    <row r="2692" spans="1:72" x14ac:dyDescent="0.25">
      <c r="A2692">
        <v>45</v>
      </c>
      <c r="J2692" t="s">
        <v>4507</v>
      </c>
      <c r="BT2692" t="s">
        <v>4508</v>
      </c>
    </row>
    <row r="2693" spans="1:72" x14ac:dyDescent="0.25">
      <c r="A2693">
        <v>46</v>
      </c>
      <c r="J2693" t="s">
        <v>4509</v>
      </c>
      <c r="BT2693" t="s">
        <v>4510</v>
      </c>
    </row>
    <row r="2694" spans="1:72" x14ac:dyDescent="0.25">
      <c r="A2694">
        <v>47</v>
      </c>
      <c r="J2694" t="s">
        <v>4511</v>
      </c>
      <c r="BT2694" t="s">
        <v>4512</v>
      </c>
    </row>
    <row r="2695" spans="1:72" x14ac:dyDescent="0.25">
      <c r="A2695">
        <v>48</v>
      </c>
      <c r="J2695" t="s">
        <v>4513</v>
      </c>
      <c r="BT2695" t="s">
        <v>4514</v>
      </c>
    </row>
    <row r="2696" spans="1:72" x14ac:dyDescent="0.25">
      <c r="A2696">
        <v>49</v>
      </c>
      <c r="J2696" t="s">
        <v>4515</v>
      </c>
      <c r="BT2696" t="s">
        <v>4516</v>
      </c>
    </row>
    <row r="2697" spans="1:72" x14ac:dyDescent="0.25">
      <c r="A2697">
        <v>50</v>
      </c>
      <c r="J2697" t="s">
        <v>4517</v>
      </c>
      <c r="BT2697" t="s">
        <v>4518</v>
      </c>
    </row>
    <row r="2698" spans="1:72" x14ac:dyDescent="0.25">
      <c r="A2698">
        <v>51</v>
      </c>
      <c r="J2698" t="s">
        <v>4519</v>
      </c>
      <c r="BT2698" t="s">
        <v>4520</v>
      </c>
    </row>
    <row r="2699" spans="1:72" x14ac:dyDescent="0.25">
      <c r="A2699">
        <v>52</v>
      </c>
      <c r="J2699" t="s">
        <v>4521</v>
      </c>
      <c r="BT2699" t="s">
        <v>4522</v>
      </c>
    </row>
    <row r="2700" spans="1:72" x14ac:dyDescent="0.25">
      <c r="J2700" t="s">
        <v>4523</v>
      </c>
    </row>
    <row r="2701" spans="1:72" x14ac:dyDescent="0.25">
      <c r="A2701">
        <v>53</v>
      </c>
      <c r="J2701" t="s">
        <v>4524</v>
      </c>
      <c r="BT2701" t="s">
        <v>4525</v>
      </c>
    </row>
    <row r="2702" spans="1:72" x14ac:dyDescent="0.25">
      <c r="A2702">
        <v>54</v>
      </c>
      <c r="J2702" t="s">
        <v>4526</v>
      </c>
      <c r="BT2702" t="s">
        <v>4527</v>
      </c>
    </row>
    <row r="2703" spans="1:72" x14ac:dyDescent="0.25">
      <c r="A2703">
        <v>55</v>
      </c>
      <c r="J2703" t="s">
        <v>4528</v>
      </c>
      <c r="BT2703" t="s">
        <v>4529</v>
      </c>
    </row>
    <row r="2704" spans="1:72" x14ac:dyDescent="0.25">
      <c r="A2704">
        <v>56</v>
      </c>
      <c r="J2704" t="s">
        <v>4530</v>
      </c>
      <c r="BT2704" t="s">
        <v>4531</v>
      </c>
    </row>
    <row r="2705" spans="1:72" x14ac:dyDescent="0.25">
      <c r="A2705">
        <v>57</v>
      </c>
      <c r="J2705" t="s">
        <v>4532</v>
      </c>
      <c r="BT2705" t="s">
        <v>4533</v>
      </c>
    </row>
    <row r="2706" spans="1:72" x14ac:dyDescent="0.25">
      <c r="A2706">
        <v>58</v>
      </c>
      <c r="J2706" t="s">
        <v>4534</v>
      </c>
      <c r="BT2706" t="s">
        <v>4535</v>
      </c>
    </row>
    <row r="2707" spans="1:72" x14ac:dyDescent="0.25">
      <c r="A2707">
        <v>59</v>
      </c>
      <c r="J2707" t="s">
        <v>4536</v>
      </c>
      <c r="BT2707" t="s">
        <v>4537</v>
      </c>
    </row>
    <row r="2708" spans="1:72" x14ac:dyDescent="0.25">
      <c r="A2708">
        <v>60</v>
      </c>
      <c r="J2708" t="s">
        <v>4538</v>
      </c>
      <c r="BT2708" t="s">
        <v>4539</v>
      </c>
    </row>
    <row r="2709" spans="1:72" x14ac:dyDescent="0.25">
      <c r="A2709">
        <v>61</v>
      </c>
      <c r="J2709" t="s">
        <v>4540</v>
      </c>
      <c r="BT2709" t="s">
        <v>4541</v>
      </c>
    </row>
    <row r="2710" spans="1:72" x14ac:dyDescent="0.25">
      <c r="A2710">
        <v>62</v>
      </c>
      <c r="J2710" t="s">
        <v>867</v>
      </c>
      <c r="BT2710" t="s">
        <v>4542</v>
      </c>
    </row>
    <row r="2711" spans="1:72" x14ac:dyDescent="0.25">
      <c r="J2711" t="s">
        <v>4543</v>
      </c>
    </row>
    <row r="2712" spans="1:72" x14ac:dyDescent="0.25">
      <c r="A2712">
        <v>63</v>
      </c>
      <c r="J2712" t="s">
        <v>729</v>
      </c>
      <c r="BT2712" t="s">
        <v>4544</v>
      </c>
    </row>
    <row r="2713" spans="1:72" x14ac:dyDescent="0.25">
      <c r="A2713">
        <v>64</v>
      </c>
      <c r="J2713" t="s">
        <v>728</v>
      </c>
      <c r="BT2713" t="s">
        <v>4545</v>
      </c>
    </row>
    <row r="2714" spans="1:72" x14ac:dyDescent="0.25">
      <c r="A2714">
        <v>65</v>
      </c>
      <c r="J2714" t="s">
        <v>730</v>
      </c>
      <c r="BT2714" t="s">
        <v>4546</v>
      </c>
    </row>
    <row r="2715" spans="1:72" x14ac:dyDescent="0.25">
      <c r="A2715">
        <v>66</v>
      </c>
      <c r="J2715" t="s">
        <v>731</v>
      </c>
      <c r="BT2715" t="s">
        <v>4547</v>
      </c>
    </row>
    <row r="2716" spans="1:72" x14ac:dyDescent="0.25">
      <c r="A2716">
        <v>67</v>
      </c>
      <c r="J2716" t="s">
        <v>732</v>
      </c>
      <c r="BT2716" t="s">
        <v>4548</v>
      </c>
    </row>
    <row r="2717" spans="1:72" x14ac:dyDescent="0.25">
      <c r="J2717" t="s">
        <v>4549</v>
      </c>
    </row>
    <row r="2718" spans="1:72" x14ac:dyDescent="0.25">
      <c r="A2718">
        <v>68</v>
      </c>
      <c r="J2718" t="s">
        <v>725</v>
      </c>
      <c r="BT2718" t="s">
        <v>4550</v>
      </c>
    </row>
    <row r="2719" spans="1:72" x14ac:dyDescent="0.25">
      <c r="A2719">
        <v>69</v>
      </c>
      <c r="J2719" t="s">
        <v>726</v>
      </c>
      <c r="BT2719" t="s">
        <v>4551</v>
      </c>
    </row>
    <row r="2720" spans="1:72" x14ac:dyDescent="0.25">
      <c r="A2720">
        <v>70</v>
      </c>
      <c r="J2720" t="s">
        <v>733</v>
      </c>
      <c r="BT2720" t="s">
        <v>4552</v>
      </c>
    </row>
    <row r="2721" spans="1:72" x14ac:dyDescent="0.25">
      <c r="J2721" t="s">
        <v>4553</v>
      </c>
    </row>
    <row r="2722" spans="1:72" x14ac:dyDescent="0.25">
      <c r="A2722">
        <v>71</v>
      </c>
      <c r="J2722" t="s">
        <v>673</v>
      </c>
      <c r="BT2722" t="s">
        <v>4554</v>
      </c>
    </row>
    <row r="2723" spans="1:72" x14ac:dyDescent="0.25">
      <c r="A2723">
        <v>72</v>
      </c>
      <c r="J2723" t="s">
        <v>672</v>
      </c>
      <c r="BT2723" t="s">
        <v>4555</v>
      </c>
    </row>
    <row r="2724" spans="1:72" x14ac:dyDescent="0.25">
      <c r="A2724">
        <v>73</v>
      </c>
      <c r="J2724" t="s">
        <v>671</v>
      </c>
      <c r="BT2724" t="s">
        <v>4556</v>
      </c>
    </row>
    <row r="2725" spans="1:72" x14ac:dyDescent="0.25">
      <c r="A2725">
        <v>74</v>
      </c>
      <c r="J2725" t="s">
        <v>705</v>
      </c>
      <c r="BT2725" t="s">
        <v>4557</v>
      </c>
    </row>
    <row r="2726" spans="1:72" x14ac:dyDescent="0.25">
      <c r="A2726">
        <v>75</v>
      </c>
      <c r="J2726" t="s">
        <v>706</v>
      </c>
      <c r="BT2726" t="s">
        <v>4558</v>
      </c>
    </row>
    <row r="2727" spans="1:72" x14ac:dyDescent="0.25">
      <c r="A2727">
        <v>76</v>
      </c>
      <c r="J2727" t="s">
        <v>707</v>
      </c>
      <c r="BT2727" t="s">
        <v>4559</v>
      </c>
    </row>
    <row r="2728" spans="1:72" x14ac:dyDescent="0.25">
      <c r="A2728">
        <v>77</v>
      </c>
      <c r="J2728" t="s">
        <v>708</v>
      </c>
      <c r="BT2728" t="s">
        <v>4560</v>
      </c>
    </row>
    <row r="2729" spans="1:72" x14ac:dyDescent="0.25">
      <c r="A2729">
        <v>78</v>
      </c>
      <c r="J2729" t="s">
        <v>670</v>
      </c>
      <c r="BT2729" t="s">
        <v>4561</v>
      </c>
    </row>
    <row r="2730" spans="1:72" x14ac:dyDescent="0.25">
      <c r="A2730">
        <v>79</v>
      </c>
      <c r="J2730" t="s">
        <v>669</v>
      </c>
      <c r="BT2730" t="s">
        <v>4557</v>
      </c>
    </row>
    <row r="2731" spans="1:72" x14ac:dyDescent="0.25">
      <c r="A2731">
        <v>80</v>
      </c>
      <c r="J2731" t="s">
        <v>668</v>
      </c>
      <c r="BT2731" t="s">
        <v>4562</v>
      </c>
    </row>
    <row r="2732" spans="1:72" x14ac:dyDescent="0.25">
      <c r="A2732">
        <v>81</v>
      </c>
      <c r="J2732" t="s">
        <v>709</v>
      </c>
      <c r="BT2732" t="s">
        <v>4563</v>
      </c>
    </row>
    <row r="2733" spans="1:72" x14ac:dyDescent="0.25">
      <c r="A2733">
        <v>82</v>
      </c>
      <c r="J2733" t="s">
        <v>710</v>
      </c>
      <c r="BT2733" t="s">
        <v>4564</v>
      </c>
    </row>
    <row r="2734" spans="1:72" x14ac:dyDescent="0.25">
      <c r="A2734">
        <v>83</v>
      </c>
      <c r="J2734" t="s">
        <v>711</v>
      </c>
      <c r="BT2734" t="s">
        <v>4565</v>
      </c>
    </row>
    <row r="2735" spans="1:72" x14ac:dyDescent="0.25">
      <c r="A2735">
        <v>84</v>
      </c>
      <c r="J2735" t="s">
        <v>712</v>
      </c>
      <c r="BT2735" t="s">
        <v>4566</v>
      </c>
    </row>
    <row r="2736" spans="1:72" x14ac:dyDescent="0.25">
      <c r="A2736">
        <v>85</v>
      </c>
      <c r="J2736" t="s">
        <v>667</v>
      </c>
      <c r="BT2736" t="s">
        <v>4567</v>
      </c>
    </row>
    <row r="2737" spans="1:77" x14ac:dyDescent="0.25">
      <c r="A2737">
        <v>86</v>
      </c>
      <c r="J2737" t="s">
        <v>666</v>
      </c>
      <c r="BT2737" t="s">
        <v>4568</v>
      </c>
    </row>
    <row r="2738" spans="1:77" x14ac:dyDescent="0.25">
      <c r="A2738">
        <v>87</v>
      </c>
      <c r="J2738" t="s">
        <v>665</v>
      </c>
      <c r="BT2738" t="s">
        <v>4569</v>
      </c>
    </row>
    <row r="2739" spans="1:77" x14ac:dyDescent="0.25">
      <c r="A2739">
        <v>87</v>
      </c>
      <c r="J2739" t="s">
        <v>872</v>
      </c>
      <c r="BT2739" t="s">
        <v>4570</v>
      </c>
    </row>
    <row r="2740" spans="1:77" x14ac:dyDescent="0.25">
      <c r="A2740">
        <v>87</v>
      </c>
      <c r="R2740" t="s">
        <v>874</v>
      </c>
      <c r="BY2740" t="s">
        <v>4571</v>
      </c>
    </row>
    <row r="2741" spans="1:77" x14ac:dyDescent="0.25">
      <c r="A2741">
        <v>87</v>
      </c>
      <c r="R2741" t="s">
        <v>873</v>
      </c>
      <c r="BY2741" t="s">
        <v>4572</v>
      </c>
    </row>
    <row r="2742" spans="1:77" x14ac:dyDescent="0.25">
      <c r="A2742">
        <v>87</v>
      </c>
      <c r="R2742" t="s">
        <v>875</v>
      </c>
      <c r="BY2742" t="s">
        <v>4573</v>
      </c>
    </row>
    <row r="2743" spans="1:77" x14ac:dyDescent="0.25">
      <c r="A2743">
        <v>88</v>
      </c>
      <c r="R2743" t="s">
        <v>664</v>
      </c>
      <c r="BY2743" t="s">
        <v>4574</v>
      </c>
    </row>
    <row r="2744" spans="1:77" x14ac:dyDescent="0.25">
      <c r="A2744">
        <v>89</v>
      </c>
      <c r="R2744" t="s">
        <v>663</v>
      </c>
      <c r="BY2744" t="s">
        <v>4575</v>
      </c>
    </row>
    <row r="2745" spans="1:77" x14ac:dyDescent="0.25">
      <c r="A2745">
        <v>90</v>
      </c>
      <c r="R2745" t="s">
        <v>868</v>
      </c>
      <c r="BY2745" t="s">
        <v>4576</v>
      </c>
    </row>
    <row r="2746" spans="1:77" x14ac:dyDescent="0.25">
      <c r="A2746">
        <v>91</v>
      </c>
      <c r="R2746" t="s">
        <v>869</v>
      </c>
      <c r="BY2746" t="s">
        <v>4577</v>
      </c>
    </row>
    <row r="2747" spans="1:77" x14ac:dyDescent="0.25">
      <c r="A2747">
        <v>92</v>
      </c>
      <c r="R2747" t="s">
        <v>870</v>
      </c>
      <c r="BY2747" t="s">
        <v>4578</v>
      </c>
    </row>
    <row r="2748" spans="1:77" x14ac:dyDescent="0.25">
      <c r="A2748">
        <v>93</v>
      </c>
      <c r="R2748" t="s">
        <v>871</v>
      </c>
      <c r="BY2748" t="s">
        <v>4579</v>
      </c>
    </row>
    <row r="2749" spans="1:77" x14ac:dyDescent="0.25">
      <c r="A2749" t="s">
        <v>745</v>
      </c>
      <c r="J2749" t="s">
        <v>612</v>
      </c>
      <c r="S2749" t="s">
        <v>613</v>
      </c>
    </row>
    <row r="2751" spans="1:77" x14ac:dyDescent="0.25">
      <c r="A2751" t="s">
        <v>2</v>
      </c>
      <c r="J2751" t="s">
        <v>4580</v>
      </c>
      <c r="S2751" t="s">
        <v>581</v>
      </c>
    </row>
    <row r="2752" spans="1:77" x14ac:dyDescent="0.25">
      <c r="A2752" t="s">
        <v>2</v>
      </c>
      <c r="J2752" t="s">
        <v>4580</v>
      </c>
      <c r="S2752" t="s">
        <v>581</v>
      </c>
    </row>
    <row r="2753" spans="1:19" x14ac:dyDescent="0.25">
      <c r="A2753" t="s">
        <v>2</v>
      </c>
      <c r="J2753" t="s">
        <v>4581</v>
      </c>
      <c r="S2753" t="s">
        <v>581</v>
      </c>
    </row>
    <row r="2754" spans="1:19" x14ac:dyDescent="0.25">
      <c r="A2754" t="s">
        <v>2</v>
      </c>
      <c r="J2754" t="s">
        <v>4581</v>
      </c>
      <c r="S2754" t="s">
        <v>581</v>
      </c>
    </row>
    <row r="2755" spans="1:19" x14ac:dyDescent="0.25">
      <c r="A2755" t="s">
        <v>2</v>
      </c>
      <c r="J2755" t="s">
        <v>4581</v>
      </c>
      <c r="S2755" t="s">
        <v>581</v>
      </c>
    </row>
    <row r="2756" spans="1:19" x14ac:dyDescent="0.25">
      <c r="A2756" t="s">
        <v>2</v>
      </c>
      <c r="J2756" t="s">
        <v>4581</v>
      </c>
      <c r="S2756" t="s">
        <v>581</v>
      </c>
    </row>
    <row r="2757" spans="1:19" x14ac:dyDescent="0.25">
      <c r="A2757" t="s">
        <v>2</v>
      </c>
      <c r="J2757" t="s">
        <v>4580</v>
      </c>
      <c r="S2757" t="s">
        <v>581</v>
      </c>
    </row>
    <row r="2758" spans="1:19" x14ac:dyDescent="0.25">
      <c r="A2758" t="s">
        <v>2</v>
      </c>
      <c r="J2758" t="s">
        <v>4580</v>
      </c>
      <c r="S2758" t="s">
        <v>581</v>
      </c>
    </row>
    <row r="2759" spans="1:19" x14ac:dyDescent="0.25">
      <c r="A2759" t="s">
        <v>2</v>
      </c>
      <c r="J2759" t="s">
        <v>4581</v>
      </c>
      <c r="S2759" t="s">
        <v>581</v>
      </c>
    </row>
    <row r="2760" spans="1:19" x14ac:dyDescent="0.25">
      <c r="A2760" t="s">
        <v>2</v>
      </c>
      <c r="J2760" t="s">
        <v>4581</v>
      </c>
      <c r="S2760" t="s">
        <v>581</v>
      </c>
    </row>
    <row r="2761" spans="1:19" x14ac:dyDescent="0.25">
      <c r="A2761" t="s">
        <v>2</v>
      </c>
      <c r="J2761" t="s">
        <v>4580</v>
      </c>
      <c r="S2761" t="s">
        <v>581</v>
      </c>
    </row>
    <row r="2762" spans="1:19" x14ac:dyDescent="0.25">
      <c r="A2762" t="s">
        <v>2</v>
      </c>
      <c r="J2762" t="s">
        <v>4580</v>
      </c>
      <c r="S2762" t="s">
        <v>581</v>
      </c>
    </row>
    <row r="2763" spans="1:19" x14ac:dyDescent="0.25">
      <c r="A2763" t="s">
        <v>2</v>
      </c>
      <c r="J2763" t="s">
        <v>4580</v>
      </c>
      <c r="S2763" t="s">
        <v>581</v>
      </c>
    </row>
    <row r="2764" spans="1:19" x14ac:dyDescent="0.25">
      <c r="A2764" t="s">
        <v>2</v>
      </c>
      <c r="J2764" t="s">
        <v>4580</v>
      </c>
      <c r="S2764" t="s">
        <v>581</v>
      </c>
    </row>
    <row r="2765" spans="1:19" x14ac:dyDescent="0.25">
      <c r="A2765" t="s">
        <v>2</v>
      </c>
      <c r="J2765" t="s">
        <v>4580</v>
      </c>
      <c r="S2765" t="s">
        <v>581</v>
      </c>
    </row>
    <row r="2767" spans="1:19" x14ac:dyDescent="0.25">
      <c r="A2767" t="s">
        <v>2</v>
      </c>
      <c r="J2767" t="s">
        <v>4580</v>
      </c>
      <c r="S2767" t="s">
        <v>581</v>
      </c>
    </row>
    <row r="2768" spans="1:19" x14ac:dyDescent="0.25">
      <c r="A2768" t="s">
        <v>2</v>
      </c>
      <c r="J2768" t="s">
        <v>4581</v>
      </c>
      <c r="S2768" t="s">
        <v>581</v>
      </c>
    </row>
    <row r="2769" spans="1:19" x14ac:dyDescent="0.25">
      <c r="A2769" t="s">
        <v>2</v>
      </c>
      <c r="J2769" t="s">
        <v>4581</v>
      </c>
      <c r="S2769" t="s">
        <v>581</v>
      </c>
    </row>
    <row r="2770" spans="1:19" x14ac:dyDescent="0.25">
      <c r="A2770" t="s">
        <v>2</v>
      </c>
      <c r="J2770" t="s">
        <v>4581</v>
      </c>
      <c r="S2770" t="s">
        <v>581</v>
      </c>
    </row>
    <row r="2771" spans="1:19" x14ac:dyDescent="0.25">
      <c r="A2771" t="s">
        <v>2</v>
      </c>
      <c r="J2771" t="s">
        <v>4581</v>
      </c>
      <c r="S2771" t="s">
        <v>581</v>
      </c>
    </row>
    <row r="2772" spans="1:19" x14ac:dyDescent="0.25">
      <c r="A2772" t="s">
        <v>2</v>
      </c>
      <c r="J2772" t="s">
        <v>4581</v>
      </c>
      <c r="S2772" t="s">
        <v>581</v>
      </c>
    </row>
    <row r="2773" spans="1:19" x14ac:dyDescent="0.25">
      <c r="A2773" t="s">
        <v>2</v>
      </c>
      <c r="J2773" t="s">
        <v>4581</v>
      </c>
      <c r="S2773" t="s">
        <v>581</v>
      </c>
    </row>
    <row r="2774" spans="1:19" x14ac:dyDescent="0.25">
      <c r="A2774" t="s">
        <v>2</v>
      </c>
      <c r="J2774" t="s">
        <v>4581</v>
      </c>
      <c r="S2774" t="s">
        <v>581</v>
      </c>
    </row>
    <row r="2776" spans="1:19" x14ac:dyDescent="0.25">
      <c r="A2776" t="s">
        <v>2</v>
      </c>
      <c r="J2776" t="s">
        <v>4581</v>
      </c>
      <c r="S2776" t="s">
        <v>581</v>
      </c>
    </row>
    <row r="2777" spans="1:19" x14ac:dyDescent="0.25">
      <c r="A2777" t="s">
        <v>2</v>
      </c>
      <c r="J2777" t="s">
        <v>4581</v>
      </c>
      <c r="S2777" t="s">
        <v>581</v>
      </c>
    </row>
    <row r="2778" spans="1:19" x14ac:dyDescent="0.25">
      <c r="A2778" t="s">
        <v>2</v>
      </c>
      <c r="J2778" t="s">
        <v>4581</v>
      </c>
      <c r="S2778" t="s">
        <v>581</v>
      </c>
    </row>
    <row r="2779" spans="1:19" x14ac:dyDescent="0.25">
      <c r="A2779" t="s">
        <v>2</v>
      </c>
      <c r="J2779" t="s">
        <v>4581</v>
      </c>
      <c r="S2779" t="s">
        <v>581</v>
      </c>
    </row>
    <row r="2780" spans="1:19" x14ac:dyDescent="0.25">
      <c r="A2780" t="s">
        <v>2</v>
      </c>
      <c r="J2780" t="s">
        <v>4581</v>
      </c>
      <c r="S2780" t="s">
        <v>581</v>
      </c>
    </row>
    <row r="2781" spans="1:19" x14ac:dyDescent="0.25">
      <c r="A2781" t="s">
        <v>2</v>
      </c>
      <c r="J2781" t="s">
        <v>4581</v>
      </c>
      <c r="S2781" t="s">
        <v>581</v>
      </c>
    </row>
    <row r="2782" spans="1:19" x14ac:dyDescent="0.25">
      <c r="A2782" t="s">
        <v>2</v>
      </c>
      <c r="J2782" t="s">
        <v>4581</v>
      </c>
      <c r="S2782" t="s">
        <v>581</v>
      </c>
    </row>
    <row r="2783" spans="1:19" x14ac:dyDescent="0.25">
      <c r="A2783" t="s">
        <v>2</v>
      </c>
      <c r="J2783" t="s">
        <v>4581</v>
      </c>
      <c r="S2783" t="s">
        <v>581</v>
      </c>
    </row>
    <row r="2784" spans="1:19" x14ac:dyDescent="0.25">
      <c r="A2784" t="s">
        <v>2</v>
      </c>
      <c r="J2784" t="s">
        <v>4581</v>
      </c>
      <c r="S2784" t="s">
        <v>581</v>
      </c>
    </row>
    <row r="2785" spans="1:19" x14ac:dyDescent="0.25">
      <c r="A2785" t="s">
        <v>2</v>
      </c>
      <c r="J2785" t="s">
        <v>4581</v>
      </c>
      <c r="S2785" t="s">
        <v>581</v>
      </c>
    </row>
    <row r="2786" spans="1:19" x14ac:dyDescent="0.25">
      <c r="A2786" t="s">
        <v>2</v>
      </c>
      <c r="J2786" t="s">
        <v>4581</v>
      </c>
      <c r="S2786" t="s">
        <v>581</v>
      </c>
    </row>
    <row r="2787" spans="1:19" x14ac:dyDescent="0.25">
      <c r="A2787" t="s">
        <v>2</v>
      </c>
      <c r="J2787" t="s">
        <v>4581</v>
      </c>
      <c r="S2787" t="s">
        <v>581</v>
      </c>
    </row>
    <row r="2788" spans="1:19" x14ac:dyDescent="0.25">
      <c r="A2788" t="s">
        <v>2</v>
      </c>
      <c r="J2788" t="s">
        <v>4581</v>
      </c>
      <c r="S2788" t="s">
        <v>581</v>
      </c>
    </row>
    <row r="2789" spans="1:19" x14ac:dyDescent="0.25">
      <c r="A2789" t="s">
        <v>2</v>
      </c>
      <c r="J2789" t="s">
        <v>4581</v>
      </c>
      <c r="S2789" t="s">
        <v>581</v>
      </c>
    </row>
    <row r="2790" spans="1:19" x14ac:dyDescent="0.25">
      <c r="A2790" t="s">
        <v>2</v>
      </c>
      <c r="J2790" t="s">
        <v>4581</v>
      </c>
      <c r="S2790" t="s">
        <v>581</v>
      </c>
    </row>
    <row r="2791" spans="1:19" x14ac:dyDescent="0.25">
      <c r="A2791" t="s">
        <v>2</v>
      </c>
      <c r="J2791" t="s">
        <v>4581</v>
      </c>
      <c r="S2791" t="s">
        <v>581</v>
      </c>
    </row>
    <row r="2792" spans="1:19" x14ac:dyDescent="0.25">
      <c r="A2792" t="s">
        <v>2</v>
      </c>
      <c r="J2792" t="s">
        <v>4581</v>
      </c>
      <c r="S2792" t="s">
        <v>581</v>
      </c>
    </row>
    <row r="2793" spans="1:19" x14ac:dyDescent="0.25">
      <c r="A2793" t="s">
        <v>2</v>
      </c>
      <c r="J2793" t="s">
        <v>4581</v>
      </c>
      <c r="S2793" t="s">
        <v>581</v>
      </c>
    </row>
    <row r="2794" spans="1:19" x14ac:dyDescent="0.25">
      <c r="A2794" t="s">
        <v>2</v>
      </c>
      <c r="J2794" t="s">
        <v>4581</v>
      </c>
      <c r="S2794" t="s">
        <v>581</v>
      </c>
    </row>
    <row r="2795" spans="1:19" x14ac:dyDescent="0.25">
      <c r="A2795" t="s">
        <v>2</v>
      </c>
      <c r="J2795" t="s">
        <v>4580</v>
      </c>
      <c r="S2795" t="s">
        <v>581</v>
      </c>
    </row>
    <row r="2796" spans="1:19" x14ac:dyDescent="0.25">
      <c r="A2796" t="s">
        <v>2</v>
      </c>
      <c r="J2796" t="s">
        <v>4580</v>
      </c>
      <c r="S2796" t="s">
        <v>581</v>
      </c>
    </row>
    <row r="2797" spans="1:19" x14ac:dyDescent="0.25">
      <c r="A2797" t="s">
        <v>2</v>
      </c>
      <c r="J2797" t="s">
        <v>4580</v>
      </c>
      <c r="S2797" t="s">
        <v>581</v>
      </c>
    </row>
    <row r="2798" spans="1:19" x14ac:dyDescent="0.25">
      <c r="A2798" t="s">
        <v>2</v>
      </c>
      <c r="L2798" t="s">
        <v>4581</v>
      </c>
      <c r="S2798" t="s">
        <v>581</v>
      </c>
    </row>
    <row r="2799" spans="1:19" x14ac:dyDescent="0.25">
      <c r="A2799" t="s">
        <v>2</v>
      </c>
      <c r="L2799" t="s">
        <v>4581</v>
      </c>
      <c r="S2799" t="s">
        <v>581</v>
      </c>
    </row>
    <row r="2800" spans="1:19" x14ac:dyDescent="0.25">
      <c r="A2800" t="s">
        <v>2</v>
      </c>
      <c r="L2800" t="s">
        <v>4581</v>
      </c>
      <c r="S2800" t="s">
        <v>581</v>
      </c>
    </row>
    <row r="2801" spans="1:19" x14ac:dyDescent="0.25">
      <c r="A2801" t="s">
        <v>2</v>
      </c>
      <c r="L2801" t="s">
        <v>4581</v>
      </c>
      <c r="S2801" t="s">
        <v>581</v>
      </c>
    </row>
    <row r="2802" spans="1:19" x14ac:dyDescent="0.25">
      <c r="A2802" t="s">
        <v>2</v>
      </c>
      <c r="L2802" t="s">
        <v>4581</v>
      </c>
      <c r="S2802" t="s">
        <v>581</v>
      </c>
    </row>
    <row r="2803" spans="1:19" x14ac:dyDescent="0.25">
      <c r="A2803" t="s">
        <v>2</v>
      </c>
      <c r="L2803" t="s">
        <v>4581</v>
      </c>
      <c r="S2803" t="s">
        <v>581</v>
      </c>
    </row>
    <row r="2804" spans="1:19" x14ac:dyDescent="0.25">
      <c r="A2804" t="s">
        <v>2</v>
      </c>
      <c r="L2804" t="s">
        <v>4581</v>
      </c>
      <c r="S2804" t="s">
        <v>581</v>
      </c>
    </row>
    <row r="2805" spans="1:19" x14ac:dyDescent="0.25">
      <c r="A2805" t="s">
        <v>2</v>
      </c>
      <c r="L2805" t="s">
        <v>4581</v>
      </c>
      <c r="S2805" t="s">
        <v>581</v>
      </c>
    </row>
    <row r="2807" spans="1:19" x14ac:dyDescent="0.25">
      <c r="A2807" t="s">
        <v>2</v>
      </c>
      <c r="L2807" t="s">
        <v>4581</v>
      </c>
      <c r="S2807" t="s">
        <v>581</v>
      </c>
    </row>
    <row r="2808" spans="1:19" x14ac:dyDescent="0.25">
      <c r="A2808" t="s">
        <v>2</v>
      </c>
      <c r="L2808" t="s">
        <v>4581</v>
      </c>
      <c r="S2808" t="s">
        <v>581</v>
      </c>
    </row>
    <row r="2809" spans="1:19" x14ac:dyDescent="0.25">
      <c r="A2809" t="s">
        <v>2</v>
      </c>
      <c r="L2809" t="s">
        <v>4581</v>
      </c>
      <c r="S2809" t="s">
        <v>581</v>
      </c>
    </row>
    <row r="2810" spans="1:19" x14ac:dyDescent="0.25">
      <c r="A2810" t="s">
        <v>2</v>
      </c>
      <c r="L2810" t="s">
        <v>4581</v>
      </c>
      <c r="S2810" t="s">
        <v>581</v>
      </c>
    </row>
    <row r="2811" spans="1:19" x14ac:dyDescent="0.25">
      <c r="A2811" t="s">
        <v>2</v>
      </c>
      <c r="L2811" t="s">
        <v>4581</v>
      </c>
      <c r="S2811" t="s">
        <v>581</v>
      </c>
    </row>
    <row r="2812" spans="1:19" x14ac:dyDescent="0.25">
      <c r="A2812" t="s">
        <v>2</v>
      </c>
      <c r="L2812" t="s">
        <v>4581</v>
      </c>
      <c r="S2812" t="s">
        <v>581</v>
      </c>
    </row>
    <row r="2813" spans="1:19" x14ac:dyDescent="0.25">
      <c r="A2813" t="s">
        <v>2</v>
      </c>
      <c r="L2813" t="s">
        <v>4581</v>
      </c>
      <c r="S2813" t="s">
        <v>581</v>
      </c>
    </row>
    <row r="2814" spans="1:19" x14ac:dyDescent="0.25">
      <c r="A2814" t="s">
        <v>2</v>
      </c>
      <c r="L2814" t="s">
        <v>4581</v>
      </c>
      <c r="S2814" t="s">
        <v>581</v>
      </c>
    </row>
    <row r="2815" spans="1:19" x14ac:dyDescent="0.25">
      <c r="A2815" t="s">
        <v>2</v>
      </c>
      <c r="L2815" t="s">
        <v>4581</v>
      </c>
      <c r="S2815" t="s">
        <v>581</v>
      </c>
    </row>
    <row r="2816" spans="1:19" x14ac:dyDescent="0.25">
      <c r="A2816" t="s">
        <v>2</v>
      </c>
      <c r="L2816" t="s">
        <v>4581</v>
      </c>
      <c r="S2816" t="s">
        <v>581</v>
      </c>
    </row>
    <row r="2818" spans="1:19" x14ac:dyDescent="0.25">
      <c r="A2818" t="s">
        <v>2</v>
      </c>
      <c r="L2818" t="s">
        <v>4581</v>
      </c>
      <c r="S2818" t="s">
        <v>581</v>
      </c>
    </row>
    <row r="2819" spans="1:19" x14ac:dyDescent="0.25">
      <c r="A2819" t="s">
        <v>2</v>
      </c>
      <c r="L2819" t="s">
        <v>4581</v>
      </c>
      <c r="S2819" t="s">
        <v>581</v>
      </c>
    </row>
    <row r="2820" spans="1:19" x14ac:dyDescent="0.25">
      <c r="A2820" t="s">
        <v>2</v>
      </c>
      <c r="L2820" t="s">
        <v>4581</v>
      </c>
      <c r="S2820" t="s">
        <v>581</v>
      </c>
    </row>
    <row r="2821" spans="1:19" x14ac:dyDescent="0.25">
      <c r="A2821" t="s">
        <v>2</v>
      </c>
      <c r="L2821" t="s">
        <v>4581</v>
      </c>
      <c r="S2821" t="s">
        <v>581</v>
      </c>
    </row>
    <row r="2822" spans="1:19" x14ac:dyDescent="0.25">
      <c r="A2822" t="s">
        <v>2</v>
      </c>
      <c r="L2822" t="s">
        <v>4581</v>
      </c>
      <c r="S2822" t="s">
        <v>581</v>
      </c>
    </row>
    <row r="2824" spans="1:19" x14ac:dyDescent="0.25">
      <c r="A2824" t="s">
        <v>2</v>
      </c>
      <c r="L2824" t="s">
        <v>4581</v>
      </c>
      <c r="S2824" t="s">
        <v>581</v>
      </c>
    </row>
    <row r="2825" spans="1:19" x14ac:dyDescent="0.25">
      <c r="A2825" t="s">
        <v>2</v>
      </c>
      <c r="L2825" t="s">
        <v>4581</v>
      </c>
      <c r="S2825" t="s">
        <v>581</v>
      </c>
    </row>
    <row r="2826" spans="1:19" x14ac:dyDescent="0.25">
      <c r="A2826" t="s">
        <v>2</v>
      </c>
      <c r="L2826" t="s">
        <v>4581</v>
      </c>
      <c r="S2826" t="s">
        <v>581</v>
      </c>
    </row>
    <row r="2828" spans="1:19" x14ac:dyDescent="0.25">
      <c r="A2828" t="s">
        <v>2</v>
      </c>
      <c r="L2828" t="s">
        <v>4581</v>
      </c>
      <c r="S2828" t="s">
        <v>581</v>
      </c>
    </row>
    <row r="2829" spans="1:19" x14ac:dyDescent="0.25">
      <c r="A2829" t="s">
        <v>2</v>
      </c>
      <c r="L2829" t="s">
        <v>4580</v>
      </c>
      <c r="S2829" t="s">
        <v>581</v>
      </c>
    </row>
    <row r="2830" spans="1:19" x14ac:dyDescent="0.25">
      <c r="A2830" t="s">
        <v>2</v>
      </c>
      <c r="L2830" t="s">
        <v>4581</v>
      </c>
      <c r="S2830" t="s">
        <v>581</v>
      </c>
    </row>
    <row r="2831" spans="1:19" x14ac:dyDescent="0.25">
      <c r="A2831" t="s">
        <v>2</v>
      </c>
      <c r="L2831" t="s">
        <v>4581</v>
      </c>
      <c r="S2831" t="s">
        <v>581</v>
      </c>
    </row>
    <row r="2832" spans="1:19" x14ac:dyDescent="0.25">
      <c r="A2832" t="s">
        <v>2</v>
      </c>
      <c r="L2832" t="s">
        <v>4581</v>
      </c>
      <c r="S2832" t="s">
        <v>581</v>
      </c>
    </row>
    <row r="2833" spans="1:25" x14ac:dyDescent="0.25">
      <c r="A2833" t="s">
        <v>2</v>
      </c>
      <c r="L2833" t="s">
        <v>4581</v>
      </c>
      <c r="S2833" t="s">
        <v>581</v>
      </c>
    </row>
    <row r="2834" spans="1:25" x14ac:dyDescent="0.25">
      <c r="A2834" t="s">
        <v>2</v>
      </c>
      <c r="L2834" t="s">
        <v>4581</v>
      </c>
      <c r="S2834" t="s">
        <v>581</v>
      </c>
    </row>
    <row r="2835" spans="1:25" x14ac:dyDescent="0.25">
      <c r="A2835" t="s">
        <v>2</v>
      </c>
      <c r="L2835" t="s">
        <v>4581</v>
      </c>
      <c r="S2835" t="s">
        <v>581</v>
      </c>
    </row>
    <row r="2836" spans="1:25" x14ac:dyDescent="0.25">
      <c r="A2836" t="s">
        <v>2</v>
      </c>
      <c r="L2836" t="s">
        <v>4580</v>
      </c>
      <c r="S2836" t="s">
        <v>581</v>
      </c>
    </row>
    <row r="2837" spans="1:25" x14ac:dyDescent="0.25">
      <c r="A2837" t="s">
        <v>2</v>
      </c>
      <c r="L2837" t="s">
        <v>4581</v>
      </c>
      <c r="S2837" t="s">
        <v>581</v>
      </c>
    </row>
    <row r="2838" spans="1:25" x14ac:dyDescent="0.25">
      <c r="A2838" t="s">
        <v>2</v>
      </c>
      <c r="L2838" t="s">
        <v>4581</v>
      </c>
      <c r="S2838" t="s">
        <v>581</v>
      </c>
    </row>
    <row r="2839" spans="1:25" x14ac:dyDescent="0.25">
      <c r="A2839" t="s">
        <v>2</v>
      </c>
      <c r="L2839" t="s">
        <v>4581</v>
      </c>
      <c r="S2839" t="s">
        <v>581</v>
      </c>
    </row>
    <row r="2840" spans="1:25" x14ac:dyDescent="0.25">
      <c r="A2840" t="s">
        <v>2</v>
      </c>
      <c r="L2840" t="s">
        <v>4581</v>
      </c>
      <c r="S2840" t="s">
        <v>581</v>
      </c>
    </row>
    <row r="2841" spans="1:25" x14ac:dyDescent="0.25">
      <c r="A2841" t="s">
        <v>2</v>
      </c>
      <c r="L2841" t="s">
        <v>4581</v>
      </c>
      <c r="S2841" t="s">
        <v>581</v>
      </c>
    </row>
    <row r="2842" spans="1:25" x14ac:dyDescent="0.25">
      <c r="A2842" t="s">
        <v>2</v>
      </c>
      <c r="L2842" t="s">
        <v>4581</v>
      </c>
      <c r="S2842" t="s">
        <v>581</v>
      </c>
    </row>
    <row r="2843" spans="1:25" x14ac:dyDescent="0.25">
      <c r="A2843" t="s">
        <v>2</v>
      </c>
      <c r="L2843" t="s">
        <v>4580</v>
      </c>
      <c r="S2843" t="s">
        <v>581</v>
      </c>
    </row>
    <row r="2844" spans="1:25" x14ac:dyDescent="0.25">
      <c r="A2844" t="s">
        <v>2</v>
      </c>
      <c r="L2844" t="s">
        <v>4581</v>
      </c>
      <c r="S2844" t="s">
        <v>581</v>
      </c>
    </row>
    <row r="2845" spans="1:25" x14ac:dyDescent="0.25">
      <c r="A2845" t="s">
        <v>2</v>
      </c>
      <c r="L2845" t="s">
        <v>4581</v>
      </c>
      <c r="S2845" t="s">
        <v>581</v>
      </c>
    </row>
    <row r="2846" spans="1:25" x14ac:dyDescent="0.25">
      <c r="A2846" t="s">
        <v>2</v>
      </c>
      <c r="S2846">
        <v>0.52</v>
      </c>
      <c r="Y2846" t="s">
        <v>581</v>
      </c>
    </row>
    <row r="2847" spans="1:25" x14ac:dyDescent="0.25">
      <c r="A2847" t="s">
        <v>2</v>
      </c>
      <c r="S2847">
        <v>0.52</v>
      </c>
      <c r="Y2847" t="s">
        <v>581</v>
      </c>
    </row>
    <row r="2848" spans="1:25" x14ac:dyDescent="0.25">
      <c r="A2848" t="s">
        <v>2</v>
      </c>
      <c r="S2848">
        <v>0.52</v>
      </c>
      <c r="Y2848" t="s">
        <v>581</v>
      </c>
    </row>
    <row r="2849" spans="1:50" x14ac:dyDescent="0.25">
      <c r="A2849" t="s">
        <v>2</v>
      </c>
      <c r="S2849">
        <v>0.52</v>
      </c>
      <c r="Y2849" t="s">
        <v>581</v>
      </c>
    </row>
    <row r="2850" spans="1:50" x14ac:dyDescent="0.25">
      <c r="A2850" t="s">
        <v>2</v>
      </c>
      <c r="S2850">
        <v>0.52</v>
      </c>
      <c r="Y2850" t="s">
        <v>581</v>
      </c>
    </row>
    <row r="2851" spans="1:50" x14ac:dyDescent="0.25">
      <c r="A2851" t="s">
        <v>2</v>
      </c>
      <c r="S2851">
        <v>0.52</v>
      </c>
      <c r="Y2851" t="s">
        <v>581</v>
      </c>
    </row>
    <row r="2852" spans="1:50" x14ac:dyDescent="0.25">
      <c r="A2852" t="s">
        <v>2</v>
      </c>
      <c r="S2852">
        <v>0.52</v>
      </c>
      <c r="Y2852" t="s">
        <v>581</v>
      </c>
    </row>
    <row r="2853" spans="1:50" x14ac:dyDescent="0.25">
      <c r="A2853" t="s">
        <v>2</v>
      </c>
      <c r="S2853">
        <v>0.52</v>
      </c>
      <c r="Y2853" t="s">
        <v>581</v>
      </c>
    </row>
    <row r="2854" spans="1:50" x14ac:dyDescent="0.25">
      <c r="A2854" t="s">
        <v>2</v>
      </c>
      <c r="S2854">
        <v>0.52</v>
      </c>
      <c r="Y2854" t="s">
        <v>581</v>
      </c>
    </row>
    <row r="2855" spans="1:50" x14ac:dyDescent="0.25">
      <c r="AF2855" t="s">
        <v>23</v>
      </c>
      <c r="AX2855" t="s">
        <v>4582</v>
      </c>
    </row>
    <row r="2856" spans="1:50" x14ac:dyDescent="0.25">
      <c r="AF2856" t="s">
        <v>674</v>
      </c>
      <c r="AX2856" t="s">
        <v>4583</v>
      </c>
    </row>
    <row r="2857" spans="1:50" x14ac:dyDescent="0.25">
      <c r="AF2857" t="s">
        <v>26</v>
      </c>
    </row>
    <row r="2858" spans="1:50" x14ac:dyDescent="0.25">
      <c r="AF2858" t="s">
        <v>29</v>
      </c>
      <c r="AX2858" t="s">
        <v>4584</v>
      </c>
    </row>
    <row r="2859" spans="1:50" x14ac:dyDescent="0.25">
      <c r="AF2859" t="s">
        <v>19</v>
      </c>
      <c r="AX2859" t="s">
        <v>4585</v>
      </c>
    </row>
    <row r="2860" spans="1:50" x14ac:dyDescent="0.25">
      <c r="AF2860" t="s">
        <v>33</v>
      </c>
      <c r="AX2860" t="s">
        <v>4586</v>
      </c>
    </row>
    <row r="2861" spans="1:50" x14ac:dyDescent="0.25">
      <c r="AF2861" t="s">
        <v>878</v>
      </c>
      <c r="AX2861" t="s">
        <v>4378</v>
      </c>
    </row>
    <row r="2863" spans="1:50" x14ac:dyDescent="0.25">
      <c r="A2863" t="s">
        <v>35</v>
      </c>
      <c r="AF2863" t="s">
        <v>36</v>
      </c>
      <c r="AX2863" t="s">
        <v>37</v>
      </c>
    </row>
    <row r="2866" spans="1:50" x14ac:dyDescent="0.25">
      <c r="A2866" t="s">
        <v>39</v>
      </c>
      <c r="AF2866" t="s">
        <v>876</v>
      </c>
      <c r="AX2866" t="s">
        <v>4587</v>
      </c>
    </row>
    <row r="2867" spans="1:50" x14ac:dyDescent="0.25">
      <c r="A2867" t="s">
        <v>39</v>
      </c>
      <c r="AF2867" t="s">
        <v>42</v>
      </c>
      <c r="AX2867" t="s">
        <v>4588</v>
      </c>
    </row>
    <row r="2868" spans="1:50" x14ac:dyDescent="0.25">
      <c r="A2868" t="s">
        <v>39</v>
      </c>
      <c r="AF2868" t="s">
        <v>45</v>
      </c>
      <c r="AX2868" t="s">
        <v>4589</v>
      </c>
    </row>
    <row r="2869" spans="1:50" x14ac:dyDescent="0.25">
      <c r="A2869" t="s">
        <v>39</v>
      </c>
      <c r="AF2869" t="s">
        <v>4590</v>
      </c>
      <c r="AX2869" t="s">
        <v>4591</v>
      </c>
    </row>
    <row r="2870" spans="1:50" x14ac:dyDescent="0.25">
      <c r="A2870" t="s">
        <v>50</v>
      </c>
      <c r="AF2870" t="s">
        <v>51</v>
      </c>
      <c r="AX2870" t="s">
        <v>4592</v>
      </c>
    </row>
    <row r="2871" spans="1:50" x14ac:dyDescent="0.25">
      <c r="A2871" t="s">
        <v>895</v>
      </c>
      <c r="AF2871" t="s">
        <v>896</v>
      </c>
      <c r="AX2871" t="s">
        <v>4593</v>
      </c>
    </row>
    <row r="2872" spans="1:50" x14ac:dyDescent="0.25">
      <c r="A2872" t="s">
        <v>54</v>
      </c>
      <c r="AF2872" t="s">
        <v>55</v>
      </c>
      <c r="AX2872" t="s">
        <v>4594</v>
      </c>
    </row>
    <row r="2873" spans="1:50" x14ac:dyDescent="0.25">
      <c r="A2873" t="s">
        <v>59</v>
      </c>
      <c r="AF2873" t="s">
        <v>60</v>
      </c>
      <c r="AX2873" t="s">
        <v>4595</v>
      </c>
    </row>
    <row r="2874" spans="1:50" x14ac:dyDescent="0.25">
      <c r="A2874" t="s">
        <v>54</v>
      </c>
      <c r="AF2874" t="s">
        <v>64</v>
      </c>
      <c r="AX2874" t="s">
        <v>4596</v>
      </c>
    </row>
    <row r="2875" spans="1:50" x14ac:dyDescent="0.25">
      <c r="A2875" t="s">
        <v>66</v>
      </c>
      <c r="AF2875" t="s">
        <v>67</v>
      </c>
      <c r="AX2875" t="s">
        <v>4597</v>
      </c>
    </row>
    <row r="2876" spans="1:50" x14ac:dyDescent="0.25">
      <c r="A2876" t="s">
        <v>66</v>
      </c>
      <c r="AF2876" t="s">
        <v>70</v>
      </c>
      <c r="AX2876" t="s">
        <v>4598</v>
      </c>
    </row>
    <row r="2877" spans="1:50" x14ac:dyDescent="0.25">
      <c r="A2877" t="s">
        <v>894</v>
      </c>
      <c r="AF2877" t="s">
        <v>891</v>
      </c>
      <c r="AX2877" t="s">
        <v>4599</v>
      </c>
    </row>
    <row r="2878" spans="1:50" x14ac:dyDescent="0.25">
      <c r="A2878" t="s">
        <v>72</v>
      </c>
      <c r="AF2878" t="s">
        <v>73</v>
      </c>
      <c r="AX2878" t="s">
        <v>4600</v>
      </c>
    </row>
    <row r="2879" spans="1:50" x14ac:dyDescent="0.25">
      <c r="A2879" t="s">
        <v>77</v>
      </c>
      <c r="AF2879" t="s">
        <v>78</v>
      </c>
      <c r="AX2879" t="s">
        <v>4601</v>
      </c>
    </row>
    <row r="2880" spans="1:50" x14ac:dyDescent="0.25">
      <c r="A2880" t="s">
        <v>82</v>
      </c>
      <c r="AF2880" t="s">
        <v>83</v>
      </c>
      <c r="AX2880" t="s">
        <v>4602</v>
      </c>
    </row>
    <row r="2881" spans="1:50" x14ac:dyDescent="0.25">
      <c r="A2881" t="s">
        <v>82</v>
      </c>
      <c r="AF2881" t="s">
        <v>86</v>
      </c>
      <c r="AX2881" t="s">
        <v>4603</v>
      </c>
    </row>
    <row r="2882" spans="1:50" x14ac:dyDescent="0.25">
      <c r="A2882" t="s">
        <v>89</v>
      </c>
      <c r="AF2882" t="s">
        <v>90</v>
      </c>
      <c r="AX2882" t="s">
        <v>4604</v>
      </c>
    </row>
    <row r="2883" spans="1:50" x14ac:dyDescent="0.25">
      <c r="A2883" t="s">
        <v>93</v>
      </c>
      <c r="AF2883" t="s">
        <v>94</v>
      </c>
      <c r="AX2883" t="s">
        <v>4605</v>
      </c>
    </row>
    <row r="2884" spans="1:50" x14ac:dyDescent="0.25">
      <c r="A2884" t="s">
        <v>97</v>
      </c>
      <c r="AF2884" t="s">
        <v>98</v>
      </c>
      <c r="AX2884" t="s">
        <v>4606</v>
      </c>
    </row>
    <row r="2885" spans="1:50" x14ac:dyDescent="0.25">
      <c r="A2885" t="s">
        <v>4607</v>
      </c>
      <c r="AF2885" t="s">
        <v>102</v>
      </c>
      <c r="AX2885" t="s">
        <v>4608</v>
      </c>
    </row>
    <row r="2886" spans="1:50" x14ac:dyDescent="0.25">
      <c r="A2886" t="s">
        <v>4609</v>
      </c>
      <c r="AF2886" t="s">
        <v>106</v>
      </c>
      <c r="AX2886" t="s">
        <v>4610</v>
      </c>
    </row>
    <row r="2887" spans="1:50" x14ac:dyDescent="0.25">
      <c r="A2887" t="s">
        <v>4611</v>
      </c>
      <c r="AF2887" t="s">
        <v>540</v>
      </c>
      <c r="AX2887" t="s">
        <v>4612</v>
      </c>
    </row>
    <row r="2888" spans="1:50" x14ac:dyDescent="0.25">
      <c r="A2888" t="s">
        <v>4611</v>
      </c>
      <c r="AF2888" t="s">
        <v>113</v>
      </c>
      <c r="AX2888" t="s">
        <v>4613</v>
      </c>
    </row>
    <row r="2889" spans="1:50" x14ac:dyDescent="0.25">
      <c r="A2889" t="s">
        <v>4611</v>
      </c>
      <c r="AF2889" t="s">
        <v>116</v>
      </c>
      <c r="AX2889" t="s">
        <v>4614</v>
      </c>
    </row>
    <row r="2890" spans="1:50" x14ac:dyDescent="0.25">
      <c r="A2890" t="s">
        <v>4611</v>
      </c>
      <c r="AF2890" t="s">
        <v>119</v>
      </c>
      <c r="AX2890" t="s">
        <v>4615</v>
      </c>
    </row>
    <row r="2891" spans="1:50" x14ac:dyDescent="0.25">
      <c r="A2891" t="s">
        <v>4611</v>
      </c>
      <c r="AF2891" t="s">
        <v>122</v>
      </c>
      <c r="AX2891" t="s">
        <v>4616</v>
      </c>
    </row>
    <row r="2892" spans="1:50" x14ac:dyDescent="0.25">
      <c r="A2892" t="s">
        <v>4611</v>
      </c>
      <c r="AF2892" t="s">
        <v>125</v>
      </c>
    </row>
    <row r="2893" spans="1:50" x14ac:dyDescent="0.25">
      <c r="A2893" t="s">
        <v>127</v>
      </c>
      <c r="AF2893" t="s">
        <v>128</v>
      </c>
      <c r="AX2893" t="s">
        <v>4617</v>
      </c>
    </row>
    <row r="2894" spans="1:50" x14ac:dyDescent="0.25">
      <c r="A2894" t="s">
        <v>919</v>
      </c>
      <c r="AF2894" t="s">
        <v>911</v>
      </c>
      <c r="AX2894" t="s">
        <v>4618</v>
      </c>
    </row>
    <row r="2895" spans="1:50" x14ac:dyDescent="0.25">
      <c r="A2895" t="s">
        <v>132</v>
      </c>
      <c r="AF2895" t="s">
        <v>133</v>
      </c>
      <c r="AX2895" t="s">
        <v>4619</v>
      </c>
    </row>
    <row r="2896" spans="1:50" x14ac:dyDescent="0.25">
      <c r="A2896" t="s">
        <v>136</v>
      </c>
      <c r="AF2896" t="s">
        <v>137</v>
      </c>
      <c r="AX2896" t="s">
        <v>4620</v>
      </c>
    </row>
    <row r="2897" spans="1:50" x14ac:dyDescent="0.25">
      <c r="A2897" t="s">
        <v>4621</v>
      </c>
      <c r="AF2897" t="s">
        <v>141</v>
      </c>
      <c r="AX2897" t="s">
        <v>142</v>
      </c>
    </row>
    <row r="2898" spans="1:50" x14ac:dyDescent="0.25">
      <c r="A2898" t="s">
        <v>849</v>
      </c>
      <c r="AF2898" t="s">
        <v>145</v>
      </c>
      <c r="AX2898" t="s">
        <v>4622</v>
      </c>
    </row>
    <row r="2899" spans="1:50" x14ac:dyDescent="0.25">
      <c r="A2899" t="s">
        <v>849</v>
      </c>
      <c r="AF2899" t="s">
        <v>148</v>
      </c>
    </row>
    <row r="2900" spans="1:50" x14ac:dyDescent="0.25">
      <c r="A2900" t="s">
        <v>150</v>
      </c>
      <c r="AF2900" t="s">
        <v>151</v>
      </c>
      <c r="AX2900" t="s">
        <v>4623</v>
      </c>
    </row>
    <row r="2901" spans="1:50" x14ac:dyDescent="0.25">
      <c r="A2901" t="s">
        <v>150</v>
      </c>
      <c r="AF2901" t="s">
        <v>155</v>
      </c>
    </row>
    <row r="2902" spans="1:50" x14ac:dyDescent="0.25">
      <c r="A2902" t="s">
        <v>150</v>
      </c>
      <c r="AF2902" t="s">
        <v>158</v>
      </c>
      <c r="AX2902" t="s">
        <v>4624</v>
      </c>
    </row>
    <row r="2903" spans="1:50" x14ac:dyDescent="0.25">
      <c r="A2903" t="s">
        <v>161</v>
      </c>
      <c r="AF2903" t="s">
        <v>162</v>
      </c>
      <c r="AX2903" t="s">
        <v>4625</v>
      </c>
    </row>
    <row r="2904" spans="1:50" x14ac:dyDescent="0.25">
      <c r="A2904" t="s">
        <v>161</v>
      </c>
      <c r="AF2904" t="s">
        <v>166</v>
      </c>
      <c r="AX2904" t="s">
        <v>4626</v>
      </c>
    </row>
    <row r="2905" spans="1:50" x14ac:dyDescent="0.25">
      <c r="A2905" t="s">
        <v>168</v>
      </c>
      <c r="AF2905" t="s">
        <v>169</v>
      </c>
      <c r="AX2905" t="s">
        <v>4627</v>
      </c>
    </row>
    <row r="2906" spans="1:50" x14ac:dyDescent="0.25">
      <c r="A2906" t="s">
        <v>903</v>
      </c>
      <c r="AF2906" t="s">
        <v>903</v>
      </c>
      <c r="AX2906" t="s">
        <v>4628</v>
      </c>
    </row>
    <row r="2907" spans="1:50" x14ac:dyDescent="0.25">
      <c r="A2907" t="s">
        <v>4629</v>
      </c>
      <c r="AF2907" t="s">
        <v>174</v>
      </c>
      <c r="AX2907" t="s">
        <v>4630</v>
      </c>
    </row>
    <row r="2908" spans="1:50" x14ac:dyDescent="0.25">
      <c r="A2908" t="s">
        <v>177</v>
      </c>
      <c r="AF2908" t="s">
        <v>178</v>
      </c>
      <c r="AX2908" t="s">
        <v>4631</v>
      </c>
    </row>
    <row r="2909" spans="1:50" x14ac:dyDescent="0.25">
      <c r="A2909" t="s">
        <v>181</v>
      </c>
      <c r="AF2909" t="s">
        <v>182</v>
      </c>
      <c r="AX2909" t="s">
        <v>4632</v>
      </c>
    </row>
    <row r="2910" spans="1:50" x14ac:dyDescent="0.25">
      <c r="A2910" t="s">
        <v>4633</v>
      </c>
      <c r="AF2910" t="s">
        <v>187</v>
      </c>
      <c r="AX2910" t="s">
        <v>4634</v>
      </c>
    </row>
    <row r="2911" spans="1:50" x14ac:dyDescent="0.25">
      <c r="A2911" t="s">
        <v>190</v>
      </c>
      <c r="AF2911" t="s">
        <v>4635</v>
      </c>
      <c r="AX2911" t="s">
        <v>4636</v>
      </c>
    </row>
    <row r="2912" spans="1:50" x14ac:dyDescent="0.25">
      <c r="A2912" t="s">
        <v>194</v>
      </c>
      <c r="AF2912" t="s">
        <v>195</v>
      </c>
      <c r="AX2912" t="s">
        <v>4637</v>
      </c>
    </row>
    <row r="2913" spans="1:50" x14ac:dyDescent="0.25">
      <c r="A2913" t="s">
        <v>198</v>
      </c>
      <c r="AF2913" t="s">
        <v>199</v>
      </c>
      <c r="AX2913" t="s">
        <v>4638</v>
      </c>
    </row>
    <row r="2914" spans="1:50" x14ac:dyDescent="0.25">
      <c r="A2914" t="s">
        <v>4639</v>
      </c>
      <c r="AF2914" t="s">
        <v>203</v>
      </c>
      <c r="AX2914" t="s">
        <v>4640</v>
      </c>
    </row>
    <row r="2915" spans="1:50" x14ac:dyDescent="0.25">
      <c r="A2915" t="s">
        <v>206</v>
      </c>
      <c r="AF2915" t="s">
        <v>207</v>
      </c>
      <c r="AX2915" t="s">
        <v>4641</v>
      </c>
    </row>
    <row r="2916" spans="1:50" x14ac:dyDescent="0.25">
      <c r="A2916" t="s">
        <v>206</v>
      </c>
      <c r="AF2916" t="s">
        <v>210</v>
      </c>
      <c r="AX2916" t="s">
        <v>4642</v>
      </c>
    </row>
    <row r="2917" spans="1:50" x14ac:dyDescent="0.25">
      <c r="A2917" t="s">
        <v>212</v>
      </c>
      <c r="AF2917" t="s">
        <v>213</v>
      </c>
      <c r="AX2917" t="s">
        <v>4643</v>
      </c>
    </row>
    <row r="2918" spans="1:50" x14ac:dyDescent="0.25">
      <c r="A2918" t="s">
        <v>4644</v>
      </c>
      <c r="AF2918" t="s">
        <v>94</v>
      </c>
      <c r="AX2918" t="s">
        <v>4605</v>
      </c>
    </row>
    <row r="2919" spans="1:50" x14ac:dyDescent="0.25">
      <c r="A2919" t="s">
        <v>4645</v>
      </c>
      <c r="AX2919" t="s">
        <v>4618</v>
      </c>
    </row>
    <row r="2920" spans="1:50" x14ac:dyDescent="0.25">
      <c r="A2920" t="s">
        <v>942</v>
      </c>
      <c r="AF2920" t="s">
        <v>942</v>
      </c>
      <c r="AX2920" t="s">
        <v>4646</v>
      </c>
    </row>
    <row r="2921" spans="1:50" x14ac:dyDescent="0.25">
      <c r="A2921" t="s">
        <v>4647</v>
      </c>
      <c r="AF2921" t="s">
        <v>219</v>
      </c>
    </row>
    <row r="2922" spans="1:50" x14ac:dyDescent="0.25">
      <c r="A2922" t="s">
        <v>888</v>
      </c>
      <c r="AF2922" t="s">
        <v>888</v>
      </c>
      <c r="AX2922" t="s">
        <v>4648</v>
      </c>
    </row>
    <row r="2923" spans="1:50" x14ac:dyDescent="0.25">
      <c r="A2923" t="s">
        <v>222</v>
      </c>
      <c r="AF2923" t="s">
        <v>223</v>
      </c>
      <c r="AX2923" t="s">
        <v>4649</v>
      </c>
    </row>
    <row r="2924" spans="1:50" x14ac:dyDescent="0.25">
      <c r="A2924" t="s">
        <v>222</v>
      </c>
      <c r="AF2924" t="s">
        <v>226</v>
      </c>
      <c r="AX2924" t="s">
        <v>4650</v>
      </c>
    </row>
    <row r="2925" spans="1:50" x14ac:dyDescent="0.25">
      <c r="A2925" t="s">
        <v>228</v>
      </c>
      <c r="AF2925" t="s">
        <v>229</v>
      </c>
      <c r="AX2925" t="s">
        <v>4651</v>
      </c>
    </row>
    <row r="2926" spans="1:50" x14ac:dyDescent="0.25">
      <c r="A2926" t="s">
        <v>232</v>
      </c>
      <c r="AF2926" t="s">
        <v>233</v>
      </c>
      <c r="AX2926" t="s">
        <v>4652</v>
      </c>
    </row>
    <row r="2927" spans="1:50" x14ac:dyDescent="0.25">
      <c r="A2927" t="s">
        <v>232</v>
      </c>
      <c r="AF2927" t="s">
        <v>236</v>
      </c>
      <c r="AX2927" t="s">
        <v>4653</v>
      </c>
    </row>
    <row r="2928" spans="1:50" x14ac:dyDescent="0.25">
      <c r="A2928" t="s">
        <v>238</v>
      </c>
      <c r="AF2928" t="s">
        <v>239</v>
      </c>
      <c r="AX2928" t="s">
        <v>4654</v>
      </c>
    </row>
    <row r="2929" spans="1:50" x14ac:dyDescent="0.25">
      <c r="A2929" t="s">
        <v>242</v>
      </c>
      <c r="AF2929" t="s">
        <v>243</v>
      </c>
      <c r="AX2929" t="s">
        <v>4655</v>
      </c>
    </row>
    <row r="2930" spans="1:50" x14ac:dyDescent="0.25">
      <c r="A2930" t="s">
        <v>246</v>
      </c>
      <c r="AF2930" t="s">
        <v>247</v>
      </c>
      <c r="AX2930" t="s">
        <v>4656</v>
      </c>
    </row>
    <row r="2931" spans="1:50" x14ac:dyDescent="0.25">
      <c r="A2931" t="s">
        <v>250</v>
      </c>
      <c r="AF2931" t="s">
        <v>250</v>
      </c>
      <c r="AX2931" t="s">
        <v>4657</v>
      </c>
    </row>
    <row r="2932" spans="1:50" x14ac:dyDescent="0.25">
      <c r="A2932" t="s">
        <v>252</v>
      </c>
      <c r="AF2932" t="s">
        <v>252</v>
      </c>
      <c r="AX2932" t="s">
        <v>4658</v>
      </c>
    </row>
    <row r="2933" spans="1:50" x14ac:dyDescent="0.25">
      <c r="A2933" t="s">
        <v>259</v>
      </c>
      <c r="AF2933" t="s">
        <v>256</v>
      </c>
      <c r="AX2933" t="s">
        <v>4659</v>
      </c>
    </row>
    <row r="2934" spans="1:50" x14ac:dyDescent="0.25">
      <c r="A2934" t="s">
        <v>933</v>
      </c>
      <c r="AF2934" t="s">
        <v>934</v>
      </c>
      <c r="AX2934" t="s">
        <v>4660</v>
      </c>
    </row>
    <row r="2935" spans="1:50" x14ac:dyDescent="0.25">
      <c r="A2935" t="s">
        <v>4661</v>
      </c>
      <c r="AF2935" t="s">
        <v>907</v>
      </c>
      <c r="AX2935" t="s">
        <v>4662</v>
      </c>
    </row>
    <row r="2936" spans="1:50" x14ac:dyDescent="0.25">
      <c r="A2936" t="s">
        <v>259</v>
      </c>
      <c r="AF2936" t="s">
        <v>260</v>
      </c>
      <c r="AX2936" t="s">
        <v>4663</v>
      </c>
    </row>
    <row r="2937" spans="1:50" x14ac:dyDescent="0.25">
      <c r="A2937" t="s">
        <v>262</v>
      </c>
      <c r="AF2937" t="s">
        <v>263</v>
      </c>
      <c r="AX2937" t="s">
        <v>4664</v>
      </c>
    </row>
    <row r="2938" spans="1:50" x14ac:dyDescent="0.25">
      <c r="A2938" t="s">
        <v>267</v>
      </c>
      <c r="AF2938" t="s">
        <v>268</v>
      </c>
      <c r="AX2938" t="s">
        <v>4665</v>
      </c>
    </row>
    <row r="2939" spans="1:50" x14ac:dyDescent="0.25">
      <c r="A2939" t="s">
        <v>271</v>
      </c>
      <c r="AF2939" t="s">
        <v>272</v>
      </c>
      <c r="AX2939" t="s">
        <v>4666</v>
      </c>
    </row>
    <row r="2940" spans="1:50" x14ac:dyDescent="0.25">
      <c r="A2940" t="s">
        <v>275</v>
      </c>
      <c r="AF2940" t="s">
        <v>275</v>
      </c>
      <c r="AX2940" t="s">
        <v>4667</v>
      </c>
    </row>
    <row r="2941" spans="1:50" x14ac:dyDescent="0.25">
      <c r="A2941" t="s">
        <v>278</v>
      </c>
      <c r="AF2941" t="s">
        <v>279</v>
      </c>
      <c r="AX2941" t="s">
        <v>4618</v>
      </c>
    </row>
    <row r="2942" spans="1:50" x14ac:dyDescent="0.25">
      <c r="A2942" t="s">
        <v>881</v>
      </c>
      <c r="AF2942" t="s">
        <v>911</v>
      </c>
      <c r="AX2942" t="s">
        <v>4668</v>
      </c>
    </row>
    <row r="2943" spans="1:50" x14ac:dyDescent="0.25">
      <c r="A2943" t="s">
        <v>4669</v>
      </c>
      <c r="AF2943" t="s">
        <v>851</v>
      </c>
      <c r="AX2943" t="s">
        <v>4670</v>
      </c>
    </row>
    <row r="2944" spans="1:50" x14ac:dyDescent="0.25">
      <c r="A2944" t="s">
        <v>4669</v>
      </c>
      <c r="AF2944" t="s">
        <v>856</v>
      </c>
      <c r="AX2944" t="s">
        <v>4671</v>
      </c>
    </row>
    <row r="2945" spans="1:50" x14ac:dyDescent="0.25">
      <c r="A2945" t="s">
        <v>881</v>
      </c>
      <c r="AF2945" t="s">
        <v>852</v>
      </c>
      <c r="AX2945" t="s">
        <v>4672</v>
      </c>
    </row>
    <row r="2946" spans="1:50" x14ac:dyDescent="0.25">
      <c r="A2946" t="s">
        <v>283</v>
      </c>
      <c r="AF2946" t="s">
        <v>284</v>
      </c>
      <c r="AX2946" t="s">
        <v>4673</v>
      </c>
    </row>
    <row r="2947" spans="1:50" x14ac:dyDescent="0.25">
      <c r="A2947" t="s">
        <v>287</v>
      </c>
      <c r="AF2947" t="s">
        <v>288</v>
      </c>
      <c r="AX2947" t="s">
        <v>4674</v>
      </c>
    </row>
    <row r="2948" spans="1:50" x14ac:dyDescent="0.25">
      <c r="A2948" t="s">
        <v>291</v>
      </c>
      <c r="AF2948" t="s">
        <v>292</v>
      </c>
      <c r="AX2948" t="s">
        <v>4675</v>
      </c>
    </row>
    <row r="2949" spans="1:50" x14ac:dyDescent="0.25">
      <c r="A2949" t="s">
        <v>296</v>
      </c>
      <c r="AF2949" t="s">
        <v>297</v>
      </c>
      <c r="AX2949" t="s">
        <v>4676</v>
      </c>
    </row>
    <row r="2950" spans="1:50" x14ac:dyDescent="0.25">
      <c r="A2950" t="s">
        <v>296</v>
      </c>
      <c r="AF2950" t="s">
        <v>301</v>
      </c>
      <c r="AX2950" t="s">
        <v>4677</v>
      </c>
    </row>
    <row r="2951" spans="1:50" x14ac:dyDescent="0.25">
      <c r="A2951" t="s">
        <v>303</v>
      </c>
      <c r="AF2951" t="s">
        <v>304</v>
      </c>
      <c r="AX2951" t="s">
        <v>4678</v>
      </c>
    </row>
    <row r="2952" spans="1:50" x14ac:dyDescent="0.25">
      <c r="A2952" t="s">
        <v>307</v>
      </c>
      <c r="AF2952" t="s">
        <v>308</v>
      </c>
      <c r="AX2952" t="s">
        <v>4679</v>
      </c>
    </row>
    <row r="2953" spans="1:50" x14ac:dyDescent="0.25">
      <c r="A2953" t="s">
        <v>311</v>
      </c>
      <c r="AF2953" t="s">
        <v>312</v>
      </c>
      <c r="AX2953" t="s">
        <v>4680</v>
      </c>
    </row>
    <row r="2954" spans="1:50" x14ac:dyDescent="0.25">
      <c r="A2954" t="s">
        <v>311</v>
      </c>
      <c r="AF2954" t="s">
        <v>316</v>
      </c>
      <c r="AX2954" t="s">
        <v>4681</v>
      </c>
    </row>
    <row r="2955" spans="1:50" x14ac:dyDescent="0.25">
      <c r="A2955" t="s">
        <v>311</v>
      </c>
      <c r="AF2955" t="s">
        <v>4682</v>
      </c>
      <c r="AX2955" t="s">
        <v>4683</v>
      </c>
    </row>
    <row r="2956" spans="1:50" x14ac:dyDescent="0.25">
      <c r="A2956" t="s">
        <v>321</v>
      </c>
      <c r="AF2956" t="s">
        <v>322</v>
      </c>
      <c r="AX2956" t="s">
        <v>4684</v>
      </c>
    </row>
    <row r="2957" spans="1:50" x14ac:dyDescent="0.25">
      <c r="A2957" t="s">
        <v>325</v>
      </c>
      <c r="AF2957" t="s">
        <v>326</v>
      </c>
      <c r="AX2957" t="s">
        <v>4685</v>
      </c>
    </row>
    <row r="2958" spans="1:50" x14ac:dyDescent="0.25">
      <c r="A2958" t="s">
        <v>325</v>
      </c>
      <c r="AF2958" t="s">
        <v>330</v>
      </c>
      <c r="AX2958" t="s">
        <v>4686</v>
      </c>
    </row>
    <row r="2959" spans="1:50" x14ac:dyDescent="0.25">
      <c r="A2959" t="s">
        <v>325</v>
      </c>
      <c r="AF2959" t="s">
        <v>332</v>
      </c>
      <c r="AX2959" t="s">
        <v>4687</v>
      </c>
    </row>
    <row r="2960" spans="1:50" x14ac:dyDescent="0.25">
      <c r="A2960" t="s">
        <v>334</v>
      </c>
      <c r="AF2960" t="s">
        <v>335</v>
      </c>
      <c r="AX2960" t="s">
        <v>4688</v>
      </c>
    </row>
    <row r="2961" spans="1:50" x14ac:dyDescent="0.25">
      <c r="A2961" t="s">
        <v>338</v>
      </c>
      <c r="AF2961" t="s">
        <v>339</v>
      </c>
      <c r="AX2961" t="s">
        <v>4689</v>
      </c>
    </row>
    <row r="2962" spans="1:50" x14ac:dyDescent="0.25">
      <c r="A2962" t="s">
        <v>338</v>
      </c>
      <c r="AF2962" t="s">
        <v>343</v>
      </c>
      <c r="AX2962" t="s">
        <v>4690</v>
      </c>
    </row>
    <row r="2963" spans="1:50" x14ac:dyDescent="0.25">
      <c r="A2963" t="s">
        <v>346</v>
      </c>
      <c r="AF2963" t="s">
        <v>347</v>
      </c>
      <c r="AX2963" t="s">
        <v>4691</v>
      </c>
    </row>
    <row r="2964" spans="1:50" x14ac:dyDescent="0.25">
      <c r="A2964" t="s">
        <v>350</v>
      </c>
      <c r="AF2964" t="s">
        <v>351</v>
      </c>
      <c r="AX2964" t="s">
        <v>4692</v>
      </c>
    </row>
    <row r="2965" spans="1:50" x14ac:dyDescent="0.25">
      <c r="A2965" t="s">
        <v>4693</v>
      </c>
      <c r="AF2965" t="s">
        <v>356</v>
      </c>
      <c r="AX2965" t="s">
        <v>4694</v>
      </c>
    </row>
    <row r="2966" spans="1:50" x14ac:dyDescent="0.25">
      <c r="A2966" t="s">
        <v>4693</v>
      </c>
      <c r="AF2966" t="s">
        <v>360</v>
      </c>
      <c r="AX2966" t="s">
        <v>4695</v>
      </c>
    </row>
    <row r="2967" spans="1:50" x14ac:dyDescent="0.25">
      <c r="A2967" t="s">
        <v>362</v>
      </c>
      <c r="AF2967" t="s">
        <v>363</v>
      </c>
      <c r="AX2967" t="s">
        <v>4696</v>
      </c>
    </row>
    <row r="2968" spans="1:50" x14ac:dyDescent="0.25">
      <c r="A2968" t="s">
        <v>366</v>
      </c>
      <c r="AF2968" t="s">
        <v>367</v>
      </c>
      <c r="AX2968" t="s">
        <v>4697</v>
      </c>
    </row>
    <row r="2969" spans="1:50" x14ac:dyDescent="0.25">
      <c r="A2969" t="s">
        <v>929</v>
      </c>
      <c r="AX2969" t="s">
        <v>4698</v>
      </c>
    </row>
    <row r="2970" spans="1:50" x14ac:dyDescent="0.25">
      <c r="A2970" t="s">
        <v>370</v>
      </c>
      <c r="AF2970" t="s">
        <v>371</v>
      </c>
      <c r="AX2970" t="s">
        <v>4699</v>
      </c>
    </row>
    <row r="2971" spans="1:50" x14ac:dyDescent="0.25">
      <c r="A2971" t="s">
        <v>370</v>
      </c>
      <c r="AF2971" t="s">
        <v>375</v>
      </c>
      <c r="AX2971" t="s">
        <v>4700</v>
      </c>
    </row>
    <row r="2972" spans="1:50" x14ac:dyDescent="0.25">
      <c r="A2972" t="s">
        <v>376</v>
      </c>
      <c r="AF2972" t="s">
        <v>377</v>
      </c>
      <c r="AX2972" t="s">
        <v>4701</v>
      </c>
    </row>
    <row r="2973" spans="1:50" x14ac:dyDescent="0.25">
      <c r="A2973" t="s">
        <v>376</v>
      </c>
      <c r="AF2973" t="s">
        <v>381</v>
      </c>
      <c r="AX2973" t="s">
        <v>4702</v>
      </c>
    </row>
    <row r="2974" spans="1:50" x14ac:dyDescent="0.25">
      <c r="A2974" t="s">
        <v>383</v>
      </c>
      <c r="AF2974" t="s">
        <v>384</v>
      </c>
      <c r="AX2974" t="s">
        <v>385</v>
      </c>
    </row>
    <row r="2975" spans="1:50" x14ac:dyDescent="0.25">
      <c r="A2975" t="s">
        <v>388</v>
      </c>
      <c r="AF2975" t="s">
        <v>389</v>
      </c>
      <c r="AX2975" t="s">
        <v>4703</v>
      </c>
    </row>
    <row r="2976" spans="1:50" x14ac:dyDescent="0.25">
      <c r="A2976" t="s">
        <v>392</v>
      </c>
      <c r="AF2976" t="s">
        <v>4704</v>
      </c>
      <c r="AX2976" t="s">
        <v>4705</v>
      </c>
    </row>
    <row r="2977" spans="1:50" x14ac:dyDescent="0.25">
      <c r="A2977" t="s">
        <v>899</v>
      </c>
      <c r="AF2977" t="s">
        <v>900</v>
      </c>
      <c r="AX2977" t="s">
        <v>4705</v>
      </c>
    </row>
    <row r="2978" spans="1:50" x14ac:dyDescent="0.25">
      <c r="A2978" t="s">
        <v>925</v>
      </c>
      <c r="AF2978" t="s">
        <v>924</v>
      </c>
      <c r="AX2978" t="s">
        <v>4706</v>
      </c>
    </row>
    <row r="2979" spans="1:50" x14ac:dyDescent="0.25">
      <c r="A2979" t="s">
        <v>396</v>
      </c>
      <c r="AF2979" t="s">
        <v>397</v>
      </c>
      <c r="AX2979" t="s">
        <v>4707</v>
      </c>
    </row>
    <row r="2980" spans="1:50" x14ac:dyDescent="0.25">
      <c r="A2980" t="s">
        <v>400</v>
      </c>
      <c r="AF2980" t="s">
        <v>401</v>
      </c>
      <c r="AX2980" t="s">
        <v>4708</v>
      </c>
    </row>
    <row r="2981" spans="1:50" x14ac:dyDescent="0.25">
      <c r="A2981" t="s">
        <v>404</v>
      </c>
      <c r="AF2981" t="s">
        <v>405</v>
      </c>
      <c r="AX2981" t="s">
        <v>4709</v>
      </c>
    </row>
    <row r="2982" spans="1:50" x14ac:dyDescent="0.25">
      <c r="A2982" t="s">
        <v>404</v>
      </c>
      <c r="AF2982" t="s">
        <v>409</v>
      </c>
      <c r="AX2982" t="s">
        <v>4710</v>
      </c>
    </row>
    <row r="2983" spans="1:50" x14ac:dyDescent="0.25">
      <c r="A2983" t="s">
        <v>4711</v>
      </c>
      <c r="AF2983" t="s">
        <v>412</v>
      </c>
      <c r="AX2983" t="s">
        <v>4712</v>
      </c>
    </row>
    <row r="2984" spans="1:50" x14ac:dyDescent="0.25">
      <c r="A2984" t="s">
        <v>415</v>
      </c>
      <c r="AF2984" t="s">
        <v>416</v>
      </c>
      <c r="AX2984" t="s">
        <v>4713</v>
      </c>
    </row>
    <row r="2985" spans="1:50" x14ac:dyDescent="0.25">
      <c r="A2985" t="s">
        <v>4714</v>
      </c>
      <c r="AF2985" t="s">
        <v>4715</v>
      </c>
      <c r="AX2985" t="s">
        <v>4716</v>
      </c>
    </row>
    <row r="2986" spans="1:50" x14ac:dyDescent="0.25">
      <c r="A2986" t="s">
        <v>423</v>
      </c>
      <c r="AF2986" t="s">
        <v>424</v>
      </c>
      <c r="AX2986" t="s">
        <v>4717</v>
      </c>
    </row>
    <row r="2987" spans="1:50" x14ac:dyDescent="0.25">
      <c r="A2987" t="s">
        <v>427</v>
      </c>
      <c r="AF2987" t="s">
        <v>428</v>
      </c>
      <c r="AX2987" t="s">
        <v>4718</v>
      </c>
    </row>
    <row r="2988" spans="1:50" x14ac:dyDescent="0.25">
      <c r="A2988" t="s">
        <v>4719</v>
      </c>
      <c r="AF2988" t="s">
        <v>432</v>
      </c>
      <c r="AX2988" t="s">
        <v>4720</v>
      </c>
    </row>
    <row r="2989" spans="1:50" x14ac:dyDescent="0.25">
      <c r="A2989" t="s">
        <v>435</v>
      </c>
      <c r="AF2989" t="s">
        <v>436</v>
      </c>
      <c r="AX2989" t="s">
        <v>4721</v>
      </c>
    </row>
    <row r="2990" spans="1:50" x14ac:dyDescent="0.25">
      <c r="A2990" t="s">
        <v>435</v>
      </c>
      <c r="AF2990" t="s">
        <v>4722</v>
      </c>
      <c r="AX2990" t="s">
        <v>4723</v>
      </c>
    </row>
    <row r="2991" spans="1:50" x14ac:dyDescent="0.25">
      <c r="A2991" t="s">
        <v>435</v>
      </c>
      <c r="AF2991" t="s">
        <v>443</v>
      </c>
      <c r="AX2991" t="s">
        <v>4724</v>
      </c>
    </row>
    <row r="2992" spans="1:50" x14ac:dyDescent="0.25">
      <c r="A2992" t="s">
        <v>445</v>
      </c>
      <c r="AF2992" t="s">
        <v>446</v>
      </c>
      <c r="AX2992" t="s">
        <v>4725</v>
      </c>
    </row>
    <row r="2993" spans="1:50" x14ac:dyDescent="0.25">
      <c r="A2993" t="s">
        <v>449</v>
      </c>
      <c r="AF2993" t="s">
        <v>4726</v>
      </c>
      <c r="AX2993" t="s">
        <v>4727</v>
      </c>
    </row>
    <row r="2994" spans="1:50" x14ac:dyDescent="0.25">
      <c r="A2994" t="s">
        <v>941</v>
      </c>
    </row>
    <row r="2995" spans="1:50" x14ac:dyDescent="0.25">
      <c r="A2995" t="s">
        <v>862</v>
      </c>
      <c r="AF2995" t="s">
        <v>863</v>
      </c>
    </row>
    <row r="2996" spans="1:50" x14ac:dyDescent="0.25">
      <c r="A2996" t="s">
        <v>454</v>
      </c>
      <c r="AF2996" t="s">
        <v>455</v>
      </c>
      <c r="AX2996" t="s">
        <v>4728</v>
      </c>
    </row>
    <row r="2997" spans="1:50" x14ac:dyDescent="0.25">
      <c r="A2997" t="s">
        <v>458</v>
      </c>
      <c r="AF2997" t="s">
        <v>459</v>
      </c>
      <c r="AX2997" t="s">
        <v>4729</v>
      </c>
    </row>
    <row r="2998" spans="1:50" x14ac:dyDescent="0.25">
      <c r="A2998" t="s">
        <v>462</v>
      </c>
      <c r="AF2998" t="s">
        <v>463</v>
      </c>
      <c r="AX2998" t="s">
        <v>4730</v>
      </c>
    </row>
    <row r="2999" spans="1:50" x14ac:dyDescent="0.25">
      <c r="A2999" t="s">
        <v>462</v>
      </c>
      <c r="AF2999" t="s">
        <v>467</v>
      </c>
      <c r="AX2999" t="s">
        <v>4731</v>
      </c>
    </row>
    <row r="3000" spans="1:50" x14ac:dyDescent="0.25">
      <c r="A3000" t="s">
        <v>462</v>
      </c>
      <c r="AF3000" t="s">
        <v>470</v>
      </c>
      <c r="AX3000" t="s">
        <v>4732</v>
      </c>
    </row>
    <row r="3001" spans="1:50" x14ac:dyDescent="0.25">
      <c r="A3001" t="s">
        <v>462</v>
      </c>
      <c r="AF3001" t="s">
        <v>473</v>
      </c>
      <c r="AX3001" t="s">
        <v>4733</v>
      </c>
    </row>
    <row r="3002" spans="1:50" x14ac:dyDescent="0.25">
      <c r="A3002" t="s">
        <v>462</v>
      </c>
      <c r="AF3002" t="s">
        <v>476</v>
      </c>
      <c r="AX3002" t="s">
        <v>4734</v>
      </c>
    </row>
    <row r="3003" spans="1:50" x14ac:dyDescent="0.25">
      <c r="A3003" t="s">
        <v>462</v>
      </c>
      <c r="AF3003" t="s">
        <v>479</v>
      </c>
      <c r="AX3003" t="s">
        <v>4735</v>
      </c>
    </row>
    <row r="3004" spans="1:50" x14ac:dyDescent="0.25">
      <c r="A3004" t="s">
        <v>481</v>
      </c>
      <c r="AF3004" t="s">
        <v>482</v>
      </c>
      <c r="AX3004" t="s">
        <v>4736</v>
      </c>
    </row>
    <row r="3005" spans="1:50" x14ac:dyDescent="0.25">
      <c r="A3005" t="s">
        <v>485</v>
      </c>
      <c r="AF3005" t="s">
        <v>486</v>
      </c>
      <c r="AX3005" t="s">
        <v>487</v>
      </c>
    </row>
    <row r="3006" spans="1:50" x14ac:dyDescent="0.25">
      <c r="A3006" t="s">
        <v>490</v>
      </c>
      <c r="AF3006" t="s">
        <v>491</v>
      </c>
      <c r="AX3006" t="s">
        <v>4737</v>
      </c>
    </row>
    <row r="3007" spans="1:50" x14ac:dyDescent="0.25">
      <c r="A3007" t="s">
        <v>4738</v>
      </c>
      <c r="AF3007" t="s">
        <v>495</v>
      </c>
      <c r="AX3007" t="s">
        <v>4739</v>
      </c>
    </row>
    <row r="3008" spans="1:50" x14ac:dyDescent="0.25">
      <c r="A3008" t="s">
        <v>4738</v>
      </c>
      <c r="AF3008" t="s">
        <v>499</v>
      </c>
      <c r="AX3008" t="s">
        <v>4740</v>
      </c>
    </row>
    <row r="3009" spans="1:50" x14ac:dyDescent="0.25">
      <c r="A3009" t="s">
        <v>4738</v>
      </c>
      <c r="AF3009" t="s">
        <v>502</v>
      </c>
      <c r="AX3009" t="s">
        <v>4741</v>
      </c>
    </row>
    <row r="3010" spans="1:50" x14ac:dyDescent="0.25">
      <c r="A3010" t="s">
        <v>4742</v>
      </c>
      <c r="AF3010" t="s">
        <v>505</v>
      </c>
      <c r="AX3010" t="s">
        <v>4743</v>
      </c>
    </row>
    <row r="3011" spans="1:50" x14ac:dyDescent="0.25">
      <c r="A3011" t="s">
        <v>508</v>
      </c>
      <c r="AF3011" t="s">
        <v>509</v>
      </c>
      <c r="AX3011" t="s">
        <v>4744</v>
      </c>
    </row>
    <row r="3012" spans="1:50" x14ac:dyDescent="0.25">
      <c r="A3012" t="s">
        <v>508</v>
      </c>
      <c r="AF3012" t="s">
        <v>513</v>
      </c>
      <c r="AX3012" t="s">
        <v>4745</v>
      </c>
    </row>
    <row r="3013" spans="1:50" x14ac:dyDescent="0.25">
      <c r="A3013" t="s">
        <v>508</v>
      </c>
      <c r="AF3013" t="s">
        <v>516</v>
      </c>
      <c r="AX3013" t="s">
        <v>4746</v>
      </c>
    </row>
    <row r="3014" spans="1:50" x14ac:dyDescent="0.25">
      <c r="A3014" t="s">
        <v>519</v>
      </c>
      <c r="AF3014" t="s">
        <v>73</v>
      </c>
      <c r="AX3014" t="s">
        <v>4600</v>
      </c>
    </row>
    <row r="3015" spans="1:50" x14ac:dyDescent="0.25">
      <c r="A3015" t="s">
        <v>520</v>
      </c>
      <c r="AF3015" t="s">
        <v>521</v>
      </c>
      <c r="AX3015" t="s">
        <v>4747</v>
      </c>
    </row>
    <row r="3016" spans="1:50" x14ac:dyDescent="0.25">
      <c r="A3016" t="s">
        <v>937</v>
      </c>
      <c r="AF3016" t="s">
        <v>938</v>
      </c>
    </row>
    <row r="3017" spans="1:50" x14ac:dyDescent="0.25">
      <c r="A3017" t="s">
        <v>947</v>
      </c>
      <c r="AF3017" t="s">
        <v>947</v>
      </c>
      <c r="AX3017" t="s">
        <v>4748</v>
      </c>
    </row>
    <row r="3018" spans="1:50" x14ac:dyDescent="0.25">
      <c r="A3018" t="s">
        <v>4749</v>
      </c>
      <c r="AF3018" t="s">
        <v>525</v>
      </c>
      <c r="AX3018" t="s">
        <v>4750</v>
      </c>
    </row>
    <row r="3019" spans="1:50" x14ac:dyDescent="0.25">
      <c r="A3019" t="s">
        <v>528</v>
      </c>
      <c r="AF3019" t="s">
        <v>529</v>
      </c>
      <c r="AX3019" t="s">
        <v>4751</v>
      </c>
    </row>
    <row r="3020" spans="1:50" x14ac:dyDescent="0.25">
      <c r="A3020" t="s">
        <v>532</v>
      </c>
      <c r="AF3020" t="s">
        <v>533</v>
      </c>
      <c r="AX3020" t="s">
        <v>4752</v>
      </c>
    </row>
    <row r="3021" spans="1:50" x14ac:dyDescent="0.25">
      <c r="A3021" t="s">
        <v>532</v>
      </c>
      <c r="AF3021" t="s">
        <v>537</v>
      </c>
      <c r="AX3021" t="s">
        <v>4753</v>
      </c>
    </row>
    <row r="3022" spans="1:50" x14ac:dyDescent="0.25">
      <c r="A3022" t="s">
        <v>860</v>
      </c>
      <c r="AF3022" t="s">
        <v>858</v>
      </c>
      <c r="AX3022" t="s">
        <v>4754</v>
      </c>
    </row>
    <row r="3023" spans="1:50" x14ac:dyDescent="0.25">
      <c r="A3023" t="s">
        <v>24</v>
      </c>
    </row>
    <row r="3024" spans="1:50" x14ac:dyDescent="0.25">
      <c r="A3024" t="s">
        <v>675</v>
      </c>
    </row>
    <row r="3025" spans="1:37" x14ac:dyDescent="0.25">
      <c r="A3025" t="s">
        <v>27</v>
      </c>
    </row>
    <row r="3026" spans="1:37" x14ac:dyDescent="0.25">
      <c r="A3026" t="s">
        <v>30</v>
      </c>
    </row>
    <row r="3027" spans="1:37" x14ac:dyDescent="0.25">
      <c r="A3027" t="s">
        <v>31</v>
      </c>
    </row>
    <row r="3028" spans="1:37" x14ac:dyDescent="0.25">
      <c r="A3028" t="s">
        <v>34</v>
      </c>
    </row>
    <row r="3029" spans="1:37" x14ac:dyDescent="0.25">
      <c r="A3029" t="s">
        <v>945</v>
      </c>
    </row>
    <row r="3030" spans="1:37" x14ac:dyDescent="0.25">
      <c r="A3030" t="s">
        <v>9</v>
      </c>
      <c r="AK3030" t="s">
        <v>38</v>
      </c>
    </row>
    <row r="3033" spans="1:37" x14ac:dyDescent="0.25">
      <c r="A3033" t="s">
        <v>877</v>
      </c>
      <c r="AK3033" t="s">
        <v>40</v>
      </c>
    </row>
    <row r="3034" spans="1:37" x14ac:dyDescent="0.25">
      <c r="A3034" t="s">
        <v>43</v>
      </c>
      <c r="AK3034" t="s">
        <v>40</v>
      </c>
    </row>
    <row r="3035" spans="1:37" x14ac:dyDescent="0.25">
      <c r="A3035" t="s">
        <v>46</v>
      </c>
      <c r="AK3035" t="s">
        <v>40</v>
      </c>
    </row>
    <row r="3036" spans="1:37" x14ac:dyDescent="0.25">
      <c r="A3036" t="s">
        <v>49</v>
      </c>
      <c r="AK3036" t="s">
        <v>40</v>
      </c>
    </row>
    <row r="3037" spans="1:37" x14ac:dyDescent="0.25">
      <c r="A3037" t="s">
        <v>52</v>
      </c>
      <c r="AK3037" t="s">
        <v>53</v>
      </c>
    </row>
    <row r="3038" spans="1:37" x14ac:dyDescent="0.25">
      <c r="A3038" t="s">
        <v>897</v>
      </c>
      <c r="AK3038" t="s">
        <v>898</v>
      </c>
    </row>
    <row r="3039" spans="1:37" x14ac:dyDescent="0.25">
      <c r="A3039" t="s">
        <v>56</v>
      </c>
      <c r="AK3039" t="s">
        <v>57</v>
      </c>
    </row>
    <row r="3040" spans="1:37" x14ac:dyDescent="0.25">
      <c r="A3040" t="s">
        <v>61</v>
      </c>
      <c r="AK3040" t="s">
        <v>62</v>
      </c>
    </row>
    <row r="3041" spans="1:37" x14ac:dyDescent="0.25">
      <c r="A3041" t="s">
        <v>65</v>
      </c>
      <c r="AK3041" t="s">
        <v>57</v>
      </c>
    </row>
    <row r="3042" spans="1:37" x14ac:dyDescent="0.25">
      <c r="A3042" t="s">
        <v>68</v>
      </c>
      <c r="AK3042" t="s">
        <v>69</v>
      </c>
    </row>
    <row r="3043" spans="1:37" x14ac:dyDescent="0.25">
      <c r="A3043" t="s">
        <v>71</v>
      </c>
      <c r="AK3043" t="s">
        <v>69</v>
      </c>
    </row>
    <row r="3044" spans="1:37" x14ac:dyDescent="0.25">
      <c r="A3044" t="s">
        <v>893</v>
      </c>
      <c r="AK3044" t="s">
        <v>892</v>
      </c>
    </row>
    <row r="3045" spans="1:37" x14ac:dyDescent="0.25">
      <c r="A3045" t="s">
        <v>74</v>
      </c>
      <c r="AK3045" t="s">
        <v>75</v>
      </c>
    </row>
    <row r="3046" spans="1:37" x14ac:dyDescent="0.25">
      <c r="A3046" t="s">
        <v>79</v>
      </c>
      <c r="AK3046" t="s">
        <v>4755</v>
      </c>
    </row>
    <row r="3047" spans="1:37" x14ac:dyDescent="0.25">
      <c r="A3047" t="s">
        <v>84</v>
      </c>
      <c r="AK3047" t="s">
        <v>4756</v>
      </c>
    </row>
    <row r="3048" spans="1:37" x14ac:dyDescent="0.25">
      <c r="A3048" t="s">
        <v>87</v>
      </c>
      <c r="AK3048" t="s">
        <v>4756</v>
      </c>
    </row>
    <row r="3049" spans="1:37" x14ac:dyDescent="0.25">
      <c r="A3049" t="s">
        <v>91</v>
      </c>
      <c r="AK3049" t="s">
        <v>92</v>
      </c>
    </row>
    <row r="3050" spans="1:37" x14ac:dyDescent="0.25">
      <c r="A3050" t="s">
        <v>95</v>
      </c>
      <c r="AK3050" t="s">
        <v>96</v>
      </c>
    </row>
    <row r="3051" spans="1:37" x14ac:dyDescent="0.25">
      <c r="A3051" t="s">
        <v>99</v>
      </c>
      <c r="AK3051" t="s">
        <v>100</v>
      </c>
    </row>
    <row r="3052" spans="1:37" x14ac:dyDescent="0.25">
      <c r="A3052" t="s">
        <v>103</v>
      </c>
      <c r="AK3052" t="s">
        <v>104</v>
      </c>
    </row>
    <row r="3053" spans="1:37" x14ac:dyDescent="0.25">
      <c r="A3053" t="s">
        <v>107</v>
      </c>
      <c r="AK3053" t="s">
        <v>4757</v>
      </c>
    </row>
    <row r="3054" spans="1:37" x14ac:dyDescent="0.25">
      <c r="A3054" t="s">
        <v>110</v>
      </c>
      <c r="AK3054" t="s">
        <v>111</v>
      </c>
    </row>
    <row r="3055" spans="1:37" x14ac:dyDescent="0.25">
      <c r="A3055" t="s">
        <v>114</v>
      </c>
      <c r="AK3055" t="s">
        <v>111</v>
      </c>
    </row>
    <row r="3056" spans="1:37" x14ac:dyDescent="0.25">
      <c r="A3056" t="s">
        <v>117</v>
      </c>
      <c r="AK3056" t="s">
        <v>111</v>
      </c>
    </row>
    <row r="3057" spans="1:37" x14ac:dyDescent="0.25">
      <c r="A3057" t="s">
        <v>120</v>
      </c>
      <c r="AK3057" t="s">
        <v>111</v>
      </c>
    </row>
    <row r="3058" spans="1:37" x14ac:dyDescent="0.25">
      <c r="A3058" t="s">
        <v>4758</v>
      </c>
      <c r="AK3058" t="s">
        <v>111</v>
      </c>
    </row>
    <row r="3059" spans="1:37" x14ac:dyDescent="0.25">
      <c r="A3059" t="s">
        <v>126</v>
      </c>
      <c r="AK3059" t="s">
        <v>111</v>
      </c>
    </row>
    <row r="3060" spans="1:37" x14ac:dyDescent="0.25">
      <c r="A3060" t="s">
        <v>129</v>
      </c>
      <c r="AK3060" t="s">
        <v>130</v>
      </c>
    </row>
    <row r="3061" spans="1:37" x14ac:dyDescent="0.25">
      <c r="A3061" t="s">
        <v>912</v>
      </c>
      <c r="AK3061" t="s">
        <v>913</v>
      </c>
    </row>
    <row r="3062" spans="1:37" x14ac:dyDescent="0.25">
      <c r="A3062" t="s">
        <v>134</v>
      </c>
      <c r="AK3062" t="s">
        <v>4759</v>
      </c>
    </row>
    <row r="3063" spans="1:37" x14ac:dyDescent="0.25">
      <c r="A3063" t="s">
        <v>138</v>
      </c>
      <c r="AK3063" t="s">
        <v>139</v>
      </c>
    </row>
    <row r="3064" spans="1:37" x14ac:dyDescent="0.25">
      <c r="A3064" t="s">
        <v>143</v>
      </c>
      <c r="AK3064" t="s">
        <v>144</v>
      </c>
    </row>
    <row r="3065" spans="1:37" x14ac:dyDescent="0.25">
      <c r="A3065" t="s">
        <v>146</v>
      </c>
      <c r="AK3065" t="s">
        <v>147</v>
      </c>
    </row>
    <row r="3066" spans="1:37" x14ac:dyDescent="0.25">
      <c r="A3066" t="s">
        <v>149</v>
      </c>
      <c r="AK3066" t="s">
        <v>147</v>
      </c>
    </row>
    <row r="3067" spans="1:37" x14ac:dyDescent="0.25">
      <c r="A3067" t="s">
        <v>152</v>
      </c>
      <c r="AK3067" t="s">
        <v>153</v>
      </c>
    </row>
    <row r="3068" spans="1:37" x14ac:dyDescent="0.25">
      <c r="A3068" t="s">
        <v>156</v>
      </c>
      <c r="AK3068" t="s">
        <v>153</v>
      </c>
    </row>
    <row r="3069" spans="1:37" x14ac:dyDescent="0.25">
      <c r="A3069" t="s">
        <v>159</v>
      </c>
      <c r="AK3069" t="s">
        <v>153</v>
      </c>
    </row>
    <row r="3070" spans="1:37" x14ac:dyDescent="0.25">
      <c r="A3070" t="s">
        <v>163</v>
      </c>
      <c r="AK3070" t="s">
        <v>164</v>
      </c>
    </row>
    <row r="3071" spans="1:37" x14ac:dyDescent="0.25">
      <c r="A3071" t="s">
        <v>4760</v>
      </c>
    </row>
    <row r="3072" spans="1:37" x14ac:dyDescent="0.25">
      <c r="A3072" t="s">
        <v>167</v>
      </c>
      <c r="AK3072" t="s">
        <v>164</v>
      </c>
    </row>
    <row r="3073" spans="1:37" x14ac:dyDescent="0.25">
      <c r="A3073" t="s">
        <v>170</v>
      </c>
      <c r="AK3073" t="s">
        <v>171</v>
      </c>
    </row>
    <row r="3074" spans="1:37" x14ac:dyDescent="0.25">
      <c r="A3074" t="s">
        <v>904</v>
      </c>
      <c r="AK3074" t="s">
        <v>905</v>
      </c>
    </row>
    <row r="3075" spans="1:37" x14ac:dyDescent="0.25">
      <c r="A3075" t="s">
        <v>175</v>
      </c>
      <c r="AK3075" t="s">
        <v>176</v>
      </c>
    </row>
    <row r="3076" spans="1:37" x14ac:dyDescent="0.25">
      <c r="A3076" t="s">
        <v>179</v>
      </c>
      <c r="AK3076" t="s">
        <v>180</v>
      </c>
    </row>
    <row r="3077" spans="1:37" x14ac:dyDescent="0.25">
      <c r="A3077" t="s">
        <v>183</v>
      </c>
      <c r="AK3077" t="s">
        <v>184</v>
      </c>
    </row>
    <row r="3078" spans="1:37" x14ac:dyDescent="0.25">
      <c r="A3078" t="s">
        <v>188</v>
      </c>
      <c r="AK3078" t="s">
        <v>189</v>
      </c>
    </row>
    <row r="3079" spans="1:37" x14ac:dyDescent="0.25">
      <c r="A3079" t="s">
        <v>192</v>
      </c>
      <c r="AK3079" t="s">
        <v>193</v>
      </c>
    </row>
    <row r="3080" spans="1:37" x14ac:dyDescent="0.25">
      <c r="A3080" t="s">
        <v>196</v>
      </c>
      <c r="AK3080" t="s">
        <v>197</v>
      </c>
    </row>
    <row r="3081" spans="1:37" x14ac:dyDescent="0.25">
      <c r="A3081" t="s">
        <v>200</v>
      </c>
      <c r="AK3081" t="s">
        <v>201</v>
      </c>
    </row>
    <row r="3082" spans="1:37" x14ac:dyDescent="0.25">
      <c r="A3082" t="s">
        <v>204</v>
      </c>
      <c r="AK3082" t="s">
        <v>205</v>
      </c>
    </row>
    <row r="3083" spans="1:37" x14ac:dyDescent="0.25">
      <c r="A3083" t="s">
        <v>208</v>
      </c>
      <c r="AK3083" t="s">
        <v>209</v>
      </c>
    </row>
    <row r="3084" spans="1:37" x14ac:dyDescent="0.25">
      <c r="A3084" t="s">
        <v>211</v>
      </c>
      <c r="AK3084" t="s">
        <v>209</v>
      </c>
    </row>
    <row r="3085" spans="1:37" x14ac:dyDescent="0.25">
      <c r="A3085" t="s">
        <v>214</v>
      </c>
      <c r="AK3085" t="s">
        <v>215</v>
      </c>
    </row>
    <row r="3086" spans="1:37" x14ac:dyDescent="0.25">
      <c r="A3086" t="s">
        <v>95</v>
      </c>
      <c r="AK3086" t="s">
        <v>4761</v>
      </c>
    </row>
    <row r="3087" spans="1:37" x14ac:dyDescent="0.25">
      <c r="A3087" t="s">
        <v>912</v>
      </c>
      <c r="AK3087" t="s">
        <v>913</v>
      </c>
    </row>
    <row r="3088" spans="1:37" x14ac:dyDescent="0.25">
      <c r="A3088" t="s">
        <v>943</v>
      </c>
      <c r="AK3088" t="s">
        <v>944</v>
      </c>
    </row>
    <row r="3089" spans="1:37" x14ac:dyDescent="0.25">
      <c r="A3089" t="s">
        <v>220</v>
      </c>
      <c r="AK3089" t="s">
        <v>4762</v>
      </c>
    </row>
    <row r="3090" spans="1:37" x14ac:dyDescent="0.25">
      <c r="A3090" t="s">
        <v>889</v>
      </c>
      <c r="AK3090" t="s">
        <v>890</v>
      </c>
    </row>
    <row r="3091" spans="1:37" x14ac:dyDescent="0.25">
      <c r="A3091" t="s">
        <v>224</v>
      </c>
      <c r="AK3091" t="s">
        <v>225</v>
      </c>
    </row>
    <row r="3092" spans="1:37" x14ac:dyDescent="0.25">
      <c r="A3092" t="s">
        <v>227</v>
      </c>
      <c r="AK3092" t="s">
        <v>225</v>
      </c>
    </row>
    <row r="3093" spans="1:37" x14ac:dyDescent="0.25">
      <c r="A3093" t="s">
        <v>230</v>
      </c>
      <c r="AK3093" t="s">
        <v>231</v>
      </c>
    </row>
    <row r="3094" spans="1:37" x14ac:dyDescent="0.25">
      <c r="A3094" t="s">
        <v>234</v>
      </c>
      <c r="AK3094" t="s">
        <v>235</v>
      </c>
    </row>
    <row r="3095" spans="1:37" x14ac:dyDescent="0.25">
      <c r="A3095" t="s">
        <v>237</v>
      </c>
      <c r="AK3095" t="s">
        <v>235</v>
      </c>
    </row>
    <row r="3096" spans="1:37" x14ac:dyDescent="0.25">
      <c r="A3096" t="s">
        <v>240</v>
      </c>
      <c r="AK3096" t="s">
        <v>241</v>
      </c>
    </row>
    <row r="3097" spans="1:37" x14ac:dyDescent="0.25">
      <c r="A3097" t="s">
        <v>244</v>
      </c>
      <c r="AK3097" t="s">
        <v>245</v>
      </c>
    </row>
    <row r="3098" spans="1:37" x14ac:dyDescent="0.25">
      <c r="A3098" t="s">
        <v>248</v>
      </c>
      <c r="AK3098" t="s">
        <v>249</v>
      </c>
    </row>
    <row r="3099" spans="1:37" x14ac:dyDescent="0.25">
      <c r="A3099" t="s">
        <v>251</v>
      </c>
    </row>
    <row r="3100" spans="1:37" x14ac:dyDescent="0.25">
      <c r="A3100" t="s">
        <v>253</v>
      </c>
      <c r="AK3100" t="s">
        <v>4763</v>
      </c>
    </row>
    <row r="3101" spans="1:37" x14ac:dyDescent="0.25">
      <c r="A3101" t="s">
        <v>257</v>
      </c>
      <c r="AK3101" t="s">
        <v>258</v>
      </c>
    </row>
    <row r="3102" spans="1:37" x14ac:dyDescent="0.25">
      <c r="A3102" t="s">
        <v>935</v>
      </c>
      <c r="AK3102" t="s">
        <v>936</v>
      </c>
    </row>
    <row r="3103" spans="1:37" x14ac:dyDescent="0.25">
      <c r="A3103" t="s">
        <v>908</v>
      </c>
      <c r="AK3103" t="s">
        <v>4764</v>
      </c>
    </row>
    <row r="3104" spans="1:37" x14ac:dyDescent="0.25">
      <c r="A3104" t="s">
        <v>261</v>
      </c>
      <c r="AK3104" t="s">
        <v>258</v>
      </c>
    </row>
    <row r="3105" spans="1:37" x14ac:dyDescent="0.25">
      <c r="A3105" t="s">
        <v>264</v>
      </c>
      <c r="AK3105" t="s">
        <v>4765</v>
      </c>
    </row>
    <row r="3106" spans="1:37" x14ac:dyDescent="0.25">
      <c r="A3106" t="s">
        <v>269</v>
      </c>
      <c r="AK3106" t="s">
        <v>270</v>
      </c>
    </row>
    <row r="3107" spans="1:37" x14ac:dyDescent="0.25">
      <c r="A3107" t="s">
        <v>273</v>
      </c>
      <c r="AK3107" t="s">
        <v>274</v>
      </c>
    </row>
    <row r="3108" spans="1:37" x14ac:dyDescent="0.25">
      <c r="A3108" t="s">
        <v>276</v>
      </c>
      <c r="AK3108" t="s">
        <v>4766</v>
      </c>
    </row>
    <row r="3109" spans="1:37" x14ac:dyDescent="0.25">
      <c r="A3109" t="s">
        <v>280</v>
      </c>
      <c r="AK3109" t="s">
        <v>281</v>
      </c>
    </row>
    <row r="3110" spans="1:37" x14ac:dyDescent="0.25">
      <c r="A3110" t="s">
        <v>855</v>
      </c>
      <c r="AK3110" t="s">
        <v>282</v>
      </c>
    </row>
    <row r="3111" spans="1:37" x14ac:dyDescent="0.25">
      <c r="A3111" t="s">
        <v>854</v>
      </c>
      <c r="AK3111" t="s">
        <v>282</v>
      </c>
    </row>
    <row r="3112" spans="1:37" x14ac:dyDescent="0.25">
      <c r="A3112" t="s">
        <v>857</v>
      </c>
      <c r="AK3112" t="s">
        <v>282</v>
      </c>
    </row>
    <row r="3113" spans="1:37" x14ac:dyDescent="0.25">
      <c r="A3113" t="s">
        <v>853</v>
      </c>
      <c r="AK3113" t="s">
        <v>282</v>
      </c>
    </row>
    <row r="3114" spans="1:37" x14ac:dyDescent="0.25">
      <c r="A3114" t="s">
        <v>285</v>
      </c>
      <c r="AK3114" t="s">
        <v>286</v>
      </c>
    </row>
    <row r="3115" spans="1:37" x14ac:dyDescent="0.25">
      <c r="A3115" t="s">
        <v>289</v>
      </c>
      <c r="AK3115" t="s">
        <v>290</v>
      </c>
    </row>
    <row r="3116" spans="1:37" x14ac:dyDescent="0.25">
      <c r="A3116" t="s">
        <v>293</v>
      </c>
      <c r="AK3116" t="s">
        <v>294</v>
      </c>
    </row>
    <row r="3117" spans="1:37" x14ac:dyDescent="0.25">
      <c r="A3117" t="s">
        <v>298</v>
      </c>
      <c r="AK3117" t="s">
        <v>299</v>
      </c>
    </row>
    <row r="3118" spans="1:37" x14ac:dyDescent="0.25">
      <c r="A3118" t="s">
        <v>302</v>
      </c>
      <c r="AK3118" t="s">
        <v>299</v>
      </c>
    </row>
    <row r="3119" spans="1:37" x14ac:dyDescent="0.25">
      <c r="A3119" t="s">
        <v>305</v>
      </c>
      <c r="AK3119" t="s">
        <v>306</v>
      </c>
    </row>
    <row r="3120" spans="1:37" x14ac:dyDescent="0.25">
      <c r="A3120" t="s">
        <v>309</v>
      </c>
      <c r="AK3120" t="s">
        <v>4767</v>
      </c>
    </row>
    <row r="3121" spans="1:37" x14ac:dyDescent="0.25">
      <c r="A3121" t="s">
        <v>313</v>
      </c>
      <c r="AK3121" t="s">
        <v>314</v>
      </c>
    </row>
    <row r="3122" spans="1:37" x14ac:dyDescent="0.25">
      <c r="A3122" t="s">
        <v>317</v>
      </c>
      <c r="AK3122" t="s">
        <v>314</v>
      </c>
    </row>
    <row r="3123" spans="1:37" x14ac:dyDescent="0.25">
      <c r="A3123" t="s">
        <v>320</v>
      </c>
      <c r="AK3123" t="s">
        <v>314</v>
      </c>
    </row>
    <row r="3124" spans="1:37" x14ac:dyDescent="0.25">
      <c r="A3124" t="s">
        <v>323</v>
      </c>
      <c r="AK3124" t="s">
        <v>324</v>
      </c>
    </row>
    <row r="3125" spans="1:37" x14ac:dyDescent="0.25">
      <c r="A3125" t="s">
        <v>327</v>
      </c>
      <c r="AK3125" t="s">
        <v>328</v>
      </c>
    </row>
    <row r="3126" spans="1:37" x14ac:dyDescent="0.25">
      <c r="A3126" t="s">
        <v>331</v>
      </c>
      <c r="AK3126" t="s">
        <v>328</v>
      </c>
    </row>
    <row r="3127" spans="1:37" x14ac:dyDescent="0.25">
      <c r="A3127" t="s">
        <v>333</v>
      </c>
      <c r="AK3127" t="s">
        <v>328</v>
      </c>
    </row>
    <row r="3128" spans="1:37" x14ac:dyDescent="0.25">
      <c r="A3128" t="s">
        <v>336</v>
      </c>
      <c r="AK3128" t="s">
        <v>337</v>
      </c>
    </row>
    <row r="3129" spans="1:37" x14ac:dyDescent="0.25">
      <c r="A3129" t="s">
        <v>340</v>
      </c>
      <c r="AK3129" t="s">
        <v>341</v>
      </c>
    </row>
    <row r="3130" spans="1:37" x14ac:dyDescent="0.25">
      <c r="A3130" t="s">
        <v>344</v>
      </c>
      <c r="AK3130" t="s">
        <v>341</v>
      </c>
    </row>
    <row r="3131" spans="1:37" x14ac:dyDescent="0.25">
      <c r="A3131" t="s">
        <v>348</v>
      </c>
      <c r="AK3131" t="s">
        <v>349</v>
      </c>
    </row>
    <row r="3132" spans="1:37" x14ac:dyDescent="0.25">
      <c r="A3132" t="s">
        <v>352</v>
      </c>
      <c r="AK3132" t="s">
        <v>353</v>
      </c>
    </row>
    <row r="3133" spans="1:37" x14ac:dyDescent="0.25">
      <c r="A3133" t="s">
        <v>357</v>
      </c>
      <c r="AK3133" t="s">
        <v>358</v>
      </c>
    </row>
    <row r="3134" spans="1:37" x14ac:dyDescent="0.25">
      <c r="A3134" t="s">
        <v>361</v>
      </c>
      <c r="AK3134" t="s">
        <v>358</v>
      </c>
    </row>
    <row r="3135" spans="1:37" x14ac:dyDescent="0.25">
      <c r="A3135" t="s">
        <v>364</v>
      </c>
      <c r="AK3135" t="s">
        <v>365</v>
      </c>
    </row>
    <row r="3136" spans="1:37" x14ac:dyDescent="0.25">
      <c r="A3136" t="s">
        <v>368</v>
      </c>
      <c r="AK3136" t="s">
        <v>369</v>
      </c>
    </row>
    <row r="3137" spans="1:37" x14ac:dyDescent="0.25">
      <c r="A3137" t="s">
        <v>930</v>
      </c>
      <c r="AK3137" t="s">
        <v>931</v>
      </c>
    </row>
    <row r="3138" spans="1:37" x14ac:dyDescent="0.25">
      <c r="A3138" t="s">
        <v>372</v>
      </c>
      <c r="AK3138" t="s">
        <v>373</v>
      </c>
    </row>
    <row r="3139" spans="1:37" x14ac:dyDescent="0.25">
      <c r="A3139" t="s">
        <v>372</v>
      </c>
      <c r="AK3139" t="s">
        <v>373</v>
      </c>
    </row>
    <row r="3140" spans="1:37" x14ac:dyDescent="0.25">
      <c r="A3140" t="s">
        <v>378</v>
      </c>
      <c r="AK3140" t="s">
        <v>379</v>
      </c>
    </row>
    <row r="3141" spans="1:37" x14ac:dyDescent="0.25">
      <c r="A3141" t="s">
        <v>382</v>
      </c>
      <c r="AK3141" t="s">
        <v>379</v>
      </c>
    </row>
    <row r="3142" spans="1:37" x14ac:dyDescent="0.25">
      <c r="A3142" t="s">
        <v>386</v>
      </c>
      <c r="AK3142" t="s">
        <v>387</v>
      </c>
    </row>
    <row r="3143" spans="1:37" x14ac:dyDescent="0.25">
      <c r="A3143" t="s">
        <v>390</v>
      </c>
      <c r="AK3143" t="s">
        <v>391</v>
      </c>
    </row>
    <row r="3144" spans="1:37" x14ac:dyDescent="0.25">
      <c r="A3144" t="s">
        <v>394</v>
      </c>
      <c r="AK3144" t="s">
        <v>395</v>
      </c>
    </row>
    <row r="3145" spans="1:37" x14ac:dyDescent="0.25">
      <c r="A3145" t="s">
        <v>901</v>
      </c>
      <c r="AK3145" t="s">
        <v>902</v>
      </c>
    </row>
    <row r="3146" spans="1:37" x14ac:dyDescent="0.25">
      <c r="A3146" t="s">
        <v>926</v>
      </c>
      <c r="AK3146" t="s">
        <v>927</v>
      </c>
    </row>
    <row r="3147" spans="1:37" x14ac:dyDescent="0.25">
      <c r="A3147" t="s">
        <v>398</v>
      </c>
      <c r="AK3147" t="s">
        <v>399</v>
      </c>
    </row>
    <row r="3148" spans="1:37" x14ac:dyDescent="0.25">
      <c r="A3148" t="s">
        <v>402</v>
      </c>
      <c r="AK3148" t="s">
        <v>403</v>
      </c>
    </row>
    <row r="3149" spans="1:37" x14ac:dyDescent="0.25">
      <c r="A3149" t="s">
        <v>406</v>
      </c>
      <c r="AK3149" t="s">
        <v>407</v>
      </c>
    </row>
    <row r="3150" spans="1:37" x14ac:dyDescent="0.25">
      <c r="A3150" t="s">
        <v>410</v>
      </c>
      <c r="AK3150" t="s">
        <v>407</v>
      </c>
    </row>
    <row r="3151" spans="1:37" x14ac:dyDescent="0.25">
      <c r="A3151" t="s">
        <v>413</v>
      </c>
      <c r="AK3151" t="s">
        <v>414</v>
      </c>
    </row>
    <row r="3152" spans="1:37" x14ac:dyDescent="0.25">
      <c r="A3152" t="s">
        <v>417</v>
      </c>
      <c r="AK3152" t="s">
        <v>418</v>
      </c>
    </row>
    <row r="3153" spans="1:62" x14ac:dyDescent="0.25">
      <c r="A3153" t="s">
        <v>421</v>
      </c>
      <c r="AK3153" t="s">
        <v>4768</v>
      </c>
    </row>
    <row r="3154" spans="1:62" x14ac:dyDescent="0.25">
      <c r="A3154" t="s">
        <v>425</v>
      </c>
      <c r="AK3154" t="s">
        <v>426</v>
      </c>
    </row>
    <row r="3155" spans="1:62" x14ac:dyDescent="0.25">
      <c r="A3155" t="s">
        <v>429</v>
      </c>
      <c r="AK3155" t="s">
        <v>430</v>
      </c>
    </row>
    <row r="3156" spans="1:62" x14ac:dyDescent="0.25">
      <c r="A3156" t="s">
        <v>433</v>
      </c>
      <c r="AK3156" t="s">
        <v>434</v>
      </c>
    </row>
    <row r="3157" spans="1:62" x14ac:dyDescent="0.25">
      <c r="A3157" t="s">
        <v>437</v>
      </c>
      <c r="AK3157" t="s">
        <v>438</v>
      </c>
    </row>
    <row r="3158" spans="1:62" x14ac:dyDescent="0.25">
      <c r="A3158" t="s">
        <v>441</v>
      </c>
      <c r="AK3158" t="s">
        <v>438</v>
      </c>
    </row>
    <row r="3159" spans="1:62" x14ac:dyDescent="0.25">
      <c r="A3159" t="s">
        <v>444</v>
      </c>
      <c r="AK3159" t="s">
        <v>438</v>
      </c>
    </row>
    <row r="3160" spans="1:62" x14ac:dyDescent="0.25">
      <c r="A3160" t="s">
        <v>447</v>
      </c>
      <c r="AK3160" t="s">
        <v>448</v>
      </c>
    </row>
    <row r="3161" spans="1:62" x14ac:dyDescent="0.25">
      <c r="A3161" t="s">
        <v>451</v>
      </c>
      <c r="AK3161" t="s">
        <v>4769</v>
      </c>
    </row>
    <row r="3162" spans="1:62" x14ac:dyDescent="0.25">
      <c r="A3162" t="s">
        <v>864</v>
      </c>
    </row>
    <row r="3163" spans="1:62" x14ac:dyDescent="0.25">
      <c r="AK3163" t="s">
        <v>4770</v>
      </c>
    </row>
    <row r="3164" spans="1:62" x14ac:dyDescent="0.25">
      <c r="A3164" t="s">
        <v>456</v>
      </c>
      <c r="AK3164" t="s">
        <v>4771</v>
      </c>
    </row>
    <row r="3165" spans="1:62" x14ac:dyDescent="0.25">
      <c r="BJ3165" t="s">
        <v>4772</v>
      </c>
    </row>
    <row r="3166" spans="1:62" x14ac:dyDescent="0.25">
      <c r="A3166" t="s">
        <v>460</v>
      </c>
      <c r="AK3166" t="s">
        <v>461</v>
      </c>
    </row>
    <row r="3167" spans="1:62" x14ac:dyDescent="0.25">
      <c r="A3167" t="s">
        <v>464</v>
      </c>
      <c r="AK3167" t="s">
        <v>465</v>
      </c>
    </row>
    <row r="3168" spans="1:62" x14ac:dyDescent="0.25">
      <c r="A3168" t="s">
        <v>468</v>
      </c>
      <c r="AK3168" t="s">
        <v>465</v>
      </c>
    </row>
    <row r="3169" spans="1:37" x14ac:dyDescent="0.25">
      <c r="A3169" t="s">
        <v>471</v>
      </c>
      <c r="AK3169" t="s">
        <v>465</v>
      </c>
    </row>
    <row r="3170" spans="1:37" x14ac:dyDescent="0.25">
      <c r="A3170" t="s">
        <v>474</v>
      </c>
      <c r="AK3170" t="s">
        <v>465</v>
      </c>
    </row>
    <row r="3171" spans="1:37" x14ac:dyDescent="0.25">
      <c r="A3171" t="s">
        <v>477</v>
      </c>
      <c r="AK3171" t="s">
        <v>465</v>
      </c>
    </row>
    <row r="3172" spans="1:37" x14ac:dyDescent="0.25">
      <c r="A3172" t="s">
        <v>480</v>
      </c>
      <c r="AK3172" t="s">
        <v>465</v>
      </c>
    </row>
    <row r="3173" spans="1:37" x14ac:dyDescent="0.25">
      <c r="A3173" t="s">
        <v>483</v>
      </c>
      <c r="AK3173" t="s">
        <v>484</v>
      </c>
    </row>
    <row r="3174" spans="1:37" x14ac:dyDescent="0.25">
      <c r="A3174" t="s">
        <v>488</v>
      </c>
      <c r="AK3174" t="s">
        <v>4773</v>
      </c>
    </row>
    <row r="3175" spans="1:37" x14ac:dyDescent="0.25">
      <c r="A3175" t="s">
        <v>492</v>
      </c>
      <c r="AK3175" t="s">
        <v>493</v>
      </c>
    </row>
    <row r="3176" spans="1:37" x14ac:dyDescent="0.25">
      <c r="A3176" t="s">
        <v>496</v>
      </c>
      <c r="AK3176" t="s">
        <v>497</v>
      </c>
    </row>
    <row r="3177" spans="1:37" x14ac:dyDescent="0.25">
      <c r="A3177" t="s">
        <v>500</v>
      </c>
      <c r="AK3177" t="s">
        <v>497</v>
      </c>
    </row>
    <row r="3178" spans="1:37" x14ac:dyDescent="0.25">
      <c r="A3178" t="s">
        <v>503</v>
      </c>
      <c r="AK3178" t="s">
        <v>497</v>
      </c>
    </row>
    <row r="3179" spans="1:37" x14ac:dyDescent="0.25">
      <c r="A3179" t="s">
        <v>506</v>
      </c>
      <c r="AK3179" t="s">
        <v>507</v>
      </c>
    </row>
    <row r="3180" spans="1:37" x14ac:dyDescent="0.25">
      <c r="A3180" t="s">
        <v>510</v>
      </c>
      <c r="AK3180" t="s">
        <v>511</v>
      </c>
    </row>
    <row r="3181" spans="1:37" x14ac:dyDescent="0.25">
      <c r="A3181" t="s">
        <v>514</v>
      </c>
      <c r="AK3181" t="s">
        <v>511</v>
      </c>
    </row>
    <row r="3182" spans="1:37" x14ac:dyDescent="0.25">
      <c r="A3182" t="s">
        <v>517</v>
      </c>
      <c r="AK3182" t="s">
        <v>4774</v>
      </c>
    </row>
    <row r="3183" spans="1:37" x14ac:dyDescent="0.25">
      <c r="A3183" t="s">
        <v>74</v>
      </c>
      <c r="AK3183" t="s">
        <v>75</v>
      </c>
    </row>
    <row r="3184" spans="1:37" x14ac:dyDescent="0.25">
      <c r="A3184" t="s">
        <v>522</v>
      </c>
      <c r="AK3184" t="s">
        <v>523</v>
      </c>
    </row>
    <row r="3185" spans="1:37" x14ac:dyDescent="0.25">
      <c r="A3185" t="s">
        <v>939</v>
      </c>
      <c r="AK3185" t="s">
        <v>940</v>
      </c>
    </row>
    <row r="3186" spans="1:37" x14ac:dyDescent="0.25">
      <c r="A3186" t="s">
        <v>948</v>
      </c>
      <c r="AK3186" t="s">
        <v>949</v>
      </c>
    </row>
    <row r="3187" spans="1:37" x14ac:dyDescent="0.25">
      <c r="A3187" t="s">
        <v>526</v>
      </c>
      <c r="AK3187" t="s">
        <v>527</v>
      </c>
    </row>
    <row r="3188" spans="1:37" x14ac:dyDescent="0.25">
      <c r="A3188" t="s">
        <v>530</v>
      </c>
      <c r="AK3188" t="s">
        <v>4775</v>
      </c>
    </row>
    <row r="3189" spans="1:37" x14ac:dyDescent="0.25">
      <c r="A3189" t="s">
        <v>534</v>
      </c>
      <c r="AK3189" t="s">
        <v>4776</v>
      </c>
    </row>
    <row r="3190" spans="1:37" x14ac:dyDescent="0.25">
      <c r="A3190" t="s">
        <v>538</v>
      </c>
      <c r="AK3190" t="s">
        <v>4776</v>
      </c>
    </row>
    <row r="3191" spans="1:37" x14ac:dyDescent="0.25">
      <c r="A3191" t="s">
        <v>859</v>
      </c>
      <c r="AK3191" t="s">
        <v>861</v>
      </c>
    </row>
    <row r="3192" spans="1:37" x14ac:dyDescent="0.25">
      <c r="A3192">
        <v>2</v>
      </c>
    </row>
    <row r="3193" spans="1:37" x14ac:dyDescent="0.25">
      <c r="A3193" t="s">
        <v>4777</v>
      </c>
    </row>
    <row r="3194" spans="1:37" x14ac:dyDescent="0.25">
      <c r="A3194" t="s">
        <v>25</v>
      </c>
    </row>
    <row r="3196" spans="1:37" x14ac:dyDescent="0.25">
      <c r="A3196" t="s">
        <v>28</v>
      </c>
    </row>
    <row r="3197" spans="1:37" x14ac:dyDescent="0.25">
      <c r="A3197" t="s">
        <v>609</v>
      </c>
    </row>
    <row r="3198" spans="1:37" x14ac:dyDescent="0.25">
      <c r="A3198" t="s">
        <v>32</v>
      </c>
    </row>
    <row r="3199" spans="1:37" x14ac:dyDescent="0.25">
      <c r="A3199" t="s">
        <v>641</v>
      </c>
    </row>
    <row r="3200" spans="1:37" x14ac:dyDescent="0.25">
      <c r="A3200" t="s">
        <v>946</v>
      </c>
    </row>
    <row r="3211" spans="1:1" x14ac:dyDescent="0.25">
      <c r="A3211" t="s">
        <v>58</v>
      </c>
    </row>
    <row r="3213" spans="1:1" x14ac:dyDescent="0.25">
      <c r="A3213" t="s">
        <v>58</v>
      </c>
    </row>
    <row r="3217" spans="1:1" x14ac:dyDescent="0.25">
      <c r="A3217" t="s">
        <v>76</v>
      </c>
    </row>
    <row r="3218" spans="1:1" x14ac:dyDescent="0.25">
      <c r="A3218" t="s">
        <v>81</v>
      </c>
    </row>
    <row r="3220" spans="1:1" x14ac:dyDescent="0.25">
      <c r="A3220" t="s">
        <v>88</v>
      </c>
    </row>
    <row r="3225" spans="1:1" x14ac:dyDescent="0.25">
      <c r="A3225" t="s">
        <v>4778</v>
      </c>
    </row>
    <row r="3232" spans="1:1" x14ac:dyDescent="0.25">
      <c r="A3232" t="s">
        <v>131</v>
      </c>
    </row>
    <row r="3234" spans="1:25" x14ac:dyDescent="0.25">
      <c r="A3234" t="s">
        <v>4779</v>
      </c>
    </row>
    <row r="3241" spans="1:25" x14ac:dyDescent="0.25">
      <c r="A3241" t="s">
        <v>4780</v>
      </c>
    </row>
    <row r="3242" spans="1:25" x14ac:dyDescent="0.25">
      <c r="Y3242" t="s">
        <v>4781</v>
      </c>
    </row>
    <row r="3245" spans="1:25" x14ac:dyDescent="0.25">
      <c r="A3245" t="s">
        <v>4782</v>
      </c>
    </row>
    <row r="3249" spans="1:1" x14ac:dyDescent="0.25">
      <c r="A3249" t="s">
        <v>185</v>
      </c>
    </row>
    <row r="3251" spans="1:1" x14ac:dyDescent="0.25">
      <c r="A3251" t="s">
        <v>81</v>
      </c>
    </row>
    <row r="3261" spans="1:1" x14ac:dyDescent="0.25">
      <c r="A3261" t="s">
        <v>4783</v>
      </c>
    </row>
    <row r="3272" spans="1:1" x14ac:dyDescent="0.25">
      <c r="A3272" t="s">
        <v>4784</v>
      </c>
    </row>
    <row r="3277" spans="1:1" x14ac:dyDescent="0.25">
      <c r="A3277" t="s">
        <v>266</v>
      </c>
    </row>
    <row r="3288" spans="1:1" x14ac:dyDescent="0.25">
      <c r="A3288" t="s">
        <v>295</v>
      </c>
    </row>
    <row r="3292" spans="1:1" x14ac:dyDescent="0.25">
      <c r="A3292" t="s">
        <v>4785</v>
      </c>
    </row>
    <row r="3302" spans="1:1" x14ac:dyDescent="0.25">
      <c r="A3302" t="s">
        <v>345</v>
      </c>
    </row>
    <row r="3304" spans="1:1" x14ac:dyDescent="0.25">
      <c r="A3304" t="s">
        <v>354</v>
      </c>
    </row>
    <row r="3333" spans="1:1" x14ac:dyDescent="0.25">
      <c r="A3333" t="s">
        <v>453</v>
      </c>
    </row>
    <row r="3336" spans="1:1" x14ac:dyDescent="0.25">
      <c r="A3336" t="s">
        <v>4786</v>
      </c>
    </row>
    <row r="3346" spans="1:1" x14ac:dyDescent="0.25">
      <c r="A3346" t="s">
        <v>354</v>
      </c>
    </row>
    <row r="3353" spans="1:1" x14ac:dyDescent="0.25">
      <c r="A3353" t="s">
        <v>4787</v>
      </c>
    </row>
    <row r="3359" spans="1:1" x14ac:dyDescent="0.25">
      <c r="A3359" t="s">
        <v>4788</v>
      </c>
    </row>
    <row r="3361" spans="1:10" x14ac:dyDescent="0.25">
      <c r="A3361" t="s">
        <v>541</v>
      </c>
      <c r="J3361" t="s">
        <v>4789</v>
      </c>
    </row>
    <row r="3362" spans="1:10" x14ac:dyDescent="0.25">
      <c r="J3362" t="s">
        <v>4438</v>
      </c>
    </row>
    <row r="3363" spans="1:10" x14ac:dyDescent="0.25">
      <c r="A3363">
        <v>1</v>
      </c>
      <c r="J3363" t="s">
        <v>747</v>
      </c>
    </row>
    <row r="3364" spans="1:10" x14ac:dyDescent="0.25">
      <c r="A3364">
        <v>2</v>
      </c>
      <c r="J3364" t="s">
        <v>749</v>
      </c>
    </row>
    <row r="3365" spans="1:10" x14ac:dyDescent="0.25">
      <c r="A3365">
        <v>3</v>
      </c>
      <c r="J3365" t="s">
        <v>748</v>
      </c>
    </row>
    <row r="3366" spans="1:10" x14ac:dyDescent="0.25">
      <c r="A3366">
        <v>4</v>
      </c>
      <c r="J3366" t="s">
        <v>750</v>
      </c>
    </row>
    <row r="3367" spans="1:10" x14ac:dyDescent="0.25">
      <c r="A3367">
        <v>5</v>
      </c>
      <c r="J3367" t="s">
        <v>751</v>
      </c>
    </row>
    <row r="3368" spans="1:10" x14ac:dyDescent="0.25">
      <c r="A3368">
        <v>6</v>
      </c>
      <c r="J3368" t="s">
        <v>752</v>
      </c>
    </row>
    <row r="3369" spans="1:10" x14ac:dyDescent="0.25">
      <c r="A3369">
        <v>7</v>
      </c>
      <c r="J3369" t="s">
        <v>753</v>
      </c>
    </row>
    <row r="3370" spans="1:10" x14ac:dyDescent="0.25">
      <c r="A3370">
        <v>8</v>
      </c>
      <c r="J3370" t="s">
        <v>754</v>
      </c>
    </row>
    <row r="3371" spans="1:10" x14ac:dyDescent="0.25">
      <c r="A3371">
        <v>9</v>
      </c>
      <c r="J3371" t="s">
        <v>755</v>
      </c>
    </row>
    <row r="3372" spans="1:10" x14ac:dyDescent="0.25">
      <c r="A3372">
        <v>10</v>
      </c>
      <c r="J3372" t="s">
        <v>756</v>
      </c>
    </row>
    <row r="3373" spans="1:10" x14ac:dyDescent="0.25">
      <c r="A3373">
        <v>11</v>
      </c>
      <c r="J3373" t="s">
        <v>758</v>
      </c>
    </row>
    <row r="3374" spans="1:10" x14ac:dyDescent="0.25">
      <c r="A3374">
        <v>12</v>
      </c>
      <c r="J3374" t="s">
        <v>759</v>
      </c>
    </row>
    <row r="3375" spans="1:10" x14ac:dyDescent="0.25">
      <c r="A3375">
        <v>13</v>
      </c>
      <c r="J3375" t="s">
        <v>760</v>
      </c>
    </row>
    <row r="3376" spans="1:10" x14ac:dyDescent="0.25">
      <c r="A3376">
        <v>14</v>
      </c>
      <c r="J3376" t="s">
        <v>761</v>
      </c>
    </row>
    <row r="3377" spans="1:10" x14ac:dyDescent="0.25">
      <c r="A3377">
        <v>15</v>
      </c>
      <c r="J3377" t="s">
        <v>762</v>
      </c>
    </row>
    <row r="3378" spans="1:10" x14ac:dyDescent="0.25">
      <c r="A3378">
        <v>16</v>
      </c>
      <c r="J3378" t="s">
        <v>763</v>
      </c>
    </row>
    <row r="3379" spans="1:10" x14ac:dyDescent="0.25">
      <c r="A3379">
        <v>17</v>
      </c>
      <c r="J3379" t="s">
        <v>764</v>
      </c>
    </row>
    <row r="3380" spans="1:10" x14ac:dyDescent="0.25">
      <c r="A3380">
        <v>18</v>
      </c>
      <c r="J3380" t="s">
        <v>765</v>
      </c>
    </row>
    <row r="3381" spans="1:10" x14ac:dyDescent="0.25">
      <c r="A3381">
        <v>19</v>
      </c>
      <c r="J3381" t="s">
        <v>766</v>
      </c>
    </row>
    <row r="3382" spans="1:10" x14ac:dyDescent="0.25">
      <c r="A3382">
        <v>20</v>
      </c>
      <c r="J3382" t="s">
        <v>767</v>
      </c>
    </row>
    <row r="3383" spans="1:10" x14ac:dyDescent="0.25">
      <c r="A3383">
        <v>21</v>
      </c>
      <c r="J3383" t="s">
        <v>768</v>
      </c>
    </row>
    <row r="3384" spans="1:10" x14ac:dyDescent="0.25">
      <c r="A3384">
        <v>22</v>
      </c>
      <c r="J3384" t="s">
        <v>769</v>
      </c>
    </row>
    <row r="3385" spans="1:10" x14ac:dyDescent="0.25">
      <c r="A3385">
        <v>23</v>
      </c>
      <c r="J3385" t="s">
        <v>770</v>
      </c>
    </row>
    <row r="3386" spans="1:10" x14ac:dyDescent="0.25">
      <c r="A3386">
        <v>24</v>
      </c>
      <c r="J3386" t="s">
        <v>771</v>
      </c>
    </row>
    <row r="3387" spans="1:10" x14ac:dyDescent="0.25">
      <c r="A3387">
        <v>25</v>
      </c>
      <c r="J3387" t="s">
        <v>772</v>
      </c>
    </row>
    <row r="3388" spans="1:10" x14ac:dyDescent="0.25">
      <c r="A3388">
        <v>26</v>
      </c>
      <c r="J3388" t="s">
        <v>773</v>
      </c>
    </row>
    <row r="3389" spans="1:10" x14ac:dyDescent="0.25">
      <c r="A3389">
        <v>27</v>
      </c>
      <c r="J3389" t="s">
        <v>782</v>
      </c>
    </row>
    <row r="3390" spans="1:10" x14ac:dyDescent="0.25">
      <c r="A3390">
        <v>28</v>
      </c>
      <c r="J3390" t="s">
        <v>783</v>
      </c>
    </row>
    <row r="3391" spans="1:10" x14ac:dyDescent="0.25">
      <c r="A3391">
        <v>29</v>
      </c>
      <c r="J3391" t="s">
        <v>784</v>
      </c>
    </row>
    <row r="3392" spans="1:10" x14ac:dyDescent="0.25">
      <c r="A3392">
        <v>30</v>
      </c>
      <c r="J3392" t="s">
        <v>785</v>
      </c>
    </row>
    <row r="3393" spans="1:26" x14ac:dyDescent="0.25">
      <c r="A3393">
        <v>31</v>
      </c>
      <c r="J3393" t="s">
        <v>774</v>
      </c>
    </row>
    <row r="3394" spans="1:26" x14ac:dyDescent="0.25">
      <c r="A3394">
        <v>32</v>
      </c>
      <c r="J3394" t="s">
        <v>775</v>
      </c>
    </row>
    <row r="3395" spans="1:26" x14ac:dyDescent="0.25">
      <c r="A3395">
        <v>33</v>
      </c>
      <c r="J3395" t="s">
        <v>776</v>
      </c>
    </row>
    <row r="3396" spans="1:26" x14ac:dyDescent="0.25">
      <c r="A3396">
        <v>34</v>
      </c>
      <c r="J3396" t="s">
        <v>777</v>
      </c>
    </row>
    <row r="3397" spans="1:26" x14ac:dyDescent="0.25">
      <c r="A3397">
        <v>35</v>
      </c>
      <c r="J3397" t="s">
        <v>778</v>
      </c>
    </row>
    <row r="3398" spans="1:26" x14ac:dyDescent="0.25">
      <c r="A3398">
        <v>36</v>
      </c>
      <c r="J3398" t="s">
        <v>779</v>
      </c>
    </row>
    <row r="3399" spans="1:26" x14ac:dyDescent="0.25">
      <c r="A3399">
        <v>37</v>
      </c>
      <c r="J3399" t="s">
        <v>780</v>
      </c>
    </row>
    <row r="3400" spans="1:26" x14ac:dyDescent="0.25">
      <c r="A3400">
        <v>38</v>
      </c>
      <c r="J3400" t="s">
        <v>781</v>
      </c>
    </row>
    <row r="3401" spans="1:26" x14ac:dyDescent="0.25">
      <c r="A3401" t="s">
        <v>624</v>
      </c>
      <c r="J3401" t="s">
        <v>745</v>
      </c>
      <c r="R3401" t="s">
        <v>612</v>
      </c>
      <c r="Z3401" t="s">
        <v>613</v>
      </c>
    </row>
    <row r="3403" spans="1:26" x14ac:dyDescent="0.25">
      <c r="A3403">
        <v>820</v>
      </c>
      <c r="J3403" t="s">
        <v>2</v>
      </c>
      <c r="R3403">
        <v>0.39</v>
      </c>
      <c r="Z3403" t="s">
        <v>757</v>
      </c>
    </row>
    <row r="3404" spans="1:26" x14ac:dyDescent="0.25">
      <c r="A3404">
        <v>944</v>
      </c>
      <c r="J3404" t="s">
        <v>2</v>
      </c>
      <c r="R3404">
        <v>0.39</v>
      </c>
      <c r="Z3404" t="s">
        <v>757</v>
      </c>
    </row>
    <row r="3405" spans="1:26" x14ac:dyDescent="0.25">
      <c r="A3405" t="s">
        <v>4790</v>
      </c>
      <c r="J3405" t="s">
        <v>2</v>
      </c>
      <c r="R3405">
        <v>0.39</v>
      </c>
      <c r="Z3405" t="s">
        <v>757</v>
      </c>
    </row>
    <row r="3406" spans="1:26" x14ac:dyDescent="0.25">
      <c r="A3406" t="s">
        <v>4791</v>
      </c>
      <c r="J3406" t="s">
        <v>2</v>
      </c>
      <c r="R3406">
        <v>0.39</v>
      </c>
      <c r="Z3406" t="s">
        <v>757</v>
      </c>
    </row>
    <row r="3407" spans="1:26" x14ac:dyDescent="0.25">
      <c r="A3407" t="s">
        <v>4792</v>
      </c>
      <c r="J3407" t="s">
        <v>2</v>
      </c>
      <c r="R3407">
        <v>0.39</v>
      </c>
      <c r="Z3407" t="s">
        <v>757</v>
      </c>
    </row>
    <row r="3408" spans="1:26" x14ac:dyDescent="0.25">
      <c r="A3408" t="s">
        <v>4793</v>
      </c>
      <c r="J3408" t="s">
        <v>2</v>
      </c>
      <c r="R3408">
        <v>0.39</v>
      </c>
      <c r="Z3408" t="s">
        <v>757</v>
      </c>
    </row>
    <row r="3409" spans="1:26" x14ac:dyDescent="0.25">
      <c r="A3409" t="s">
        <v>4794</v>
      </c>
      <c r="J3409" t="s">
        <v>2</v>
      </c>
      <c r="R3409">
        <v>0.39</v>
      </c>
      <c r="Z3409" t="s">
        <v>757</v>
      </c>
    </row>
    <row r="3410" spans="1:26" x14ac:dyDescent="0.25">
      <c r="A3410" t="s">
        <v>4795</v>
      </c>
      <c r="J3410" t="s">
        <v>2</v>
      </c>
      <c r="R3410">
        <v>0.39</v>
      </c>
      <c r="Z3410" t="s">
        <v>757</v>
      </c>
    </row>
    <row r="3411" spans="1:26" x14ac:dyDescent="0.25">
      <c r="A3411" t="s">
        <v>4796</v>
      </c>
      <c r="J3411" t="s">
        <v>2</v>
      </c>
      <c r="R3411">
        <v>0.39</v>
      </c>
      <c r="Z3411" t="s">
        <v>757</v>
      </c>
    </row>
    <row r="3412" spans="1:26" x14ac:dyDescent="0.25">
      <c r="A3412" t="s">
        <v>4797</v>
      </c>
      <c r="J3412" t="s">
        <v>2</v>
      </c>
      <c r="R3412">
        <v>0.39</v>
      </c>
      <c r="Z3412" t="s">
        <v>757</v>
      </c>
    </row>
    <row r="3413" spans="1:26" x14ac:dyDescent="0.25">
      <c r="A3413" t="s">
        <v>4798</v>
      </c>
      <c r="J3413" t="s">
        <v>2</v>
      </c>
      <c r="R3413">
        <v>0.39</v>
      </c>
      <c r="Z3413" t="s">
        <v>757</v>
      </c>
    </row>
    <row r="3414" spans="1:26" x14ac:dyDescent="0.25">
      <c r="A3414" t="s">
        <v>4799</v>
      </c>
      <c r="J3414" t="s">
        <v>2</v>
      </c>
      <c r="R3414">
        <v>0.39</v>
      </c>
      <c r="Z3414" t="s">
        <v>757</v>
      </c>
    </row>
    <row r="3415" spans="1:26" x14ac:dyDescent="0.25">
      <c r="A3415" t="s">
        <v>4800</v>
      </c>
      <c r="J3415" t="s">
        <v>2</v>
      </c>
      <c r="R3415">
        <v>0.39</v>
      </c>
      <c r="Z3415" t="s">
        <v>757</v>
      </c>
    </row>
    <row r="3416" spans="1:26" x14ac:dyDescent="0.25">
      <c r="A3416" t="s">
        <v>4801</v>
      </c>
      <c r="J3416" t="s">
        <v>2</v>
      </c>
      <c r="R3416">
        <v>0.39</v>
      </c>
      <c r="Z3416" t="s">
        <v>757</v>
      </c>
    </row>
    <row r="3417" spans="1:26" x14ac:dyDescent="0.25">
      <c r="A3417" t="s">
        <v>4802</v>
      </c>
      <c r="J3417" t="s">
        <v>2</v>
      </c>
      <c r="R3417">
        <v>0.39</v>
      </c>
      <c r="Z3417" t="s">
        <v>757</v>
      </c>
    </row>
    <row r="3418" spans="1:26" x14ac:dyDescent="0.25">
      <c r="A3418" t="s">
        <v>4803</v>
      </c>
      <c r="J3418" t="s">
        <v>2</v>
      </c>
      <c r="R3418">
        <v>0.39</v>
      </c>
      <c r="Z3418" t="s">
        <v>757</v>
      </c>
    </row>
    <row r="3419" spans="1:26" x14ac:dyDescent="0.25">
      <c r="A3419" t="s">
        <v>4800</v>
      </c>
      <c r="J3419" t="s">
        <v>2</v>
      </c>
      <c r="R3419">
        <v>0.39</v>
      </c>
      <c r="Z3419" t="s">
        <v>757</v>
      </c>
    </row>
    <row r="3420" spans="1:26" x14ac:dyDescent="0.25">
      <c r="A3420" t="s">
        <v>4801</v>
      </c>
      <c r="J3420" t="s">
        <v>2</v>
      </c>
      <c r="R3420">
        <v>0.39</v>
      </c>
      <c r="Z3420" t="s">
        <v>757</v>
      </c>
    </row>
    <row r="3421" spans="1:26" x14ac:dyDescent="0.25">
      <c r="A3421" t="s">
        <v>4802</v>
      </c>
      <c r="J3421" t="s">
        <v>2</v>
      </c>
      <c r="R3421">
        <v>0.39</v>
      </c>
      <c r="Z3421" t="s">
        <v>757</v>
      </c>
    </row>
    <row r="3422" spans="1:26" x14ac:dyDescent="0.25">
      <c r="A3422" t="s">
        <v>4804</v>
      </c>
      <c r="J3422" t="s">
        <v>2</v>
      </c>
      <c r="R3422">
        <v>0.39</v>
      </c>
      <c r="Z3422" t="s">
        <v>757</v>
      </c>
    </row>
    <row r="3423" spans="1:26" x14ac:dyDescent="0.25">
      <c r="A3423" t="s">
        <v>4805</v>
      </c>
      <c r="J3423" t="s">
        <v>2</v>
      </c>
      <c r="R3423">
        <v>0.39</v>
      </c>
      <c r="Z3423" t="s">
        <v>757</v>
      </c>
    </row>
    <row r="3424" spans="1:26" x14ac:dyDescent="0.25">
      <c r="A3424" t="s">
        <v>4806</v>
      </c>
      <c r="J3424" t="s">
        <v>2</v>
      </c>
      <c r="R3424">
        <v>0.39</v>
      </c>
      <c r="Z3424" t="s">
        <v>757</v>
      </c>
    </row>
    <row r="3425" spans="1:26" x14ac:dyDescent="0.25">
      <c r="A3425" t="s">
        <v>4807</v>
      </c>
      <c r="J3425" t="s">
        <v>2</v>
      </c>
      <c r="R3425">
        <v>0.39</v>
      </c>
      <c r="Z3425" t="s">
        <v>757</v>
      </c>
    </row>
    <row r="3426" spans="1:26" x14ac:dyDescent="0.25">
      <c r="A3426" t="s">
        <v>4808</v>
      </c>
      <c r="J3426" t="s">
        <v>2</v>
      </c>
      <c r="R3426">
        <v>0.39</v>
      </c>
      <c r="Z3426" t="s">
        <v>757</v>
      </c>
    </row>
    <row r="3427" spans="1:26" x14ac:dyDescent="0.25">
      <c r="A3427" t="s">
        <v>4809</v>
      </c>
      <c r="J3427" t="s">
        <v>2</v>
      </c>
      <c r="R3427">
        <v>0.39</v>
      </c>
      <c r="Z3427" t="s">
        <v>757</v>
      </c>
    </row>
    <row r="3428" spans="1:26" x14ac:dyDescent="0.25">
      <c r="A3428" t="s">
        <v>4810</v>
      </c>
      <c r="J3428" t="s">
        <v>2</v>
      </c>
      <c r="R3428">
        <v>0.39</v>
      </c>
      <c r="Z3428" t="s">
        <v>757</v>
      </c>
    </row>
    <row r="3429" spans="1:26" x14ac:dyDescent="0.25">
      <c r="A3429" t="s">
        <v>4807</v>
      </c>
      <c r="J3429" t="s">
        <v>2</v>
      </c>
      <c r="R3429">
        <v>0.39</v>
      </c>
      <c r="Z3429" t="s">
        <v>757</v>
      </c>
    </row>
    <row r="3430" spans="1:26" x14ac:dyDescent="0.25">
      <c r="A3430" t="s">
        <v>4808</v>
      </c>
      <c r="J3430" t="s">
        <v>2</v>
      </c>
      <c r="R3430">
        <v>0.39</v>
      </c>
      <c r="Z3430" t="s">
        <v>757</v>
      </c>
    </row>
    <row r="3431" spans="1:26" x14ac:dyDescent="0.25">
      <c r="A3431" t="s">
        <v>4809</v>
      </c>
      <c r="J3431" t="s">
        <v>2</v>
      </c>
      <c r="R3431">
        <v>0.39</v>
      </c>
      <c r="Z3431" t="s">
        <v>757</v>
      </c>
    </row>
    <row r="3432" spans="1:26" x14ac:dyDescent="0.25">
      <c r="A3432" t="s">
        <v>4810</v>
      </c>
      <c r="J3432" t="s">
        <v>2</v>
      </c>
      <c r="R3432">
        <v>0.39</v>
      </c>
      <c r="Z3432" t="s">
        <v>757</v>
      </c>
    </row>
    <row r="3433" spans="1:26" x14ac:dyDescent="0.25">
      <c r="A3433" t="s">
        <v>4807</v>
      </c>
      <c r="J3433" t="s">
        <v>2</v>
      </c>
      <c r="R3433">
        <v>0.39</v>
      </c>
      <c r="Z3433" t="s">
        <v>757</v>
      </c>
    </row>
    <row r="3434" spans="1:26" x14ac:dyDescent="0.25">
      <c r="A3434" t="s">
        <v>4808</v>
      </c>
      <c r="J3434" t="s">
        <v>2</v>
      </c>
      <c r="R3434">
        <v>0.39</v>
      </c>
      <c r="Z3434" t="s">
        <v>757</v>
      </c>
    </row>
    <row r="3435" spans="1:26" x14ac:dyDescent="0.25">
      <c r="A3435" t="s">
        <v>4809</v>
      </c>
      <c r="J3435" t="s">
        <v>2</v>
      </c>
      <c r="R3435">
        <v>0.39</v>
      </c>
      <c r="Z3435" t="s">
        <v>757</v>
      </c>
    </row>
    <row r="3436" spans="1:26" x14ac:dyDescent="0.25">
      <c r="A3436" t="s">
        <v>4810</v>
      </c>
      <c r="J3436" t="s">
        <v>2</v>
      </c>
      <c r="R3436">
        <v>0.39</v>
      </c>
      <c r="Z3436" t="s">
        <v>757</v>
      </c>
    </row>
    <row r="3437" spans="1:26" x14ac:dyDescent="0.25">
      <c r="A3437" t="s">
        <v>4811</v>
      </c>
      <c r="J3437" t="s">
        <v>2</v>
      </c>
      <c r="R3437">
        <v>0.39</v>
      </c>
      <c r="Z3437" t="s">
        <v>757</v>
      </c>
    </row>
    <row r="3438" spans="1:26" x14ac:dyDescent="0.25">
      <c r="A3438" t="s">
        <v>4812</v>
      </c>
      <c r="J3438" t="s">
        <v>2</v>
      </c>
      <c r="R3438">
        <v>0.39</v>
      </c>
      <c r="Z3438" t="s">
        <v>757</v>
      </c>
    </row>
    <row r="3439" spans="1:26" x14ac:dyDescent="0.25">
      <c r="A3439" t="s">
        <v>4813</v>
      </c>
      <c r="J3439" t="s">
        <v>2</v>
      </c>
      <c r="R3439">
        <v>0.39</v>
      </c>
      <c r="Z3439" t="s">
        <v>757</v>
      </c>
    </row>
    <row r="3440" spans="1:26" x14ac:dyDescent="0.25">
      <c r="A3440" t="s">
        <v>4814</v>
      </c>
      <c r="J3440" t="s">
        <v>2</v>
      </c>
      <c r="R3440">
        <v>0.39</v>
      </c>
      <c r="Z3440" t="s">
        <v>757</v>
      </c>
    </row>
    <row r="3441" spans="1:10" x14ac:dyDescent="0.25">
      <c r="A3441" t="s">
        <v>541</v>
      </c>
      <c r="J3441" t="s">
        <v>4815</v>
      </c>
    </row>
    <row r="3442" spans="1:10" x14ac:dyDescent="0.25">
      <c r="J3442" t="s">
        <v>4438</v>
      </c>
    </row>
    <row r="3443" spans="1:10" x14ac:dyDescent="0.25">
      <c r="A3443">
        <v>1</v>
      </c>
      <c r="J3443" t="s">
        <v>786</v>
      </c>
    </row>
    <row r="3444" spans="1:10" x14ac:dyDescent="0.25">
      <c r="A3444">
        <v>2</v>
      </c>
      <c r="J3444" t="s">
        <v>787</v>
      </c>
    </row>
    <row r="3445" spans="1:10" x14ac:dyDescent="0.25">
      <c r="A3445">
        <v>3</v>
      </c>
      <c r="J3445" t="s">
        <v>788</v>
      </c>
    </row>
    <row r="3446" spans="1:10" x14ac:dyDescent="0.25">
      <c r="A3446">
        <v>4</v>
      </c>
      <c r="J3446" t="s">
        <v>789</v>
      </c>
    </row>
    <row r="3447" spans="1:10" x14ac:dyDescent="0.25">
      <c r="A3447">
        <v>5</v>
      </c>
      <c r="J3447" t="s">
        <v>790</v>
      </c>
    </row>
    <row r="3448" spans="1:10" x14ac:dyDescent="0.25">
      <c r="A3448">
        <v>6</v>
      </c>
      <c r="J3448" t="s">
        <v>791</v>
      </c>
    </row>
    <row r="3449" spans="1:10" x14ac:dyDescent="0.25">
      <c r="A3449">
        <v>7</v>
      </c>
      <c r="J3449" t="s">
        <v>792</v>
      </c>
    </row>
    <row r="3450" spans="1:10" x14ac:dyDescent="0.25">
      <c r="A3450">
        <v>8</v>
      </c>
      <c r="J3450" t="s">
        <v>793</v>
      </c>
    </row>
    <row r="3451" spans="1:10" x14ac:dyDescent="0.25">
      <c r="A3451">
        <v>9</v>
      </c>
      <c r="J3451" t="s">
        <v>794</v>
      </c>
    </row>
    <row r="3452" spans="1:10" x14ac:dyDescent="0.25">
      <c r="A3452">
        <v>10</v>
      </c>
      <c r="J3452" t="s">
        <v>795</v>
      </c>
    </row>
    <row r="3453" spans="1:10" x14ac:dyDescent="0.25">
      <c r="A3453">
        <v>11</v>
      </c>
      <c r="J3453" t="s">
        <v>796</v>
      </c>
    </row>
    <row r="3454" spans="1:10" x14ac:dyDescent="0.25">
      <c r="A3454">
        <v>12</v>
      </c>
      <c r="J3454" t="s">
        <v>797</v>
      </c>
    </row>
    <row r="3455" spans="1:10" x14ac:dyDescent="0.25">
      <c r="A3455">
        <v>13</v>
      </c>
      <c r="J3455" t="s">
        <v>798</v>
      </c>
    </row>
    <row r="3456" spans="1:10" x14ac:dyDescent="0.25">
      <c r="A3456">
        <v>14</v>
      </c>
      <c r="J3456" t="s">
        <v>799</v>
      </c>
    </row>
    <row r="3457" spans="1:10" x14ac:dyDescent="0.25">
      <c r="A3457">
        <v>15</v>
      </c>
      <c r="J3457" t="s">
        <v>800</v>
      </c>
    </row>
    <row r="3458" spans="1:10" x14ac:dyDescent="0.25">
      <c r="A3458">
        <v>16</v>
      </c>
      <c r="J3458" t="s">
        <v>801</v>
      </c>
    </row>
    <row r="3459" spans="1:10" x14ac:dyDescent="0.25">
      <c r="A3459">
        <v>17</v>
      </c>
      <c r="J3459" t="s">
        <v>802</v>
      </c>
    </row>
    <row r="3460" spans="1:10" x14ac:dyDescent="0.25">
      <c r="A3460">
        <v>18</v>
      </c>
      <c r="J3460" t="s">
        <v>803</v>
      </c>
    </row>
    <row r="3461" spans="1:10" x14ac:dyDescent="0.25">
      <c r="A3461">
        <v>19</v>
      </c>
      <c r="J3461" t="s">
        <v>804</v>
      </c>
    </row>
    <row r="3462" spans="1:10" x14ac:dyDescent="0.25">
      <c r="A3462">
        <v>20</v>
      </c>
      <c r="J3462" t="s">
        <v>805</v>
      </c>
    </row>
    <row r="3463" spans="1:10" x14ac:dyDescent="0.25">
      <c r="A3463">
        <v>21</v>
      </c>
      <c r="J3463" t="s">
        <v>806</v>
      </c>
    </row>
    <row r="3464" spans="1:10" x14ac:dyDescent="0.25">
      <c r="A3464">
        <v>22</v>
      </c>
      <c r="J3464" t="s">
        <v>807</v>
      </c>
    </row>
    <row r="3465" spans="1:10" x14ac:dyDescent="0.25">
      <c r="A3465">
        <v>23</v>
      </c>
      <c r="J3465" t="s">
        <v>808</v>
      </c>
    </row>
    <row r="3466" spans="1:10" x14ac:dyDescent="0.25">
      <c r="A3466">
        <v>24</v>
      </c>
      <c r="J3466" t="s">
        <v>809</v>
      </c>
    </row>
    <row r="3467" spans="1:10" x14ac:dyDescent="0.25">
      <c r="A3467">
        <v>25</v>
      </c>
      <c r="J3467" t="s">
        <v>810</v>
      </c>
    </row>
    <row r="3468" spans="1:10" x14ac:dyDescent="0.25">
      <c r="A3468">
        <v>26</v>
      </c>
      <c r="J3468" t="s">
        <v>811</v>
      </c>
    </row>
    <row r="3469" spans="1:10" x14ac:dyDescent="0.25">
      <c r="A3469">
        <v>27</v>
      </c>
      <c r="J3469" t="s">
        <v>812</v>
      </c>
    </row>
    <row r="3470" spans="1:10" x14ac:dyDescent="0.25">
      <c r="A3470">
        <v>28</v>
      </c>
      <c r="J3470" t="s">
        <v>813</v>
      </c>
    </row>
    <row r="3471" spans="1:10" x14ac:dyDescent="0.25">
      <c r="A3471">
        <v>29</v>
      </c>
      <c r="J3471" t="s">
        <v>814</v>
      </c>
    </row>
    <row r="3472" spans="1:10" x14ac:dyDescent="0.25">
      <c r="A3472">
        <v>30</v>
      </c>
      <c r="J3472" t="s">
        <v>815</v>
      </c>
    </row>
    <row r="3473" spans="1:26" x14ac:dyDescent="0.25">
      <c r="A3473">
        <v>31</v>
      </c>
      <c r="J3473" t="s">
        <v>816</v>
      </c>
    </row>
    <row r="3474" spans="1:26" x14ac:dyDescent="0.25">
      <c r="A3474">
        <v>32</v>
      </c>
      <c r="J3474" t="s">
        <v>817</v>
      </c>
    </row>
    <row r="3475" spans="1:26" x14ac:dyDescent="0.25">
      <c r="A3475">
        <v>33</v>
      </c>
      <c r="J3475" t="s">
        <v>818</v>
      </c>
    </row>
    <row r="3476" spans="1:26" x14ac:dyDescent="0.25">
      <c r="A3476" t="s">
        <v>624</v>
      </c>
      <c r="J3476" t="s">
        <v>745</v>
      </c>
      <c r="R3476" t="s">
        <v>612</v>
      </c>
      <c r="Z3476" t="s">
        <v>613</v>
      </c>
    </row>
    <row r="3478" spans="1:26" x14ac:dyDescent="0.25">
      <c r="A3478" t="s">
        <v>4816</v>
      </c>
      <c r="J3478" t="s">
        <v>2</v>
      </c>
      <c r="R3478">
        <v>0.39</v>
      </c>
      <c r="Z3478" t="s">
        <v>866</v>
      </c>
    </row>
    <row r="3479" spans="1:26" x14ac:dyDescent="0.25">
      <c r="A3479" t="s">
        <v>4817</v>
      </c>
      <c r="J3479" t="s">
        <v>2</v>
      </c>
      <c r="R3479">
        <v>0.39</v>
      </c>
      <c r="Z3479" t="s">
        <v>866</v>
      </c>
    </row>
    <row r="3480" spans="1:26" x14ac:dyDescent="0.25">
      <c r="A3480" t="s">
        <v>4818</v>
      </c>
      <c r="J3480" t="s">
        <v>2</v>
      </c>
      <c r="R3480">
        <v>0.39</v>
      </c>
      <c r="Z3480" t="s">
        <v>866</v>
      </c>
    </row>
    <row r="3481" spans="1:26" x14ac:dyDescent="0.25">
      <c r="A3481" t="s">
        <v>4819</v>
      </c>
      <c r="J3481" t="s">
        <v>2</v>
      </c>
      <c r="R3481">
        <v>0.39</v>
      </c>
      <c r="Z3481" t="s">
        <v>866</v>
      </c>
    </row>
    <row r="3482" spans="1:26" x14ac:dyDescent="0.25">
      <c r="A3482" t="s">
        <v>4820</v>
      </c>
      <c r="J3482" t="s">
        <v>2</v>
      </c>
      <c r="R3482">
        <v>0.39</v>
      </c>
      <c r="Z3482" t="s">
        <v>866</v>
      </c>
    </row>
    <row r="3483" spans="1:26" x14ac:dyDescent="0.25">
      <c r="A3483" t="s">
        <v>4821</v>
      </c>
      <c r="J3483" t="s">
        <v>2</v>
      </c>
      <c r="R3483">
        <v>0.39</v>
      </c>
      <c r="Z3483" t="s">
        <v>866</v>
      </c>
    </row>
    <row r="3484" spans="1:26" x14ac:dyDescent="0.25">
      <c r="A3484" t="s">
        <v>4822</v>
      </c>
      <c r="J3484" t="s">
        <v>2</v>
      </c>
      <c r="R3484">
        <v>0.39</v>
      </c>
      <c r="Z3484" t="s">
        <v>866</v>
      </c>
    </row>
    <row r="3485" spans="1:26" x14ac:dyDescent="0.25">
      <c r="A3485" t="s">
        <v>4823</v>
      </c>
      <c r="J3485" t="s">
        <v>2</v>
      </c>
      <c r="R3485">
        <v>0.39</v>
      </c>
      <c r="Z3485" t="s">
        <v>866</v>
      </c>
    </row>
    <row r="3486" spans="1:26" x14ac:dyDescent="0.25">
      <c r="A3486" t="s">
        <v>4824</v>
      </c>
      <c r="J3486" t="s">
        <v>2</v>
      </c>
      <c r="R3486">
        <v>0.39</v>
      </c>
      <c r="Z3486" t="s">
        <v>866</v>
      </c>
    </row>
    <row r="3487" spans="1:26" x14ac:dyDescent="0.25">
      <c r="A3487" t="s">
        <v>4825</v>
      </c>
      <c r="J3487" t="s">
        <v>2</v>
      </c>
      <c r="R3487">
        <v>0.39</v>
      </c>
      <c r="Z3487" t="s">
        <v>866</v>
      </c>
    </row>
    <row r="3488" spans="1:26" x14ac:dyDescent="0.25">
      <c r="A3488" t="s">
        <v>4826</v>
      </c>
      <c r="J3488" t="s">
        <v>2</v>
      </c>
      <c r="R3488">
        <v>0.39</v>
      </c>
      <c r="Z3488" t="s">
        <v>866</v>
      </c>
    </row>
    <row r="3489" spans="1:26" x14ac:dyDescent="0.25">
      <c r="A3489" t="s">
        <v>4827</v>
      </c>
      <c r="J3489" t="s">
        <v>2</v>
      </c>
      <c r="R3489">
        <v>0.39</v>
      </c>
      <c r="Z3489" t="s">
        <v>866</v>
      </c>
    </row>
    <row r="3490" spans="1:26" x14ac:dyDescent="0.25">
      <c r="A3490" t="s">
        <v>4828</v>
      </c>
      <c r="J3490" t="s">
        <v>2</v>
      </c>
      <c r="R3490">
        <v>0.39</v>
      </c>
      <c r="Z3490" t="s">
        <v>866</v>
      </c>
    </row>
    <row r="3491" spans="1:26" x14ac:dyDescent="0.25">
      <c r="A3491" t="s">
        <v>4829</v>
      </c>
      <c r="J3491" t="s">
        <v>2</v>
      </c>
      <c r="R3491">
        <v>0.39</v>
      </c>
      <c r="Z3491" t="s">
        <v>866</v>
      </c>
    </row>
    <row r="3492" spans="1:26" x14ac:dyDescent="0.25">
      <c r="A3492" t="s">
        <v>4830</v>
      </c>
      <c r="J3492" t="s">
        <v>2</v>
      </c>
      <c r="R3492">
        <v>0.39</v>
      </c>
      <c r="Z3492" t="s">
        <v>866</v>
      </c>
    </row>
    <row r="3493" spans="1:26" x14ac:dyDescent="0.25">
      <c r="A3493" t="s">
        <v>4831</v>
      </c>
      <c r="J3493" t="s">
        <v>2</v>
      </c>
      <c r="R3493">
        <v>0.39</v>
      </c>
      <c r="Z3493" t="s">
        <v>866</v>
      </c>
    </row>
    <row r="3494" spans="1:26" x14ac:dyDescent="0.25">
      <c r="A3494" t="s">
        <v>4832</v>
      </c>
      <c r="J3494" t="s">
        <v>2</v>
      </c>
      <c r="R3494">
        <v>0.39</v>
      </c>
      <c r="Z3494" t="s">
        <v>866</v>
      </c>
    </row>
    <row r="3495" spans="1:26" x14ac:dyDescent="0.25">
      <c r="A3495" t="s">
        <v>4833</v>
      </c>
      <c r="J3495" t="s">
        <v>2</v>
      </c>
      <c r="R3495">
        <v>0.39</v>
      </c>
      <c r="Z3495" t="s">
        <v>866</v>
      </c>
    </row>
    <row r="3496" spans="1:26" x14ac:dyDescent="0.25">
      <c r="A3496" t="s">
        <v>4834</v>
      </c>
      <c r="J3496" t="s">
        <v>2</v>
      </c>
      <c r="R3496">
        <v>0.39</v>
      </c>
      <c r="Z3496" t="s">
        <v>866</v>
      </c>
    </row>
    <row r="3497" spans="1:26" x14ac:dyDescent="0.25">
      <c r="A3497" t="s">
        <v>4835</v>
      </c>
      <c r="J3497" t="s">
        <v>2</v>
      </c>
      <c r="R3497">
        <v>0.39</v>
      </c>
      <c r="Z3497" t="s">
        <v>866</v>
      </c>
    </row>
    <row r="3498" spans="1:26" x14ac:dyDescent="0.25">
      <c r="A3498" t="s">
        <v>4836</v>
      </c>
      <c r="J3498" t="s">
        <v>2</v>
      </c>
      <c r="R3498">
        <v>0.39</v>
      </c>
      <c r="Z3498" t="s">
        <v>866</v>
      </c>
    </row>
    <row r="3499" spans="1:26" x14ac:dyDescent="0.25">
      <c r="A3499" t="s">
        <v>4837</v>
      </c>
      <c r="J3499" t="s">
        <v>2</v>
      </c>
      <c r="R3499">
        <v>0.39</v>
      </c>
      <c r="Z3499" t="s">
        <v>866</v>
      </c>
    </row>
    <row r="3500" spans="1:26" x14ac:dyDescent="0.25">
      <c r="A3500" t="s">
        <v>4838</v>
      </c>
      <c r="J3500" t="s">
        <v>2</v>
      </c>
      <c r="R3500">
        <v>0.39</v>
      </c>
      <c r="Z3500" t="s">
        <v>866</v>
      </c>
    </row>
    <row r="3501" spans="1:26" x14ac:dyDescent="0.25">
      <c r="A3501" t="s">
        <v>4839</v>
      </c>
      <c r="J3501" t="s">
        <v>2</v>
      </c>
      <c r="R3501">
        <v>0.39</v>
      </c>
      <c r="Z3501" t="s">
        <v>866</v>
      </c>
    </row>
    <row r="3502" spans="1:26" x14ac:dyDescent="0.25">
      <c r="A3502" t="s">
        <v>4840</v>
      </c>
      <c r="J3502" t="s">
        <v>2</v>
      </c>
      <c r="R3502">
        <v>0.39</v>
      </c>
      <c r="Z3502" t="s">
        <v>866</v>
      </c>
    </row>
    <row r="3503" spans="1:26" x14ac:dyDescent="0.25">
      <c r="A3503" t="s">
        <v>4841</v>
      </c>
      <c r="J3503" t="s">
        <v>2</v>
      </c>
      <c r="R3503">
        <v>0.39</v>
      </c>
      <c r="Z3503" t="s">
        <v>866</v>
      </c>
    </row>
    <row r="3504" spans="1:26" x14ac:dyDescent="0.25">
      <c r="A3504" t="s">
        <v>4842</v>
      </c>
      <c r="J3504" t="s">
        <v>2</v>
      </c>
      <c r="R3504">
        <v>0.39</v>
      </c>
      <c r="Z3504" t="s">
        <v>866</v>
      </c>
    </row>
    <row r="3505" spans="1:26" x14ac:dyDescent="0.25">
      <c r="A3505" t="s">
        <v>4843</v>
      </c>
      <c r="J3505" t="s">
        <v>2</v>
      </c>
      <c r="R3505">
        <v>0.39</v>
      </c>
      <c r="Z3505" t="s">
        <v>866</v>
      </c>
    </row>
    <row r="3506" spans="1:26" x14ac:dyDescent="0.25">
      <c r="A3506" t="s">
        <v>4844</v>
      </c>
      <c r="J3506" t="s">
        <v>2</v>
      </c>
      <c r="R3506">
        <v>0.39</v>
      </c>
      <c r="Z3506" t="s">
        <v>866</v>
      </c>
    </row>
    <row r="3507" spans="1:26" x14ac:dyDescent="0.25">
      <c r="A3507" t="s">
        <v>4845</v>
      </c>
      <c r="J3507" t="s">
        <v>2</v>
      </c>
      <c r="R3507">
        <v>0.39</v>
      </c>
      <c r="Z3507" t="s">
        <v>866</v>
      </c>
    </row>
    <row r="3508" spans="1:26" x14ac:dyDescent="0.25">
      <c r="A3508" t="s">
        <v>4846</v>
      </c>
      <c r="J3508" t="s">
        <v>2</v>
      </c>
      <c r="R3508">
        <v>0.39</v>
      </c>
      <c r="Z3508" t="s">
        <v>866</v>
      </c>
    </row>
    <row r="3509" spans="1:26" x14ac:dyDescent="0.25">
      <c r="A3509" t="s">
        <v>4847</v>
      </c>
      <c r="J3509" t="s">
        <v>2</v>
      </c>
      <c r="R3509">
        <v>0.39</v>
      </c>
      <c r="Z3509" t="s">
        <v>866</v>
      </c>
    </row>
    <row r="3510" spans="1:26" x14ac:dyDescent="0.25">
      <c r="A3510" t="s">
        <v>4848</v>
      </c>
      <c r="J3510" t="s">
        <v>2</v>
      </c>
      <c r="R3510">
        <v>0.39</v>
      </c>
      <c r="Z3510" t="s">
        <v>866</v>
      </c>
    </row>
    <row r="3511" spans="1:26" x14ac:dyDescent="0.25">
      <c r="A3511" t="s">
        <v>541</v>
      </c>
      <c r="J3511" t="s">
        <v>4849</v>
      </c>
    </row>
    <row r="3512" spans="1:26" x14ac:dyDescent="0.25">
      <c r="J3512" t="s">
        <v>4438</v>
      </c>
    </row>
    <row r="3513" spans="1:26" x14ac:dyDescent="0.25">
      <c r="A3513">
        <v>1</v>
      </c>
      <c r="J3513" t="s">
        <v>4850</v>
      </c>
    </row>
    <row r="3514" spans="1:26" x14ac:dyDescent="0.25">
      <c r="A3514">
        <v>2</v>
      </c>
      <c r="J3514" t="s">
        <v>4851</v>
      </c>
    </row>
    <row r="3515" spans="1:26" x14ac:dyDescent="0.25">
      <c r="A3515">
        <v>3</v>
      </c>
      <c r="J3515" t="s">
        <v>4852</v>
      </c>
    </row>
    <row r="3516" spans="1:26" x14ac:dyDescent="0.25">
      <c r="A3516">
        <v>4</v>
      </c>
      <c r="J3516" t="s">
        <v>4853</v>
      </c>
    </row>
    <row r="3517" spans="1:26" x14ac:dyDescent="0.25">
      <c r="A3517">
        <v>5</v>
      </c>
      <c r="J3517" t="s">
        <v>4854</v>
      </c>
    </row>
    <row r="3518" spans="1:26" x14ac:dyDescent="0.25">
      <c r="A3518">
        <v>6</v>
      </c>
      <c r="J3518" t="s">
        <v>4855</v>
      </c>
    </row>
    <row r="3519" spans="1:26" x14ac:dyDescent="0.25">
      <c r="A3519">
        <v>7</v>
      </c>
      <c r="J3519" t="s">
        <v>4856</v>
      </c>
    </row>
    <row r="3520" spans="1:26" x14ac:dyDescent="0.25">
      <c r="A3520">
        <v>8</v>
      </c>
      <c r="J3520" t="s">
        <v>4857</v>
      </c>
    </row>
    <row r="3521" spans="1:10" x14ac:dyDescent="0.25">
      <c r="A3521">
        <v>9</v>
      </c>
      <c r="J3521" t="s">
        <v>4858</v>
      </c>
    </row>
    <row r="3522" spans="1:10" x14ac:dyDescent="0.25">
      <c r="A3522">
        <v>10</v>
      </c>
      <c r="J3522" t="s">
        <v>4859</v>
      </c>
    </row>
    <row r="3523" spans="1:10" x14ac:dyDescent="0.25">
      <c r="A3523">
        <v>11</v>
      </c>
      <c r="J3523" t="s">
        <v>4860</v>
      </c>
    </row>
    <row r="3524" spans="1:10" x14ac:dyDescent="0.25">
      <c r="A3524">
        <v>12</v>
      </c>
      <c r="J3524" t="s">
        <v>4861</v>
      </c>
    </row>
    <row r="3525" spans="1:10" x14ac:dyDescent="0.25">
      <c r="A3525">
        <v>13</v>
      </c>
      <c r="J3525" t="s">
        <v>4862</v>
      </c>
    </row>
    <row r="3526" spans="1:10" x14ac:dyDescent="0.25">
      <c r="A3526">
        <v>14</v>
      </c>
      <c r="J3526" t="s">
        <v>4863</v>
      </c>
    </row>
    <row r="3527" spans="1:10" x14ac:dyDescent="0.25">
      <c r="A3527">
        <v>15</v>
      </c>
      <c r="J3527" t="s">
        <v>4864</v>
      </c>
    </row>
    <row r="3528" spans="1:10" x14ac:dyDescent="0.25">
      <c r="A3528">
        <v>16</v>
      </c>
      <c r="J3528" t="s">
        <v>4865</v>
      </c>
    </row>
    <row r="3529" spans="1:10" x14ac:dyDescent="0.25">
      <c r="A3529">
        <v>17</v>
      </c>
      <c r="J3529" t="s">
        <v>4866</v>
      </c>
    </row>
    <row r="3530" spans="1:10" x14ac:dyDescent="0.25">
      <c r="A3530">
        <v>18</v>
      </c>
      <c r="J3530" t="s">
        <v>4867</v>
      </c>
    </row>
    <row r="3531" spans="1:10" x14ac:dyDescent="0.25">
      <c r="A3531">
        <v>19</v>
      </c>
      <c r="J3531" t="s">
        <v>4868</v>
      </c>
    </row>
    <row r="3532" spans="1:10" x14ac:dyDescent="0.25">
      <c r="A3532">
        <v>20</v>
      </c>
      <c r="J3532" t="s">
        <v>4869</v>
      </c>
    </row>
    <row r="3533" spans="1:10" x14ac:dyDescent="0.25">
      <c r="A3533">
        <v>21</v>
      </c>
      <c r="J3533" t="s">
        <v>4870</v>
      </c>
    </row>
    <row r="3534" spans="1:10" x14ac:dyDescent="0.25">
      <c r="A3534">
        <v>22</v>
      </c>
      <c r="J3534" t="s">
        <v>4871</v>
      </c>
    </row>
    <row r="3535" spans="1:10" x14ac:dyDescent="0.25">
      <c r="A3535">
        <v>23</v>
      </c>
      <c r="J3535" t="s">
        <v>4872</v>
      </c>
    </row>
    <row r="3536" spans="1:10" x14ac:dyDescent="0.25">
      <c r="A3536">
        <v>24</v>
      </c>
      <c r="J3536" t="s">
        <v>4380</v>
      </c>
    </row>
    <row r="3537" spans="1:28" x14ac:dyDescent="0.25">
      <c r="A3537">
        <v>25</v>
      </c>
      <c r="J3537" t="s">
        <v>4873</v>
      </c>
    </row>
    <row r="3538" spans="1:28" x14ac:dyDescent="0.25">
      <c r="A3538">
        <v>26</v>
      </c>
      <c r="J3538" t="s">
        <v>4874</v>
      </c>
    </row>
    <row r="3539" spans="1:28" x14ac:dyDescent="0.25">
      <c r="A3539">
        <v>27</v>
      </c>
      <c r="J3539" t="s">
        <v>4875</v>
      </c>
    </row>
    <row r="3540" spans="1:28" x14ac:dyDescent="0.25">
      <c r="A3540" t="s">
        <v>624</v>
      </c>
      <c r="K3540" t="s">
        <v>745</v>
      </c>
      <c r="S3540" t="s">
        <v>612</v>
      </c>
      <c r="AB3540" t="s">
        <v>613</v>
      </c>
    </row>
    <row r="3542" spans="1:28" x14ac:dyDescent="0.25">
      <c r="A3542">
        <v>875</v>
      </c>
      <c r="K3542" t="s">
        <v>2</v>
      </c>
      <c r="S3542">
        <v>0.45</v>
      </c>
      <c r="AB3542" t="s">
        <v>4876</v>
      </c>
    </row>
    <row r="3543" spans="1:28" x14ac:dyDescent="0.25">
      <c r="A3543">
        <v>924</v>
      </c>
      <c r="K3543" t="s">
        <v>2</v>
      </c>
      <c r="S3543">
        <v>0.45</v>
      </c>
      <c r="AB3543" t="s">
        <v>4876</v>
      </c>
    </row>
    <row r="3544" spans="1:28" x14ac:dyDescent="0.25">
      <c r="A3544" t="s">
        <v>4877</v>
      </c>
      <c r="K3544" t="s">
        <v>2</v>
      </c>
      <c r="S3544">
        <v>0.45</v>
      </c>
      <c r="AB3544" t="s">
        <v>4876</v>
      </c>
    </row>
    <row r="3545" spans="1:28" x14ac:dyDescent="0.25">
      <c r="A3545" t="s">
        <v>4878</v>
      </c>
      <c r="K3545" t="s">
        <v>2</v>
      </c>
      <c r="S3545">
        <v>0.45</v>
      </c>
      <c r="AB3545" t="s">
        <v>4876</v>
      </c>
    </row>
    <row r="3546" spans="1:28" x14ac:dyDescent="0.25">
      <c r="A3546">
        <v>956</v>
      </c>
      <c r="K3546" t="s">
        <v>2</v>
      </c>
      <c r="S3546">
        <v>0.45</v>
      </c>
      <c r="AB3546" t="s">
        <v>4876</v>
      </c>
    </row>
    <row r="3547" spans="1:28" x14ac:dyDescent="0.25">
      <c r="A3547" t="s">
        <v>4879</v>
      </c>
      <c r="K3547" t="s">
        <v>2</v>
      </c>
      <c r="S3547">
        <v>0.45</v>
      </c>
      <c r="AB3547" t="s">
        <v>4876</v>
      </c>
    </row>
    <row r="3548" spans="1:28" x14ac:dyDescent="0.25">
      <c r="A3548" t="s">
        <v>4880</v>
      </c>
      <c r="K3548" t="s">
        <v>2</v>
      </c>
      <c r="S3548">
        <v>0.45</v>
      </c>
      <c r="AB3548" t="s">
        <v>4876</v>
      </c>
    </row>
    <row r="3549" spans="1:28" x14ac:dyDescent="0.25">
      <c r="A3549" t="s">
        <v>4881</v>
      </c>
      <c r="K3549" t="s">
        <v>2</v>
      </c>
      <c r="S3549">
        <v>0.45</v>
      </c>
      <c r="AB3549" t="s">
        <v>4876</v>
      </c>
    </row>
    <row r="3550" spans="1:28" x14ac:dyDescent="0.25">
      <c r="A3550" t="s">
        <v>4882</v>
      </c>
      <c r="K3550" t="s">
        <v>2</v>
      </c>
      <c r="S3550">
        <v>0.45</v>
      </c>
      <c r="AB3550" t="s">
        <v>4876</v>
      </c>
    </row>
    <row r="3551" spans="1:28" x14ac:dyDescent="0.25">
      <c r="A3551" t="s">
        <v>4883</v>
      </c>
      <c r="K3551" t="s">
        <v>2</v>
      </c>
      <c r="S3551">
        <v>0.45</v>
      </c>
      <c r="AB3551" t="s">
        <v>4876</v>
      </c>
    </row>
    <row r="3552" spans="1:28" x14ac:dyDescent="0.25">
      <c r="A3552" t="s">
        <v>4884</v>
      </c>
      <c r="K3552" t="s">
        <v>2</v>
      </c>
      <c r="S3552">
        <v>0.45</v>
      </c>
      <c r="AB3552" t="s">
        <v>4876</v>
      </c>
    </row>
    <row r="3553" spans="1:28" x14ac:dyDescent="0.25">
      <c r="A3553" t="s">
        <v>4885</v>
      </c>
      <c r="K3553" t="s">
        <v>2</v>
      </c>
      <c r="S3553">
        <v>0.45</v>
      </c>
      <c r="AB3553" t="s">
        <v>4876</v>
      </c>
    </row>
    <row r="3554" spans="1:28" x14ac:dyDescent="0.25">
      <c r="A3554" t="s">
        <v>4886</v>
      </c>
      <c r="K3554" t="s">
        <v>2</v>
      </c>
      <c r="S3554">
        <v>0.45</v>
      </c>
      <c r="AB3554" t="s">
        <v>4876</v>
      </c>
    </row>
    <row r="3555" spans="1:28" x14ac:dyDescent="0.25">
      <c r="A3555" t="s">
        <v>4887</v>
      </c>
      <c r="K3555" t="s">
        <v>2</v>
      </c>
      <c r="S3555">
        <v>0.45</v>
      </c>
      <c r="AB3555" t="s">
        <v>4876</v>
      </c>
    </row>
    <row r="3556" spans="1:28" x14ac:dyDescent="0.25">
      <c r="A3556" t="s">
        <v>4888</v>
      </c>
      <c r="K3556" t="s">
        <v>2</v>
      </c>
      <c r="S3556">
        <v>0.45</v>
      </c>
      <c r="AB3556" t="s">
        <v>4876</v>
      </c>
    </row>
    <row r="3557" spans="1:28" x14ac:dyDescent="0.25">
      <c r="A3557" t="s">
        <v>4889</v>
      </c>
      <c r="K3557" t="s">
        <v>2</v>
      </c>
      <c r="S3557">
        <v>0.45</v>
      </c>
      <c r="AB3557" t="s">
        <v>4876</v>
      </c>
    </row>
    <row r="3558" spans="1:28" x14ac:dyDescent="0.25">
      <c r="A3558" t="s">
        <v>4890</v>
      </c>
      <c r="K3558" t="s">
        <v>2</v>
      </c>
      <c r="S3558">
        <v>0.45</v>
      </c>
      <c r="AB3558" t="s">
        <v>4876</v>
      </c>
    </row>
    <row r="3559" spans="1:28" x14ac:dyDescent="0.25">
      <c r="A3559" t="s">
        <v>4891</v>
      </c>
      <c r="K3559" t="s">
        <v>2</v>
      </c>
      <c r="S3559">
        <v>0.45</v>
      </c>
      <c r="AB3559" t="s">
        <v>4876</v>
      </c>
    </row>
    <row r="3560" spans="1:28" x14ac:dyDescent="0.25">
      <c r="A3560" t="s">
        <v>4892</v>
      </c>
      <c r="K3560" t="s">
        <v>2</v>
      </c>
      <c r="S3560">
        <v>0.45</v>
      </c>
      <c r="AB3560" t="s">
        <v>4876</v>
      </c>
    </row>
    <row r="3561" spans="1:28" x14ac:dyDescent="0.25">
      <c r="A3561" t="s">
        <v>4893</v>
      </c>
      <c r="K3561" t="s">
        <v>2</v>
      </c>
      <c r="S3561">
        <v>0.45</v>
      </c>
      <c r="AB3561" t="s">
        <v>4876</v>
      </c>
    </row>
    <row r="3562" spans="1:28" x14ac:dyDescent="0.25">
      <c r="A3562" t="s">
        <v>4894</v>
      </c>
      <c r="K3562" t="s">
        <v>2</v>
      </c>
      <c r="S3562">
        <v>0.45</v>
      </c>
      <c r="AB3562" t="s">
        <v>4876</v>
      </c>
    </row>
    <row r="3563" spans="1:28" x14ac:dyDescent="0.25">
      <c r="A3563" t="s">
        <v>4895</v>
      </c>
      <c r="K3563" t="s">
        <v>2</v>
      </c>
      <c r="S3563">
        <v>0.45</v>
      </c>
      <c r="AB3563" t="s">
        <v>4876</v>
      </c>
    </row>
    <row r="3564" spans="1:28" x14ac:dyDescent="0.25">
      <c r="A3564" t="s">
        <v>4896</v>
      </c>
      <c r="K3564" t="s">
        <v>2</v>
      </c>
      <c r="S3564">
        <v>0.45</v>
      </c>
      <c r="AB3564" t="s">
        <v>4876</v>
      </c>
    </row>
    <row r="3565" spans="1:28" x14ac:dyDescent="0.25">
      <c r="A3565">
        <v>887</v>
      </c>
      <c r="K3565" t="s">
        <v>2</v>
      </c>
      <c r="S3565">
        <v>0.4</v>
      </c>
      <c r="AB3565" t="s">
        <v>950</v>
      </c>
    </row>
    <row r="3566" spans="1:28" x14ac:dyDescent="0.25">
      <c r="A3566">
        <v>676</v>
      </c>
      <c r="K3566" t="s">
        <v>2</v>
      </c>
      <c r="S3566">
        <v>0.48</v>
      </c>
      <c r="AB3566" t="s">
        <v>4876</v>
      </c>
    </row>
    <row r="3567" spans="1:28" x14ac:dyDescent="0.25">
      <c r="A3567" t="s">
        <v>4794</v>
      </c>
      <c r="K3567" t="s">
        <v>2</v>
      </c>
      <c r="S3567">
        <v>0.48</v>
      </c>
      <c r="AB3567" t="s">
        <v>4876</v>
      </c>
    </row>
    <row r="3568" spans="1:28" x14ac:dyDescent="0.25">
      <c r="A3568">
        <v>307</v>
      </c>
      <c r="K3568" t="s">
        <v>2</v>
      </c>
      <c r="S3568">
        <v>0.48</v>
      </c>
      <c r="AB3568" t="s">
        <v>4876</v>
      </c>
    </row>
    <row r="3570" spans="6:72" x14ac:dyDescent="0.25">
      <c r="F3570" t="s">
        <v>4372</v>
      </c>
      <c r="AX3570" t="s">
        <v>4373</v>
      </c>
    </row>
    <row r="3571" spans="6:72" x14ac:dyDescent="0.25">
      <c r="AX3571" t="s">
        <v>8</v>
      </c>
      <c r="BT3571" t="s">
        <v>9</v>
      </c>
    </row>
    <row r="3572" spans="6:72" x14ac:dyDescent="0.25">
      <c r="F3572" t="s">
        <v>10</v>
      </c>
      <c r="S3572" t="s">
        <v>925</v>
      </c>
      <c r="AX3572" t="s">
        <v>4374</v>
      </c>
      <c r="BT3572" t="s">
        <v>4375</v>
      </c>
    </row>
    <row r="3573" spans="6:72" x14ac:dyDescent="0.25">
      <c r="F3573" t="s">
        <v>12</v>
      </c>
      <c r="S3573" t="s">
        <v>4376</v>
      </c>
    </row>
    <row r="3574" spans="6:72" x14ac:dyDescent="0.25">
      <c r="F3574" t="s">
        <v>13</v>
      </c>
      <c r="S3574" t="s">
        <v>4377</v>
      </c>
    </row>
    <row r="3575" spans="6:72" x14ac:dyDescent="0.25">
      <c r="F3575" t="s">
        <v>14</v>
      </c>
      <c r="S3575" t="s">
        <v>676</v>
      </c>
    </row>
    <row r="3576" spans="6:72" x14ac:dyDescent="0.25">
      <c r="F3576" t="s">
        <v>15</v>
      </c>
      <c r="S3576" t="s">
        <v>951</v>
      </c>
    </row>
    <row r="3577" spans="6:72" x14ac:dyDescent="0.25">
      <c r="F3577" t="s">
        <v>16</v>
      </c>
      <c r="S3577" t="s">
        <v>4372</v>
      </c>
    </row>
    <row r="3578" spans="6:72" x14ac:dyDescent="0.25">
      <c r="F3578" t="s">
        <v>17</v>
      </c>
      <c r="S3578" t="s">
        <v>914</v>
      </c>
    </row>
    <row r="3579" spans="6:72" x14ac:dyDescent="0.25">
      <c r="F3579" t="s">
        <v>18</v>
      </c>
      <c r="S3579" t="s">
        <v>878</v>
      </c>
      <c r="AX3579" t="s">
        <v>4378</v>
      </c>
    </row>
    <row r="3580" spans="6:72" x14ac:dyDescent="0.25">
      <c r="F3580" t="s">
        <v>20</v>
      </c>
      <c r="S3580" t="s">
        <v>878</v>
      </c>
      <c r="AX3580" t="s">
        <v>4378</v>
      </c>
    </row>
    <row r="3581" spans="6:72" x14ac:dyDescent="0.25">
      <c r="F3581" t="s">
        <v>21</v>
      </c>
      <c r="S3581" t="s">
        <v>878</v>
      </c>
      <c r="AX3581" t="s">
        <v>4378</v>
      </c>
    </row>
    <row r="3582" spans="6:72" x14ac:dyDescent="0.25">
      <c r="F3582" t="s">
        <v>22</v>
      </c>
      <c r="S3582">
        <v>45708</v>
      </c>
    </row>
    <row r="3583" spans="6:72" x14ac:dyDescent="0.25">
      <c r="S3583" t="s">
        <v>542</v>
      </c>
    </row>
    <row r="3585" spans="1:72" x14ac:dyDescent="0.25">
      <c r="F3585" t="s">
        <v>543</v>
      </c>
      <c r="S3585" t="s">
        <v>544</v>
      </c>
      <c r="BH3585" t="s">
        <v>4379</v>
      </c>
      <c r="BM3585" t="s">
        <v>546</v>
      </c>
      <c r="BT3585" t="s">
        <v>547</v>
      </c>
    </row>
    <row r="3586" spans="1:72" x14ac:dyDescent="0.25">
      <c r="S3586" t="s">
        <v>4380</v>
      </c>
      <c r="BH3586" t="s">
        <v>6</v>
      </c>
      <c r="BM3586">
        <v>4</v>
      </c>
      <c r="BT3586" t="s">
        <v>4381</v>
      </c>
    </row>
    <row r="3587" spans="1:72" x14ac:dyDescent="0.25">
      <c r="S3587" t="s">
        <v>4382</v>
      </c>
      <c r="BH3587" t="s">
        <v>6</v>
      </c>
      <c r="BM3587">
        <v>4</v>
      </c>
    </row>
    <row r="3588" spans="1:72" x14ac:dyDescent="0.25">
      <c r="S3588" t="s">
        <v>4383</v>
      </c>
      <c r="BH3588" t="s">
        <v>6</v>
      </c>
      <c r="BM3588">
        <v>4</v>
      </c>
    </row>
    <row r="3589" spans="1:72" x14ac:dyDescent="0.25">
      <c r="S3589" t="s">
        <v>4384</v>
      </c>
      <c r="BH3589" t="s">
        <v>6</v>
      </c>
      <c r="BM3589">
        <v>4</v>
      </c>
    </row>
    <row r="3590" spans="1:72" x14ac:dyDescent="0.25">
      <c r="S3590" t="s">
        <v>685</v>
      </c>
      <c r="BH3590" t="s">
        <v>551</v>
      </c>
      <c r="BM3590">
        <v>20</v>
      </c>
    </row>
    <row r="3591" spans="1:72" x14ac:dyDescent="0.25">
      <c r="S3591" t="s">
        <v>549</v>
      </c>
      <c r="BH3591" t="s">
        <v>551</v>
      </c>
      <c r="BM3591">
        <v>20</v>
      </c>
    </row>
    <row r="3592" spans="1:72" x14ac:dyDescent="0.25">
      <c r="S3592" t="s">
        <v>734</v>
      </c>
      <c r="BH3592" t="s">
        <v>551</v>
      </c>
      <c r="BM3592">
        <v>20</v>
      </c>
    </row>
    <row r="3593" spans="1:72" x14ac:dyDescent="0.25">
      <c r="S3593" t="s">
        <v>735</v>
      </c>
      <c r="BH3593" t="s">
        <v>551</v>
      </c>
      <c r="BM3593">
        <v>20</v>
      </c>
    </row>
    <row r="3594" spans="1:72" x14ac:dyDescent="0.25">
      <c r="S3594" t="s">
        <v>4385</v>
      </c>
      <c r="BH3594" t="s">
        <v>551</v>
      </c>
      <c r="BM3594">
        <v>10</v>
      </c>
    </row>
    <row r="3595" spans="1:72" x14ac:dyDescent="0.25">
      <c r="S3595" t="s">
        <v>4386</v>
      </c>
      <c r="BH3595" t="s">
        <v>6</v>
      </c>
      <c r="BM3595">
        <v>1</v>
      </c>
    </row>
    <row r="3596" spans="1:72" x14ac:dyDescent="0.25">
      <c r="S3596" t="s">
        <v>584</v>
      </c>
      <c r="BH3596" t="s">
        <v>2</v>
      </c>
      <c r="BM3596">
        <v>3</v>
      </c>
    </row>
    <row r="3597" spans="1:72" x14ac:dyDescent="0.25">
      <c r="S3597" t="s">
        <v>4387</v>
      </c>
      <c r="BT3597" t="s">
        <v>4388</v>
      </c>
    </row>
    <row r="3598" spans="1:72" x14ac:dyDescent="0.25">
      <c r="A3598" t="s">
        <v>4389</v>
      </c>
    </row>
    <row r="3599" spans="1:72" x14ac:dyDescent="0.25">
      <c r="A3599" t="s">
        <v>4390</v>
      </c>
    </row>
    <row r="3600" spans="1:72" x14ac:dyDescent="0.25">
      <c r="A3600" t="s">
        <v>594</v>
      </c>
      <c r="S3600" t="s">
        <v>595</v>
      </c>
    </row>
    <row r="3601" spans="1:21" x14ac:dyDescent="0.25">
      <c r="A3601" t="s">
        <v>596</v>
      </c>
      <c r="S3601" t="s">
        <v>952</v>
      </c>
    </row>
    <row r="3602" spans="1:21" x14ac:dyDescent="0.25">
      <c r="A3602" t="s">
        <v>597</v>
      </c>
      <c r="S3602" t="s">
        <v>932</v>
      </c>
    </row>
    <row r="3603" spans="1:21" x14ac:dyDescent="0.25">
      <c r="A3603" t="s">
        <v>598</v>
      </c>
      <c r="S3603" t="s">
        <v>616</v>
      </c>
    </row>
    <row r="3604" spans="1:21" x14ac:dyDescent="0.25">
      <c r="A3604" t="s">
        <v>599</v>
      </c>
      <c r="S3604" t="s">
        <v>4391</v>
      </c>
    </row>
    <row r="3605" spans="1:21" x14ac:dyDescent="0.25">
      <c r="A3605" t="s">
        <v>600</v>
      </c>
      <c r="U3605" t="s">
        <v>601</v>
      </c>
    </row>
    <row r="3606" spans="1:21" x14ac:dyDescent="0.25">
      <c r="U3606" t="s">
        <v>606</v>
      </c>
    </row>
    <row r="3607" spans="1:21" x14ac:dyDescent="0.25">
      <c r="U3607" t="s">
        <v>4392</v>
      </c>
    </row>
    <row r="3608" spans="1:21" x14ac:dyDescent="0.25">
      <c r="A3608" t="s">
        <v>602</v>
      </c>
      <c r="S3608" t="s">
        <v>607</v>
      </c>
    </row>
    <row r="3609" spans="1:21" x14ac:dyDescent="0.25">
      <c r="S3609" t="s">
        <v>603</v>
      </c>
    </row>
    <row r="3610" spans="1:21" x14ac:dyDescent="0.25">
      <c r="S3610" t="s">
        <v>617</v>
      </c>
    </row>
    <row r="3611" spans="1:21" x14ac:dyDescent="0.25">
      <c r="S3611" t="s">
        <v>608</v>
      </c>
    </row>
    <row r="3612" spans="1:21" x14ac:dyDescent="0.25">
      <c r="A3612" t="s">
        <v>604</v>
      </c>
    </row>
    <row r="3613" spans="1:21" x14ac:dyDescent="0.25">
      <c r="A3613" t="s">
        <v>878</v>
      </c>
    </row>
    <row r="3614" spans="1:21" x14ac:dyDescent="0.25">
      <c r="A3614" t="s">
        <v>946</v>
      </c>
    </row>
    <row r="3615" spans="1:21" x14ac:dyDescent="0.25">
      <c r="A3615" t="s">
        <v>951</v>
      </c>
    </row>
    <row r="3616" spans="1:21" x14ac:dyDescent="0.25">
      <c r="A3616" t="s">
        <v>4393</v>
      </c>
    </row>
    <row r="3617" spans="1:76" x14ac:dyDescent="0.25">
      <c r="A3617" t="s">
        <v>7</v>
      </c>
    </row>
    <row r="3618" spans="1:76" x14ac:dyDescent="0.25">
      <c r="A3618" t="s">
        <v>822</v>
      </c>
    </row>
    <row r="3619" spans="1:76" x14ac:dyDescent="0.25">
      <c r="A3619" t="s">
        <v>883</v>
      </c>
    </row>
    <row r="3620" spans="1:76" x14ac:dyDescent="0.25">
      <c r="A3620" t="s">
        <v>9</v>
      </c>
      <c r="BM3620" t="s">
        <v>8</v>
      </c>
    </row>
    <row r="3621" spans="1:76" x14ac:dyDescent="0.25">
      <c r="A3621" t="s">
        <v>10</v>
      </c>
      <c r="L3621" t="s">
        <v>925</v>
      </c>
    </row>
    <row r="3622" spans="1:76" x14ac:dyDescent="0.25">
      <c r="A3622" t="s">
        <v>12</v>
      </c>
      <c r="L3622" t="s">
        <v>4394</v>
      </c>
    </row>
    <row r="3623" spans="1:76" x14ac:dyDescent="0.25">
      <c r="A3623" t="s">
        <v>13</v>
      </c>
      <c r="L3623" t="s">
        <v>4377</v>
      </c>
    </row>
    <row r="3624" spans="1:76" x14ac:dyDescent="0.25">
      <c r="A3624" t="s">
        <v>14</v>
      </c>
      <c r="L3624" t="s">
        <v>676</v>
      </c>
    </row>
    <row r="3625" spans="1:76" x14ac:dyDescent="0.25">
      <c r="A3625" t="s">
        <v>15</v>
      </c>
      <c r="L3625" t="s">
        <v>951</v>
      </c>
    </row>
    <row r="3626" spans="1:76" x14ac:dyDescent="0.25">
      <c r="A3626" t="s">
        <v>16</v>
      </c>
      <c r="L3626" t="s">
        <v>4372</v>
      </c>
    </row>
    <row r="3627" spans="1:76" x14ac:dyDescent="0.25">
      <c r="A3627" t="s">
        <v>18</v>
      </c>
      <c r="L3627" t="s">
        <v>4395</v>
      </c>
    </row>
    <row r="3628" spans="1:76" x14ac:dyDescent="0.25">
      <c r="A3628" t="s">
        <v>22</v>
      </c>
      <c r="L3628" t="s">
        <v>4396</v>
      </c>
    </row>
    <row r="3629" spans="1:76" x14ac:dyDescent="0.25">
      <c r="L3629" t="s">
        <v>884</v>
      </c>
    </row>
    <row r="3632" spans="1:76" x14ac:dyDescent="0.25">
      <c r="A3632" t="s">
        <v>543</v>
      </c>
      <c r="L3632" t="s">
        <v>544</v>
      </c>
      <c r="BS3632" t="s">
        <v>546</v>
      </c>
      <c r="BX3632" t="s">
        <v>4379</v>
      </c>
    </row>
    <row r="3633" spans="9:76" x14ac:dyDescent="0.25">
      <c r="L3633" t="s">
        <v>4397</v>
      </c>
      <c r="BS3633" t="s">
        <v>4397</v>
      </c>
      <c r="BX3633" t="s">
        <v>4397</v>
      </c>
    </row>
    <row r="3634" spans="9:76" x14ac:dyDescent="0.25">
      <c r="L3634" t="s">
        <v>4397</v>
      </c>
      <c r="BS3634" t="s">
        <v>4397</v>
      </c>
      <c r="BX3634" t="s">
        <v>4397</v>
      </c>
    </row>
    <row r="3635" spans="9:76" x14ac:dyDescent="0.25">
      <c r="L3635" t="s">
        <v>4397</v>
      </c>
      <c r="BS3635" t="s">
        <v>4397</v>
      </c>
      <c r="BX3635" t="s">
        <v>4397</v>
      </c>
    </row>
    <row r="3636" spans="9:76" x14ac:dyDescent="0.25">
      <c r="L3636" t="s">
        <v>4397</v>
      </c>
      <c r="BS3636" t="s">
        <v>4397</v>
      </c>
      <c r="BX3636" t="s">
        <v>4397</v>
      </c>
    </row>
    <row r="3637" spans="9:76" x14ac:dyDescent="0.25">
      <c r="L3637" t="s">
        <v>4397</v>
      </c>
      <c r="BS3637" t="s">
        <v>4397</v>
      </c>
      <c r="BX3637" t="s">
        <v>4397</v>
      </c>
    </row>
    <row r="3638" spans="9:76" x14ac:dyDescent="0.25">
      <c r="L3638" t="s">
        <v>685</v>
      </c>
      <c r="BS3638" t="s">
        <v>3756</v>
      </c>
      <c r="BX3638" t="s">
        <v>551</v>
      </c>
    </row>
    <row r="3639" spans="9:76" x14ac:dyDescent="0.25">
      <c r="L3639" t="s">
        <v>4397</v>
      </c>
      <c r="BS3639" t="s">
        <v>4397</v>
      </c>
      <c r="BX3639" t="s">
        <v>4397</v>
      </c>
    </row>
    <row r="3640" spans="9:76" x14ac:dyDescent="0.25">
      <c r="L3640" t="s">
        <v>4397</v>
      </c>
      <c r="BS3640" t="s">
        <v>4397</v>
      </c>
      <c r="BX3640" t="s">
        <v>4397</v>
      </c>
    </row>
    <row r="3641" spans="9:76" x14ac:dyDescent="0.25">
      <c r="L3641" t="s">
        <v>4397</v>
      </c>
      <c r="BS3641" t="s">
        <v>4397</v>
      </c>
      <c r="BX3641" t="s">
        <v>4397</v>
      </c>
    </row>
    <row r="3642" spans="9:76" x14ac:dyDescent="0.25">
      <c r="L3642" t="s">
        <v>4397</v>
      </c>
      <c r="BS3642" t="s">
        <v>4397</v>
      </c>
      <c r="BX3642" t="s">
        <v>4397</v>
      </c>
    </row>
    <row r="3643" spans="9:76" x14ac:dyDescent="0.25">
      <c r="L3643" t="s">
        <v>4397</v>
      </c>
      <c r="BS3643" t="s">
        <v>4397</v>
      </c>
      <c r="BX3643" t="s">
        <v>4397</v>
      </c>
    </row>
    <row r="3644" spans="9:76" x14ac:dyDescent="0.25">
      <c r="L3644" t="s">
        <v>4397</v>
      </c>
      <c r="BS3644" t="s">
        <v>4397</v>
      </c>
      <c r="BX3644" t="s">
        <v>4397</v>
      </c>
    </row>
    <row r="3645" spans="9:76" x14ac:dyDescent="0.25">
      <c r="L3645" t="s">
        <v>4397</v>
      </c>
      <c r="BS3645" t="s">
        <v>4397</v>
      </c>
      <c r="BX3645" t="s">
        <v>4397</v>
      </c>
    </row>
    <row r="3646" spans="9:76" x14ac:dyDescent="0.25">
      <c r="L3646" t="s">
        <v>4397</v>
      </c>
      <c r="BS3646" t="s">
        <v>4397</v>
      </c>
      <c r="BX3646" t="s">
        <v>4397</v>
      </c>
    </row>
    <row r="3647" spans="9:76" x14ac:dyDescent="0.25">
      <c r="I3647" t="s">
        <v>824</v>
      </c>
      <c r="BG3647" t="s">
        <v>825</v>
      </c>
      <c r="BT3647" t="s">
        <v>826</v>
      </c>
    </row>
    <row r="3648" spans="9:76" x14ac:dyDescent="0.25">
      <c r="BG3648" t="s">
        <v>827</v>
      </c>
      <c r="BT3648">
        <v>2</v>
      </c>
    </row>
    <row r="3649" spans="1:72" x14ac:dyDescent="0.25">
      <c r="BG3649" t="s">
        <v>828</v>
      </c>
      <c r="BT3649" t="s">
        <v>916</v>
      </c>
    </row>
    <row r="3650" spans="1:72" x14ac:dyDescent="0.25">
      <c r="A3650" t="s">
        <v>4398</v>
      </c>
    </row>
    <row r="3651" spans="1:72" x14ac:dyDescent="0.25">
      <c r="I3651" t="s">
        <v>829</v>
      </c>
      <c r="AM3651" t="s">
        <v>915</v>
      </c>
    </row>
    <row r="3652" spans="1:72" x14ac:dyDescent="0.25">
      <c r="I3652" t="s">
        <v>830</v>
      </c>
      <c r="AM3652" t="s">
        <v>878</v>
      </c>
      <c r="BG3652" t="s">
        <v>4378</v>
      </c>
      <c r="BT3652" t="s">
        <v>945</v>
      </c>
    </row>
    <row r="3653" spans="1:72" x14ac:dyDescent="0.25">
      <c r="I3653" t="s">
        <v>831</v>
      </c>
      <c r="AM3653" t="s">
        <v>917</v>
      </c>
    </row>
    <row r="3654" spans="1:72" x14ac:dyDescent="0.25">
      <c r="I3654" t="s">
        <v>832</v>
      </c>
      <c r="AM3654">
        <v>53100972</v>
      </c>
    </row>
    <row r="3655" spans="1:72" x14ac:dyDescent="0.25">
      <c r="I3655" t="s">
        <v>833</v>
      </c>
      <c r="AM3655">
        <v>2121276179</v>
      </c>
    </row>
    <row r="3656" spans="1:72" x14ac:dyDescent="0.25">
      <c r="I3656" t="s">
        <v>834</v>
      </c>
      <c r="AM3656" t="s">
        <v>951</v>
      </c>
    </row>
    <row r="3657" spans="1:72" x14ac:dyDescent="0.25">
      <c r="A3657" t="s">
        <v>4399</v>
      </c>
    </row>
    <row r="3658" spans="1:72" x14ac:dyDescent="0.25">
      <c r="I3658" t="s">
        <v>829</v>
      </c>
      <c r="AM3658" t="s">
        <v>919</v>
      </c>
    </row>
    <row r="3659" spans="1:72" x14ac:dyDescent="0.25">
      <c r="I3659" t="s">
        <v>830</v>
      </c>
      <c r="AM3659" t="s">
        <v>4376</v>
      </c>
      <c r="BG3659">
        <v>0</v>
      </c>
      <c r="BT3659">
        <v>0</v>
      </c>
    </row>
    <row r="3660" spans="1:72" x14ac:dyDescent="0.25">
      <c r="I3660" t="s">
        <v>831</v>
      </c>
      <c r="AM3660" t="s">
        <v>4377</v>
      </c>
    </row>
    <row r="3661" spans="1:72" x14ac:dyDescent="0.25">
      <c r="I3661" t="s">
        <v>832</v>
      </c>
    </row>
    <row r="3662" spans="1:72" x14ac:dyDescent="0.25">
      <c r="I3662" t="s">
        <v>833</v>
      </c>
    </row>
    <row r="3663" spans="1:72" x14ac:dyDescent="0.25">
      <c r="I3663" t="s">
        <v>837</v>
      </c>
    </row>
    <row r="3664" spans="1:72" x14ac:dyDescent="0.25">
      <c r="A3664" t="s">
        <v>838</v>
      </c>
      <c r="AM3664" t="s">
        <v>920</v>
      </c>
      <c r="BJ3664" t="s">
        <v>4400</v>
      </c>
    </row>
    <row r="3665" spans="1:72" x14ac:dyDescent="0.25">
      <c r="I3665" t="s">
        <v>839</v>
      </c>
      <c r="S3665" t="s">
        <v>840</v>
      </c>
      <c r="BT3665" t="s">
        <v>546</v>
      </c>
    </row>
    <row r="3666" spans="1:72" x14ac:dyDescent="0.25">
      <c r="I3666" t="s">
        <v>4401</v>
      </c>
      <c r="S3666" t="s">
        <v>676</v>
      </c>
      <c r="BT3666" t="s">
        <v>922</v>
      </c>
    </row>
    <row r="3667" spans="1:72" x14ac:dyDescent="0.25">
      <c r="A3667" t="s">
        <v>4402</v>
      </c>
    </row>
    <row r="3668" spans="1:72" x14ac:dyDescent="0.25">
      <c r="A3668" t="s">
        <v>923</v>
      </c>
    </row>
    <row r="3669" spans="1:72" x14ac:dyDescent="0.25">
      <c r="A3669" t="s">
        <v>878</v>
      </c>
    </row>
    <row r="3670" spans="1:72" x14ac:dyDescent="0.25">
      <c r="I3670" t="s">
        <v>843</v>
      </c>
      <c r="BG3670" t="s">
        <v>843</v>
      </c>
    </row>
    <row r="3671" spans="1:72" x14ac:dyDescent="0.25">
      <c r="I3671" t="s">
        <v>844</v>
      </c>
      <c r="BG3671" t="s">
        <v>845</v>
      </c>
    </row>
    <row r="3672" spans="1:72" x14ac:dyDescent="0.25">
      <c r="A3672" t="s">
        <v>4403</v>
      </c>
    </row>
    <row r="3673" spans="1:72" x14ac:dyDescent="0.25">
      <c r="A3673" t="s">
        <v>541</v>
      </c>
      <c r="J3673" t="s">
        <v>4404</v>
      </c>
      <c r="BM3673" t="s">
        <v>624</v>
      </c>
    </row>
    <row r="3674" spans="1:72" x14ac:dyDescent="0.25">
      <c r="A3674">
        <v>1</v>
      </c>
      <c r="J3674" t="s">
        <v>1492</v>
      </c>
      <c r="BM3674">
        <v>2.86</v>
      </c>
    </row>
    <row r="3675" spans="1:72" x14ac:dyDescent="0.25">
      <c r="A3675">
        <v>2</v>
      </c>
      <c r="J3675" t="s">
        <v>4385</v>
      </c>
      <c r="BM3675">
        <v>4.29</v>
      </c>
    </row>
    <row r="3676" spans="1:72" x14ac:dyDescent="0.25">
      <c r="A3676">
        <v>3</v>
      </c>
      <c r="J3676" t="s">
        <v>4405</v>
      </c>
      <c r="BM3676">
        <v>6.11</v>
      </c>
    </row>
    <row r="3677" spans="1:72" x14ac:dyDescent="0.25">
      <c r="A3677">
        <v>4</v>
      </c>
      <c r="J3677" t="s">
        <v>684</v>
      </c>
      <c r="BM3677">
        <v>4.1500000000000004</v>
      </c>
    </row>
    <row r="3678" spans="1:72" x14ac:dyDescent="0.25">
      <c r="A3678">
        <v>5</v>
      </c>
      <c r="J3678" t="s">
        <v>685</v>
      </c>
      <c r="BM3678">
        <v>5.25</v>
      </c>
    </row>
    <row r="3679" spans="1:72" x14ac:dyDescent="0.25">
      <c r="A3679">
        <v>6</v>
      </c>
      <c r="J3679" t="s">
        <v>714</v>
      </c>
      <c r="BM3679">
        <v>8.9</v>
      </c>
    </row>
    <row r="3680" spans="1:72" x14ac:dyDescent="0.25">
      <c r="A3680">
        <v>7</v>
      </c>
      <c r="J3680" t="s">
        <v>686</v>
      </c>
      <c r="BM3680">
        <v>1.65</v>
      </c>
    </row>
    <row r="3681" spans="1:65" x14ac:dyDescent="0.25">
      <c r="A3681">
        <v>8</v>
      </c>
      <c r="J3681" t="s">
        <v>687</v>
      </c>
      <c r="BM3681">
        <v>2.5</v>
      </c>
    </row>
    <row r="3682" spans="1:65" x14ac:dyDescent="0.25">
      <c r="A3682">
        <v>9</v>
      </c>
      <c r="J3682" t="s">
        <v>688</v>
      </c>
      <c r="BM3682">
        <v>3.45</v>
      </c>
    </row>
    <row r="3683" spans="1:65" x14ac:dyDescent="0.25">
      <c r="A3683">
        <v>10</v>
      </c>
      <c r="J3683" t="s">
        <v>689</v>
      </c>
      <c r="BM3683">
        <v>5.5</v>
      </c>
    </row>
    <row r="3684" spans="1:65" x14ac:dyDescent="0.25">
      <c r="A3684">
        <v>11</v>
      </c>
      <c r="J3684" t="s">
        <v>715</v>
      </c>
      <c r="BM3684">
        <v>9.3000000000000007</v>
      </c>
    </row>
    <row r="3685" spans="1:65" x14ac:dyDescent="0.25">
      <c r="A3685">
        <v>12</v>
      </c>
      <c r="J3685" t="s">
        <v>549</v>
      </c>
      <c r="BM3685">
        <v>0.48</v>
      </c>
    </row>
    <row r="3686" spans="1:65" x14ac:dyDescent="0.25">
      <c r="A3686">
        <v>13</v>
      </c>
      <c r="J3686" t="s">
        <v>643</v>
      </c>
      <c r="BM3686">
        <v>0.54</v>
      </c>
    </row>
    <row r="3687" spans="1:65" x14ac:dyDescent="0.25">
      <c r="A3687">
        <v>14</v>
      </c>
      <c r="J3687" t="s">
        <v>619</v>
      </c>
      <c r="BM3687">
        <v>1</v>
      </c>
    </row>
    <row r="3688" spans="1:65" x14ac:dyDescent="0.25">
      <c r="A3688">
        <v>15</v>
      </c>
      <c r="J3688" t="s">
        <v>734</v>
      </c>
      <c r="BM3688">
        <v>0.56999999999999995</v>
      </c>
    </row>
    <row r="3689" spans="1:65" x14ac:dyDescent="0.25">
      <c r="A3689">
        <v>16</v>
      </c>
      <c r="J3689" t="s">
        <v>735</v>
      </c>
      <c r="BM3689">
        <v>0.96</v>
      </c>
    </row>
    <row r="3690" spans="1:65" x14ac:dyDescent="0.25">
      <c r="A3690">
        <v>17</v>
      </c>
      <c r="J3690" t="s">
        <v>736</v>
      </c>
      <c r="BM3690">
        <v>1.66</v>
      </c>
    </row>
    <row r="3691" spans="1:65" x14ac:dyDescent="0.25">
      <c r="A3691">
        <v>18</v>
      </c>
      <c r="J3691" t="s">
        <v>737</v>
      </c>
      <c r="BM3691">
        <v>3.33</v>
      </c>
    </row>
    <row r="3692" spans="1:65" x14ac:dyDescent="0.25">
      <c r="A3692">
        <v>19</v>
      </c>
      <c r="J3692" t="s">
        <v>738</v>
      </c>
      <c r="BM3692">
        <v>1.75</v>
      </c>
    </row>
    <row r="3693" spans="1:65" x14ac:dyDescent="0.25">
      <c r="A3693">
        <v>20</v>
      </c>
      <c r="J3693" t="s">
        <v>739</v>
      </c>
      <c r="BM3693">
        <v>0.78</v>
      </c>
    </row>
    <row r="3694" spans="1:65" x14ac:dyDescent="0.25">
      <c r="A3694">
        <v>21</v>
      </c>
      <c r="J3694" t="s">
        <v>740</v>
      </c>
      <c r="BM3694">
        <v>1.49</v>
      </c>
    </row>
    <row r="3695" spans="1:65" x14ac:dyDescent="0.25">
      <c r="A3695">
        <v>22</v>
      </c>
      <c r="J3695" t="s">
        <v>741</v>
      </c>
      <c r="BM3695">
        <v>0.26</v>
      </c>
    </row>
    <row r="3696" spans="1:65" x14ac:dyDescent="0.25">
      <c r="A3696">
        <v>23</v>
      </c>
      <c r="J3696" t="s">
        <v>742</v>
      </c>
      <c r="BM3696">
        <v>0.36</v>
      </c>
    </row>
    <row r="3697" spans="1:65" x14ac:dyDescent="0.25">
      <c r="A3697">
        <v>24</v>
      </c>
      <c r="J3697" t="s">
        <v>696</v>
      </c>
      <c r="BM3697">
        <v>4.26</v>
      </c>
    </row>
    <row r="3698" spans="1:65" x14ac:dyDescent="0.25">
      <c r="A3698">
        <v>25</v>
      </c>
      <c r="J3698" t="s">
        <v>695</v>
      </c>
      <c r="BM3698">
        <v>5.95</v>
      </c>
    </row>
    <row r="3699" spans="1:65" x14ac:dyDescent="0.25">
      <c r="A3699">
        <v>26</v>
      </c>
      <c r="J3699" t="s">
        <v>694</v>
      </c>
      <c r="BM3699">
        <v>6.8</v>
      </c>
    </row>
    <row r="3700" spans="1:65" x14ac:dyDescent="0.25">
      <c r="A3700">
        <v>27</v>
      </c>
      <c r="J3700" t="s">
        <v>693</v>
      </c>
      <c r="BM3700">
        <v>11.57</v>
      </c>
    </row>
    <row r="3701" spans="1:65" x14ac:dyDescent="0.25">
      <c r="A3701">
        <v>28</v>
      </c>
      <c r="J3701" t="s">
        <v>699</v>
      </c>
      <c r="BM3701">
        <v>16.29</v>
      </c>
    </row>
    <row r="3702" spans="1:65" x14ac:dyDescent="0.25">
      <c r="A3702">
        <v>29</v>
      </c>
      <c r="J3702" t="s">
        <v>700</v>
      </c>
      <c r="BM3702">
        <v>23.23</v>
      </c>
    </row>
    <row r="3703" spans="1:65" x14ac:dyDescent="0.25">
      <c r="A3703">
        <v>30</v>
      </c>
      <c r="J3703" t="s">
        <v>743</v>
      </c>
      <c r="BM3703">
        <v>0.65</v>
      </c>
    </row>
    <row r="3704" spans="1:65" x14ac:dyDescent="0.25">
      <c r="A3704">
        <v>31</v>
      </c>
      <c r="J3704" t="s">
        <v>744</v>
      </c>
      <c r="BM3704">
        <v>0.77</v>
      </c>
    </row>
    <row r="3705" spans="1:65" x14ac:dyDescent="0.25">
      <c r="A3705">
        <v>32</v>
      </c>
      <c r="J3705" t="s">
        <v>622</v>
      </c>
      <c r="BM3705">
        <v>1.1599999999999999</v>
      </c>
    </row>
    <row r="3706" spans="1:65" x14ac:dyDescent="0.25">
      <c r="A3706">
        <v>33</v>
      </c>
      <c r="J3706" t="s">
        <v>625</v>
      </c>
      <c r="BM3706">
        <v>24</v>
      </c>
    </row>
    <row r="3707" spans="1:65" x14ac:dyDescent="0.25">
      <c r="A3707">
        <v>34</v>
      </c>
      <c r="J3707" t="s">
        <v>626</v>
      </c>
      <c r="BM3707">
        <v>45</v>
      </c>
    </row>
    <row r="3708" spans="1:65" x14ac:dyDescent="0.25">
      <c r="A3708">
        <v>35</v>
      </c>
      <c r="J3708" t="s">
        <v>648</v>
      </c>
      <c r="BM3708">
        <v>29</v>
      </c>
    </row>
    <row r="3709" spans="1:65" x14ac:dyDescent="0.25">
      <c r="A3709">
        <v>36</v>
      </c>
      <c r="J3709" t="s">
        <v>647</v>
      </c>
      <c r="BM3709">
        <v>89</v>
      </c>
    </row>
    <row r="3710" spans="1:65" x14ac:dyDescent="0.25">
      <c r="A3710">
        <v>37</v>
      </c>
      <c r="J3710" t="s">
        <v>716</v>
      </c>
      <c r="BM3710">
        <v>32</v>
      </c>
    </row>
    <row r="3711" spans="1:65" x14ac:dyDescent="0.25">
      <c r="A3711" t="s">
        <v>745</v>
      </c>
      <c r="J3711" t="s">
        <v>644</v>
      </c>
      <c r="S3711" t="s">
        <v>645</v>
      </c>
      <c r="AF3711" t="s">
        <v>613</v>
      </c>
    </row>
    <row r="3712" spans="1:65" x14ac:dyDescent="0.25">
      <c r="A3712" t="s">
        <v>551</v>
      </c>
      <c r="J3712" t="s">
        <v>4406</v>
      </c>
      <c r="S3712">
        <v>45331</v>
      </c>
      <c r="AF3712" t="s">
        <v>717</v>
      </c>
      <c r="AM3712" t="s">
        <v>621</v>
      </c>
    </row>
    <row r="3713" spans="1:39" x14ac:dyDescent="0.25">
      <c r="A3713" t="s">
        <v>551</v>
      </c>
      <c r="J3713" t="s">
        <v>4406</v>
      </c>
      <c r="S3713">
        <v>45331</v>
      </c>
      <c r="AF3713" t="s">
        <v>717</v>
      </c>
      <c r="AM3713">
        <v>0.3</v>
      </c>
    </row>
    <row r="3714" spans="1:39" x14ac:dyDescent="0.25">
      <c r="A3714" t="s">
        <v>551</v>
      </c>
      <c r="J3714" t="s">
        <v>4406</v>
      </c>
      <c r="S3714">
        <v>45331</v>
      </c>
      <c r="AF3714" t="s">
        <v>717</v>
      </c>
    </row>
    <row r="3715" spans="1:39" x14ac:dyDescent="0.25">
      <c r="A3715" t="s">
        <v>551</v>
      </c>
      <c r="J3715" t="s">
        <v>4406</v>
      </c>
      <c r="S3715">
        <v>45331</v>
      </c>
      <c r="AF3715" t="s">
        <v>717</v>
      </c>
    </row>
    <row r="3716" spans="1:39" x14ac:dyDescent="0.25">
      <c r="A3716" t="s">
        <v>551</v>
      </c>
      <c r="J3716" t="s">
        <v>4406</v>
      </c>
      <c r="S3716">
        <v>45331</v>
      </c>
      <c r="AF3716" t="s">
        <v>717</v>
      </c>
    </row>
    <row r="3717" spans="1:39" x14ac:dyDescent="0.25">
      <c r="A3717" t="s">
        <v>551</v>
      </c>
      <c r="J3717" t="s">
        <v>4407</v>
      </c>
      <c r="S3717">
        <v>45405</v>
      </c>
      <c r="AF3717" t="s">
        <v>717</v>
      </c>
    </row>
    <row r="3718" spans="1:39" x14ac:dyDescent="0.25">
      <c r="A3718" t="s">
        <v>551</v>
      </c>
      <c r="J3718" t="s">
        <v>4406</v>
      </c>
      <c r="S3718">
        <v>45331</v>
      </c>
      <c r="AF3718" t="s">
        <v>717</v>
      </c>
    </row>
    <row r="3719" spans="1:39" x14ac:dyDescent="0.25">
      <c r="A3719" t="s">
        <v>551</v>
      </c>
      <c r="J3719" t="s">
        <v>4406</v>
      </c>
      <c r="S3719">
        <v>45331</v>
      </c>
      <c r="AF3719" t="s">
        <v>717</v>
      </c>
    </row>
    <row r="3720" spans="1:39" x14ac:dyDescent="0.25">
      <c r="A3720" t="s">
        <v>551</v>
      </c>
      <c r="J3720" t="s">
        <v>4406</v>
      </c>
      <c r="S3720">
        <v>45331</v>
      </c>
      <c r="AF3720" t="s">
        <v>717</v>
      </c>
    </row>
    <row r="3721" spans="1:39" x14ac:dyDescent="0.25">
      <c r="A3721" t="s">
        <v>551</v>
      </c>
      <c r="J3721" t="s">
        <v>4406</v>
      </c>
      <c r="S3721">
        <v>45331</v>
      </c>
      <c r="AF3721" t="s">
        <v>717</v>
      </c>
    </row>
    <row r="3722" spans="1:39" x14ac:dyDescent="0.25">
      <c r="A3722" t="s">
        <v>551</v>
      </c>
      <c r="J3722" t="s">
        <v>4406</v>
      </c>
      <c r="S3722">
        <v>45331</v>
      </c>
      <c r="AF3722" t="s">
        <v>717</v>
      </c>
    </row>
    <row r="3723" spans="1:39" x14ac:dyDescent="0.25">
      <c r="A3723" t="s">
        <v>551</v>
      </c>
      <c r="J3723" t="s">
        <v>4408</v>
      </c>
      <c r="S3723">
        <v>45271</v>
      </c>
      <c r="AF3723" t="s">
        <v>717</v>
      </c>
    </row>
    <row r="3724" spans="1:39" x14ac:dyDescent="0.25">
      <c r="A3724" t="s">
        <v>551</v>
      </c>
      <c r="J3724" t="s">
        <v>4409</v>
      </c>
      <c r="S3724">
        <v>45271</v>
      </c>
      <c r="AF3724" t="s">
        <v>717</v>
      </c>
    </row>
    <row r="3725" spans="1:39" x14ac:dyDescent="0.25">
      <c r="A3725" t="s">
        <v>2</v>
      </c>
      <c r="J3725" t="s">
        <v>4410</v>
      </c>
      <c r="S3725">
        <v>45271</v>
      </c>
      <c r="AF3725" t="s">
        <v>717</v>
      </c>
    </row>
    <row r="3726" spans="1:39" x14ac:dyDescent="0.25">
      <c r="A3726" t="s">
        <v>551</v>
      </c>
      <c r="J3726" t="s">
        <v>4411</v>
      </c>
      <c r="S3726">
        <v>45271</v>
      </c>
      <c r="AF3726" t="s">
        <v>718</v>
      </c>
    </row>
    <row r="3727" spans="1:39" x14ac:dyDescent="0.25">
      <c r="A3727" t="s">
        <v>551</v>
      </c>
      <c r="J3727" t="s">
        <v>4412</v>
      </c>
      <c r="S3727">
        <v>45271</v>
      </c>
      <c r="AF3727" t="s">
        <v>718</v>
      </c>
    </row>
    <row r="3728" spans="1:39" x14ac:dyDescent="0.25">
      <c r="A3728" t="s">
        <v>551</v>
      </c>
      <c r="J3728" t="s">
        <v>4413</v>
      </c>
      <c r="S3728">
        <v>45306</v>
      </c>
      <c r="AF3728" t="s">
        <v>718</v>
      </c>
      <c r="AM3728" t="s">
        <v>4414</v>
      </c>
    </row>
    <row r="3729" spans="1:39" x14ac:dyDescent="0.25">
      <c r="A3729" t="s">
        <v>551</v>
      </c>
      <c r="J3729" t="s">
        <v>4413</v>
      </c>
      <c r="S3729">
        <v>45306</v>
      </c>
      <c r="AF3729" t="s">
        <v>718</v>
      </c>
      <c r="AM3729" t="s">
        <v>4415</v>
      </c>
    </row>
    <row r="3730" spans="1:39" x14ac:dyDescent="0.25">
      <c r="A3730" t="s">
        <v>551</v>
      </c>
      <c r="J3730" t="s">
        <v>4413</v>
      </c>
      <c r="S3730">
        <v>45306</v>
      </c>
      <c r="AF3730" t="s">
        <v>718</v>
      </c>
      <c r="AM3730" t="s">
        <v>4416</v>
      </c>
    </row>
    <row r="3731" spans="1:39" x14ac:dyDescent="0.25">
      <c r="A3731" t="s">
        <v>551</v>
      </c>
      <c r="J3731" t="s">
        <v>4417</v>
      </c>
      <c r="S3731">
        <v>45271</v>
      </c>
      <c r="AF3731" t="s">
        <v>718</v>
      </c>
    </row>
    <row r="3732" spans="1:39" x14ac:dyDescent="0.25">
      <c r="A3732" t="s">
        <v>551</v>
      </c>
      <c r="J3732" t="s">
        <v>4418</v>
      </c>
      <c r="S3732">
        <v>45306</v>
      </c>
      <c r="AF3732" t="s">
        <v>718</v>
      </c>
    </row>
    <row r="3733" spans="1:39" x14ac:dyDescent="0.25">
      <c r="A3733" t="s">
        <v>551</v>
      </c>
      <c r="J3733" t="s">
        <v>4419</v>
      </c>
      <c r="S3733">
        <v>45271</v>
      </c>
      <c r="AF3733" t="s">
        <v>718</v>
      </c>
    </row>
    <row r="3734" spans="1:39" x14ac:dyDescent="0.25">
      <c r="A3734" t="s">
        <v>551</v>
      </c>
      <c r="J3734" t="s">
        <v>4420</v>
      </c>
      <c r="S3734">
        <v>45303</v>
      </c>
      <c r="AF3734" t="s">
        <v>718</v>
      </c>
    </row>
    <row r="3735" spans="1:39" x14ac:dyDescent="0.25">
      <c r="A3735" t="s">
        <v>2</v>
      </c>
      <c r="J3735" t="s">
        <v>4421</v>
      </c>
      <c r="S3735">
        <v>45303</v>
      </c>
      <c r="AF3735" t="s">
        <v>718</v>
      </c>
    </row>
    <row r="3736" spans="1:39" x14ac:dyDescent="0.25">
      <c r="A3736" t="s">
        <v>2</v>
      </c>
      <c r="J3736" t="s">
        <v>4413</v>
      </c>
      <c r="S3736">
        <v>45306</v>
      </c>
      <c r="AF3736" t="s">
        <v>718</v>
      </c>
      <c r="AM3736" t="s">
        <v>4422</v>
      </c>
    </row>
    <row r="3737" spans="1:39" x14ac:dyDescent="0.25">
      <c r="A3737" t="s">
        <v>2</v>
      </c>
      <c r="J3737" t="s">
        <v>4413</v>
      </c>
      <c r="S3737">
        <v>45306</v>
      </c>
      <c r="AF3737" t="s">
        <v>718</v>
      </c>
      <c r="AM3737" t="s">
        <v>4423</v>
      </c>
    </row>
    <row r="3738" spans="1:39" x14ac:dyDescent="0.25">
      <c r="A3738" t="s">
        <v>2</v>
      </c>
      <c r="J3738" t="s">
        <v>4413</v>
      </c>
      <c r="S3738">
        <v>45306</v>
      </c>
      <c r="AF3738" t="s">
        <v>718</v>
      </c>
      <c r="AM3738" t="s">
        <v>4424</v>
      </c>
    </row>
    <row r="3739" spans="1:39" x14ac:dyDescent="0.25">
      <c r="A3739" t="s">
        <v>2</v>
      </c>
      <c r="J3739" t="s">
        <v>4413</v>
      </c>
      <c r="S3739">
        <v>45306</v>
      </c>
      <c r="AF3739" t="s">
        <v>718</v>
      </c>
      <c r="AM3739" t="s">
        <v>4425</v>
      </c>
    </row>
    <row r="3740" spans="1:39" x14ac:dyDescent="0.25">
      <c r="A3740" t="s">
        <v>2</v>
      </c>
      <c r="J3740" t="s">
        <v>4413</v>
      </c>
      <c r="S3740">
        <v>45306</v>
      </c>
      <c r="AF3740" t="s">
        <v>718</v>
      </c>
    </row>
    <row r="3741" spans="1:39" x14ac:dyDescent="0.25">
      <c r="A3741" t="s">
        <v>551</v>
      </c>
      <c r="J3741" t="s">
        <v>4426</v>
      </c>
      <c r="S3741">
        <v>45271</v>
      </c>
      <c r="AF3741" t="s">
        <v>718</v>
      </c>
    </row>
    <row r="3742" spans="1:39" x14ac:dyDescent="0.25">
      <c r="A3742" t="s">
        <v>551</v>
      </c>
      <c r="J3742" t="s">
        <v>4427</v>
      </c>
      <c r="S3742">
        <v>45271</v>
      </c>
      <c r="AF3742" t="s">
        <v>718</v>
      </c>
    </row>
    <row r="3743" spans="1:39" x14ac:dyDescent="0.25">
      <c r="A3743" t="s">
        <v>2</v>
      </c>
      <c r="J3743" t="s">
        <v>4417</v>
      </c>
      <c r="S3743">
        <v>45271</v>
      </c>
      <c r="AF3743" t="s">
        <v>718</v>
      </c>
    </row>
    <row r="3744" spans="1:39" x14ac:dyDescent="0.25">
      <c r="A3744" t="s">
        <v>713</v>
      </c>
      <c r="J3744" t="s">
        <v>4428</v>
      </c>
      <c r="S3744">
        <v>45457</v>
      </c>
      <c r="AF3744" t="s">
        <v>717</v>
      </c>
    </row>
    <row r="3745" spans="1:65" x14ac:dyDescent="0.25">
      <c r="A3745" t="s">
        <v>713</v>
      </c>
      <c r="J3745" t="s">
        <v>4429</v>
      </c>
      <c r="S3745">
        <v>45457</v>
      </c>
      <c r="AF3745" t="s">
        <v>717</v>
      </c>
    </row>
    <row r="3746" spans="1:65" x14ac:dyDescent="0.25">
      <c r="A3746" t="s">
        <v>2</v>
      </c>
      <c r="J3746" t="s">
        <v>646</v>
      </c>
      <c r="S3746">
        <v>45271</v>
      </c>
      <c r="AF3746" t="s">
        <v>717</v>
      </c>
    </row>
    <row r="3747" spans="1:65" x14ac:dyDescent="0.25">
      <c r="A3747" t="s">
        <v>2</v>
      </c>
      <c r="J3747" t="s">
        <v>646</v>
      </c>
      <c r="S3747">
        <v>45271</v>
      </c>
      <c r="AF3747" t="s">
        <v>717</v>
      </c>
    </row>
    <row r="3748" spans="1:65" x14ac:dyDescent="0.25">
      <c r="A3748" t="s">
        <v>2</v>
      </c>
      <c r="J3748" t="s">
        <v>646</v>
      </c>
      <c r="S3748">
        <v>45344</v>
      </c>
      <c r="AF3748" t="s">
        <v>717</v>
      </c>
    </row>
    <row r="3750" spans="1:65" x14ac:dyDescent="0.25">
      <c r="A3750" t="s">
        <v>4430</v>
      </c>
    </row>
    <row r="3751" spans="1:65" x14ac:dyDescent="0.25">
      <c r="A3751" t="s">
        <v>541</v>
      </c>
      <c r="J3751" t="s">
        <v>4431</v>
      </c>
      <c r="BM3751" t="s">
        <v>624</v>
      </c>
    </row>
    <row r="3752" spans="1:65" x14ac:dyDescent="0.25">
      <c r="A3752">
        <v>1</v>
      </c>
      <c r="J3752" t="s">
        <v>4432</v>
      </c>
      <c r="BM3752">
        <v>7.46</v>
      </c>
    </row>
    <row r="3753" spans="1:65" x14ac:dyDescent="0.25">
      <c r="A3753">
        <v>2</v>
      </c>
      <c r="J3753" t="s">
        <v>4385</v>
      </c>
      <c r="BM3753">
        <v>8.2200000000000006</v>
      </c>
    </row>
    <row r="3754" spans="1:65" x14ac:dyDescent="0.25">
      <c r="A3754">
        <v>3</v>
      </c>
      <c r="J3754" t="s">
        <v>4433</v>
      </c>
      <c r="BM3754">
        <v>9.93</v>
      </c>
    </row>
    <row r="3755" spans="1:65" x14ac:dyDescent="0.25">
      <c r="A3755">
        <v>4</v>
      </c>
      <c r="J3755" t="s">
        <v>620</v>
      </c>
      <c r="BM3755">
        <v>19.399999999999999</v>
      </c>
    </row>
    <row r="3756" spans="1:65" x14ac:dyDescent="0.25">
      <c r="A3756">
        <v>5</v>
      </c>
      <c r="J3756" t="s">
        <v>684</v>
      </c>
      <c r="BM3756">
        <v>8.9600000000000009</v>
      </c>
    </row>
    <row r="3757" spans="1:65" x14ac:dyDescent="0.25">
      <c r="A3757">
        <v>6</v>
      </c>
      <c r="J3757" t="s">
        <v>685</v>
      </c>
      <c r="BM3757">
        <v>11.2</v>
      </c>
    </row>
    <row r="3758" spans="1:65" x14ac:dyDescent="0.25">
      <c r="A3758">
        <v>7</v>
      </c>
      <c r="J3758" t="s">
        <v>686</v>
      </c>
      <c r="BM3758">
        <v>3.74</v>
      </c>
    </row>
    <row r="3759" spans="1:65" x14ac:dyDescent="0.25">
      <c r="A3759">
        <v>8</v>
      </c>
      <c r="J3759" t="s">
        <v>687</v>
      </c>
      <c r="BM3759">
        <v>5.56</v>
      </c>
    </row>
    <row r="3760" spans="1:65" x14ac:dyDescent="0.25">
      <c r="A3760">
        <v>9</v>
      </c>
      <c r="J3760" t="s">
        <v>688</v>
      </c>
      <c r="BM3760">
        <v>7.38</v>
      </c>
    </row>
    <row r="3761" spans="1:65" x14ac:dyDescent="0.25">
      <c r="A3761">
        <v>10</v>
      </c>
      <c r="J3761" t="s">
        <v>689</v>
      </c>
      <c r="BM3761">
        <v>12.44</v>
      </c>
    </row>
    <row r="3762" spans="1:65" x14ac:dyDescent="0.25">
      <c r="A3762">
        <v>11</v>
      </c>
      <c r="J3762" t="s">
        <v>549</v>
      </c>
      <c r="BM3762">
        <v>0.96</v>
      </c>
    </row>
    <row r="3763" spans="1:65" x14ac:dyDescent="0.25">
      <c r="A3763">
        <v>12</v>
      </c>
      <c r="J3763" t="s">
        <v>550</v>
      </c>
      <c r="BM3763">
        <v>0.96</v>
      </c>
    </row>
    <row r="3764" spans="1:65" x14ac:dyDescent="0.25">
      <c r="A3764">
        <v>13</v>
      </c>
      <c r="J3764" t="s">
        <v>643</v>
      </c>
      <c r="BM3764">
        <v>1.08</v>
      </c>
    </row>
    <row r="3765" spans="1:65" x14ac:dyDescent="0.25">
      <c r="A3765">
        <v>14</v>
      </c>
      <c r="J3765" t="s">
        <v>640</v>
      </c>
      <c r="BM3765">
        <v>1.66</v>
      </c>
    </row>
    <row r="3766" spans="1:65" x14ac:dyDescent="0.25">
      <c r="A3766">
        <v>15</v>
      </c>
      <c r="J3766" t="s">
        <v>586</v>
      </c>
      <c r="BM3766">
        <v>25.66</v>
      </c>
    </row>
    <row r="3767" spans="1:65" x14ac:dyDescent="0.25">
      <c r="A3767">
        <v>16</v>
      </c>
      <c r="J3767" t="s">
        <v>587</v>
      </c>
      <c r="BM3767">
        <v>29.29</v>
      </c>
    </row>
    <row r="3768" spans="1:65" x14ac:dyDescent="0.25">
      <c r="A3768">
        <v>17</v>
      </c>
      <c r="J3768" t="s">
        <v>677</v>
      </c>
      <c r="BM3768">
        <v>44.06</v>
      </c>
    </row>
    <row r="3769" spans="1:65" x14ac:dyDescent="0.25">
      <c r="A3769">
        <v>18</v>
      </c>
      <c r="J3769" t="s">
        <v>583</v>
      </c>
      <c r="BM3769">
        <v>15.78</v>
      </c>
    </row>
    <row r="3770" spans="1:65" x14ac:dyDescent="0.25">
      <c r="A3770">
        <v>19</v>
      </c>
      <c r="J3770" t="s">
        <v>584</v>
      </c>
      <c r="BM3770">
        <v>44.54</v>
      </c>
    </row>
    <row r="3771" spans="1:65" x14ac:dyDescent="0.25">
      <c r="A3771">
        <v>20</v>
      </c>
      <c r="J3771" t="s">
        <v>885</v>
      </c>
      <c r="BM3771">
        <v>73.78</v>
      </c>
    </row>
    <row r="3772" spans="1:65" x14ac:dyDescent="0.25">
      <c r="A3772">
        <v>21</v>
      </c>
      <c r="J3772" t="s">
        <v>585</v>
      </c>
      <c r="BM3772">
        <v>4.8</v>
      </c>
    </row>
    <row r="3773" spans="1:65" x14ac:dyDescent="0.25">
      <c r="A3773">
        <v>22</v>
      </c>
      <c r="J3773" t="s">
        <v>886</v>
      </c>
      <c r="BM3773">
        <v>149</v>
      </c>
    </row>
    <row r="3774" spans="1:65" x14ac:dyDescent="0.25">
      <c r="A3774">
        <v>23</v>
      </c>
      <c r="J3774" t="s">
        <v>649</v>
      </c>
      <c r="BM3774">
        <v>137</v>
      </c>
    </row>
    <row r="3775" spans="1:65" x14ac:dyDescent="0.25">
      <c r="A3775">
        <v>24</v>
      </c>
      <c r="J3775" t="s">
        <v>4434</v>
      </c>
      <c r="BM3775">
        <v>112.06</v>
      </c>
    </row>
    <row r="3776" spans="1:65" x14ac:dyDescent="0.25">
      <c r="A3776">
        <v>25</v>
      </c>
      <c r="J3776" t="s">
        <v>679</v>
      </c>
      <c r="BM3776">
        <v>103.36</v>
      </c>
    </row>
    <row r="3777" spans="1:65" x14ac:dyDescent="0.25">
      <c r="A3777">
        <v>26</v>
      </c>
      <c r="J3777" t="s">
        <v>650</v>
      </c>
      <c r="BM3777">
        <v>331</v>
      </c>
    </row>
    <row r="3778" spans="1:65" x14ac:dyDescent="0.25">
      <c r="A3778">
        <v>27</v>
      </c>
      <c r="J3778" t="s">
        <v>887</v>
      </c>
      <c r="BM3778">
        <v>158</v>
      </c>
    </row>
    <row r="3779" spans="1:65" x14ac:dyDescent="0.25">
      <c r="A3779">
        <v>28</v>
      </c>
      <c r="J3779" t="s">
        <v>4435</v>
      </c>
      <c r="BM3779">
        <v>182</v>
      </c>
    </row>
    <row r="3780" spans="1:65" x14ac:dyDescent="0.25">
      <c r="A3780">
        <v>29</v>
      </c>
      <c r="J3780" t="s">
        <v>652</v>
      </c>
      <c r="BM3780">
        <v>292</v>
      </c>
    </row>
    <row r="3781" spans="1:65" x14ac:dyDescent="0.25">
      <c r="A3781">
        <v>30</v>
      </c>
      <c r="J3781" t="s">
        <v>653</v>
      </c>
      <c r="BM3781">
        <v>331</v>
      </c>
    </row>
    <row r="3782" spans="1:65" x14ac:dyDescent="0.25">
      <c r="A3782">
        <v>31</v>
      </c>
      <c r="J3782" t="s">
        <v>654</v>
      </c>
      <c r="BM3782">
        <v>473</v>
      </c>
    </row>
    <row r="3783" spans="1:65" x14ac:dyDescent="0.25">
      <c r="A3783">
        <v>32</v>
      </c>
      <c r="J3783" t="s">
        <v>655</v>
      </c>
      <c r="BM3783">
        <v>53</v>
      </c>
    </row>
    <row r="3784" spans="1:65" x14ac:dyDescent="0.25">
      <c r="A3784">
        <v>33</v>
      </c>
      <c r="J3784" t="s">
        <v>656</v>
      </c>
      <c r="BM3784">
        <v>367</v>
      </c>
    </row>
    <row r="3785" spans="1:65" x14ac:dyDescent="0.25">
      <c r="A3785">
        <v>34</v>
      </c>
      <c r="J3785" t="s">
        <v>657</v>
      </c>
      <c r="BM3785">
        <v>441</v>
      </c>
    </row>
    <row r="3786" spans="1:65" x14ac:dyDescent="0.25">
      <c r="A3786">
        <v>35</v>
      </c>
      <c r="J3786" t="s">
        <v>658</v>
      </c>
      <c r="BM3786">
        <v>132</v>
      </c>
    </row>
    <row r="3787" spans="1:65" x14ac:dyDescent="0.25">
      <c r="A3787">
        <v>36</v>
      </c>
      <c r="J3787" t="s">
        <v>659</v>
      </c>
      <c r="BM3787">
        <v>97</v>
      </c>
    </row>
    <row r="3788" spans="1:65" x14ac:dyDescent="0.25">
      <c r="A3788">
        <v>37</v>
      </c>
      <c r="J3788" t="s">
        <v>660</v>
      </c>
      <c r="BM3788">
        <v>103</v>
      </c>
    </row>
    <row r="3789" spans="1:65" x14ac:dyDescent="0.25">
      <c r="A3789">
        <v>38</v>
      </c>
      <c r="J3789" t="s">
        <v>662</v>
      </c>
      <c r="BM3789">
        <v>118</v>
      </c>
    </row>
    <row r="3790" spans="1:65" x14ac:dyDescent="0.25">
      <c r="A3790">
        <v>39</v>
      </c>
      <c r="J3790" t="s">
        <v>661</v>
      </c>
      <c r="BM3790">
        <v>344</v>
      </c>
    </row>
    <row r="3791" spans="1:65" x14ac:dyDescent="0.25">
      <c r="A3791" t="s">
        <v>745</v>
      </c>
      <c r="J3791" t="s">
        <v>612</v>
      </c>
      <c r="S3791" t="s">
        <v>613</v>
      </c>
    </row>
    <row r="3792" spans="1:65" x14ac:dyDescent="0.25">
      <c r="A3792" t="s">
        <v>551</v>
      </c>
      <c r="J3792" t="s">
        <v>4436</v>
      </c>
      <c r="S3792" t="s">
        <v>581</v>
      </c>
      <c r="Z3792" t="s">
        <v>621</v>
      </c>
    </row>
    <row r="3793" spans="1:26" x14ac:dyDescent="0.25">
      <c r="A3793" t="s">
        <v>551</v>
      </c>
      <c r="J3793" t="s">
        <v>4436</v>
      </c>
      <c r="S3793" t="s">
        <v>581</v>
      </c>
      <c r="Z3793">
        <v>0.3</v>
      </c>
    </row>
    <row r="3794" spans="1:26" x14ac:dyDescent="0.25">
      <c r="A3794" t="s">
        <v>551</v>
      </c>
      <c r="J3794" t="s">
        <v>4436</v>
      </c>
      <c r="S3794" t="s">
        <v>581</v>
      </c>
    </row>
    <row r="3795" spans="1:26" x14ac:dyDescent="0.25">
      <c r="A3795" t="s">
        <v>551</v>
      </c>
      <c r="J3795" t="s">
        <v>4436</v>
      </c>
      <c r="S3795" t="s">
        <v>581</v>
      </c>
    </row>
    <row r="3796" spans="1:26" x14ac:dyDescent="0.25">
      <c r="A3796" t="s">
        <v>551</v>
      </c>
      <c r="J3796" t="s">
        <v>4436</v>
      </c>
      <c r="S3796" t="s">
        <v>581</v>
      </c>
    </row>
    <row r="3797" spans="1:26" x14ac:dyDescent="0.25">
      <c r="A3797" t="s">
        <v>551</v>
      </c>
      <c r="J3797" t="s">
        <v>4436</v>
      </c>
      <c r="S3797" t="s">
        <v>581</v>
      </c>
    </row>
    <row r="3798" spans="1:26" x14ac:dyDescent="0.25">
      <c r="A3798" t="s">
        <v>551</v>
      </c>
      <c r="J3798" t="s">
        <v>4436</v>
      </c>
      <c r="S3798" t="s">
        <v>581</v>
      </c>
    </row>
    <row r="3799" spans="1:26" x14ac:dyDescent="0.25">
      <c r="A3799" t="s">
        <v>551</v>
      </c>
      <c r="J3799" t="s">
        <v>4436</v>
      </c>
      <c r="S3799" t="s">
        <v>581</v>
      </c>
    </row>
    <row r="3800" spans="1:26" x14ac:dyDescent="0.25">
      <c r="A3800" t="s">
        <v>551</v>
      </c>
      <c r="J3800" t="s">
        <v>4436</v>
      </c>
      <c r="S3800" t="s">
        <v>581</v>
      </c>
    </row>
    <row r="3801" spans="1:26" x14ac:dyDescent="0.25">
      <c r="A3801" t="s">
        <v>551</v>
      </c>
      <c r="J3801" t="s">
        <v>4436</v>
      </c>
      <c r="S3801" t="s">
        <v>581</v>
      </c>
    </row>
    <row r="3802" spans="1:26" x14ac:dyDescent="0.25">
      <c r="A3802" t="s">
        <v>551</v>
      </c>
      <c r="J3802" t="s">
        <v>4436</v>
      </c>
      <c r="S3802" t="s">
        <v>581</v>
      </c>
    </row>
    <row r="3803" spans="1:26" x14ac:dyDescent="0.25">
      <c r="A3803" t="s">
        <v>551</v>
      </c>
      <c r="J3803" t="s">
        <v>4436</v>
      </c>
      <c r="S3803" t="s">
        <v>581</v>
      </c>
    </row>
    <row r="3804" spans="1:26" x14ac:dyDescent="0.25">
      <c r="A3804" t="s">
        <v>551</v>
      </c>
      <c r="J3804" t="s">
        <v>4436</v>
      </c>
      <c r="S3804" t="s">
        <v>581</v>
      </c>
    </row>
    <row r="3805" spans="1:26" x14ac:dyDescent="0.25">
      <c r="A3805" t="s">
        <v>2</v>
      </c>
      <c r="J3805" t="s">
        <v>4436</v>
      </c>
      <c r="S3805" t="s">
        <v>581</v>
      </c>
    </row>
    <row r="3806" spans="1:26" x14ac:dyDescent="0.25">
      <c r="A3806" t="s">
        <v>2</v>
      </c>
      <c r="J3806" t="s">
        <v>4436</v>
      </c>
      <c r="S3806" t="s">
        <v>581</v>
      </c>
    </row>
    <row r="3807" spans="1:26" x14ac:dyDescent="0.25">
      <c r="A3807" t="s">
        <v>2</v>
      </c>
      <c r="J3807" t="s">
        <v>4436</v>
      </c>
      <c r="S3807" t="s">
        <v>581</v>
      </c>
    </row>
    <row r="3808" spans="1:26" x14ac:dyDescent="0.25">
      <c r="A3808" t="s">
        <v>2</v>
      </c>
      <c r="J3808" t="s">
        <v>4436</v>
      </c>
      <c r="S3808" t="s">
        <v>581</v>
      </c>
    </row>
    <row r="3809" spans="1:19" x14ac:dyDescent="0.25">
      <c r="A3809" t="s">
        <v>2</v>
      </c>
      <c r="J3809" t="s">
        <v>4436</v>
      </c>
      <c r="S3809" t="s">
        <v>581</v>
      </c>
    </row>
    <row r="3810" spans="1:19" x14ac:dyDescent="0.25">
      <c r="A3810" t="s">
        <v>2</v>
      </c>
      <c r="J3810" t="s">
        <v>4436</v>
      </c>
      <c r="S3810" t="s">
        <v>581</v>
      </c>
    </row>
    <row r="3811" spans="1:19" x14ac:dyDescent="0.25">
      <c r="A3811" t="s">
        <v>2</v>
      </c>
      <c r="J3811" t="s">
        <v>4436</v>
      </c>
      <c r="S3811" t="s">
        <v>581</v>
      </c>
    </row>
    <row r="3812" spans="1:19" x14ac:dyDescent="0.25">
      <c r="A3812" t="s">
        <v>2</v>
      </c>
      <c r="J3812" t="s">
        <v>4436</v>
      </c>
      <c r="S3812" t="s">
        <v>581</v>
      </c>
    </row>
    <row r="3813" spans="1:19" x14ac:dyDescent="0.25">
      <c r="A3813" t="s">
        <v>2</v>
      </c>
      <c r="J3813" t="s">
        <v>4436</v>
      </c>
      <c r="S3813" t="s">
        <v>581</v>
      </c>
    </row>
    <row r="3814" spans="1:19" x14ac:dyDescent="0.25">
      <c r="A3814" t="s">
        <v>2</v>
      </c>
      <c r="J3814" t="s">
        <v>4436</v>
      </c>
      <c r="S3814" t="s">
        <v>581</v>
      </c>
    </row>
    <row r="3815" spans="1:19" x14ac:dyDescent="0.25">
      <c r="A3815" t="s">
        <v>2</v>
      </c>
      <c r="J3815" t="s">
        <v>4436</v>
      </c>
      <c r="S3815" t="s">
        <v>581</v>
      </c>
    </row>
    <row r="3816" spans="1:19" x14ac:dyDescent="0.25">
      <c r="A3816" t="s">
        <v>2</v>
      </c>
      <c r="J3816" t="s">
        <v>4436</v>
      </c>
      <c r="S3816" t="s">
        <v>581</v>
      </c>
    </row>
    <row r="3817" spans="1:19" x14ac:dyDescent="0.25">
      <c r="A3817" t="s">
        <v>2</v>
      </c>
      <c r="J3817" t="s">
        <v>4436</v>
      </c>
      <c r="S3817" t="s">
        <v>581</v>
      </c>
    </row>
    <row r="3818" spans="1:19" x14ac:dyDescent="0.25">
      <c r="A3818" t="s">
        <v>2</v>
      </c>
      <c r="J3818" t="s">
        <v>4436</v>
      </c>
      <c r="S3818" t="s">
        <v>581</v>
      </c>
    </row>
    <row r="3819" spans="1:19" x14ac:dyDescent="0.25">
      <c r="A3819" t="s">
        <v>2</v>
      </c>
      <c r="J3819" t="s">
        <v>4436</v>
      </c>
      <c r="S3819" t="s">
        <v>581</v>
      </c>
    </row>
    <row r="3820" spans="1:19" x14ac:dyDescent="0.25">
      <c r="A3820" t="s">
        <v>2</v>
      </c>
      <c r="J3820" t="s">
        <v>4436</v>
      </c>
      <c r="S3820" t="s">
        <v>581</v>
      </c>
    </row>
    <row r="3821" spans="1:19" x14ac:dyDescent="0.25">
      <c r="A3821" t="s">
        <v>2</v>
      </c>
      <c r="J3821" t="s">
        <v>4436</v>
      </c>
      <c r="S3821" t="s">
        <v>581</v>
      </c>
    </row>
    <row r="3822" spans="1:19" x14ac:dyDescent="0.25">
      <c r="A3822" t="s">
        <v>2</v>
      </c>
      <c r="J3822" t="s">
        <v>4436</v>
      </c>
      <c r="S3822" t="s">
        <v>581</v>
      </c>
    </row>
    <row r="3823" spans="1:19" x14ac:dyDescent="0.25">
      <c r="A3823" t="s">
        <v>2</v>
      </c>
      <c r="J3823" t="s">
        <v>4436</v>
      </c>
      <c r="S3823" t="s">
        <v>581</v>
      </c>
    </row>
    <row r="3824" spans="1:19" x14ac:dyDescent="0.25">
      <c r="A3824" t="s">
        <v>2</v>
      </c>
      <c r="J3824" t="s">
        <v>4436</v>
      </c>
      <c r="S3824" t="s">
        <v>581</v>
      </c>
    </row>
    <row r="3825" spans="1:72" x14ac:dyDescent="0.25">
      <c r="A3825" t="s">
        <v>2</v>
      </c>
      <c r="J3825" t="s">
        <v>4436</v>
      </c>
      <c r="S3825" t="s">
        <v>581</v>
      </c>
    </row>
    <row r="3826" spans="1:72" x14ac:dyDescent="0.25">
      <c r="A3826" t="s">
        <v>2</v>
      </c>
      <c r="J3826" t="s">
        <v>4436</v>
      </c>
      <c r="S3826" t="s">
        <v>581</v>
      </c>
    </row>
    <row r="3827" spans="1:72" x14ac:dyDescent="0.25">
      <c r="A3827" t="s">
        <v>2</v>
      </c>
      <c r="J3827" t="s">
        <v>4436</v>
      </c>
      <c r="S3827" t="s">
        <v>581</v>
      </c>
    </row>
    <row r="3828" spans="1:72" x14ac:dyDescent="0.25">
      <c r="A3828" t="s">
        <v>2</v>
      </c>
      <c r="J3828" t="s">
        <v>4436</v>
      </c>
      <c r="S3828" t="s">
        <v>581</v>
      </c>
    </row>
    <row r="3829" spans="1:72" x14ac:dyDescent="0.25">
      <c r="A3829" t="s">
        <v>2</v>
      </c>
      <c r="J3829" t="s">
        <v>4436</v>
      </c>
      <c r="S3829" t="s">
        <v>581</v>
      </c>
    </row>
    <row r="3830" spans="1:72" x14ac:dyDescent="0.25">
      <c r="A3830" t="s">
        <v>2</v>
      </c>
      <c r="J3830" t="s">
        <v>4436</v>
      </c>
      <c r="S3830" t="s">
        <v>581</v>
      </c>
    </row>
    <row r="3831" spans="1:72" x14ac:dyDescent="0.25">
      <c r="A3831" t="s">
        <v>541</v>
      </c>
      <c r="J3831" t="s">
        <v>4437</v>
      </c>
      <c r="BT3831" t="s">
        <v>624</v>
      </c>
    </row>
    <row r="3832" spans="1:72" x14ac:dyDescent="0.25">
      <c r="J3832" t="s">
        <v>4438</v>
      </c>
    </row>
    <row r="3833" spans="1:72" x14ac:dyDescent="0.25">
      <c r="A3833">
        <v>1</v>
      </c>
      <c r="J3833" t="s">
        <v>727</v>
      </c>
      <c r="BT3833">
        <v>692</v>
      </c>
    </row>
    <row r="3834" spans="1:72" x14ac:dyDescent="0.25">
      <c r="A3834">
        <v>2</v>
      </c>
      <c r="J3834" t="s">
        <v>4439</v>
      </c>
      <c r="BT3834">
        <v>721</v>
      </c>
    </row>
    <row r="3835" spans="1:72" x14ac:dyDescent="0.25">
      <c r="A3835">
        <v>3</v>
      </c>
      <c r="J3835" t="s">
        <v>4440</v>
      </c>
      <c r="BT3835">
        <v>833</v>
      </c>
    </row>
    <row r="3836" spans="1:72" x14ac:dyDescent="0.25">
      <c r="A3836">
        <v>4</v>
      </c>
      <c r="J3836" t="s">
        <v>4441</v>
      </c>
      <c r="BT3836">
        <v>885</v>
      </c>
    </row>
    <row r="3837" spans="1:72" x14ac:dyDescent="0.25">
      <c r="A3837">
        <v>5</v>
      </c>
      <c r="J3837" t="s">
        <v>4442</v>
      </c>
      <c r="BT3837" t="s">
        <v>4443</v>
      </c>
    </row>
    <row r="3838" spans="1:72" x14ac:dyDescent="0.25">
      <c r="A3838">
        <v>6</v>
      </c>
      <c r="J3838" t="s">
        <v>4444</v>
      </c>
      <c r="BT3838" t="s">
        <v>4445</v>
      </c>
    </row>
    <row r="3839" spans="1:72" x14ac:dyDescent="0.25">
      <c r="A3839">
        <v>7</v>
      </c>
      <c r="J3839" t="s">
        <v>4446</v>
      </c>
      <c r="BT3839" t="s">
        <v>4447</v>
      </c>
    </row>
    <row r="3840" spans="1:72" x14ac:dyDescent="0.25">
      <c r="A3840">
        <v>8</v>
      </c>
      <c r="J3840" t="s">
        <v>4448</v>
      </c>
      <c r="BT3840" t="s">
        <v>4449</v>
      </c>
    </row>
    <row r="3841" spans="1:72" x14ac:dyDescent="0.25">
      <c r="A3841">
        <v>9</v>
      </c>
      <c r="J3841" t="s">
        <v>4450</v>
      </c>
      <c r="BT3841" t="s">
        <v>4451</v>
      </c>
    </row>
    <row r="3842" spans="1:72" x14ac:dyDescent="0.25">
      <c r="A3842">
        <v>10</v>
      </c>
      <c r="J3842" t="s">
        <v>4452</v>
      </c>
      <c r="BT3842" t="s">
        <v>4453</v>
      </c>
    </row>
    <row r="3843" spans="1:72" x14ac:dyDescent="0.25">
      <c r="A3843">
        <v>11</v>
      </c>
      <c r="J3843" t="s">
        <v>4454</v>
      </c>
      <c r="BT3843" t="s">
        <v>4455</v>
      </c>
    </row>
    <row r="3844" spans="1:72" x14ac:dyDescent="0.25">
      <c r="A3844">
        <v>12</v>
      </c>
      <c r="J3844" t="s">
        <v>4456</v>
      </c>
      <c r="BT3844" t="s">
        <v>4457</v>
      </c>
    </row>
    <row r="3845" spans="1:72" x14ac:dyDescent="0.25">
      <c r="A3845">
        <v>13</v>
      </c>
      <c r="J3845" t="s">
        <v>4458</v>
      </c>
      <c r="BT3845" t="s">
        <v>4459</v>
      </c>
    </row>
    <row r="3846" spans="1:72" x14ac:dyDescent="0.25">
      <c r="A3846">
        <v>14</v>
      </c>
      <c r="J3846" t="s">
        <v>4460</v>
      </c>
      <c r="BT3846" t="s">
        <v>4461</v>
      </c>
    </row>
    <row r="3847" spans="1:72" x14ac:dyDescent="0.25">
      <c r="A3847">
        <v>15</v>
      </c>
      <c r="J3847" t="s">
        <v>4462</v>
      </c>
      <c r="BT3847" t="s">
        <v>4463</v>
      </c>
    </row>
    <row r="3848" spans="1:72" x14ac:dyDescent="0.25">
      <c r="J3848" t="s">
        <v>4464</v>
      </c>
    </row>
    <row r="3849" spans="1:72" x14ac:dyDescent="0.25">
      <c r="J3849" t="s">
        <v>4465</v>
      </c>
    </row>
    <row r="3850" spans="1:72" x14ac:dyDescent="0.25">
      <c r="A3850">
        <v>15</v>
      </c>
      <c r="J3850" t="s">
        <v>4466</v>
      </c>
      <c r="BT3850" t="s">
        <v>4467</v>
      </c>
    </row>
    <row r="3851" spans="1:72" x14ac:dyDescent="0.25">
      <c r="A3851">
        <v>16</v>
      </c>
      <c r="J3851" t="s">
        <v>4468</v>
      </c>
      <c r="BT3851" t="s">
        <v>4469</v>
      </c>
    </row>
    <row r="3852" spans="1:72" x14ac:dyDescent="0.25">
      <c r="A3852">
        <v>17</v>
      </c>
      <c r="J3852" t="s">
        <v>4470</v>
      </c>
      <c r="BT3852" t="s">
        <v>4471</v>
      </c>
    </row>
    <row r="3853" spans="1:72" x14ac:dyDescent="0.25">
      <c r="A3853">
        <v>18</v>
      </c>
      <c r="J3853" t="s">
        <v>4472</v>
      </c>
      <c r="BT3853" t="s">
        <v>4473</v>
      </c>
    </row>
    <row r="3854" spans="1:72" x14ac:dyDescent="0.25">
      <c r="A3854">
        <v>19</v>
      </c>
      <c r="J3854" t="s">
        <v>4474</v>
      </c>
      <c r="BT3854" t="s">
        <v>4475</v>
      </c>
    </row>
    <row r="3855" spans="1:72" x14ac:dyDescent="0.25">
      <c r="A3855">
        <v>20</v>
      </c>
      <c r="J3855" t="s">
        <v>4476</v>
      </c>
      <c r="BT3855" t="s">
        <v>4477</v>
      </c>
    </row>
    <row r="3856" spans="1:72" x14ac:dyDescent="0.25">
      <c r="A3856">
        <v>21</v>
      </c>
      <c r="J3856" t="s">
        <v>4478</v>
      </c>
      <c r="BT3856" t="s">
        <v>4479</v>
      </c>
    </row>
    <row r="3857" spans="1:72" x14ac:dyDescent="0.25">
      <c r="A3857">
        <v>22</v>
      </c>
      <c r="J3857" t="s">
        <v>4480</v>
      </c>
      <c r="BT3857" t="s">
        <v>4481</v>
      </c>
    </row>
    <row r="3858" spans="1:72" x14ac:dyDescent="0.25">
      <c r="J3858" t="s">
        <v>4482</v>
      </c>
    </row>
    <row r="3859" spans="1:72" x14ac:dyDescent="0.25">
      <c r="A3859">
        <v>23</v>
      </c>
      <c r="J3859" t="s">
        <v>4483</v>
      </c>
      <c r="BT3859">
        <v>301</v>
      </c>
    </row>
    <row r="3860" spans="1:72" x14ac:dyDescent="0.25">
      <c r="A3860">
        <v>24</v>
      </c>
      <c r="J3860" t="s">
        <v>4484</v>
      </c>
      <c r="BT3860">
        <v>301</v>
      </c>
    </row>
    <row r="3861" spans="1:72" x14ac:dyDescent="0.25">
      <c r="A3861">
        <v>25</v>
      </c>
      <c r="J3861" t="s">
        <v>4485</v>
      </c>
      <c r="BT3861">
        <v>310</v>
      </c>
    </row>
    <row r="3862" spans="1:72" x14ac:dyDescent="0.25">
      <c r="A3862">
        <v>26</v>
      </c>
      <c r="J3862" t="s">
        <v>4486</v>
      </c>
      <c r="BT3862">
        <v>373</v>
      </c>
    </row>
    <row r="3863" spans="1:72" x14ac:dyDescent="0.25">
      <c r="A3863">
        <v>27</v>
      </c>
      <c r="J3863" t="s">
        <v>4487</v>
      </c>
      <c r="BT3863">
        <v>491</v>
      </c>
    </row>
    <row r="3864" spans="1:72" x14ac:dyDescent="0.25">
      <c r="A3864">
        <v>28</v>
      </c>
      <c r="J3864" t="s">
        <v>4488</v>
      </c>
      <c r="BT3864">
        <v>402</v>
      </c>
    </row>
    <row r="3865" spans="1:72" x14ac:dyDescent="0.25">
      <c r="A3865">
        <v>29</v>
      </c>
      <c r="J3865" t="s">
        <v>4489</v>
      </c>
      <c r="BT3865">
        <v>482</v>
      </c>
    </row>
    <row r="3866" spans="1:72" x14ac:dyDescent="0.25">
      <c r="A3866">
        <v>30</v>
      </c>
      <c r="J3866" t="s">
        <v>4490</v>
      </c>
      <c r="BT3866">
        <v>555</v>
      </c>
    </row>
    <row r="3867" spans="1:72" x14ac:dyDescent="0.25">
      <c r="A3867">
        <v>31</v>
      </c>
      <c r="J3867" t="s">
        <v>4491</v>
      </c>
      <c r="BT3867">
        <v>615</v>
      </c>
    </row>
    <row r="3868" spans="1:72" x14ac:dyDescent="0.25">
      <c r="A3868">
        <v>32</v>
      </c>
      <c r="J3868" t="s">
        <v>4492</v>
      </c>
      <c r="BT3868">
        <v>520</v>
      </c>
    </row>
    <row r="3869" spans="1:72" x14ac:dyDescent="0.25">
      <c r="A3869">
        <v>33</v>
      </c>
      <c r="J3869" t="s">
        <v>4493</v>
      </c>
      <c r="BT3869">
        <v>603</v>
      </c>
    </row>
    <row r="3870" spans="1:72" x14ac:dyDescent="0.25">
      <c r="A3870">
        <v>34</v>
      </c>
      <c r="J3870" t="s">
        <v>4494</v>
      </c>
      <c r="BT3870">
        <v>497</v>
      </c>
    </row>
    <row r="3871" spans="1:72" x14ac:dyDescent="0.25">
      <c r="A3871">
        <v>35</v>
      </c>
      <c r="J3871" t="s">
        <v>4495</v>
      </c>
      <c r="BT3871">
        <v>576</v>
      </c>
    </row>
    <row r="3872" spans="1:72" x14ac:dyDescent="0.25">
      <c r="A3872">
        <v>36</v>
      </c>
      <c r="J3872" t="s">
        <v>4496</v>
      </c>
      <c r="BT3872">
        <v>786</v>
      </c>
    </row>
    <row r="3873" spans="1:72" x14ac:dyDescent="0.25">
      <c r="A3873">
        <v>37</v>
      </c>
      <c r="J3873" t="s">
        <v>4497</v>
      </c>
      <c r="BT3873">
        <v>797</v>
      </c>
    </row>
    <row r="3874" spans="1:72" x14ac:dyDescent="0.25">
      <c r="A3874">
        <v>38</v>
      </c>
      <c r="J3874" t="s">
        <v>4498</v>
      </c>
      <c r="BT3874">
        <v>868</v>
      </c>
    </row>
    <row r="3875" spans="1:72" x14ac:dyDescent="0.25">
      <c r="A3875">
        <v>39</v>
      </c>
      <c r="J3875" t="s">
        <v>4499</v>
      </c>
      <c r="BT3875">
        <v>615</v>
      </c>
    </row>
    <row r="3876" spans="1:72" x14ac:dyDescent="0.25">
      <c r="A3876">
        <v>40</v>
      </c>
      <c r="J3876" t="s">
        <v>4500</v>
      </c>
      <c r="BT3876">
        <v>612</v>
      </c>
    </row>
    <row r="3877" spans="1:72" x14ac:dyDescent="0.25">
      <c r="A3877">
        <v>41</v>
      </c>
      <c r="J3877" t="s">
        <v>4501</v>
      </c>
      <c r="BT3877">
        <v>730</v>
      </c>
    </row>
    <row r="3878" spans="1:72" x14ac:dyDescent="0.25">
      <c r="A3878">
        <v>42</v>
      </c>
      <c r="J3878" t="s">
        <v>4502</v>
      </c>
      <c r="BT3878">
        <v>622</v>
      </c>
    </row>
    <row r="3879" spans="1:72" x14ac:dyDescent="0.25">
      <c r="A3879">
        <v>43</v>
      </c>
      <c r="J3879" t="s">
        <v>4503</v>
      </c>
      <c r="BT3879">
        <v>631</v>
      </c>
    </row>
    <row r="3880" spans="1:72" x14ac:dyDescent="0.25">
      <c r="A3880">
        <v>44</v>
      </c>
      <c r="J3880" t="s">
        <v>4504</v>
      </c>
      <c r="BT3880">
        <v>809</v>
      </c>
    </row>
    <row r="3881" spans="1:72" x14ac:dyDescent="0.25">
      <c r="J3881" t="s">
        <v>4505</v>
      </c>
    </row>
    <row r="3882" spans="1:72" x14ac:dyDescent="0.25">
      <c r="J3882" t="s">
        <v>4506</v>
      </c>
    </row>
    <row r="3883" spans="1:72" x14ac:dyDescent="0.25">
      <c r="A3883">
        <v>45</v>
      </c>
      <c r="J3883" t="s">
        <v>4507</v>
      </c>
      <c r="BT3883" t="s">
        <v>4508</v>
      </c>
    </row>
    <row r="3884" spans="1:72" x14ac:dyDescent="0.25">
      <c r="A3884">
        <v>46</v>
      </c>
      <c r="J3884" t="s">
        <v>4509</v>
      </c>
      <c r="BT3884" t="s">
        <v>4510</v>
      </c>
    </row>
    <row r="3885" spans="1:72" x14ac:dyDescent="0.25">
      <c r="A3885">
        <v>47</v>
      </c>
      <c r="J3885" t="s">
        <v>4511</v>
      </c>
      <c r="BT3885" t="s">
        <v>4512</v>
      </c>
    </row>
    <row r="3886" spans="1:72" x14ac:dyDescent="0.25">
      <c r="A3886">
        <v>48</v>
      </c>
      <c r="J3886" t="s">
        <v>4513</v>
      </c>
      <c r="BT3886" t="s">
        <v>4514</v>
      </c>
    </row>
    <row r="3887" spans="1:72" x14ac:dyDescent="0.25">
      <c r="A3887">
        <v>49</v>
      </c>
      <c r="J3887" t="s">
        <v>4515</v>
      </c>
      <c r="BT3887" t="s">
        <v>4516</v>
      </c>
    </row>
    <row r="3888" spans="1:72" x14ac:dyDescent="0.25">
      <c r="A3888">
        <v>50</v>
      </c>
      <c r="J3888" t="s">
        <v>4517</v>
      </c>
      <c r="BT3888" t="s">
        <v>4518</v>
      </c>
    </row>
    <row r="3889" spans="1:72" x14ac:dyDescent="0.25">
      <c r="A3889">
        <v>51</v>
      </c>
      <c r="J3889" t="s">
        <v>4519</v>
      </c>
      <c r="BT3889" t="s">
        <v>4520</v>
      </c>
    </row>
    <row r="3890" spans="1:72" x14ac:dyDescent="0.25">
      <c r="A3890">
        <v>52</v>
      </c>
      <c r="J3890" t="s">
        <v>4521</v>
      </c>
      <c r="BT3890" t="s">
        <v>4522</v>
      </c>
    </row>
    <row r="3891" spans="1:72" x14ac:dyDescent="0.25">
      <c r="J3891" t="s">
        <v>4523</v>
      </c>
    </row>
    <row r="3892" spans="1:72" x14ac:dyDescent="0.25">
      <c r="A3892">
        <v>53</v>
      </c>
      <c r="J3892" t="s">
        <v>4524</v>
      </c>
      <c r="BT3892" t="s">
        <v>4525</v>
      </c>
    </row>
    <row r="3893" spans="1:72" x14ac:dyDescent="0.25">
      <c r="A3893">
        <v>54</v>
      </c>
      <c r="J3893" t="s">
        <v>4526</v>
      </c>
      <c r="BT3893" t="s">
        <v>4527</v>
      </c>
    </row>
    <row r="3894" spans="1:72" x14ac:dyDescent="0.25">
      <c r="A3894">
        <v>55</v>
      </c>
      <c r="J3894" t="s">
        <v>4528</v>
      </c>
      <c r="BT3894" t="s">
        <v>4529</v>
      </c>
    </row>
    <row r="3895" spans="1:72" x14ac:dyDescent="0.25">
      <c r="A3895">
        <v>56</v>
      </c>
      <c r="J3895" t="s">
        <v>4530</v>
      </c>
      <c r="BT3895" t="s">
        <v>4531</v>
      </c>
    </row>
    <row r="3896" spans="1:72" x14ac:dyDescent="0.25">
      <c r="A3896">
        <v>57</v>
      </c>
      <c r="J3896" t="s">
        <v>4532</v>
      </c>
      <c r="BT3896" t="s">
        <v>4533</v>
      </c>
    </row>
    <row r="3897" spans="1:72" x14ac:dyDescent="0.25">
      <c r="A3897">
        <v>58</v>
      </c>
      <c r="J3897" t="s">
        <v>4534</v>
      </c>
      <c r="BT3897" t="s">
        <v>4535</v>
      </c>
    </row>
    <row r="3898" spans="1:72" x14ac:dyDescent="0.25">
      <c r="A3898">
        <v>59</v>
      </c>
      <c r="J3898" t="s">
        <v>4536</v>
      </c>
      <c r="BT3898" t="s">
        <v>4537</v>
      </c>
    </row>
    <row r="3899" spans="1:72" x14ac:dyDescent="0.25">
      <c r="A3899">
        <v>60</v>
      </c>
      <c r="J3899" t="s">
        <v>4538</v>
      </c>
      <c r="BT3899" t="s">
        <v>4539</v>
      </c>
    </row>
    <row r="3900" spans="1:72" x14ac:dyDescent="0.25">
      <c r="A3900">
        <v>61</v>
      </c>
      <c r="J3900" t="s">
        <v>4540</v>
      </c>
      <c r="BT3900" t="s">
        <v>4541</v>
      </c>
    </row>
    <row r="3901" spans="1:72" x14ac:dyDescent="0.25">
      <c r="A3901">
        <v>62</v>
      </c>
      <c r="J3901" t="s">
        <v>867</v>
      </c>
      <c r="BT3901" t="s">
        <v>4542</v>
      </c>
    </row>
    <row r="3902" spans="1:72" x14ac:dyDescent="0.25">
      <c r="J3902" t="s">
        <v>4543</v>
      </c>
    </row>
    <row r="3903" spans="1:72" x14ac:dyDescent="0.25">
      <c r="A3903">
        <v>63</v>
      </c>
      <c r="J3903" t="s">
        <v>729</v>
      </c>
      <c r="BT3903" t="s">
        <v>4544</v>
      </c>
    </row>
    <row r="3904" spans="1:72" x14ac:dyDescent="0.25">
      <c r="A3904">
        <v>64</v>
      </c>
      <c r="J3904" t="s">
        <v>728</v>
      </c>
      <c r="BT3904" t="s">
        <v>4545</v>
      </c>
    </row>
    <row r="3905" spans="1:72" x14ac:dyDescent="0.25">
      <c r="A3905">
        <v>65</v>
      </c>
      <c r="J3905" t="s">
        <v>730</v>
      </c>
      <c r="BT3905" t="s">
        <v>4546</v>
      </c>
    </row>
    <row r="3906" spans="1:72" x14ac:dyDescent="0.25">
      <c r="A3906">
        <v>66</v>
      </c>
      <c r="J3906" t="s">
        <v>731</v>
      </c>
      <c r="BT3906" t="s">
        <v>4547</v>
      </c>
    </row>
    <row r="3907" spans="1:72" x14ac:dyDescent="0.25">
      <c r="A3907">
        <v>67</v>
      </c>
      <c r="J3907" t="s">
        <v>732</v>
      </c>
      <c r="BT3907" t="s">
        <v>4548</v>
      </c>
    </row>
    <row r="3908" spans="1:72" x14ac:dyDescent="0.25">
      <c r="J3908" t="s">
        <v>4549</v>
      </c>
    </row>
    <row r="3909" spans="1:72" x14ac:dyDescent="0.25">
      <c r="A3909">
        <v>68</v>
      </c>
      <c r="J3909" t="s">
        <v>725</v>
      </c>
      <c r="BT3909" t="s">
        <v>4550</v>
      </c>
    </row>
    <row r="3910" spans="1:72" x14ac:dyDescent="0.25">
      <c r="A3910">
        <v>69</v>
      </c>
      <c r="J3910" t="s">
        <v>726</v>
      </c>
      <c r="BT3910" t="s">
        <v>4551</v>
      </c>
    </row>
    <row r="3911" spans="1:72" x14ac:dyDescent="0.25">
      <c r="A3911">
        <v>70</v>
      </c>
      <c r="J3911" t="s">
        <v>733</v>
      </c>
      <c r="BT3911" t="s">
        <v>4552</v>
      </c>
    </row>
    <row r="3912" spans="1:72" x14ac:dyDescent="0.25">
      <c r="J3912" t="s">
        <v>4553</v>
      </c>
    </row>
    <row r="3913" spans="1:72" x14ac:dyDescent="0.25">
      <c r="A3913">
        <v>71</v>
      </c>
      <c r="J3913" t="s">
        <v>673</v>
      </c>
      <c r="BT3913" t="s">
        <v>4554</v>
      </c>
    </row>
    <row r="3914" spans="1:72" x14ac:dyDescent="0.25">
      <c r="A3914">
        <v>72</v>
      </c>
      <c r="J3914" t="s">
        <v>672</v>
      </c>
      <c r="BT3914" t="s">
        <v>4555</v>
      </c>
    </row>
    <row r="3915" spans="1:72" x14ac:dyDescent="0.25">
      <c r="A3915">
        <v>73</v>
      </c>
      <c r="J3915" t="s">
        <v>671</v>
      </c>
      <c r="BT3915" t="s">
        <v>4556</v>
      </c>
    </row>
    <row r="3916" spans="1:72" x14ac:dyDescent="0.25">
      <c r="A3916">
        <v>74</v>
      </c>
      <c r="J3916" t="s">
        <v>705</v>
      </c>
      <c r="BT3916" t="s">
        <v>4557</v>
      </c>
    </row>
    <row r="3917" spans="1:72" x14ac:dyDescent="0.25">
      <c r="A3917">
        <v>75</v>
      </c>
      <c r="J3917" t="s">
        <v>706</v>
      </c>
      <c r="BT3917" t="s">
        <v>4558</v>
      </c>
    </row>
    <row r="3918" spans="1:72" x14ac:dyDescent="0.25">
      <c r="A3918">
        <v>76</v>
      </c>
      <c r="J3918" t="s">
        <v>707</v>
      </c>
      <c r="BT3918" t="s">
        <v>4559</v>
      </c>
    </row>
    <row r="3919" spans="1:72" x14ac:dyDescent="0.25">
      <c r="A3919">
        <v>77</v>
      </c>
      <c r="J3919" t="s">
        <v>708</v>
      </c>
      <c r="BT3919" t="s">
        <v>4560</v>
      </c>
    </row>
    <row r="3920" spans="1:72" x14ac:dyDescent="0.25">
      <c r="A3920">
        <v>78</v>
      </c>
      <c r="J3920" t="s">
        <v>670</v>
      </c>
      <c r="BT3920" t="s">
        <v>4561</v>
      </c>
    </row>
    <row r="3921" spans="1:77" x14ac:dyDescent="0.25">
      <c r="A3921">
        <v>79</v>
      </c>
      <c r="J3921" t="s">
        <v>669</v>
      </c>
      <c r="BT3921" t="s">
        <v>4557</v>
      </c>
    </row>
    <row r="3922" spans="1:77" x14ac:dyDescent="0.25">
      <c r="A3922">
        <v>80</v>
      </c>
      <c r="J3922" t="s">
        <v>668</v>
      </c>
      <c r="BT3922" t="s">
        <v>4562</v>
      </c>
    </row>
    <row r="3923" spans="1:77" x14ac:dyDescent="0.25">
      <c r="A3923">
        <v>81</v>
      </c>
      <c r="J3923" t="s">
        <v>709</v>
      </c>
      <c r="BT3923" t="s">
        <v>4563</v>
      </c>
    </row>
    <row r="3924" spans="1:77" x14ac:dyDescent="0.25">
      <c r="A3924">
        <v>82</v>
      </c>
      <c r="J3924" t="s">
        <v>710</v>
      </c>
      <c r="BT3924" t="s">
        <v>4564</v>
      </c>
    </row>
    <row r="3925" spans="1:77" x14ac:dyDescent="0.25">
      <c r="A3925">
        <v>83</v>
      </c>
      <c r="J3925" t="s">
        <v>711</v>
      </c>
      <c r="BT3925" t="s">
        <v>4565</v>
      </c>
    </row>
    <row r="3926" spans="1:77" x14ac:dyDescent="0.25">
      <c r="A3926">
        <v>84</v>
      </c>
      <c r="J3926" t="s">
        <v>712</v>
      </c>
      <c r="BT3926" t="s">
        <v>4566</v>
      </c>
    </row>
    <row r="3927" spans="1:77" x14ac:dyDescent="0.25">
      <c r="A3927">
        <v>85</v>
      </c>
      <c r="J3927" t="s">
        <v>667</v>
      </c>
      <c r="BT3927" t="s">
        <v>4567</v>
      </c>
    </row>
    <row r="3928" spans="1:77" x14ac:dyDescent="0.25">
      <c r="A3928">
        <v>86</v>
      </c>
      <c r="J3928" t="s">
        <v>666</v>
      </c>
      <c r="BT3928" t="s">
        <v>4568</v>
      </c>
    </row>
    <row r="3929" spans="1:77" x14ac:dyDescent="0.25">
      <c r="A3929">
        <v>87</v>
      </c>
      <c r="J3929" t="s">
        <v>665</v>
      </c>
      <c r="BT3929" t="s">
        <v>4569</v>
      </c>
    </row>
    <row r="3930" spans="1:77" x14ac:dyDescent="0.25">
      <c r="A3930">
        <v>87</v>
      </c>
      <c r="J3930" t="s">
        <v>872</v>
      </c>
      <c r="BT3930" t="s">
        <v>4570</v>
      </c>
    </row>
    <row r="3931" spans="1:77" x14ac:dyDescent="0.25">
      <c r="A3931">
        <v>87</v>
      </c>
      <c r="R3931" t="s">
        <v>874</v>
      </c>
      <c r="BY3931" t="s">
        <v>4571</v>
      </c>
    </row>
    <row r="3932" spans="1:77" x14ac:dyDescent="0.25">
      <c r="A3932">
        <v>87</v>
      </c>
      <c r="R3932" t="s">
        <v>873</v>
      </c>
      <c r="BY3932" t="s">
        <v>4572</v>
      </c>
    </row>
    <row r="3933" spans="1:77" x14ac:dyDescent="0.25">
      <c r="A3933">
        <v>87</v>
      </c>
      <c r="R3933" t="s">
        <v>875</v>
      </c>
      <c r="BY3933" t="s">
        <v>4573</v>
      </c>
    </row>
    <row r="3934" spans="1:77" x14ac:dyDescent="0.25">
      <c r="A3934">
        <v>88</v>
      </c>
      <c r="R3934" t="s">
        <v>664</v>
      </c>
      <c r="BY3934" t="s">
        <v>4574</v>
      </c>
    </row>
    <row r="3935" spans="1:77" x14ac:dyDescent="0.25">
      <c r="A3935">
        <v>89</v>
      </c>
      <c r="R3935" t="s">
        <v>663</v>
      </c>
      <c r="BY3935" t="s">
        <v>4575</v>
      </c>
    </row>
    <row r="3936" spans="1:77" x14ac:dyDescent="0.25">
      <c r="A3936">
        <v>90</v>
      </c>
      <c r="R3936" t="s">
        <v>868</v>
      </c>
      <c r="BY3936" t="s">
        <v>4576</v>
      </c>
    </row>
    <row r="3937" spans="1:77" x14ac:dyDescent="0.25">
      <c r="A3937">
        <v>91</v>
      </c>
      <c r="R3937" t="s">
        <v>869</v>
      </c>
      <c r="BY3937" t="s">
        <v>4577</v>
      </c>
    </row>
    <row r="3938" spans="1:77" x14ac:dyDescent="0.25">
      <c r="A3938">
        <v>92</v>
      </c>
      <c r="R3938" t="s">
        <v>870</v>
      </c>
      <c r="BY3938" t="s">
        <v>4578</v>
      </c>
    </row>
    <row r="3939" spans="1:77" x14ac:dyDescent="0.25">
      <c r="A3939">
        <v>93</v>
      </c>
      <c r="R3939" t="s">
        <v>871</v>
      </c>
      <c r="BY3939" t="s">
        <v>4579</v>
      </c>
    </row>
    <row r="3940" spans="1:77" x14ac:dyDescent="0.25">
      <c r="A3940" t="s">
        <v>745</v>
      </c>
      <c r="J3940" t="s">
        <v>612</v>
      </c>
      <c r="S3940" t="s">
        <v>613</v>
      </c>
    </row>
    <row r="3942" spans="1:77" x14ac:dyDescent="0.25">
      <c r="A3942" t="s">
        <v>2</v>
      </c>
      <c r="J3942" t="s">
        <v>4580</v>
      </c>
      <c r="S3942" t="s">
        <v>581</v>
      </c>
    </row>
    <row r="3943" spans="1:77" x14ac:dyDescent="0.25">
      <c r="A3943" t="s">
        <v>2</v>
      </c>
      <c r="J3943" t="s">
        <v>4580</v>
      </c>
      <c r="S3943" t="s">
        <v>581</v>
      </c>
    </row>
    <row r="3944" spans="1:77" x14ac:dyDescent="0.25">
      <c r="A3944" t="s">
        <v>2</v>
      </c>
      <c r="J3944" t="s">
        <v>4581</v>
      </c>
      <c r="S3944" t="s">
        <v>581</v>
      </c>
    </row>
    <row r="3945" spans="1:77" x14ac:dyDescent="0.25">
      <c r="A3945" t="s">
        <v>2</v>
      </c>
      <c r="J3945" t="s">
        <v>4581</v>
      </c>
      <c r="S3945" t="s">
        <v>581</v>
      </c>
    </row>
    <row r="3946" spans="1:77" x14ac:dyDescent="0.25">
      <c r="A3946" t="s">
        <v>2</v>
      </c>
      <c r="J3946" t="s">
        <v>4581</v>
      </c>
      <c r="S3946" t="s">
        <v>581</v>
      </c>
    </row>
    <row r="3947" spans="1:77" x14ac:dyDescent="0.25">
      <c r="A3947" t="s">
        <v>2</v>
      </c>
      <c r="J3947" t="s">
        <v>4581</v>
      </c>
      <c r="S3947" t="s">
        <v>581</v>
      </c>
    </row>
    <row r="3948" spans="1:77" x14ac:dyDescent="0.25">
      <c r="A3948" t="s">
        <v>2</v>
      </c>
      <c r="J3948" t="s">
        <v>4580</v>
      </c>
      <c r="S3948" t="s">
        <v>581</v>
      </c>
    </row>
    <row r="3949" spans="1:77" x14ac:dyDescent="0.25">
      <c r="A3949" t="s">
        <v>2</v>
      </c>
      <c r="J3949" t="s">
        <v>4580</v>
      </c>
      <c r="S3949" t="s">
        <v>581</v>
      </c>
    </row>
    <row r="3950" spans="1:77" x14ac:dyDescent="0.25">
      <c r="A3950" t="s">
        <v>2</v>
      </c>
      <c r="J3950" t="s">
        <v>4581</v>
      </c>
      <c r="S3950" t="s">
        <v>581</v>
      </c>
    </row>
    <row r="3951" spans="1:77" x14ac:dyDescent="0.25">
      <c r="A3951" t="s">
        <v>2</v>
      </c>
      <c r="J3951" t="s">
        <v>4581</v>
      </c>
      <c r="S3951" t="s">
        <v>581</v>
      </c>
    </row>
    <row r="3952" spans="1:77" x14ac:dyDescent="0.25">
      <c r="A3952" t="s">
        <v>2</v>
      </c>
      <c r="J3952" t="s">
        <v>4580</v>
      </c>
      <c r="S3952" t="s">
        <v>581</v>
      </c>
    </row>
    <row r="3953" spans="1:19" x14ac:dyDescent="0.25">
      <c r="A3953" t="s">
        <v>2</v>
      </c>
      <c r="J3953" t="s">
        <v>4580</v>
      </c>
      <c r="S3953" t="s">
        <v>581</v>
      </c>
    </row>
    <row r="3954" spans="1:19" x14ac:dyDescent="0.25">
      <c r="A3954" t="s">
        <v>2</v>
      </c>
      <c r="J3954" t="s">
        <v>4580</v>
      </c>
      <c r="S3954" t="s">
        <v>581</v>
      </c>
    </row>
    <row r="3955" spans="1:19" x14ac:dyDescent="0.25">
      <c r="A3955" t="s">
        <v>2</v>
      </c>
      <c r="J3955" t="s">
        <v>4580</v>
      </c>
      <c r="S3955" t="s">
        <v>581</v>
      </c>
    </row>
    <row r="3956" spans="1:19" x14ac:dyDescent="0.25">
      <c r="A3956" t="s">
        <v>2</v>
      </c>
      <c r="J3956" t="s">
        <v>4580</v>
      </c>
      <c r="S3956" t="s">
        <v>581</v>
      </c>
    </row>
    <row r="3958" spans="1:19" x14ac:dyDescent="0.25">
      <c r="A3958" t="s">
        <v>2</v>
      </c>
      <c r="J3958" t="s">
        <v>4580</v>
      </c>
      <c r="S3958" t="s">
        <v>581</v>
      </c>
    </row>
    <row r="3959" spans="1:19" x14ac:dyDescent="0.25">
      <c r="A3959" t="s">
        <v>2</v>
      </c>
      <c r="J3959" t="s">
        <v>4581</v>
      </c>
      <c r="S3959" t="s">
        <v>581</v>
      </c>
    </row>
    <row r="3960" spans="1:19" x14ac:dyDescent="0.25">
      <c r="A3960" t="s">
        <v>2</v>
      </c>
      <c r="J3960" t="s">
        <v>4581</v>
      </c>
      <c r="S3960" t="s">
        <v>581</v>
      </c>
    </row>
    <row r="3961" spans="1:19" x14ac:dyDescent="0.25">
      <c r="A3961" t="s">
        <v>2</v>
      </c>
      <c r="J3961" t="s">
        <v>4581</v>
      </c>
      <c r="S3961" t="s">
        <v>581</v>
      </c>
    </row>
    <row r="3962" spans="1:19" x14ac:dyDescent="0.25">
      <c r="A3962" t="s">
        <v>2</v>
      </c>
      <c r="J3962" t="s">
        <v>4581</v>
      </c>
      <c r="S3962" t="s">
        <v>581</v>
      </c>
    </row>
    <row r="3963" spans="1:19" x14ac:dyDescent="0.25">
      <c r="A3963" t="s">
        <v>2</v>
      </c>
      <c r="J3963" t="s">
        <v>4581</v>
      </c>
      <c r="S3963" t="s">
        <v>581</v>
      </c>
    </row>
    <row r="3964" spans="1:19" x14ac:dyDescent="0.25">
      <c r="A3964" t="s">
        <v>2</v>
      </c>
      <c r="J3964" t="s">
        <v>4581</v>
      </c>
      <c r="S3964" t="s">
        <v>581</v>
      </c>
    </row>
    <row r="3965" spans="1:19" x14ac:dyDescent="0.25">
      <c r="A3965" t="s">
        <v>2</v>
      </c>
      <c r="J3965" t="s">
        <v>4581</v>
      </c>
      <c r="S3965" t="s">
        <v>581</v>
      </c>
    </row>
    <row r="3967" spans="1:19" x14ac:dyDescent="0.25">
      <c r="A3967" t="s">
        <v>2</v>
      </c>
      <c r="J3967" t="s">
        <v>4581</v>
      </c>
      <c r="S3967" t="s">
        <v>581</v>
      </c>
    </row>
    <row r="3968" spans="1:19" x14ac:dyDescent="0.25">
      <c r="A3968" t="s">
        <v>2</v>
      </c>
      <c r="J3968" t="s">
        <v>4581</v>
      </c>
      <c r="S3968" t="s">
        <v>581</v>
      </c>
    </row>
    <row r="3969" spans="1:19" x14ac:dyDescent="0.25">
      <c r="A3969" t="s">
        <v>2</v>
      </c>
      <c r="J3969" t="s">
        <v>4581</v>
      </c>
      <c r="S3969" t="s">
        <v>581</v>
      </c>
    </row>
    <row r="3970" spans="1:19" x14ac:dyDescent="0.25">
      <c r="A3970" t="s">
        <v>2</v>
      </c>
      <c r="J3970" t="s">
        <v>4581</v>
      </c>
      <c r="S3970" t="s">
        <v>581</v>
      </c>
    </row>
    <row r="3971" spans="1:19" x14ac:dyDescent="0.25">
      <c r="A3971" t="s">
        <v>2</v>
      </c>
      <c r="J3971" t="s">
        <v>4581</v>
      </c>
      <c r="S3971" t="s">
        <v>581</v>
      </c>
    </row>
    <row r="3972" spans="1:19" x14ac:dyDescent="0.25">
      <c r="A3972" t="s">
        <v>2</v>
      </c>
      <c r="J3972" t="s">
        <v>4581</v>
      </c>
      <c r="S3972" t="s">
        <v>581</v>
      </c>
    </row>
    <row r="3973" spans="1:19" x14ac:dyDescent="0.25">
      <c r="A3973" t="s">
        <v>2</v>
      </c>
      <c r="J3973" t="s">
        <v>4581</v>
      </c>
      <c r="S3973" t="s">
        <v>581</v>
      </c>
    </row>
    <row r="3974" spans="1:19" x14ac:dyDescent="0.25">
      <c r="A3974" t="s">
        <v>2</v>
      </c>
      <c r="J3974" t="s">
        <v>4581</v>
      </c>
      <c r="S3974" t="s">
        <v>581</v>
      </c>
    </row>
    <row r="3975" spans="1:19" x14ac:dyDescent="0.25">
      <c r="A3975" t="s">
        <v>2</v>
      </c>
      <c r="J3975" t="s">
        <v>4581</v>
      </c>
      <c r="S3975" t="s">
        <v>581</v>
      </c>
    </row>
    <row r="3976" spans="1:19" x14ac:dyDescent="0.25">
      <c r="A3976" t="s">
        <v>2</v>
      </c>
      <c r="J3976" t="s">
        <v>4581</v>
      </c>
      <c r="S3976" t="s">
        <v>581</v>
      </c>
    </row>
    <row r="3977" spans="1:19" x14ac:dyDescent="0.25">
      <c r="A3977" t="s">
        <v>2</v>
      </c>
      <c r="J3977" t="s">
        <v>4581</v>
      </c>
      <c r="S3977" t="s">
        <v>581</v>
      </c>
    </row>
    <row r="3978" spans="1:19" x14ac:dyDescent="0.25">
      <c r="A3978" t="s">
        <v>2</v>
      </c>
      <c r="J3978" t="s">
        <v>4581</v>
      </c>
      <c r="S3978" t="s">
        <v>581</v>
      </c>
    </row>
    <row r="3979" spans="1:19" x14ac:dyDescent="0.25">
      <c r="A3979" t="s">
        <v>2</v>
      </c>
      <c r="J3979" t="s">
        <v>4581</v>
      </c>
      <c r="S3979" t="s">
        <v>581</v>
      </c>
    </row>
    <row r="3980" spans="1:19" x14ac:dyDescent="0.25">
      <c r="A3980" t="s">
        <v>2</v>
      </c>
      <c r="J3980" t="s">
        <v>4581</v>
      </c>
      <c r="S3980" t="s">
        <v>581</v>
      </c>
    </row>
    <row r="3981" spans="1:19" x14ac:dyDescent="0.25">
      <c r="A3981" t="s">
        <v>2</v>
      </c>
      <c r="J3981" t="s">
        <v>4581</v>
      </c>
      <c r="S3981" t="s">
        <v>581</v>
      </c>
    </row>
    <row r="3982" spans="1:19" x14ac:dyDescent="0.25">
      <c r="A3982" t="s">
        <v>2</v>
      </c>
      <c r="J3982" t="s">
        <v>4581</v>
      </c>
      <c r="S3982" t="s">
        <v>581</v>
      </c>
    </row>
    <row r="3983" spans="1:19" x14ac:dyDescent="0.25">
      <c r="A3983" t="s">
        <v>2</v>
      </c>
      <c r="J3983" t="s">
        <v>4581</v>
      </c>
      <c r="S3983" t="s">
        <v>581</v>
      </c>
    </row>
    <row r="3984" spans="1:19" x14ac:dyDescent="0.25">
      <c r="A3984" t="s">
        <v>2</v>
      </c>
      <c r="J3984" t="s">
        <v>4581</v>
      </c>
      <c r="S3984" t="s">
        <v>581</v>
      </c>
    </row>
    <row r="3985" spans="1:19" x14ac:dyDescent="0.25">
      <c r="A3985" t="s">
        <v>2</v>
      </c>
      <c r="J3985" t="s">
        <v>4581</v>
      </c>
      <c r="S3985" t="s">
        <v>581</v>
      </c>
    </row>
    <row r="3986" spans="1:19" x14ac:dyDescent="0.25">
      <c r="A3986" t="s">
        <v>2</v>
      </c>
      <c r="J3986" t="s">
        <v>4580</v>
      </c>
      <c r="S3986" t="s">
        <v>581</v>
      </c>
    </row>
    <row r="3987" spans="1:19" x14ac:dyDescent="0.25">
      <c r="A3987" t="s">
        <v>2</v>
      </c>
      <c r="J3987" t="s">
        <v>4580</v>
      </c>
      <c r="S3987" t="s">
        <v>581</v>
      </c>
    </row>
    <row r="3988" spans="1:19" x14ac:dyDescent="0.25">
      <c r="A3988" t="s">
        <v>2</v>
      </c>
      <c r="J3988" t="s">
        <v>4580</v>
      </c>
      <c r="S3988" t="s">
        <v>581</v>
      </c>
    </row>
    <row r="3989" spans="1:19" x14ac:dyDescent="0.25">
      <c r="A3989" t="s">
        <v>2</v>
      </c>
      <c r="L3989" t="s">
        <v>4581</v>
      </c>
      <c r="S3989" t="s">
        <v>581</v>
      </c>
    </row>
    <row r="3990" spans="1:19" x14ac:dyDescent="0.25">
      <c r="A3990" t="s">
        <v>2</v>
      </c>
      <c r="L3990" t="s">
        <v>4581</v>
      </c>
      <c r="S3990" t="s">
        <v>581</v>
      </c>
    </row>
    <row r="3991" spans="1:19" x14ac:dyDescent="0.25">
      <c r="A3991" t="s">
        <v>2</v>
      </c>
      <c r="L3991" t="s">
        <v>4581</v>
      </c>
      <c r="S3991" t="s">
        <v>581</v>
      </c>
    </row>
    <row r="3992" spans="1:19" x14ac:dyDescent="0.25">
      <c r="A3992" t="s">
        <v>2</v>
      </c>
      <c r="L3992" t="s">
        <v>4581</v>
      </c>
      <c r="S3992" t="s">
        <v>581</v>
      </c>
    </row>
    <row r="3993" spans="1:19" x14ac:dyDescent="0.25">
      <c r="A3993" t="s">
        <v>2</v>
      </c>
      <c r="L3993" t="s">
        <v>4581</v>
      </c>
      <c r="S3993" t="s">
        <v>581</v>
      </c>
    </row>
    <row r="3994" spans="1:19" x14ac:dyDescent="0.25">
      <c r="A3994" t="s">
        <v>2</v>
      </c>
      <c r="L3994" t="s">
        <v>4581</v>
      </c>
      <c r="S3994" t="s">
        <v>581</v>
      </c>
    </row>
    <row r="3995" spans="1:19" x14ac:dyDescent="0.25">
      <c r="A3995" t="s">
        <v>2</v>
      </c>
      <c r="L3995" t="s">
        <v>4581</v>
      </c>
      <c r="S3995" t="s">
        <v>581</v>
      </c>
    </row>
    <row r="3996" spans="1:19" x14ac:dyDescent="0.25">
      <c r="A3996" t="s">
        <v>2</v>
      </c>
      <c r="L3996" t="s">
        <v>4581</v>
      </c>
      <c r="S3996" t="s">
        <v>581</v>
      </c>
    </row>
    <row r="3998" spans="1:19" x14ac:dyDescent="0.25">
      <c r="A3998" t="s">
        <v>2</v>
      </c>
      <c r="L3998" t="s">
        <v>4581</v>
      </c>
      <c r="S3998" t="s">
        <v>581</v>
      </c>
    </row>
    <row r="3999" spans="1:19" x14ac:dyDescent="0.25">
      <c r="A3999" t="s">
        <v>2</v>
      </c>
      <c r="L3999" t="s">
        <v>4581</v>
      </c>
      <c r="S3999" t="s">
        <v>581</v>
      </c>
    </row>
    <row r="4000" spans="1:19" x14ac:dyDescent="0.25">
      <c r="A4000" t="s">
        <v>2</v>
      </c>
      <c r="L4000" t="s">
        <v>4581</v>
      </c>
      <c r="S4000" t="s">
        <v>581</v>
      </c>
    </row>
    <row r="4001" spans="1:19" x14ac:dyDescent="0.25">
      <c r="A4001" t="s">
        <v>2</v>
      </c>
      <c r="L4001" t="s">
        <v>4581</v>
      </c>
      <c r="S4001" t="s">
        <v>581</v>
      </c>
    </row>
    <row r="4002" spans="1:19" x14ac:dyDescent="0.25">
      <c r="A4002" t="s">
        <v>2</v>
      </c>
      <c r="L4002" t="s">
        <v>4581</v>
      </c>
      <c r="S4002" t="s">
        <v>581</v>
      </c>
    </row>
    <row r="4003" spans="1:19" x14ac:dyDescent="0.25">
      <c r="A4003" t="s">
        <v>2</v>
      </c>
      <c r="L4003" t="s">
        <v>4581</v>
      </c>
      <c r="S4003" t="s">
        <v>581</v>
      </c>
    </row>
    <row r="4004" spans="1:19" x14ac:dyDescent="0.25">
      <c r="A4004" t="s">
        <v>2</v>
      </c>
      <c r="L4004" t="s">
        <v>4581</v>
      </c>
      <c r="S4004" t="s">
        <v>581</v>
      </c>
    </row>
    <row r="4005" spans="1:19" x14ac:dyDescent="0.25">
      <c r="A4005" t="s">
        <v>2</v>
      </c>
      <c r="L4005" t="s">
        <v>4581</v>
      </c>
      <c r="S4005" t="s">
        <v>581</v>
      </c>
    </row>
    <row r="4006" spans="1:19" x14ac:dyDescent="0.25">
      <c r="A4006" t="s">
        <v>2</v>
      </c>
      <c r="L4006" t="s">
        <v>4581</v>
      </c>
      <c r="S4006" t="s">
        <v>581</v>
      </c>
    </row>
    <row r="4007" spans="1:19" x14ac:dyDescent="0.25">
      <c r="A4007" t="s">
        <v>2</v>
      </c>
      <c r="L4007" t="s">
        <v>4581</v>
      </c>
      <c r="S4007" t="s">
        <v>581</v>
      </c>
    </row>
    <row r="4009" spans="1:19" x14ac:dyDescent="0.25">
      <c r="A4009" t="s">
        <v>2</v>
      </c>
      <c r="L4009" t="s">
        <v>4581</v>
      </c>
      <c r="S4009" t="s">
        <v>581</v>
      </c>
    </row>
    <row r="4010" spans="1:19" x14ac:dyDescent="0.25">
      <c r="A4010" t="s">
        <v>2</v>
      </c>
      <c r="L4010" t="s">
        <v>4581</v>
      </c>
      <c r="S4010" t="s">
        <v>581</v>
      </c>
    </row>
    <row r="4011" spans="1:19" x14ac:dyDescent="0.25">
      <c r="A4011" t="s">
        <v>2</v>
      </c>
      <c r="L4011" t="s">
        <v>4581</v>
      </c>
      <c r="S4011" t="s">
        <v>581</v>
      </c>
    </row>
    <row r="4012" spans="1:19" x14ac:dyDescent="0.25">
      <c r="A4012" t="s">
        <v>2</v>
      </c>
      <c r="L4012" t="s">
        <v>4581</v>
      </c>
      <c r="S4012" t="s">
        <v>581</v>
      </c>
    </row>
    <row r="4013" spans="1:19" x14ac:dyDescent="0.25">
      <c r="A4013" t="s">
        <v>2</v>
      </c>
      <c r="L4013" t="s">
        <v>4581</v>
      </c>
      <c r="S4013" t="s">
        <v>581</v>
      </c>
    </row>
    <row r="4015" spans="1:19" x14ac:dyDescent="0.25">
      <c r="A4015" t="s">
        <v>2</v>
      </c>
      <c r="L4015" t="s">
        <v>4581</v>
      </c>
      <c r="S4015" t="s">
        <v>581</v>
      </c>
    </row>
    <row r="4016" spans="1:19" x14ac:dyDescent="0.25">
      <c r="A4016" t="s">
        <v>2</v>
      </c>
      <c r="L4016" t="s">
        <v>4581</v>
      </c>
      <c r="S4016" t="s">
        <v>581</v>
      </c>
    </row>
    <row r="4017" spans="1:19" x14ac:dyDescent="0.25">
      <c r="A4017" t="s">
        <v>2</v>
      </c>
      <c r="L4017" t="s">
        <v>4581</v>
      </c>
      <c r="S4017" t="s">
        <v>581</v>
      </c>
    </row>
    <row r="4019" spans="1:19" x14ac:dyDescent="0.25">
      <c r="A4019" t="s">
        <v>2</v>
      </c>
      <c r="L4019" t="s">
        <v>4581</v>
      </c>
      <c r="S4019" t="s">
        <v>581</v>
      </c>
    </row>
    <row r="4020" spans="1:19" x14ac:dyDescent="0.25">
      <c r="A4020" t="s">
        <v>2</v>
      </c>
      <c r="L4020" t="s">
        <v>4580</v>
      </c>
      <c r="S4020" t="s">
        <v>581</v>
      </c>
    </row>
    <row r="4021" spans="1:19" x14ac:dyDescent="0.25">
      <c r="A4021" t="s">
        <v>2</v>
      </c>
      <c r="L4021" t="s">
        <v>4581</v>
      </c>
      <c r="S4021" t="s">
        <v>581</v>
      </c>
    </row>
    <row r="4022" spans="1:19" x14ac:dyDescent="0.25">
      <c r="A4022" t="s">
        <v>2</v>
      </c>
      <c r="L4022" t="s">
        <v>4581</v>
      </c>
      <c r="S4022" t="s">
        <v>581</v>
      </c>
    </row>
    <row r="4023" spans="1:19" x14ac:dyDescent="0.25">
      <c r="A4023" t="s">
        <v>2</v>
      </c>
      <c r="L4023" t="s">
        <v>4581</v>
      </c>
      <c r="S4023" t="s">
        <v>581</v>
      </c>
    </row>
    <row r="4024" spans="1:19" x14ac:dyDescent="0.25">
      <c r="A4024" t="s">
        <v>2</v>
      </c>
      <c r="L4024" t="s">
        <v>4581</v>
      </c>
      <c r="S4024" t="s">
        <v>581</v>
      </c>
    </row>
    <row r="4025" spans="1:19" x14ac:dyDescent="0.25">
      <c r="A4025" t="s">
        <v>2</v>
      </c>
      <c r="L4025" t="s">
        <v>4581</v>
      </c>
      <c r="S4025" t="s">
        <v>581</v>
      </c>
    </row>
    <row r="4026" spans="1:19" x14ac:dyDescent="0.25">
      <c r="A4026" t="s">
        <v>2</v>
      </c>
      <c r="L4026" t="s">
        <v>4581</v>
      </c>
      <c r="S4026" t="s">
        <v>581</v>
      </c>
    </row>
    <row r="4027" spans="1:19" x14ac:dyDescent="0.25">
      <c r="A4027" t="s">
        <v>2</v>
      </c>
      <c r="L4027" t="s">
        <v>4580</v>
      </c>
      <c r="S4027" t="s">
        <v>581</v>
      </c>
    </row>
    <row r="4028" spans="1:19" x14ac:dyDescent="0.25">
      <c r="A4028" t="s">
        <v>2</v>
      </c>
      <c r="L4028" t="s">
        <v>4581</v>
      </c>
      <c r="S4028" t="s">
        <v>581</v>
      </c>
    </row>
    <row r="4029" spans="1:19" x14ac:dyDescent="0.25">
      <c r="A4029" t="s">
        <v>2</v>
      </c>
      <c r="L4029" t="s">
        <v>4581</v>
      </c>
      <c r="S4029" t="s">
        <v>581</v>
      </c>
    </row>
    <row r="4030" spans="1:19" x14ac:dyDescent="0.25">
      <c r="A4030" t="s">
        <v>2</v>
      </c>
      <c r="L4030" t="s">
        <v>4581</v>
      </c>
      <c r="S4030" t="s">
        <v>581</v>
      </c>
    </row>
    <row r="4031" spans="1:19" x14ac:dyDescent="0.25">
      <c r="A4031" t="s">
        <v>2</v>
      </c>
      <c r="L4031" t="s">
        <v>4581</v>
      </c>
      <c r="S4031" t="s">
        <v>581</v>
      </c>
    </row>
    <row r="4032" spans="1:19" x14ac:dyDescent="0.25">
      <c r="A4032" t="s">
        <v>2</v>
      </c>
      <c r="L4032" t="s">
        <v>4581</v>
      </c>
      <c r="S4032" t="s">
        <v>581</v>
      </c>
    </row>
    <row r="4033" spans="1:50" x14ac:dyDescent="0.25">
      <c r="A4033" t="s">
        <v>2</v>
      </c>
      <c r="L4033" t="s">
        <v>4581</v>
      </c>
      <c r="S4033" t="s">
        <v>581</v>
      </c>
    </row>
    <row r="4034" spans="1:50" x14ac:dyDescent="0.25">
      <c r="A4034" t="s">
        <v>2</v>
      </c>
      <c r="L4034" t="s">
        <v>4580</v>
      </c>
      <c r="S4034" t="s">
        <v>581</v>
      </c>
    </row>
    <row r="4035" spans="1:50" x14ac:dyDescent="0.25">
      <c r="A4035" t="s">
        <v>2</v>
      </c>
      <c r="L4035" t="s">
        <v>4581</v>
      </c>
      <c r="S4035" t="s">
        <v>581</v>
      </c>
    </row>
    <row r="4036" spans="1:50" x14ac:dyDescent="0.25">
      <c r="A4036" t="s">
        <v>2</v>
      </c>
      <c r="L4036" t="s">
        <v>4581</v>
      </c>
      <c r="S4036" t="s">
        <v>581</v>
      </c>
    </row>
    <row r="4037" spans="1:50" x14ac:dyDescent="0.25">
      <c r="A4037" t="s">
        <v>2</v>
      </c>
      <c r="S4037">
        <v>0.52</v>
      </c>
      <c r="Y4037" t="s">
        <v>581</v>
      </c>
    </row>
    <row r="4038" spans="1:50" x14ac:dyDescent="0.25">
      <c r="A4038" t="s">
        <v>2</v>
      </c>
      <c r="S4038">
        <v>0.52</v>
      </c>
      <c r="Y4038" t="s">
        <v>581</v>
      </c>
    </row>
    <row r="4039" spans="1:50" x14ac:dyDescent="0.25">
      <c r="A4039" t="s">
        <v>2</v>
      </c>
      <c r="S4039">
        <v>0.52</v>
      </c>
      <c r="Y4039" t="s">
        <v>581</v>
      </c>
    </row>
    <row r="4040" spans="1:50" x14ac:dyDescent="0.25">
      <c r="A4040" t="s">
        <v>2</v>
      </c>
      <c r="S4040">
        <v>0.52</v>
      </c>
      <c r="Y4040" t="s">
        <v>581</v>
      </c>
    </row>
    <row r="4041" spans="1:50" x14ac:dyDescent="0.25">
      <c r="A4041" t="s">
        <v>2</v>
      </c>
      <c r="S4041">
        <v>0.52</v>
      </c>
      <c r="Y4041" t="s">
        <v>581</v>
      </c>
    </row>
    <row r="4042" spans="1:50" x14ac:dyDescent="0.25">
      <c r="A4042" t="s">
        <v>2</v>
      </c>
      <c r="S4042">
        <v>0.52</v>
      </c>
      <c r="Y4042" t="s">
        <v>581</v>
      </c>
    </row>
    <row r="4043" spans="1:50" x14ac:dyDescent="0.25">
      <c r="A4043" t="s">
        <v>2</v>
      </c>
      <c r="S4043">
        <v>0.52</v>
      </c>
      <c r="Y4043" t="s">
        <v>581</v>
      </c>
    </row>
    <row r="4044" spans="1:50" x14ac:dyDescent="0.25">
      <c r="A4044" t="s">
        <v>2</v>
      </c>
      <c r="S4044">
        <v>0.52</v>
      </c>
      <c r="Y4044" t="s">
        <v>581</v>
      </c>
    </row>
    <row r="4045" spans="1:50" x14ac:dyDescent="0.25">
      <c r="A4045" t="s">
        <v>2</v>
      </c>
      <c r="S4045">
        <v>0.52</v>
      </c>
      <c r="Y4045" t="s">
        <v>581</v>
      </c>
    </row>
    <row r="4046" spans="1:50" x14ac:dyDescent="0.25">
      <c r="AF4046" t="s">
        <v>23</v>
      </c>
      <c r="AX4046" t="s">
        <v>4582</v>
      </c>
    </row>
    <row r="4047" spans="1:50" x14ac:dyDescent="0.25">
      <c r="AF4047" t="s">
        <v>674</v>
      </c>
      <c r="AX4047" t="s">
        <v>4583</v>
      </c>
    </row>
    <row r="4048" spans="1:50" x14ac:dyDescent="0.25">
      <c r="AF4048" t="s">
        <v>26</v>
      </c>
    </row>
    <row r="4049" spans="1:50" x14ac:dyDescent="0.25">
      <c r="AF4049" t="s">
        <v>29</v>
      </c>
      <c r="AX4049" t="s">
        <v>4584</v>
      </c>
    </row>
    <row r="4050" spans="1:50" x14ac:dyDescent="0.25">
      <c r="AF4050" t="s">
        <v>19</v>
      </c>
      <c r="AX4050" t="s">
        <v>4585</v>
      </c>
    </row>
    <row r="4051" spans="1:50" x14ac:dyDescent="0.25">
      <c r="AF4051" t="s">
        <v>33</v>
      </c>
      <c r="AX4051" t="s">
        <v>4586</v>
      </c>
    </row>
    <row r="4052" spans="1:50" x14ac:dyDescent="0.25">
      <c r="AF4052" t="s">
        <v>878</v>
      </c>
      <c r="AX4052" t="s">
        <v>4378</v>
      </c>
    </row>
    <row r="4054" spans="1:50" x14ac:dyDescent="0.25">
      <c r="A4054" t="s">
        <v>35</v>
      </c>
      <c r="AF4054" t="s">
        <v>36</v>
      </c>
      <c r="AX4054" t="s">
        <v>37</v>
      </c>
    </row>
    <row r="4057" spans="1:50" x14ac:dyDescent="0.25">
      <c r="A4057" t="s">
        <v>39</v>
      </c>
      <c r="AF4057" t="s">
        <v>876</v>
      </c>
      <c r="AX4057" t="s">
        <v>4587</v>
      </c>
    </row>
    <row r="4058" spans="1:50" x14ac:dyDescent="0.25">
      <c r="A4058" t="s">
        <v>39</v>
      </c>
      <c r="AF4058" t="s">
        <v>42</v>
      </c>
      <c r="AX4058" t="s">
        <v>4588</v>
      </c>
    </row>
    <row r="4059" spans="1:50" x14ac:dyDescent="0.25">
      <c r="A4059" t="s">
        <v>39</v>
      </c>
      <c r="AF4059" t="s">
        <v>45</v>
      </c>
      <c r="AX4059" t="s">
        <v>4589</v>
      </c>
    </row>
    <row r="4060" spans="1:50" x14ac:dyDescent="0.25">
      <c r="A4060" t="s">
        <v>39</v>
      </c>
      <c r="AF4060" t="s">
        <v>4590</v>
      </c>
      <c r="AX4060" t="s">
        <v>4591</v>
      </c>
    </row>
    <row r="4061" spans="1:50" x14ac:dyDescent="0.25">
      <c r="A4061" t="s">
        <v>50</v>
      </c>
      <c r="AF4061" t="s">
        <v>51</v>
      </c>
      <c r="AX4061" t="s">
        <v>4592</v>
      </c>
    </row>
    <row r="4062" spans="1:50" x14ac:dyDescent="0.25">
      <c r="A4062" t="s">
        <v>895</v>
      </c>
      <c r="AF4062" t="s">
        <v>896</v>
      </c>
      <c r="AX4062" t="s">
        <v>4593</v>
      </c>
    </row>
    <row r="4063" spans="1:50" x14ac:dyDescent="0.25">
      <c r="A4063" t="s">
        <v>54</v>
      </c>
      <c r="AF4063" t="s">
        <v>55</v>
      </c>
      <c r="AX4063" t="s">
        <v>4594</v>
      </c>
    </row>
    <row r="4064" spans="1:50" x14ac:dyDescent="0.25">
      <c r="A4064" t="s">
        <v>59</v>
      </c>
      <c r="AF4064" t="s">
        <v>60</v>
      </c>
      <c r="AX4064" t="s">
        <v>4595</v>
      </c>
    </row>
    <row r="4065" spans="1:50" x14ac:dyDescent="0.25">
      <c r="A4065" t="s">
        <v>54</v>
      </c>
      <c r="AF4065" t="s">
        <v>64</v>
      </c>
      <c r="AX4065" t="s">
        <v>4596</v>
      </c>
    </row>
    <row r="4066" spans="1:50" x14ac:dyDescent="0.25">
      <c r="A4066" t="s">
        <v>66</v>
      </c>
      <c r="AF4066" t="s">
        <v>67</v>
      </c>
      <c r="AX4066" t="s">
        <v>4597</v>
      </c>
    </row>
    <row r="4067" spans="1:50" x14ac:dyDescent="0.25">
      <c r="A4067" t="s">
        <v>66</v>
      </c>
      <c r="AF4067" t="s">
        <v>70</v>
      </c>
      <c r="AX4067" t="s">
        <v>4598</v>
      </c>
    </row>
    <row r="4068" spans="1:50" x14ac:dyDescent="0.25">
      <c r="A4068" t="s">
        <v>894</v>
      </c>
      <c r="AF4068" t="s">
        <v>891</v>
      </c>
      <c r="AX4068" t="s">
        <v>4599</v>
      </c>
    </row>
    <row r="4069" spans="1:50" x14ac:dyDescent="0.25">
      <c r="A4069" t="s">
        <v>72</v>
      </c>
      <c r="AF4069" t="s">
        <v>73</v>
      </c>
      <c r="AX4069" t="s">
        <v>4600</v>
      </c>
    </row>
    <row r="4070" spans="1:50" x14ac:dyDescent="0.25">
      <c r="A4070" t="s">
        <v>77</v>
      </c>
      <c r="AF4070" t="s">
        <v>78</v>
      </c>
      <c r="AX4070" t="s">
        <v>4601</v>
      </c>
    </row>
    <row r="4071" spans="1:50" x14ac:dyDescent="0.25">
      <c r="A4071" t="s">
        <v>82</v>
      </c>
      <c r="AF4071" t="s">
        <v>83</v>
      </c>
      <c r="AX4071" t="s">
        <v>4602</v>
      </c>
    </row>
    <row r="4072" spans="1:50" x14ac:dyDescent="0.25">
      <c r="A4072" t="s">
        <v>82</v>
      </c>
      <c r="AF4072" t="s">
        <v>86</v>
      </c>
      <c r="AX4072" t="s">
        <v>4603</v>
      </c>
    </row>
    <row r="4073" spans="1:50" x14ac:dyDescent="0.25">
      <c r="A4073" t="s">
        <v>89</v>
      </c>
      <c r="AF4073" t="s">
        <v>90</v>
      </c>
      <c r="AX4073" t="s">
        <v>4604</v>
      </c>
    </row>
    <row r="4074" spans="1:50" x14ac:dyDescent="0.25">
      <c r="A4074" t="s">
        <v>93</v>
      </c>
      <c r="AF4074" t="s">
        <v>94</v>
      </c>
      <c r="AX4074" t="s">
        <v>4605</v>
      </c>
    </row>
    <row r="4075" spans="1:50" x14ac:dyDescent="0.25">
      <c r="A4075" t="s">
        <v>97</v>
      </c>
      <c r="AF4075" t="s">
        <v>98</v>
      </c>
      <c r="AX4075" t="s">
        <v>4606</v>
      </c>
    </row>
    <row r="4076" spans="1:50" x14ac:dyDescent="0.25">
      <c r="A4076" t="s">
        <v>4607</v>
      </c>
      <c r="AF4076" t="s">
        <v>102</v>
      </c>
      <c r="AX4076" t="s">
        <v>4608</v>
      </c>
    </row>
    <row r="4077" spans="1:50" x14ac:dyDescent="0.25">
      <c r="A4077" t="s">
        <v>4609</v>
      </c>
      <c r="AF4077" t="s">
        <v>106</v>
      </c>
      <c r="AX4077" t="s">
        <v>4610</v>
      </c>
    </row>
    <row r="4078" spans="1:50" x14ac:dyDescent="0.25">
      <c r="A4078" t="s">
        <v>4611</v>
      </c>
      <c r="AF4078" t="s">
        <v>540</v>
      </c>
      <c r="AX4078" t="s">
        <v>4612</v>
      </c>
    </row>
    <row r="4079" spans="1:50" x14ac:dyDescent="0.25">
      <c r="A4079" t="s">
        <v>4611</v>
      </c>
      <c r="AF4079" t="s">
        <v>113</v>
      </c>
      <c r="AX4079" t="s">
        <v>4613</v>
      </c>
    </row>
    <row r="4080" spans="1:50" x14ac:dyDescent="0.25">
      <c r="A4080" t="s">
        <v>4611</v>
      </c>
      <c r="AF4080" t="s">
        <v>116</v>
      </c>
      <c r="AX4080" t="s">
        <v>4614</v>
      </c>
    </row>
    <row r="4081" spans="1:50" x14ac:dyDescent="0.25">
      <c r="A4081" t="s">
        <v>4611</v>
      </c>
      <c r="AF4081" t="s">
        <v>119</v>
      </c>
      <c r="AX4081" t="s">
        <v>4615</v>
      </c>
    </row>
    <row r="4082" spans="1:50" x14ac:dyDescent="0.25">
      <c r="A4082" t="s">
        <v>4611</v>
      </c>
      <c r="AF4082" t="s">
        <v>122</v>
      </c>
      <c r="AX4082" t="s">
        <v>4616</v>
      </c>
    </row>
    <row r="4083" spans="1:50" x14ac:dyDescent="0.25">
      <c r="A4083" t="s">
        <v>4611</v>
      </c>
      <c r="AF4083" t="s">
        <v>125</v>
      </c>
    </row>
    <row r="4084" spans="1:50" x14ac:dyDescent="0.25">
      <c r="A4084" t="s">
        <v>127</v>
      </c>
      <c r="AF4084" t="s">
        <v>128</v>
      </c>
      <c r="AX4084" t="s">
        <v>4617</v>
      </c>
    </row>
    <row r="4085" spans="1:50" x14ac:dyDescent="0.25">
      <c r="A4085" t="s">
        <v>919</v>
      </c>
      <c r="AF4085" t="s">
        <v>911</v>
      </c>
      <c r="AX4085" t="s">
        <v>4618</v>
      </c>
    </row>
    <row r="4086" spans="1:50" x14ac:dyDescent="0.25">
      <c r="A4086" t="s">
        <v>132</v>
      </c>
      <c r="AF4086" t="s">
        <v>133</v>
      </c>
      <c r="AX4086" t="s">
        <v>4619</v>
      </c>
    </row>
    <row r="4087" spans="1:50" x14ac:dyDescent="0.25">
      <c r="A4087" t="s">
        <v>136</v>
      </c>
      <c r="AF4087" t="s">
        <v>137</v>
      </c>
      <c r="AX4087" t="s">
        <v>4620</v>
      </c>
    </row>
    <row r="4088" spans="1:50" x14ac:dyDescent="0.25">
      <c r="A4088" t="s">
        <v>4621</v>
      </c>
      <c r="AF4088" t="s">
        <v>141</v>
      </c>
      <c r="AX4088" t="s">
        <v>142</v>
      </c>
    </row>
    <row r="4089" spans="1:50" x14ac:dyDescent="0.25">
      <c r="A4089" t="s">
        <v>849</v>
      </c>
      <c r="AF4089" t="s">
        <v>145</v>
      </c>
      <c r="AX4089" t="s">
        <v>4622</v>
      </c>
    </row>
    <row r="4090" spans="1:50" x14ac:dyDescent="0.25">
      <c r="A4090" t="s">
        <v>849</v>
      </c>
      <c r="AF4090" t="s">
        <v>148</v>
      </c>
    </row>
    <row r="4091" spans="1:50" x14ac:dyDescent="0.25">
      <c r="A4091" t="s">
        <v>150</v>
      </c>
      <c r="AF4091" t="s">
        <v>151</v>
      </c>
      <c r="AX4091" t="s">
        <v>4623</v>
      </c>
    </row>
    <row r="4092" spans="1:50" x14ac:dyDescent="0.25">
      <c r="A4092" t="s">
        <v>150</v>
      </c>
      <c r="AF4092" t="s">
        <v>155</v>
      </c>
    </row>
    <row r="4093" spans="1:50" x14ac:dyDescent="0.25">
      <c r="A4093" t="s">
        <v>150</v>
      </c>
      <c r="AF4093" t="s">
        <v>158</v>
      </c>
      <c r="AX4093" t="s">
        <v>4624</v>
      </c>
    </row>
    <row r="4094" spans="1:50" x14ac:dyDescent="0.25">
      <c r="A4094" t="s">
        <v>161</v>
      </c>
      <c r="AF4094" t="s">
        <v>162</v>
      </c>
      <c r="AX4094" t="s">
        <v>4625</v>
      </c>
    </row>
    <row r="4095" spans="1:50" x14ac:dyDescent="0.25">
      <c r="A4095" t="s">
        <v>161</v>
      </c>
      <c r="AF4095" t="s">
        <v>166</v>
      </c>
      <c r="AX4095" t="s">
        <v>4626</v>
      </c>
    </row>
    <row r="4096" spans="1:50" x14ac:dyDescent="0.25">
      <c r="A4096" t="s">
        <v>168</v>
      </c>
      <c r="AF4096" t="s">
        <v>169</v>
      </c>
      <c r="AX4096" t="s">
        <v>4627</v>
      </c>
    </row>
    <row r="4097" spans="1:50" x14ac:dyDescent="0.25">
      <c r="A4097" t="s">
        <v>903</v>
      </c>
      <c r="AF4097" t="s">
        <v>903</v>
      </c>
      <c r="AX4097" t="s">
        <v>4628</v>
      </c>
    </row>
    <row r="4098" spans="1:50" x14ac:dyDescent="0.25">
      <c r="A4098" t="s">
        <v>4629</v>
      </c>
      <c r="AF4098" t="s">
        <v>174</v>
      </c>
      <c r="AX4098" t="s">
        <v>4630</v>
      </c>
    </row>
    <row r="4099" spans="1:50" x14ac:dyDescent="0.25">
      <c r="A4099" t="s">
        <v>177</v>
      </c>
      <c r="AF4099" t="s">
        <v>178</v>
      </c>
      <c r="AX4099" t="s">
        <v>4631</v>
      </c>
    </row>
    <row r="4100" spans="1:50" x14ac:dyDescent="0.25">
      <c r="A4100" t="s">
        <v>181</v>
      </c>
      <c r="AF4100" t="s">
        <v>182</v>
      </c>
      <c r="AX4100" t="s">
        <v>4632</v>
      </c>
    </row>
    <row r="4101" spans="1:50" x14ac:dyDescent="0.25">
      <c r="A4101" t="s">
        <v>4633</v>
      </c>
      <c r="AF4101" t="s">
        <v>187</v>
      </c>
      <c r="AX4101" t="s">
        <v>4634</v>
      </c>
    </row>
    <row r="4102" spans="1:50" x14ac:dyDescent="0.25">
      <c r="A4102" t="s">
        <v>190</v>
      </c>
      <c r="AF4102" t="s">
        <v>4635</v>
      </c>
      <c r="AX4102" t="s">
        <v>4636</v>
      </c>
    </row>
    <row r="4103" spans="1:50" x14ac:dyDescent="0.25">
      <c r="A4103" t="s">
        <v>194</v>
      </c>
      <c r="AF4103" t="s">
        <v>195</v>
      </c>
      <c r="AX4103" t="s">
        <v>4637</v>
      </c>
    </row>
    <row r="4104" spans="1:50" x14ac:dyDescent="0.25">
      <c r="A4104" t="s">
        <v>198</v>
      </c>
      <c r="AF4104" t="s">
        <v>199</v>
      </c>
      <c r="AX4104" t="s">
        <v>4638</v>
      </c>
    </row>
    <row r="4105" spans="1:50" x14ac:dyDescent="0.25">
      <c r="A4105" t="s">
        <v>4639</v>
      </c>
      <c r="AF4105" t="s">
        <v>203</v>
      </c>
      <c r="AX4105" t="s">
        <v>4640</v>
      </c>
    </row>
    <row r="4106" spans="1:50" x14ac:dyDescent="0.25">
      <c r="A4106" t="s">
        <v>206</v>
      </c>
      <c r="AF4106" t="s">
        <v>207</v>
      </c>
      <c r="AX4106" t="s">
        <v>4641</v>
      </c>
    </row>
    <row r="4107" spans="1:50" x14ac:dyDescent="0.25">
      <c r="A4107" t="s">
        <v>206</v>
      </c>
      <c r="AF4107" t="s">
        <v>210</v>
      </c>
      <c r="AX4107" t="s">
        <v>4642</v>
      </c>
    </row>
    <row r="4108" spans="1:50" x14ac:dyDescent="0.25">
      <c r="A4108" t="s">
        <v>212</v>
      </c>
      <c r="AF4108" t="s">
        <v>213</v>
      </c>
      <c r="AX4108" t="s">
        <v>4643</v>
      </c>
    </row>
    <row r="4109" spans="1:50" x14ac:dyDescent="0.25">
      <c r="A4109" t="s">
        <v>4644</v>
      </c>
      <c r="AF4109" t="s">
        <v>94</v>
      </c>
      <c r="AX4109" t="s">
        <v>4605</v>
      </c>
    </row>
    <row r="4110" spans="1:50" x14ac:dyDescent="0.25">
      <c r="A4110" t="s">
        <v>4645</v>
      </c>
      <c r="AX4110" t="s">
        <v>4618</v>
      </c>
    </row>
    <row r="4111" spans="1:50" x14ac:dyDescent="0.25">
      <c r="A4111" t="s">
        <v>942</v>
      </c>
      <c r="AF4111" t="s">
        <v>942</v>
      </c>
      <c r="AX4111" t="s">
        <v>4646</v>
      </c>
    </row>
    <row r="4112" spans="1:50" x14ac:dyDescent="0.25">
      <c r="A4112" t="s">
        <v>4647</v>
      </c>
      <c r="AF4112" t="s">
        <v>219</v>
      </c>
    </row>
    <row r="4113" spans="1:50" x14ac:dyDescent="0.25">
      <c r="A4113" t="s">
        <v>888</v>
      </c>
      <c r="AF4113" t="s">
        <v>888</v>
      </c>
      <c r="AX4113" t="s">
        <v>4648</v>
      </c>
    </row>
    <row r="4114" spans="1:50" x14ac:dyDescent="0.25">
      <c r="A4114" t="s">
        <v>222</v>
      </c>
      <c r="AF4114" t="s">
        <v>223</v>
      </c>
      <c r="AX4114" t="s">
        <v>4649</v>
      </c>
    </row>
    <row r="4115" spans="1:50" x14ac:dyDescent="0.25">
      <c r="A4115" t="s">
        <v>222</v>
      </c>
      <c r="AF4115" t="s">
        <v>226</v>
      </c>
      <c r="AX4115" t="s">
        <v>4650</v>
      </c>
    </row>
    <row r="4116" spans="1:50" x14ac:dyDescent="0.25">
      <c r="A4116" t="s">
        <v>228</v>
      </c>
      <c r="AF4116" t="s">
        <v>229</v>
      </c>
      <c r="AX4116" t="s">
        <v>4651</v>
      </c>
    </row>
    <row r="4117" spans="1:50" x14ac:dyDescent="0.25">
      <c r="A4117" t="s">
        <v>232</v>
      </c>
      <c r="AF4117" t="s">
        <v>233</v>
      </c>
      <c r="AX4117" t="s">
        <v>4652</v>
      </c>
    </row>
    <row r="4118" spans="1:50" x14ac:dyDescent="0.25">
      <c r="A4118" t="s">
        <v>232</v>
      </c>
      <c r="AF4118" t="s">
        <v>236</v>
      </c>
      <c r="AX4118" t="s">
        <v>4653</v>
      </c>
    </row>
    <row r="4119" spans="1:50" x14ac:dyDescent="0.25">
      <c r="A4119" t="s">
        <v>238</v>
      </c>
      <c r="AF4119" t="s">
        <v>239</v>
      </c>
      <c r="AX4119" t="s">
        <v>4654</v>
      </c>
    </row>
    <row r="4120" spans="1:50" x14ac:dyDescent="0.25">
      <c r="A4120" t="s">
        <v>242</v>
      </c>
      <c r="AF4120" t="s">
        <v>243</v>
      </c>
      <c r="AX4120" t="s">
        <v>4655</v>
      </c>
    </row>
    <row r="4121" spans="1:50" x14ac:dyDescent="0.25">
      <c r="A4121" t="s">
        <v>246</v>
      </c>
      <c r="AF4121" t="s">
        <v>247</v>
      </c>
      <c r="AX4121" t="s">
        <v>4656</v>
      </c>
    </row>
    <row r="4122" spans="1:50" x14ac:dyDescent="0.25">
      <c r="A4122" t="s">
        <v>250</v>
      </c>
      <c r="AF4122" t="s">
        <v>250</v>
      </c>
      <c r="AX4122" t="s">
        <v>4657</v>
      </c>
    </row>
    <row r="4123" spans="1:50" x14ac:dyDescent="0.25">
      <c r="A4123" t="s">
        <v>252</v>
      </c>
      <c r="AF4123" t="s">
        <v>252</v>
      </c>
      <c r="AX4123" t="s">
        <v>4658</v>
      </c>
    </row>
    <row r="4124" spans="1:50" x14ac:dyDescent="0.25">
      <c r="A4124" t="s">
        <v>259</v>
      </c>
      <c r="AF4124" t="s">
        <v>256</v>
      </c>
      <c r="AX4124" t="s">
        <v>4659</v>
      </c>
    </row>
    <row r="4125" spans="1:50" x14ac:dyDescent="0.25">
      <c r="A4125" t="s">
        <v>933</v>
      </c>
      <c r="AF4125" t="s">
        <v>934</v>
      </c>
      <c r="AX4125" t="s">
        <v>4660</v>
      </c>
    </row>
    <row r="4126" spans="1:50" x14ac:dyDescent="0.25">
      <c r="A4126" t="s">
        <v>4661</v>
      </c>
      <c r="AF4126" t="s">
        <v>907</v>
      </c>
      <c r="AX4126" t="s">
        <v>4662</v>
      </c>
    </row>
    <row r="4127" spans="1:50" x14ac:dyDescent="0.25">
      <c r="A4127" t="s">
        <v>259</v>
      </c>
      <c r="AF4127" t="s">
        <v>260</v>
      </c>
      <c r="AX4127" t="s">
        <v>4663</v>
      </c>
    </row>
    <row r="4128" spans="1:50" x14ac:dyDescent="0.25">
      <c r="A4128" t="s">
        <v>262</v>
      </c>
      <c r="AF4128" t="s">
        <v>263</v>
      </c>
      <c r="AX4128" t="s">
        <v>4664</v>
      </c>
    </row>
    <row r="4129" spans="1:50" x14ac:dyDescent="0.25">
      <c r="A4129" t="s">
        <v>267</v>
      </c>
      <c r="AF4129" t="s">
        <v>268</v>
      </c>
      <c r="AX4129" t="s">
        <v>4665</v>
      </c>
    </row>
    <row r="4130" spans="1:50" x14ac:dyDescent="0.25">
      <c r="A4130" t="s">
        <v>271</v>
      </c>
      <c r="AF4130" t="s">
        <v>272</v>
      </c>
      <c r="AX4130" t="s">
        <v>4666</v>
      </c>
    </row>
    <row r="4131" spans="1:50" x14ac:dyDescent="0.25">
      <c r="A4131" t="s">
        <v>275</v>
      </c>
      <c r="AF4131" t="s">
        <v>275</v>
      </c>
      <c r="AX4131" t="s">
        <v>4667</v>
      </c>
    </row>
    <row r="4132" spans="1:50" x14ac:dyDescent="0.25">
      <c r="A4132" t="s">
        <v>278</v>
      </c>
      <c r="AF4132" t="s">
        <v>279</v>
      </c>
      <c r="AX4132" t="s">
        <v>4618</v>
      </c>
    </row>
    <row r="4133" spans="1:50" x14ac:dyDescent="0.25">
      <c r="A4133" t="s">
        <v>881</v>
      </c>
      <c r="AF4133" t="s">
        <v>911</v>
      </c>
      <c r="AX4133" t="s">
        <v>4668</v>
      </c>
    </row>
    <row r="4134" spans="1:50" x14ac:dyDescent="0.25">
      <c r="A4134" t="s">
        <v>4669</v>
      </c>
      <c r="AF4134" t="s">
        <v>851</v>
      </c>
      <c r="AX4134" t="s">
        <v>4670</v>
      </c>
    </row>
    <row r="4135" spans="1:50" x14ac:dyDescent="0.25">
      <c r="A4135" t="s">
        <v>4669</v>
      </c>
      <c r="AF4135" t="s">
        <v>856</v>
      </c>
      <c r="AX4135" t="s">
        <v>4671</v>
      </c>
    </row>
    <row r="4136" spans="1:50" x14ac:dyDescent="0.25">
      <c r="A4136" t="s">
        <v>881</v>
      </c>
      <c r="AF4136" t="s">
        <v>852</v>
      </c>
      <c r="AX4136" t="s">
        <v>4672</v>
      </c>
    </row>
    <row r="4137" spans="1:50" x14ac:dyDescent="0.25">
      <c r="A4137" t="s">
        <v>283</v>
      </c>
      <c r="AF4137" t="s">
        <v>284</v>
      </c>
      <c r="AX4137" t="s">
        <v>4673</v>
      </c>
    </row>
    <row r="4138" spans="1:50" x14ac:dyDescent="0.25">
      <c r="A4138" t="s">
        <v>287</v>
      </c>
      <c r="AF4138" t="s">
        <v>288</v>
      </c>
      <c r="AX4138" t="s">
        <v>4674</v>
      </c>
    </row>
    <row r="4139" spans="1:50" x14ac:dyDescent="0.25">
      <c r="A4139" t="s">
        <v>291</v>
      </c>
      <c r="AF4139" t="s">
        <v>292</v>
      </c>
      <c r="AX4139" t="s">
        <v>4675</v>
      </c>
    </row>
    <row r="4140" spans="1:50" x14ac:dyDescent="0.25">
      <c r="A4140" t="s">
        <v>296</v>
      </c>
      <c r="AF4140" t="s">
        <v>297</v>
      </c>
      <c r="AX4140" t="s">
        <v>4676</v>
      </c>
    </row>
    <row r="4141" spans="1:50" x14ac:dyDescent="0.25">
      <c r="A4141" t="s">
        <v>296</v>
      </c>
      <c r="AF4141" t="s">
        <v>301</v>
      </c>
      <c r="AX4141" t="s">
        <v>4677</v>
      </c>
    </row>
    <row r="4142" spans="1:50" x14ac:dyDescent="0.25">
      <c r="A4142" t="s">
        <v>303</v>
      </c>
      <c r="AF4142" t="s">
        <v>304</v>
      </c>
      <c r="AX4142" t="s">
        <v>4678</v>
      </c>
    </row>
    <row r="4143" spans="1:50" x14ac:dyDescent="0.25">
      <c r="A4143" t="s">
        <v>307</v>
      </c>
      <c r="AF4143" t="s">
        <v>308</v>
      </c>
      <c r="AX4143" t="s">
        <v>4679</v>
      </c>
    </row>
    <row r="4144" spans="1:50" x14ac:dyDescent="0.25">
      <c r="A4144" t="s">
        <v>311</v>
      </c>
      <c r="AF4144" t="s">
        <v>312</v>
      </c>
      <c r="AX4144" t="s">
        <v>4680</v>
      </c>
    </row>
    <row r="4145" spans="1:50" x14ac:dyDescent="0.25">
      <c r="A4145" t="s">
        <v>311</v>
      </c>
      <c r="AF4145" t="s">
        <v>316</v>
      </c>
      <c r="AX4145" t="s">
        <v>4681</v>
      </c>
    </row>
    <row r="4146" spans="1:50" x14ac:dyDescent="0.25">
      <c r="A4146" t="s">
        <v>311</v>
      </c>
      <c r="AF4146" t="s">
        <v>4682</v>
      </c>
      <c r="AX4146" t="s">
        <v>4683</v>
      </c>
    </row>
    <row r="4147" spans="1:50" x14ac:dyDescent="0.25">
      <c r="A4147" t="s">
        <v>321</v>
      </c>
      <c r="AF4147" t="s">
        <v>322</v>
      </c>
      <c r="AX4147" t="s">
        <v>4684</v>
      </c>
    </row>
    <row r="4148" spans="1:50" x14ac:dyDescent="0.25">
      <c r="A4148" t="s">
        <v>325</v>
      </c>
      <c r="AF4148" t="s">
        <v>326</v>
      </c>
      <c r="AX4148" t="s">
        <v>4685</v>
      </c>
    </row>
    <row r="4149" spans="1:50" x14ac:dyDescent="0.25">
      <c r="A4149" t="s">
        <v>325</v>
      </c>
      <c r="AF4149" t="s">
        <v>330</v>
      </c>
      <c r="AX4149" t="s">
        <v>4686</v>
      </c>
    </row>
    <row r="4150" spans="1:50" x14ac:dyDescent="0.25">
      <c r="A4150" t="s">
        <v>325</v>
      </c>
      <c r="AF4150" t="s">
        <v>332</v>
      </c>
      <c r="AX4150" t="s">
        <v>4687</v>
      </c>
    </row>
    <row r="4151" spans="1:50" x14ac:dyDescent="0.25">
      <c r="A4151" t="s">
        <v>334</v>
      </c>
      <c r="AF4151" t="s">
        <v>335</v>
      </c>
      <c r="AX4151" t="s">
        <v>4688</v>
      </c>
    </row>
    <row r="4152" spans="1:50" x14ac:dyDescent="0.25">
      <c r="A4152" t="s">
        <v>338</v>
      </c>
      <c r="AF4152" t="s">
        <v>339</v>
      </c>
      <c r="AX4152" t="s">
        <v>4689</v>
      </c>
    </row>
    <row r="4153" spans="1:50" x14ac:dyDescent="0.25">
      <c r="A4153" t="s">
        <v>338</v>
      </c>
      <c r="AF4153" t="s">
        <v>343</v>
      </c>
      <c r="AX4153" t="s">
        <v>4690</v>
      </c>
    </row>
    <row r="4154" spans="1:50" x14ac:dyDescent="0.25">
      <c r="A4154" t="s">
        <v>346</v>
      </c>
      <c r="AF4154" t="s">
        <v>347</v>
      </c>
      <c r="AX4154" t="s">
        <v>4691</v>
      </c>
    </row>
    <row r="4155" spans="1:50" x14ac:dyDescent="0.25">
      <c r="A4155" t="s">
        <v>350</v>
      </c>
      <c r="AF4155" t="s">
        <v>351</v>
      </c>
      <c r="AX4155" t="s">
        <v>4692</v>
      </c>
    </row>
    <row r="4156" spans="1:50" x14ac:dyDescent="0.25">
      <c r="A4156" t="s">
        <v>4693</v>
      </c>
      <c r="AF4156" t="s">
        <v>356</v>
      </c>
      <c r="AX4156" t="s">
        <v>4694</v>
      </c>
    </row>
    <row r="4157" spans="1:50" x14ac:dyDescent="0.25">
      <c r="A4157" t="s">
        <v>4693</v>
      </c>
      <c r="AF4157" t="s">
        <v>360</v>
      </c>
      <c r="AX4157" t="s">
        <v>4695</v>
      </c>
    </row>
    <row r="4158" spans="1:50" x14ac:dyDescent="0.25">
      <c r="A4158" t="s">
        <v>362</v>
      </c>
      <c r="AF4158" t="s">
        <v>363</v>
      </c>
      <c r="AX4158" t="s">
        <v>4696</v>
      </c>
    </row>
    <row r="4159" spans="1:50" x14ac:dyDescent="0.25">
      <c r="A4159" t="s">
        <v>366</v>
      </c>
      <c r="AF4159" t="s">
        <v>367</v>
      </c>
      <c r="AX4159" t="s">
        <v>4697</v>
      </c>
    </row>
    <row r="4160" spans="1:50" x14ac:dyDescent="0.25">
      <c r="A4160" t="s">
        <v>929</v>
      </c>
      <c r="AX4160" t="s">
        <v>4698</v>
      </c>
    </row>
    <row r="4161" spans="1:50" x14ac:dyDescent="0.25">
      <c r="A4161" t="s">
        <v>370</v>
      </c>
      <c r="AF4161" t="s">
        <v>371</v>
      </c>
      <c r="AX4161" t="s">
        <v>4699</v>
      </c>
    </row>
    <row r="4162" spans="1:50" x14ac:dyDescent="0.25">
      <c r="A4162" t="s">
        <v>370</v>
      </c>
      <c r="AF4162" t="s">
        <v>375</v>
      </c>
      <c r="AX4162" t="s">
        <v>4700</v>
      </c>
    </row>
    <row r="4163" spans="1:50" x14ac:dyDescent="0.25">
      <c r="A4163" t="s">
        <v>376</v>
      </c>
      <c r="AF4163" t="s">
        <v>377</v>
      </c>
      <c r="AX4163" t="s">
        <v>4701</v>
      </c>
    </row>
    <row r="4164" spans="1:50" x14ac:dyDescent="0.25">
      <c r="A4164" t="s">
        <v>376</v>
      </c>
      <c r="AF4164" t="s">
        <v>381</v>
      </c>
      <c r="AX4164" t="s">
        <v>4702</v>
      </c>
    </row>
    <row r="4165" spans="1:50" x14ac:dyDescent="0.25">
      <c r="A4165" t="s">
        <v>383</v>
      </c>
      <c r="AF4165" t="s">
        <v>384</v>
      </c>
      <c r="AX4165" t="s">
        <v>385</v>
      </c>
    </row>
    <row r="4166" spans="1:50" x14ac:dyDescent="0.25">
      <c r="A4166" t="s">
        <v>388</v>
      </c>
      <c r="AF4166" t="s">
        <v>389</v>
      </c>
      <c r="AX4166" t="s">
        <v>4703</v>
      </c>
    </row>
    <row r="4167" spans="1:50" x14ac:dyDescent="0.25">
      <c r="A4167" t="s">
        <v>392</v>
      </c>
      <c r="AF4167" t="s">
        <v>4704</v>
      </c>
      <c r="AX4167" t="s">
        <v>4705</v>
      </c>
    </row>
    <row r="4168" spans="1:50" x14ac:dyDescent="0.25">
      <c r="A4168" t="s">
        <v>899</v>
      </c>
      <c r="AF4168" t="s">
        <v>900</v>
      </c>
      <c r="AX4168" t="s">
        <v>4705</v>
      </c>
    </row>
    <row r="4169" spans="1:50" x14ac:dyDescent="0.25">
      <c r="A4169" t="s">
        <v>925</v>
      </c>
      <c r="AF4169" t="s">
        <v>924</v>
      </c>
      <c r="AX4169" t="s">
        <v>4706</v>
      </c>
    </row>
    <row r="4170" spans="1:50" x14ac:dyDescent="0.25">
      <c r="A4170" t="s">
        <v>396</v>
      </c>
      <c r="AF4170" t="s">
        <v>397</v>
      </c>
      <c r="AX4170" t="s">
        <v>4707</v>
      </c>
    </row>
    <row r="4171" spans="1:50" x14ac:dyDescent="0.25">
      <c r="A4171" t="s">
        <v>400</v>
      </c>
      <c r="AF4171" t="s">
        <v>401</v>
      </c>
      <c r="AX4171" t="s">
        <v>4708</v>
      </c>
    </row>
    <row r="4172" spans="1:50" x14ac:dyDescent="0.25">
      <c r="A4172" t="s">
        <v>404</v>
      </c>
      <c r="AF4172" t="s">
        <v>405</v>
      </c>
      <c r="AX4172" t="s">
        <v>4709</v>
      </c>
    </row>
    <row r="4173" spans="1:50" x14ac:dyDescent="0.25">
      <c r="A4173" t="s">
        <v>404</v>
      </c>
      <c r="AF4173" t="s">
        <v>409</v>
      </c>
      <c r="AX4173" t="s">
        <v>4710</v>
      </c>
    </row>
    <row r="4174" spans="1:50" x14ac:dyDescent="0.25">
      <c r="A4174" t="s">
        <v>4711</v>
      </c>
      <c r="AF4174" t="s">
        <v>412</v>
      </c>
      <c r="AX4174" t="s">
        <v>4712</v>
      </c>
    </row>
    <row r="4175" spans="1:50" x14ac:dyDescent="0.25">
      <c r="A4175" t="s">
        <v>415</v>
      </c>
      <c r="AF4175" t="s">
        <v>416</v>
      </c>
      <c r="AX4175" t="s">
        <v>4713</v>
      </c>
    </row>
    <row r="4176" spans="1:50" x14ac:dyDescent="0.25">
      <c r="A4176" t="s">
        <v>4714</v>
      </c>
      <c r="AF4176" t="s">
        <v>4715</v>
      </c>
      <c r="AX4176" t="s">
        <v>4716</v>
      </c>
    </row>
    <row r="4177" spans="1:50" x14ac:dyDescent="0.25">
      <c r="A4177" t="s">
        <v>423</v>
      </c>
      <c r="AF4177" t="s">
        <v>424</v>
      </c>
      <c r="AX4177" t="s">
        <v>4717</v>
      </c>
    </row>
    <row r="4178" spans="1:50" x14ac:dyDescent="0.25">
      <c r="A4178" t="s">
        <v>427</v>
      </c>
      <c r="AF4178" t="s">
        <v>428</v>
      </c>
      <c r="AX4178" t="s">
        <v>4718</v>
      </c>
    </row>
    <row r="4179" spans="1:50" x14ac:dyDescent="0.25">
      <c r="A4179" t="s">
        <v>4719</v>
      </c>
      <c r="AF4179" t="s">
        <v>432</v>
      </c>
      <c r="AX4179" t="s">
        <v>4720</v>
      </c>
    </row>
    <row r="4180" spans="1:50" x14ac:dyDescent="0.25">
      <c r="A4180" t="s">
        <v>435</v>
      </c>
      <c r="AF4180" t="s">
        <v>436</v>
      </c>
      <c r="AX4180" t="s">
        <v>4721</v>
      </c>
    </row>
    <row r="4181" spans="1:50" x14ac:dyDescent="0.25">
      <c r="A4181" t="s">
        <v>435</v>
      </c>
      <c r="AF4181" t="s">
        <v>4722</v>
      </c>
      <c r="AX4181" t="s">
        <v>4723</v>
      </c>
    </row>
    <row r="4182" spans="1:50" x14ac:dyDescent="0.25">
      <c r="A4182" t="s">
        <v>435</v>
      </c>
      <c r="AF4182" t="s">
        <v>443</v>
      </c>
      <c r="AX4182" t="s">
        <v>4724</v>
      </c>
    </row>
    <row r="4183" spans="1:50" x14ac:dyDescent="0.25">
      <c r="A4183" t="s">
        <v>445</v>
      </c>
      <c r="AF4183" t="s">
        <v>446</v>
      </c>
      <c r="AX4183" t="s">
        <v>4725</v>
      </c>
    </row>
    <row r="4184" spans="1:50" x14ac:dyDescent="0.25">
      <c r="A4184" t="s">
        <v>449</v>
      </c>
      <c r="AF4184" t="s">
        <v>4726</v>
      </c>
      <c r="AX4184" t="s">
        <v>4727</v>
      </c>
    </row>
    <row r="4185" spans="1:50" x14ac:dyDescent="0.25">
      <c r="A4185" t="s">
        <v>941</v>
      </c>
    </row>
    <row r="4186" spans="1:50" x14ac:dyDescent="0.25">
      <c r="A4186" t="s">
        <v>862</v>
      </c>
      <c r="AF4186" t="s">
        <v>863</v>
      </c>
    </row>
    <row r="4187" spans="1:50" x14ac:dyDescent="0.25">
      <c r="A4187" t="s">
        <v>454</v>
      </c>
      <c r="AF4187" t="s">
        <v>455</v>
      </c>
      <c r="AX4187" t="s">
        <v>4728</v>
      </c>
    </row>
    <row r="4188" spans="1:50" x14ac:dyDescent="0.25">
      <c r="A4188" t="s">
        <v>458</v>
      </c>
      <c r="AF4188" t="s">
        <v>459</v>
      </c>
      <c r="AX4188" t="s">
        <v>4729</v>
      </c>
    </row>
    <row r="4189" spans="1:50" x14ac:dyDescent="0.25">
      <c r="A4189" t="s">
        <v>462</v>
      </c>
      <c r="AF4189" t="s">
        <v>463</v>
      </c>
      <c r="AX4189" t="s">
        <v>4730</v>
      </c>
    </row>
    <row r="4190" spans="1:50" x14ac:dyDescent="0.25">
      <c r="A4190" t="s">
        <v>462</v>
      </c>
      <c r="AF4190" t="s">
        <v>467</v>
      </c>
      <c r="AX4190" t="s">
        <v>4731</v>
      </c>
    </row>
    <row r="4191" spans="1:50" x14ac:dyDescent="0.25">
      <c r="A4191" t="s">
        <v>462</v>
      </c>
      <c r="AF4191" t="s">
        <v>470</v>
      </c>
      <c r="AX4191" t="s">
        <v>4732</v>
      </c>
    </row>
    <row r="4192" spans="1:50" x14ac:dyDescent="0.25">
      <c r="A4192" t="s">
        <v>462</v>
      </c>
      <c r="AF4192" t="s">
        <v>473</v>
      </c>
      <c r="AX4192" t="s">
        <v>4733</v>
      </c>
    </row>
    <row r="4193" spans="1:50" x14ac:dyDescent="0.25">
      <c r="A4193" t="s">
        <v>462</v>
      </c>
      <c r="AF4193" t="s">
        <v>476</v>
      </c>
      <c r="AX4193" t="s">
        <v>4734</v>
      </c>
    </row>
    <row r="4194" spans="1:50" x14ac:dyDescent="0.25">
      <c r="A4194" t="s">
        <v>462</v>
      </c>
      <c r="AF4194" t="s">
        <v>479</v>
      </c>
      <c r="AX4194" t="s">
        <v>4735</v>
      </c>
    </row>
    <row r="4195" spans="1:50" x14ac:dyDescent="0.25">
      <c r="A4195" t="s">
        <v>481</v>
      </c>
      <c r="AF4195" t="s">
        <v>482</v>
      </c>
      <c r="AX4195" t="s">
        <v>4736</v>
      </c>
    </row>
    <row r="4196" spans="1:50" x14ac:dyDescent="0.25">
      <c r="A4196" t="s">
        <v>485</v>
      </c>
      <c r="AF4196" t="s">
        <v>486</v>
      </c>
      <c r="AX4196" t="s">
        <v>487</v>
      </c>
    </row>
    <row r="4197" spans="1:50" x14ac:dyDescent="0.25">
      <c r="A4197" t="s">
        <v>490</v>
      </c>
      <c r="AF4197" t="s">
        <v>491</v>
      </c>
      <c r="AX4197" t="s">
        <v>4737</v>
      </c>
    </row>
    <row r="4198" spans="1:50" x14ac:dyDescent="0.25">
      <c r="A4198" t="s">
        <v>4738</v>
      </c>
      <c r="AF4198" t="s">
        <v>495</v>
      </c>
      <c r="AX4198" t="s">
        <v>4739</v>
      </c>
    </row>
    <row r="4199" spans="1:50" x14ac:dyDescent="0.25">
      <c r="A4199" t="s">
        <v>4738</v>
      </c>
      <c r="AF4199" t="s">
        <v>499</v>
      </c>
      <c r="AX4199" t="s">
        <v>4740</v>
      </c>
    </row>
    <row r="4200" spans="1:50" x14ac:dyDescent="0.25">
      <c r="A4200" t="s">
        <v>4738</v>
      </c>
      <c r="AF4200" t="s">
        <v>502</v>
      </c>
      <c r="AX4200" t="s">
        <v>4741</v>
      </c>
    </row>
    <row r="4201" spans="1:50" x14ac:dyDescent="0.25">
      <c r="A4201" t="s">
        <v>4742</v>
      </c>
      <c r="AF4201" t="s">
        <v>505</v>
      </c>
      <c r="AX4201" t="s">
        <v>4743</v>
      </c>
    </row>
    <row r="4202" spans="1:50" x14ac:dyDescent="0.25">
      <c r="A4202" t="s">
        <v>508</v>
      </c>
      <c r="AF4202" t="s">
        <v>509</v>
      </c>
      <c r="AX4202" t="s">
        <v>4744</v>
      </c>
    </row>
    <row r="4203" spans="1:50" x14ac:dyDescent="0.25">
      <c r="A4203" t="s">
        <v>508</v>
      </c>
      <c r="AF4203" t="s">
        <v>513</v>
      </c>
      <c r="AX4203" t="s">
        <v>4745</v>
      </c>
    </row>
    <row r="4204" spans="1:50" x14ac:dyDescent="0.25">
      <c r="A4204" t="s">
        <v>508</v>
      </c>
      <c r="AF4204" t="s">
        <v>516</v>
      </c>
      <c r="AX4204" t="s">
        <v>4746</v>
      </c>
    </row>
    <row r="4205" spans="1:50" x14ac:dyDescent="0.25">
      <c r="A4205" t="s">
        <v>519</v>
      </c>
      <c r="AF4205" t="s">
        <v>73</v>
      </c>
      <c r="AX4205" t="s">
        <v>4600</v>
      </c>
    </row>
    <row r="4206" spans="1:50" x14ac:dyDescent="0.25">
      <c r="A4206" t="s">
        <v>520</v>
      </c>
      <c r="AF4206" t="s">
        <v>521</v>
      </c>
      <c r="AX4206" t="s">
        <v>4747</v>
      </c>
    </row>
    <row r="4207" spans="1:50" x14ac:dyDescent="0.25">
      <c r="A4207" t="s">
        <v>937</v>
      </c>
      <c r="AF4207" t="s">
        <v>938</v>
      </c>
    </row>
    <row r="4208" spans="1:50" x14ac:dyDescent="0.25">
      <c r="A4208" t="s">
        <v>947</v>
      </c>
      <c r="AF4208" t="s">
        <v>947</v>
      </c>
      <c r="AX4208" t="s">
        <v>4748</v>
      </c>
    </row>
    <row r="4209" spans="1:50" x14ac:dyDescent="0.25">
      <c r="A4209" t="s">
        <v>4749</v>
      </c>
      <c r="AF4209" t="s">
        <v>525</v>
      </c>
      <c r="AX4209" t="s">
        <v>4750</v>
      </c>
    </row>
    <row r="4210" spans="1:50" x14ac:dyDescent="0.25">
      <c r="A4210" t="s">
        <v>528</v>
      </c>
      <c r="AF4210" t="s">
        <v>529</v>
      </c>
      <c r="AX4210" t="s">
        <v>4751</v>
      </c>
    </row>
    <row r="4211" spans="1:50" x14ac:dyDescent="0.25">
      <c r="A4211" t="s">
        <v>532</v>
      </c>
      <c r="AF4211" t="s">
        <v>533</v>
      </c>
      <c r="AX4211" t="s">
        <v>4752</v>
      </c>
    </row>
    <row r="4212" spans="1:50" x14ac:dyDescent="0.25">
      <c r="A4212" t="s">
        <v>532</v>
      </c>
      <c r="AF4212" t="s">
        <v>537</v>
      </c>
      <c r="AX4212" t="s">
        <v>4753</v>
      </c>
    </row>
    <row r="4213" spans="1:50" x14ac:dyDescent="0.25">
      <c r="A4213" t="s">
        <v>860</v>
      </c>
      <c r="AF4213" t="s">
        <v>858</v>
      </c>
      <c r="AX4213" t="s">
        <v>4754</v>
      </c>
    </row>
    <row r="4214" spans="1:50" x14ac:dyDescent="0.25">
      <c r="A4214" t="s">
        <v>24</v>
      </c>
    </row>
    <row r="4215" spans="1:50" x14ac:dyDescent="0.25">
      <c r="A4215" t="s">
        <v>675</v>
      </c>
    </row>
    <row r="4216" spans="1:50" x14ac:dyDescent="0.25">
      <c r="A4216" t="s">
        <v>27</v>
      </c>
    </row>
    <row r="4217" spans="1:50" x14ac:dyDescent="0.25">
      <c r="A4217" t="s">
        <v>30</v>
      </c>
    </row>
    <row r="4218" spans="1:50" x14ac:dyDescent="0.25">
      <c r="A4218" t="s">
        <v>31</v>
      </c>
    </row>
    <row r="4219" spans="1:50" x14ac:dyDescent="0.25">
      <c r="A4219" t="s">
        <v>34</v>
      </c>
    </row>
    <row r="4220" spans="1:50" x14ac:dyDescent="0.25">
      <c r="A4220" t="s">
        <v>945</v>
      </c>
    </row>
    <row r="4221" spans="1:50" x14ac:dyDescent="0.25">
      <c r="A4221" t="s">
        <v>9</v>
      </c>
      <c r="AK4221" t="s">
        <v>38</v>
      </c>
    </row>
    <row r="4224" spans="1:50" x14ac:dyDescent="0.25">
      <c r="A4224" t="s">
        <v>877</v>
      </c>
      <c r="AK4224" t="s">
        <v>40</v>
      </c>
    </row>
    <row r="4225" spans="1:37" x14ac:dyDescent="0.25">
      <c r="A4225" t="s">
        <v>43</v>
      </c>
      <c r="AK4225" t="s">
        <v>40</v>
      </c>
    </row>
    <row r="4226" spans="1:37" x14ac:dyDescent="0.25">
      <c r="A4226" t="s">
        <v>46</v>
      </c>
      <c r="AK4226" t="s">
        <v>40</v>
      </c>
    </row>
    <row r="4227" spans="1:37" x14ac:dyDescent="0.25">
      <c r="A4227" t="s">
        <v>49</v>
      </c>
      <c r="AK4227" t="s">
        <v>40</v>
      </c>
    </row>
    <row r="4228" spans="1:37" x14ac:dyDescent="0.25">
      <c r="A4228" t="s">
        <v>52</v>
      </c>
      <c r="AK4228" t="s">
        <v>53</v>
      </c>
    </row>
    <row r="4229" spans="1:37" x14ac:dyDescent="0.25">
      <c r="A4229" t="s">
        <v>897</v>
      </c>
      <c r="AK4229" t="s">
        <v>898</v>
      </c>
    </row>
    <row r="4230" spans="1:37" x14ac:dyDescent="0.25">
      <c r="A4230" t="s">
        <v>56</v>
      </c>
      <c r="AK4230" t="s">
        <v>57</v>
      </c>
    </row>
    <row r="4231" spans="1:37" x14ac:dyDescent="0.25">
      <c r="A4231" t="s">
        <v>61</v>
      </c>
      <c r="AK4231" t="s">
        <v>62</v>
      </c>
    </row>
    <row r="4232" spans="1:37" x14ac:dyDescent="0.25">
      <c r="A4232" t="s">
        <v>65</v>
      </c>
      <c r="AK4232" t="s">
        <v>57</v>
      </c>
    </row>
    <row r="4233" spans="1:37" x14ac:dyDescent="0.25">
      <c r="A4233" t="s">
        <v>68</v>
      </c>
      <c r="AK4233" t="s">
        <v>69</v>
      </c>
    </row>
    <row r="4234" spans="1:37" x14ac:dyDescent="0.25">
      <c r="A4234" t="s">
        <v>71</v>
      </c>
      <c r="AK4234" t="s">
        <v>69</v>
      </c>
    </row>
    <row r="4235" spans="1:37" x14ac:dyDescent="0.25">
      <c r="A4235" t="s">
        <v>893</v>
      </c>
      <c r="AK4235" t="s">
        <v>892</v>
      </c>
    </row>
    <row r="4236" spans="1:37" x14ac:dyDescent="0.25">
      <c r="A4236" t="s">
        <v>74</v>
      </c>
      <c r="AK4236" t="s">
        <v>75</v>
      </c>
    </row>
    <row r="4237" spans="1:37" x14ac:dyDescent="0.25">
      <c r="A4237" t="s">
        <v>79</v>
      </c>
      <c r="AK4237" t="s">
        <v>4755</v>
      </c>
    </row>
    <row r="4238" spans="1:37" x14ac:dyDescent="0.25">
      <c r="A4238" t="s">
        <v>84</v>
      </c>
      <c r="AK4238" t="s">
        <v>4756</v>
      </c>
    </row>
    <row r="4239" spans="1:37" x14ac:dyDescent="0.25">
      <c r="A4239" t="s">
        <v>87</v>
      </c>
      <c r="AK4239" t="s">
        <v>4756</v>
      </c>
    </row>
    <row r="4240" spans="1:37" x14ac:dyDescent="0.25">
      <c r="A4240" t="s">
        <v>91</v>
      </c>
      <c r="AK4240" t="s">
        <v>92</v>
      </c>
    </row>
    <row r="4241" spans="1:37" x14ac:dyDescent="0.25">
      <c r="A4241" t="s">
        <v>95</v>
      </c>
      <c r="AK4241" t="s">
        <v>96</v>
      </c>
    </row>
    <row r="4242" spans="1:37" x14ac:dyDescent="0.25">
      <c r="A4242" t="s">
        <v>99</v>
      </c>
      <c r="AK4242" t="s">
        <v>100</v>
      </c>
    </row>
    <row r="4243" spans="1:37" x14ac:dyDescent="0.25">
      <c r="A4243" t="s">
        <v>103</v>
      </c>
      <c r="AK4243" t="s">
        <v>104</v>
      </c>
    </row>
    <row r="4244" spans="1:37" x14ac:dyDescent="0.25">
      <c r="A4244" t="s">
        <v>107</v>
      </c>
      <c r="AK4244" t="s">
        <v>4757</v>
      </c>
    </row>
    <row r="4245" spans="1:37" x14ac:dyDescent="0.25">
      <c r="A4245" t="s">
        <v>110</v>
      </c>
      <c r="AK4245" t="s">
        <v>111</v>
      </c>
    </row>
    <row r="4246" spans="1:37" x14ac:dyDescent="0.25">
      <c r="A4246" t="s">
        <v>114</v>
      </c>
      <c r="AK4246" t="s">
        <v>111</v>
      </c>
    </row>
    <row r="4247" spans="1:37" x14ac:dyDescent="0.25">
      <c r="A4247" t="s">
        <v>117</v>
      </c>
      <c r="AK4247" t="s">
        <v>111</v>
      </c>
    </row>
    <row r="4248" spans="1:37" x14ac:dyDescent="0.25">
      <c r="A4248" t="s">
        <v>120</v>
      </c>
      <c r="AK4248" t="s">
        <v>111</v>
      </c>
    </row>
    <row r="4249" spans="1:37" x14ac:dyDescent="0.25">
      <c r="A4249" t="s">
        <v>4758</v>
      </c>
      <c r="AK4249" t="s">
        <v>111</v>
      </c>
    </row>
    <row r="4250" spans="1:37" x14ac:dyDescent="0.25">
      <c r="A4250" t="s">
        <v>126</v>
      </c>
      <c r="AK4250" t="s">
        <v>111</v>
      </c>
    </row>
    <row r="4251" spans="1:37" x14ac:dyDescent="0.25">
      <c r="A4251" t="s">
        <v>129</v>
      </c>
      <c r="AK4251" t="s">
        <v>130</v>
      </c>
    </row>
    <row r="4252" spans="1:37" x14ac:dyDescent="0.25">
      <c r="A4252" t="s">
        <v>912</v>
      </c>
      <c r="AK4252" t="s">
        <v>913</v>
      </c>
    </row>
    <row r="4253" spans="1:37" x14ac:dyDescent="0.25">
      <c r="A4253" t="s">
        <v>134</v>
      </c>
      <c r="AK4253" t="s">
        <v>4759</v>
      </c>
    </row>
    <row r="4254" spans="1:37" x14ac:dyDescent="0.25">
      <c r="A4254" t="s">
        <v>138</v>
      </c>
      <c r="AK4254" t="s">
        <v>139</v>
      </c>
    </row>
    <row r="4255" spans="1:37" x14ac:dyDescent="0.25">
      <c r="A4255" t="s">
        <v>143</v>
      </c>
      <c r="AK4255" t="s">
        <v>144</v>
      </c>
    </row>
    <row r="4256" spans="1:37" x14ac:dyDescent="0.25">
      <c r="A4256" t="s">
        <v>146</v>
      </c>
      <c r="AK4256" t="s">
        <v>147</v>
      </c>
    </row>
    <row r="4257" spans="1:37" x14ac:dyDescent="0.25">
      <c r="A4257" t="s">
        <v>149</v>
      </c>
      <c r="AK4257" t="s">
        <v>147</v>
      </c>
    </row>
    <row r="4258" spans="1:37" x14ac:dyDescent="0.25">
      <c r="A4258" t="s">
        <v>152</v>
      </c>
      <c r="AK4258" t="s">
        <v>153</v>
      </c>
    </row>
    <row r="4259" spans="1:37" x14ac:dyDescent="0.25">
      <c r="A4259" t="s">
        <v>156</v>
      </c>
      <c r="AK4259" t="s">
        <v>153</v>
      </c>
    </row>
    <row r="4260" spans="1:37" x14ac:dyDescent="0.25">
      <c r="A4260" t="s">
        <v>159</v>
      </c>
      <c r="AK4260" t="s">
        <v>153</v>
      </c>
    </row>
    <row r="4261" spans="1:37" x14ac:dyDescent="0.25">
      <c r="A4261" t="s">
        <v>163</v>
      </c>
      <c r="AK4261" t="s">
        <v>164</v>
      </c>
    </row>
    <row r="4262" spans="1:37" x14ac:dyDescent="0.25">
      <c r="A4262" t="s">
        <v>4760</v>
      </c>
    </row>
    <row r="4263" spans="1:37" x14ac:dyDescent="0.25">
      <c r="A4263" t="s">
        <v>167</v>
      </c>
      <c r="AK4263" t="s">
        <v>164</v>
      </c>
    </row>
    <row r="4264" spans="1:37" x14ac:dyDescent="0.25">
      <c r="A4264" t="s">
        <v>170</v>
      </c>
      <c r="AK4264" t="s">
        <v>171</v>
      </c>
    </row>
    <row r="4265" spans="1:37" x14ac:dyDescent="0.25">
      <c r="A4265" t="s">
        <v>904</v>
      </c>
      <c r="AK4265" t="s">
        <v>905</v>
      </c>
    </row>
    <row r="4266" spans="1:37" x14ac:dyDescent="0.25">
      <c r="A4266" t="s">
        <v>175</v>
      </c>
      <c r="AK4266" t="s">
        <v>176</v>
      </c>
    </row>
    <row r="4267" spans="1:37" x14ac:dyDescent="0.25">
      <c r="A4267" t="s">
        <v>179</v>
      </c>
      <c r="AK4267" t="s">
        <v>180</v>
      </c>
    </row>
    <row r="4268" spans="1:37" x14ac:dyDescent="0.25">
      <c r="A4268" t="s">
        <v>183</v>
      </c>
      <c r="AK4268" t="s">
        <v>184</v>
      </c>
    </row>
    <row r="4269" spans="1:37" x14ac:dyDescent="0.25">
      <c r="A4269" t="s">
        <v>188</v>
      </c>
      <c r="AK4269" t="s">
        <v>189</v>
      </c>
    </row>
    <row r="4270" spans="1:37" x14ac:dyDescent="0.25">
      <c r="A4270" t="s">
        <v>192</v>
      </c>
      <c r="AK4270" t="s">
        <v>193</v>
      </c>
    </row>
    <row r="4271" spans="1:37" x14ac:dyDescent="0.25">
      <c r="A4271" t="s">
        <v>196</v>
      </c>
      <c r="AK4271" t="s">
        <v>197</v>
      </c>
    </row>
    <row r="4272" spans="1:37" x14ac:dyDescent="0.25">
      <c r="A4272" t="s">
        <v>200</v>
      </c>
      <c r="AK4272" t="s">
        <v>201</v>
      </c>
    </row>
    <row r="4273" spans="1:37" x14ac:dyDescent="0.25">
      <c r="A4273" t="s">
        <v>204</v>
      </c>
      <c r="AK4273" t="s">
        <v>205</v>
      </c>
    </row>
    <row r="4274" spans="1:37" x14ac:dyDescent="0.25">
      <c r="A4274" t="s">
        <v>208</v>
      </c>
      <c r="AK4274" t="s">
        <v>209</v>
      </c>
    </row>
    <row r="4275" spans="1:37" x14ac:dyDescent="0.25">
      <c r="A4275" t="s">
        <v>211</v>
      </c>
      <c r="AK4275" t="s">
        <v>209</v>
      </c>
    </row>
    <row r="4276" spans="1:37" x14ac:dyDescent="0.25">
      <c r="A4276" t="s">
        <v>214</v>
      </c>
      <c r="AK4276" t="s">
        <v>215</v>
      </c>
    </row>
    <row r="4277" spans="1:37" x14ac:dyDescent="0.25">
      <c r="A4277" t="s">
        <v>95</v>
      </c>
      <c r="AK4277" t="s">
        <v>4761</v>
      </c>
    </row>
    <row r="4278" spans="1:37" x14ac:dyDescent="0.25">
      <c r="A4278" t="s">
        <v>912</v>
      </c>
      <c r="AK4278" t="s">
        <v>913</v>
      </c>
    </row>
    <row r="4279" spans="1:37" x14ac:dyDescent="0.25">
      <c r="A4279" t="s">
        <v>943</v>
      </c>
      <c r="AK4279" t="s">
        <v>944</v>
      </c>
    </row>
    <row r="4280" spans="1:37" x14ac:dyDescent="0.25">
      <c r="A4280" t="s">
        <v>220</v>
      </c>
      <c r="AK4280" t="s">
        <v>4762</v>
      </c>
    </row>
    <row r="4281" spans="1:37" x14ac:dyDescent="0.25">
      <c r="A4281" t="s">
        <v>889</v>
      </c>
      <c r="AK4281" t="s">
        <v>890</v>
      </c>
    </row>
    <row r="4282" spans="1:37" x14ac:dyDescent="0.25">
      <c r="A4282" t="s">
        <v>224</v>
      </c>
      <c r="AK4282" t="s">
        <v>225</v>
      </c>
    </row>
    <row r="4283" spans="1:37" x14ac:dyDescent="0.25">
      <c r="A4283" t="s">
        <v>227</v>
      </c>
      <c r="AK4283" t="s">
        <v>225</v>
      </c>
    </row>
    <row r="4284" spans="1:37" x14ac:dyDescent="0.25">
      <c r="A4284" t="s">
        <v>230</v>
      </c>
      <c r="AK4284" t="s">
        <v>231</v>
      </c>
    </row>
    <row r="4285" spans="1:37" x14ac:dyDescent="0.25">
      <c r="A4285" t="s">
        <v>234</v>
      </c>
      <c r="AK4285" t="s">
        <v>235</v>
      </c>
    </row>
    <row r="4286" spans="1:37" x14ac:dyDescent="0.25">
      <c r="A4286" t="s">
        <v>237</v>
      </c>
      <c r="AK4286" t="s">
        <v>235</v>
      </c>
    </row>
    <row r="4287" spans="1:37" x14ac:dyDescent="0.25">
      <c r="A4287" t="s">
        <v>240</v>
      </c>
      <c r="AK4287" t="s">
        <v>241</v>
      </c>
    </row>
    <row r="4288" spans="1:37" x14ac:dyDescent="0.25">
      <c r="A4288" t="s">
        <v>244</v>
      </c>
      <c r="AK4288" t="s">
        <v>245</v>
      </c>
    </row>
    <row r="4289" spans="1:37" x14ac:dyDescent="0.25">
      <c r="A4289" t="s">
        <v>248</v>
      </c>
      <c r="AK4289" t="s">
        <v>249</v>
      </c>
    </row>
    <row r="4290" spans="1:37" x14ac:dyDescent="0.25">
      <c r="A4290" t="s">
        <v>251</v>
      </c>
    </row>
    <row r="4291" spans="1:37" x14ac:dyDescent="0.25">
      <c r="A4291" t="s">
        <v>253</v>
      </c>
      <c r="AK4291" t="s">
        <v>4763</v>
      </c>
    </row>
    <row r="4292" spans="1:37" x14ac:dyDescent="0.25">
      <c r="A4292" t="s">
        <v>257</v>
      </c>
      <c r="AK4292" t="s">
        <v>258</v>
      </c>
    </row>
    <row r="4293" spans="1:37" x14ac:dyDescent="0.25">
      <c r="A4293" t="s">
        <v>935</v>
      </c>
      <c r="AK4293" t="s">
        <v>936</v>
      </c>
    </row>
    <row r="4294" spans="1:37" x14ac:dyDescent="0.25">
      <c r="A4294" t="s">
        <v>908</v>
      </c>
      <c r="AK4294" t="s">
        <v>4764</v>
      </c>
    </row>
    <row r="4295" spans="1:37" x14ac:dyDescent="0.25">
      <c r="A4295" t="s">
        <v>261</v>
      </c>
      <c r="AK4295" t="s">
        <v>258</v>
      </c>
    </row>
    <row r="4296" spans="1:37" x14ac:dyDescent="0.25">
      <c r="A4296" t="s">
        <v>264</v>
      </c>
      <c r="AK4296" t="s">
        <v>4765</v>
      </c>
    </row>
    <row r="4297" spans="1:37" x14ac:dyDescent="0.25">
      <c r="A4297" t="s">
        <v>269</v>
      </c>
      <c r="AK4297" t="s">
        <v>270</v>
      </c>
    </row>
    <row r="4298" spans="1:37" x14ac:dyDescent="0.25">
      <c r="A4298" t="s">
        <v>273</v>
      </c>
      <c r="AK4298" t="s">
        <v>274</v>
      </c>
    </row>
    <row r="4299" spans="1:37" x14ac:dyDescent="0.25">
      <c r="A4299" t="s">
        <v>276</v>
      </c>
      <c r="AK4299" t="s">
        <v>4766</v>
      </c>
    </row>
    <row r="4300" spans="1:37" x14ac:dyDescent="0.25">
      <c r="A4300" t="s">
        <v>280</v>
      </c>
      <c r="AK4300" t="s">
        <v>281</v>
      </c>
    </row>
    <row r="4301" spans="1:37" x14ac:dyDescent="0.25">
      <c r="A4301" t="s">
        <v>855</v>
      </c>
      <c r="AK4301" t="s">
        <v>282</v>
      </c>
    </row>
    <row r="4302" spans="1:37" x14ac:dyDescent="0.25">
      <c r="A4302" t="s">
        <v>854</v>
      </c>
      <c r="AK4302" t="s">
        <v>282</v>
      </c>
    </row>
    <row r="4303" spans="1:37" x14ac:dyDescent="0.25">
      <c r="A4303" t="s">
        <v>857</v>
      </c>
      <c r="AK4303" t="s">
        <v>282</v>
      </c>
    </row>
    <row r="4304" spans="1:37" x14ac:dyDescent="0.25">
      <c r="A4304" t="s">
        <v>853</v>
      </c>
      <c r="AK4304" t="s">
        <v>282</v>
      </c>
    </row>
    <row r="4305" spans="1:37" x14ac:dyDescent="0.25">
      <c r="A4305" t="s">
        <v>285</v>
      </c>
      <c r="AK4305" t="s">
        <v>286</v>
      </c>
    </row>
    <row r="4306" spans="1:37" x14ac:dyDescent="0.25">
      <c r="A4306" t="s">
        <v>289</v>
      </c>
      <c r="AK4306" t="s">
        <v>290</v>
      </c>
    </row>
    <row r="4307" spans="1:37" x14ac:dyDescent="0.25">
      <c r="A4307" t="s">
        <v>293</v>
      </c>
      <c r="AK4307" t="s">
        <v>294</v>
      </c>
    </row>
    <row r="4308" spans="1:37" x14ac:dyDescent="0.25">
      <c r="A4308" t="s">
        <v>298</v>
      </c>
      <c r="AK4308" t="s">
        <v>299</v>
      </c>
    </row>
    <row r="4309" spans="1:37" x14ac:dyDescent="0.25">
      <c r="A4309" t="s">
        <v>302</v>
      </c>
      <c r="AK4309" t="s">
        <v>299</v>
      </c>
    </row>
    <row r="4310" spans="1:37" x14ac:dyDescent="0.25">
      <c r="A4310" t="s">
        <v>305</v>
      </c>
      <c r="AK4310" t="s">
        <v>306</v>
      </c>
    </row>
    <row r="4311" spans="1:37" x14ac:dyDescent="0.25">
      <c r="A4311" t="s">
        <v>309</v>
      </c>
      <c r="AK4311" t="s">
        <v>4767</v>
      </c>
    </row>
    <row r="4312" spans="1:37" x14ac:dyDescent="0.25">
      <c r="A4312" t="s">
        <v>313</v>
      </c>
      <c r="AK4312" t="s">
        <v>314</v>
      </c>
    </row>
    <row r="4313" spans="1:37" x14ac:dyDescent="0.25">
      <c r="A4313" t="s">
        <v>317</v>
      </c>
      <c r="AK4313" t="s">
        <v>314</v>
      </c>
    </row>
    <row r="4314" spans="1:37" x14ac:dyDescent="0.25">
      <c r="A4314" t="s">
        <v>320</v>
      </c>
      <c r="AK4314" t="s">
        <v>314</v>
      </c>
    </row>
    <row r="4315" spans="1:37" x14ac:dyDescent="0.25">
      <c r="A4315" t="s">
        <v>323</v>
      </c>
      <c r="AK4315" t="s">
        <v>324</v>
      </c>
    </row>
    <row r="4316" spans="1:37" x14ac:dyDescent="0.25">
      <c r="A4316" t="s">
        <v>327</v>
      </c>
      <c r="AK4316" t="s">
        <v>328</v>
      </c>
    </row>
    <row r="4317" spans="1:37" x14ac:dyDescent="0.25">
      <c r="A4317" t="s">
        <v>331</v>
      </c>
      <c r="AK4317" t="s">
        <v>328</v>
      </c>
    </row>
    <row r="4318" spans="1:37" x14ac:dyDescent="0.25">
      <c r="A4318" t="s">
        <v>333</v>
      </c>
      <c r="AK4318" t="s">
        <v>328</v>
      </c>
    </row>
    <row r="4319" spans="1:37" x14ac:dyDescent="0.25">
      <c r="A4319" t="s">
        <v>336</v>
      </c>
      <c r="AK4319" t="s">
        <v>337</v>
      </c>
    </row>
    <row r="4320" spans="1:37" x14ac:dyDescent="0.25">
      <c r="A4320" t="s">
        <v>340</v>
      </c>
      <c r="AK4320" t="s">
        <v>341</v>
      </c>
    </row>
    <row r="4321" spans="1:37" x14ac:dyDescent="0.25">
      <c r="A4321" t="s">
        <v>344</v>
      </c>
      <c r="AK4321" t="s">
        <v>341</v>
      </c>
    </row>
    <row r="4322" spans="1:37" x14ac:dyDescent="0.25">
      <c r="A4322" t="s">
        <v>348</v>
      </c>
      <c r="AK4322" t="s">
        <v>349</v>
      </c>
    </row>
    <row r="4323" spans="1:37" x14ac:dyDescent="0.25">
      <c r="A4323" t="s">
        <v>352</v>
      </c>
      <c r="AK4323" t="s">
        <v>353</v>
      </c>
    </row>
    <row r="4324" spans="1:37" x14ac:dyDescent="0.25">
      <c r="A4324" t="s">
        <v>357</v>
      </c>
      <c r="AK4324" t="s">
        <v>358</v>
      </c>
    </row>
    <row r="4325" spans="1:37" x14ac:dyDescent="0.25">
      <c r="A4325" t="s">
        <v>361</v>
      </c>
      <c r="AK4325" t="s">
        <v>358</v>
      </c>
    </row>
    <row r="4326" spans="1:37" x14ac:dyDescent="0.25">
      <c r="A4326" t="s">
        <v>364</v>
      </c>
      <c r="AK4326" t="s">
        <v>365</v>
      </c>
    </row>
    <row r="4327" spans="1:37" x14ac:dyDescent="0.25">
      <c r="A4327" t="s">
        <v>368</v>
      </c>
      <c r="AK4327" t="s">
        <v>369</v>
      </c>
    </row>
    <row r="4328" spans="1:37" x14ac:dyDescent="0.25">
      <c r="A4328" t="s">
        <v>930</v>
      </c>
      <c r="AK4328" t="s">
        <v>931</v>
      </c>
    </row>
    <row r="4329" spans="1:37" x14ac:dyDescent="0.25">
      <c r="A4329" t="s">
        <v>372</v>
      </c>
      <c r="AK4329" t="s">
        <v>373</v>
      </c>
    </row>
    <row r="4330" spans="1:37" x14ac:dyDescent="0.25">
      <c r="A4330" t="s">
        <v>372</v>
      </c>
      <c r="AK4330" t="s">
        <v>373</v>
      </c>
    </row>
    <row r="4331" spans="1:37" x14ac:dyDescent="0.25">
      <c r="A4331" t="s">
        <v>378</v>
      </c>
      <c r="AK4331" t="s">
        <v>379</v>
      </c>
    </row>
    <row r="4332" spans="1:37" x14ac:dyDescent="0.25">
      <c r="A4332" t="s">
        <v>382</v>
      </c>
      <c r="AK4332" t="s">
        <v>379</v>
      </c>
    </row>
    <row r="4333" spans="1:37" x14ac:dyDescent="0.25">
      <c r="A4333" t="s">
        <v>386</v>
      </c>
      <c r="AK4333" t="s">
        <v>387</v>
      </c>
    </row>
    <row r="4334" spans="1:37" x14ac:dyDescent="0.25">
      <c r="A4334" t="s">
        <v>390</v>
      </c>
      <c r="AK4334" t="s">
        <v>391</v>
      </c>
    </row>
    <row r="4335" spans="1:37" x14ac:dyDescent="0.25">
      <c r="A4335" t="s">
        <v>394</v>
      </c>
      <c r="AK4335" t="s">
        <v>395</v>
      </c>
    </row>
    <row r="4336" spans="1:37" x14ac:dyDescent="0.25">
      <c r="A4336" t="s">
        <v>901</v>
      </c>
      <c r="AK4336" t="s">
        <v>902</v>
      </c>
    </row>
    <row r="4337" spans="1:37" x14ac:dyDescent="0.25">
      <c r="A4337" t="s">
        <v>926</v>
      </c>
      <c r="AK4337" t="s">
        <v>927</v>
      </c>
    </row>
    <row r="4338" spans="1:37" x14ac:dyDescent="0.25">
      <c r="A4338" t="s">
        <v>398</v>
      </c>
      <c r="AK4338" t="s">
        <v>399</v>
      </c>
    </row>
    <row r="4339" spans="1:37" x14ac:dyDescent="0.25">
      <c r="A4339" t="s">
        <v>402</v>
      </c>
      <c r="AK4339" t="s">
        <v>403</v>
      </c>
    </row>
    <row r="4340" spans="1:37" x14ac:dyDescent="0.25">
      <c r="A4340" t="s">
        <v>406</v>
      </c>
      <c r="AK4340" t="s">
        <v>407</v>
      </c>
    </row>
    <row r="4341" spans="1:37" x14ac:dyDescent="0.25">
      <c r="A4341" t="s">
        <v>410</v>
      </c>
      <c r="AK4341" t="s">
        <v>407</v>
      </c>
    </row>
    <row r="4342" spans="1:37" x14ac:dyDescent="0.25">
      <c r="A4342" t="s">
        <v>413</v>
      </c>
      <c r="AK4342" t="s">
        <v>414</v>
      </c>
    </row>
    <row r="4343" spans="1:37" x14ac:dyDescent="0.25">
      <c r="A4343" t="s">
        <v>417</v>
      </c>
      <c r="AK4343" t="s">
        <v>418</v>
      </c>
    </row>
    <row r="4344" spans="1:37" x14ac:dyDescent="0.25">
      <c r="A4344" t="s">
        <v>421</v>
      </c>
      <c r="AK4344" t="s">
        <v>4768</v>
      </c>
    </row>
    <row r="4345" spans="1:37" x14ac:dyDescent="0.25">
      <c r="A4345" t="s">
        <v>425</v>
      </c>
      <c r="AK4345" t="s">
        <v>426</v>
      </c>
    </row>
    <row r="4346" spans="1:37" x14ac:dyDescent="0.25">
      <c r="A4346" t="s">
        <v>429</v>
      </c>
      <c r="AK4346" t="s">
        <v>430</v>
      </c>
    </row>
    <row r="4347" spans="1:37" x14ac:dyDescent="0.25">
      <c r="A4347" t="s">
        <v>433</v>
      </c>
      <c r="AK4347" t="s">
        <v>434</v>
      </c>
    </row>
    <row r="4348" spans="1:37" x14ac:dyDescent="0.25">
      <c r="A4348" t="s">
        <v>437</v>
      </c>
      <c r="AK4348" t="s">
        <v>438</v>
      </c>
    </row>
    <row r="4349" spans="1:37" x14ac:dyDescent="0.25">
      <c r="A4349" t="s">
        <v>441</v>
      </c>
      <c r="AK4349" t="s">
        <v>438</v>
      </c>
    </row>
    <row r="4350" spans="1:37" x14ac:dyDescent="0.25">
      <c r="A4350" t="s">
        <v>444</v>
      </c>
      <c r="AK4350" t="s">
        <v>438</v>
      </c>
    </row>
    <row r="4351" spans="1:37" x14ac:dyDescent="0.25">
      <c r="A4351" t="s">
        <v>447</v>
      </c>
      <c r="AK4351" t="s">
        <v>448</v>
      </c>
    </row>
    <row r="4352" spans="1:37" x14ac:dyDescent="0.25">
      <c r="A4352" t="s">
        <v>451</v>
      </c>
      <c r="AK4352" t="s">
        <v>4769</v>
      </c>
    </row>
    <row r="4353" spans="1:62" x14ac:dyDescent="0.25">
      <c r="A4353" t="s">
        <v>864</v>
      </c>
    </row>
    <row r="4354" spans="1:62" x14ac:dyDescent="0.25">
      <c r="AK4354" t="s">
        <v>4770</v>
      </c>
    </row>
    <row r="4355" spans="1:62" x14ac:dyDescent="0.25">
      <c r="A4355" t="s">
        <v>456</v>
      </c>
      <c r="AK4355" t="s">
        <v>4771</v>
      </c>
    </row>
    <row r="4356" spans="1:62" x14ac:dyDescent="0.25">
      <c r="BJ4356" t="s">
        <v>4772</v>
      </c>
    </row>
    <row r="4357" spans="1:62" x14ac:dyDescent="0.25">
      <c r="A4357" t="s">
        <v>460</v>
      </c>
      <c r="AK4357" t="s">
        <v>461</v>
      </c>
    </row>
    <row r="4358" spans="1:62" x14ac:dyDescent="0.25">
      <c r="A4358" t="s">
        <v>464</v>
      </c>
      <c r="AK4358" t="s">
        <v>465</v>
      </c>
    </row>
    <row r="4359" spans="1:62" x14ac:dyDescent="0.25">
      <c r="A4359" t="s">
        <v>468</v>
      </c>
      <c r="AK4359" t="s">
        <v>465</v>
      </c>
    </row>
    <row r="4360" spans="1:62" x14ac:dyDescent="0.25">
      <c r="A4360" t="s">
        <v>471</v>
      </c>
      <c r="AK4360" t="s">
        <v>465</v>
      </c>
    </row>
    <row r="4361" spans="1:62" x14ac:dyDescent="0.25">
      <c r="A4361" t="s">
        <v>474</v>
      </c>
      <c r="AK4361" t="s">
        <v>465</v>
      </c>
    </row>
    <row r="4362" spans="1:62" x14ac:dyDescent="0.25">
      <c r="A4362" t="s">
        <v>477</v>
      </c>
      <c r="AK4362" t="s">
        <v>465</v>
      </c>
    </row>
    <row r="4363" spans="1:62" x14ac:dyDescent="0.25">
      <c r="A4363" t="s">
        <v>480</v>
      </c>
      <c r="AK4363" t="s">
        <v>465</v>
      </c>
    </row>
    <row r="4364" spans="1:62" x14ac:dyDescent="0.25">
      <c r="A4364" t="s">
        <v>483</v>
      </c>
      <c r="AK4364" t="s">
        <v>484</v>
      </c>
    </row>
    <row r="4365" spans="1:62" x14ac:dyDescent="0.25">
      <c r="A4365" t="s">
        <v>488</v>
      </c>
      <c r="AK4365" t="s">
        <v>4773</v>
      </c>
    </row>
    <row r="4366" spans="1:62" x14ac:dyDescent="0.25">
      <c r="A4366" t="s">
        <v>492</v>
      </c>
      <c r="AK4366" t="s">
        <v>493</v>
      </c>
    </row>
    <row r="4367" spans="1:62" x14ac:dyDescent="0.25">
      <c r="A4367" t="s">
        <v>496</v>
      </c>
      <c r="AK4367" t="s">
        <v>497</v>
      </c>
    </row>
    <row r="4368" spans="1:62" x14ac:dyDescent="0.25">
      <c r="A4368" t="s">
        <v>500</v>
      </c>
      <c r="AK4368" t="s">
        <v>497</v>
      </c>
    </row>
    <row r="4369" spans="1:37" x14ac:dyDescent="0.25">
      <c r="A4369" t="s">
        <v>503</v>
      </c>
      <c r="AK4369" t="s">
        <v>497</v>
      </c>
    </row>
    <row r="4370" spans="1:37" x14ac:dyDescent="0.25">
      <c r="A4370" t="s">
        <v>506</v>
      </c>
      <c r="AK4370" t="s">
        <v>507</v>
      </c>
    </row>
    <row r="4371" spans="1:37" x14ac:dyDescent="0.25">
      <c r="A4371" t="s">
        <v>510</v>
      </c>
      <c r="AK4371" t="s">
        <v>511</v>
      </c>
    </row>
    <row r="4372" spans="1:37" x14ac:dyDescent="0.25">
      <c r="A4372" t="s">
        <v>514</v>
      </c>
      <c r="AK4372" t="s">
        <v>511</v>
      </c>
    </row>
    <row r="4373" spans="1:37" x14ac:dyDescent="0.25">
      <c r="A4373" t="s">
        <v>517</v>
      </c>
      <c r="AK4373" t="s">
        <v>4774</v>
      </c>
    </row>
    <row r="4374" spans="1:37" x14ac:dyDescent="0.25">
      <c r="A4374" t="s">
        <v>74</v>
      </c>
      <c r="AK4374" t="s">
        <v>75</v>
      </c>
    </row>
    <row r="4375" spans="1:37" x14ac:dyDescent="0.25">
      <c r="A4375" t="s">
        <v>522</v>
      </c>
      <c r="AK4375" t="s">
        <v>523</v>
      </c>
    </row>
    <row r="4376" spans="1:37" x14ac:dyDescent="0.25">
      <c r="A4376" t="s">
        <v>939</v>
      </c>
      <c r="AK4376" t="s">
        <v>940</v>
      </c>
    </row>
    <row r="4377" spans="1:37" x14ac:dyDescent="0.25">
      <c r="A4377" t="s">
        <v>948</v>
      </c>
      <c r="AK4377" t="s">
        <v>949</v>
      </c>
    </row>
    <row r="4378" spans="1:37" x14ac:dyDescent="0.25">
      <c r="A4378" t="s">
        <v>526</v>
      </c>
      <c r="AK4378" t="s">
        <v>527</v>
      </c>
    </row>
    <row r="4379" spans="1:37" x14ac:dyDescent="0.25">
      <c r="A4379" t="s">
        <v>530</v>
      </c>
      <c r="AK4379" t="s">
        <v>4775</v>
      </c>
    </row>
    <row r="4380" spans="1:37" x14ac:dyDescent="0.25">
      <c r="A4380" t="s">
        <v>534</v>
      </c>
      <c r="AK4380" t="s">
        <v>4776</v>
      </c>
    </row>
    <row r="4381" spans="1:37" x14ac:dyDescent="0.25">
      <c r="A4381" t="s">
        <v>538</v>
      </c>
      <c r="AK4381" t="s">
        <v>4776</v>
      </c>
    </row>
    <row r="4382" spans="1:37" x14ac:dyDescent="0.25">
      <c r="A4382" t="s">
        <v>859</v>
      </c>
      <c r="AK4382" t="s">
        <v>861</v>
      </c>
    </row>
    <row r="4383" spans="1:37" x14ac:dyDescent="0.25">
      <c r="A4383">
        <v>2</v>
      </c>
    </row>
    <row r="4384" spans="1:37" x14ac:dyDescent="0.25">
      <c r="A4384" t="s">
        <v>4777</v>
      </c>
    </row>
    <row r="4385" spans="1:1" x14ac:dyDescent="0.25">
      <c r="A4385" t="s">
        <v>25</v>
      </c>
    </row>
    <row r="4387" spans="1:1" x14ac:dyDescent="0.25">
      <c r="A4387" t="s">
        <v>28</v>
      </c>
    </row>
    <row r="4388" spans="1:1" x14ac:dyDescent="0.25">
      <c r="A4388" t="s">
        <v>609</v>
      </c>
    </row>
    <row r="4389" spans="1:1" x14ac:dyDescent="0.25">
      <c r="A4389" t="s">
        <v>32</v>
      </c>
    </row>
    <row r="4390" spans="1:1" x14ac:dyDescent="0.25">
      <c r="A4390" t="s">
        <v>641</v>
      </c>
    </row>
    <row r="4391" spans="1:1" x14ac:dyDescent="0.25">
      <c r="A4391" t="s">
        <v>946</v>
      </c>
    </row>
    <row r="4402" spans="1:1" x14ac:dyDescent="0.25">
      <c r="A4402" t="s">
        <v>58</v>
      </c>
    </row>
    <row r="4404" spans="1:1" x14ac:dyDescent="0.25">
      <c r="A4404" t="s">
        <v>58</v>
      </c>
    </row>
    <row r="4408" spans="1:1" x14ac:dyDescent="0.25">
      <c r="A4408" t="s">
        <v>76</v>
      </c>
    </row>
    <row r="4409" spans="1:1" x14ac:dyDescent="0.25">
      <c r="A4409" t="s">
        <v>81</v>
      </c>
    </row>
    <row r="4411" spans="1:1" x14ac:dyDescent="0.25">
      <c r="A4411" t="s">
        <v>88</v>
      </c>
    </row>
    <row r="4416" spans="1:1" x14ac:dyDescent="0.25">
      <c r="A4416" t="s">
        <v>4778</v>
      </c>
    </row>
    <row r="4423" spans="1:1" x14ac:dyDescent="0.25">
      <c r="A4423" t="s">
        <v>131</v>
      </c>
    </row>
    <row r="4425" spans="1:1" x14ac:dyDescent="0.25">
      <c r="A4425" t="s">
        <v>4779</v>
      </c>
    </row>
    <row r="4432" spans="1:1" x14ac:dyDescent="0.25">
      <c r="A4432" t="s">
        <v>4780</v>
      </c>
    </row>
    <row r="4433" spans="1:25" x14ac:dyDescent="0.25">
      <c r="Y4433" t="s">
        <v>4781</v>
      </c>
    </row>
    <row r="4436" spans="1:25" x14ac:dyDescent="0.25">
      <c r="A4436" t="s">
        <v>4782</v>
      </c>
    </row>
    <row r="4440" spans="1:25" x14ac:dyDescent="0.25">
      <c r="A4440" t="s">
        <v>185</v>
      </c>
    </row>
    <row r="4442" spans="1:25" x14ac:dyDescent="0.25">
      <c r="A4442" t="s">
        <v>81</v>
      </c>
    </row>
    <row r="4452" spans="1:1" x14ac:dyDescent="0.25">
      <c r="A4452" t="s">
        <v>4783</v>
      </c>
    </row>
    <row r="4463" spans="1:1" x14ac:dyDescent="0.25">
      <c r="A4463" t="s">
        <v>4784</v>
      </c>
    </row>
    <row r="4468" spans="1:1" x14ac:dyDescent="0.25">
      <c r="A4468" t="s">
        <v>266</v>
      </c>
    </row>
    <row r="4479" spans="1:1" x14ac:dyDescent="0.25">
      <c r="A4479" t="s">
        <v>295</v>
      </c>
    </row>
    <row r="4483" spans="1:1" x14ac:dyDescent="0.25">
      <c r="A4483" t="s">
        <v>4785</v>
      </c>
    </row>
    <row r="4493" spans="1:1" x14ac:dyDescent="0.25">
      <c r="A4493" t="s">
        <v>345</v>
      </c>
    </row>
    <row r="4495" spans="1:1" x14ac:dyDescent="0.25">
      <c r="A4495" t="s">
        <v>354</v>
      </c>
    </row>
    <row r="4524" spans="1:1" x14ac:dyDescent="0.25">
      <c r="A4524" t="s">
        <v>453</v>
      </c>
    </row>
    <row r="4527" spans="1:1" x14ac:dyDescent="0.25">
      <c r="A4527" t="s">
        <v>4786</v>
      </c>
    </row>
    <row r="4537" spans="1:1" x14ac:dyDescent="0.25">
      <c r="A4537" t="s">
        <v>354</v>
      </c>
    </row>
    <row r="4544" spans="1:1" x14ac:dyDescent="0.25">
      <c r="A4544" t="s">
        <v>4787</v>
      </c>
    </row>
    <row r="4550" spans="1:10" x14ac:dyDescent="0.25">
      <c r="A4550" t="s">
        <v>4788</v>
      </c>
    </row>
    <row r="4552" spans="1:10" x14ac:dyDescent="0.25">
      <c r="A4552" t="s">
        <v>541</v>
      </c>
      <c r="J4552" t="s">
        <v>4789</v>
      </c>
    </row>
    <row r="4553" spans="1:10" x14ac:dyDescent="0.25">
      <c r="J4553" t="s">
        <v>4438</v>
      </c>
    </row>
    <row r="4554" spans="1:10" x14ac:dyDescent="0.25">
      <c r="A4554">
        <v>1</v>
      </c>
      <c r="J4554" t="s">
        <v>747</v>
      </c>
    </row>
    <row r="4555" spans="1:10" x14ac:dyDescent="0.25">
      <c r="A4555">
        <v>2</v>
      </c>
      <c r="J4555" t="s">
        <v>749</v>
      </c>
    </row>
    <row r="4556" spans="1:10" x14ac:dyDescent="0.25">
      <c r="A4556">
        <v>3</v>
      </c>
      <c r="J4556" t="s">
        <v>748</v>
      </c>
    </row>
    <row r="4557" spans="1:10" x14ac:dyDescent="0.25">
      <c r="A4557">
        <v>4</v>
      </c>
      <c r="J4557" t="s">
        <v>750</v>
      </c>
    </row>
    <row r="4558" spans="1:10" x14ac:dyDescent="0.25">
      <c r="A4558">
        <v>5</v>
      </c>
      <c r="J4558" t="s">
        <v>751</v>
      </c>
    </row>
    <row r="4559" spans="1:10" x14ac:dyDescent="0.25">
      <c r="A4559">
        <v>6</v>
      </c>
      <c r="J4559" t="s">
        <v>752</v>
      </c>
    </row>
    <row r="4560" spans="1:10" x14ac:dyDescent="0.25">
      <c r="A4560">
        <v>7</v>
      </c>
      <c r="J4560" t="s">
        <v>753</v>
      </c>
    </row>
    <row r="4561" spans="1:10" x14ac:dyDescent="0.25">
      <c r="A4561">
        <v>8</v>
      </c>
      <c r="J4561" t="s">
        <v>754</v>
      </c>
    </row>
    <row r="4562" spans="1:10" x14ac:dyDescent="0.25">
      <c r="A4562">
        <v>9</v>
      </c>
      <c r="J4562" t="s">
        <v>755</v>
      </c>
    </row>
    <row r="4563" spans="1:10" x14ac:dyDescent="0.25">
      <c r="A4563">
        <v>10</v>
      </c>
      <c r="J4563" t="s">
        <v>756</v>
      </c>
    </row>
    <row r="4564" spans="1:10" x14ac:dyDescent="0.25">
      <c r="A4564">
        <v>11</v>
      </c>
      <c r="J4564" t="s">
        <v>758</v>
      </c>
    </row>
    <row r="4565" spans="1:10" x14ac:dyDescent="0.25">
      <c r="A4565">
        <v>12</v>
      </c>
      <c r="J4565" t="s">
        <v>759</v>
      </c>
    </row>
    <row r="4566" spans="1:10" x14ac:dyDescent="0.25">
      <c r="A4566">
        <v>13</v>
      </c>
      <c r="J4566" t="s">
        <v>760</v>
      </c>
    </row>
    <row r="4567" spans="1:10" x14ac:dyDescent="0.25">
      <c r="A4567">
        <v>14</v>
      </c>
      <c r="J4567" t="s">
        <v>761</v>
      </c>
    </row>
    <row r="4568" spans="1:10" x14ac:dyDescent="0.25">
      <c r="A4568">
        <v>15</v>
      </c>
      <c r="J4568" t="s">
        <v>762</v>
      </c>
    </row>
    <row r="4569" spans="1:10" x14ac:dyDescent="0.25">
      <c r="A4569">
        <v>16</v>
      </c>
      <c r="J4569" t="s">
        <v>763</v>
      </c>
    </row>
    <row r="4570" spans="1:10" x14ac:dyDescent="0.25">
      <c r="A4570">
        <v>17</v>
      </c>
      <c r="J4570" t="s">
        <v>764</v>
      </c>
    </row>
    <row r="4571" spans="1:10" x14ac:dyDescent="0.25">
      <c r="A4571">
        <v>18</v>
      </c>
      <c r="J4571" t="s">
        <v>765</v>
      </c>
    </row>
    <row r="4572" spans="1:10" x14ac:dyDescent="0.25">
      <c r="A4572">
        <v>19</v>
      </c>
      <c r="J4572" t="s">
        <v>766</v>
      </c>
    </row>
    <row r="4573" spans="1:10" x14ac:dyDescent="0.25">
      <c r="A4573">
        <v>20</v>
      </c>
      <c r="J4573" t="s">
        <v>767</v>
      </c>
    </row>
    <row r="4574" spans="1:10" x14ac:dyDescent="0.25">
      <c r="A4574">
        <v>21</v>
      </c>
      <c r="J4574" t="s">
        <v>768</v>
      </c>
    </row>
    <row r="4575" spans="1:10" x14ac:dyDescent="0.25">
      <c r="A4575">
        <v>22</v>
      </c>
      <c r="J4575" t="s">
        <v>769</v>
      </c>
    </row>
    <row r="4576" spans="1:10" x14ac:dyDescent="0.25">
      <c r="A4576">
        <v>23</v>
      </c>
      <c r="J4576" t="s">
        <v>770</v>
      </c>
    </row>
    <row r="4577" spans="1:26" x14ac:dyDescent="0.25">
      <c r="A4577">
        <v>24</v>
      </c>
      <c r="J4577" t="s">
        <v>771</v>
      </c>
    </row>
    <row r="4578" spans="1:26" x14ac:dyDescent="0.25">
      <c r="A4578">
        <v>25</v>
      </c>
      <c r="J4578" t="s">
        <v>772</v>
      </c>
    </row>
    <row r="4579" spans="1:26" x14ac:dyDescent="0.25">
      <c r="A4579">
        <v>26</v>
      </c>
      <c r="J4579" t="s">
        <v>773</v>
      </c>
    </row>
    <row r="4580" spans="1:26" x14ac:dyDescent="0.25">
      <c r="A4580">
        <v>27</v>
      </c>
      <c r="J4580" t="s">
        <v>782</v>
      </c>
    </row>
    <row r="4581" spans="1:26" x14ac:dyDescent="0.25">
      <c r="A4581">
        <v>28</v>
      </c>
      <c r="J4581" t="s">
        <v>783</v>
      </c>
    </row>
    <row r="4582" spans="1:26" x14ac:dyDescent="0.25">
      <c r="A4582">
        <v>29</v>
      </c>
      <c r="J4582" t="s">
        <v>784</v>
      </c>
    </row>
    <row r="4583" spans="1:26" x14ac:dyDescent="0.25">
      <c r="A4583">
        <v>30</v>
      </c>
      <c r="J4583" t="s">
        <v>785</v>
      </c>
    </row>
    <row r="4584" spans="1:26" x14ac:dyDescent="0.25">
      <c r="A4584">
        <v>31</v>
      </c>
      <c r="J4584" t="s">
        <v>774</v>
      </c>
    </row>
    <row r="4585" spans="1:26" x14ac:dyDescent="0.25">
      <c r="A4585">
        <v>32</v>
      </c>
      <c r="J4585" t="s">
        <v>775</v>
      </c>
    </row>
    <row r="4586" spans="1:26" x14ac:dyDescent="0.25">
      <c r="A4586">
        <v>33</v>
      </c>
      <c r="J4586" t="s">
        <v>776</v>
      </c>
    </row>
    <row r="4587" spans="1:26" x14ac:dyDescent="0.25">
      <c r="A4587">
        <v>34</v>
      </c>
      <c r="J4587" t="s">
        <v>777</v>
      </c>
    </row>
    <row r="4588" spans="1:26" x14ac:dyDescent="0.25">
      <c r="A4588">
        <v>35</v>
      </c>
      <c r="J4588" t="s">
        <v>778</v>
      </c>
    </row>
    <row r="4589" spans="1:26" x14ac:dyDescent="0.25">
      <c r="A4589">
        <v>36</v>
      </c>
      <c r="J4589" t="s">
        <v>779</v>
      </c>
    </row>
    <row r="4590" spans="1:26" x14ac:dyDescent="0.25">
      <c r="A4590">
        <v>37</v>
      </c>
      <c r="J4590" t="s">
        <v>780</v>
      </c>
    </row>
    <row r="4591" spans="1:26" x14ac:dyDescent="0.25">
      <c r="A4591">
        <v>38</v>
      </c>
      <c r="J4591" t="s">
        <v>781</v>
      </c>
    </row>
    <row r="4592" spans="1:26" x14ac:dyDescent="0.25">
      <c r="A4592" t="s">
        <v>624</v>
      </c>
      <c r="J4592" t="s">
        <v>745</v>
      </c>
      <c r="R4592" t="s">
        <v>612</v>
      </c>
      <c r="Z4592" t="s">
        <v>613</v>
      </c>
    </row>
    <row r="4594" spans="1:26" x14ac:dyDescent="0.25">
      <c r="A4594">
        <v>820</v>
      </c>
      <c r="J4594" t="s">
        <v>2</v>
      </c>
      <c r="R4594">
        <v>0.39</v>
      </c>
      <c r="Z4594" t="s">
        <v>757</v>
      </c>
    </row>
    <row r="4595" spans="1:26" x14ac:dyDescent="0.25">
      <c r="A4595">
        <v>944</v>
      </c>
      <c r="J4595" t="s">
        <v>2</v>
      </c>
      <c r="R4595">
        <v>0.39</v>
      </c>
      <c r="Z4595" t="s">
        <v>757</v>
      </c>
    </row>
    <row r="4596" spans="1:26" x14ac:dyDescent="0.25">
      <c r="A4596" t="s">
        <v>4790</v>
      </c>
      <c r="J4596" t="s">
        <v>2</v>
      </c>
      <c r="R4596">
        <v>0.39</v>
      </c>
      <c r="Z4596" t="s">
        <v>757</v>
      </c>
    </row>
    <row r="4597" spans="1:26" x14ac:dyDescent="0.25">
      <c r="A4597" t="s">
        <v>4791</v>
      </c>
      <c r="J4597" t="s">
        <v>2</v>
      </c>
      <c r="R4597">
        <v>0.39</v>
      </c>
      <c r="Z4597" t="s">
        <v>757</v>
      </c>
    </row>
    <row r="4598" spans="1:26" x14ac:dyDescent="0.25">
      <c r="A4598" t="s">
        <v>4792</v>
      </c>
      <c r="J4598" t="s">
        <v>2</v>
      </c>
      <c r="R4598">
        <v>0.39</v>
      </c>
      <c r="Z4598" t="s">
        <v>757</v>
      </c>
    </row>
    <row r="4599" spans="1:26" x14ac:dyDescent="0.25">
      <c r="A4599" t="s">
        <v>4793</v>
      </c>
      <c r="J4599" t="s">
        <v>2</v>
      </c>
      <c r="R4599">
        <v>0.39</v>
      </c>
      <c r="Z4599" t="s">
        <v>757</v>
      </c>
    </row>
    <row r="4600" spans="1:26" x14ac:dyDescent="0.25">
      <c r="A4600" t="s">
        <v>4794</v>
      </c>
      <c r="J4600" t="s">
        <v>2</v>
      </c>
      <c r="R4600">
        <v>0.39</v>
      </c>
      <c r="Z4600" t="s">
        <v>757</v>
      </c>
    </row>
    <row r="4601" spans="1:26" x14ac:dyDescent="0.25">
      <c r="A4601" t="s">
        <v>4795</v>
      </c>
      <c r="J4601" t="s">
        <v>2</v>
      </c>
      <c r="R4601">
        <v>0.39</v>
      </c>
      <c r="Z4601" t="s">
        <v>757</v>
      </c>
    </row>
    <row r="4602" spans="1:26" x14ac:dyDescent="0.25">
      <c r="A4602" t="s">
        <v>4796</v>
      </c>
      <c r="J4602" t="s">
        <v>2</v>
      </c>
      <c r="R4602">
        <v>0.39</v>
      </c>
      <c r="Z4602" t="s">
        <v>757</v>
      </c>
    </row>
    <row r="4603" spans="1:26" x14ac:dyDescent="0.25">
      <c r="A4603" t="s">
        <v>4797</v>
      </c>
      <c r="J4603" t="s">
        <v>2</v>
      </c>
      <c r="R4603">
        <v>0.39</v>
      </c>
      <c r="Z4603" t="s">
        <v>757</v>
      </c>
    </row>
    <row r="4604" spans="1:26" x14ac:dyDescent="0.25">
      <c r="A4604" t="s">
        <v>4798</v>
      </c>
      <c r="J4604" t="s">
        <v>2</v>
      </c>
      <c r="R4604">
        <v>0.39</v>
      </c>
      <c r="Z4604" t="s">
        <v>757</v>
      </c>
    </row>
    <row r="4605" spans="1:26" x14ac:dyDescent="0.25">
      <c r="A4605" t="s">
        <v>4799</v>
      </c>
      <c r="J4605" t="s">
        <v>2</v>
      </c>
      <c r="R4605">
        <v>0.39</v>
      </c>
      <c r="Z4605" t="s">
        <v>757</v>
      </c>
    </row>
    <row r="4606" spans="1:26" x14ac:dyDescent="0.25">
      <c r="A4606" t="s">
        <v>4800</v>
      </c>
      <c r="J4606" t="s">
        <v>2</v>
      </c>
      <c r="R4606">
        <v>0.39</v>
      </c>
      <c r="Z4606" t="s">
        <v>757</v>
      </c>
    </row>
    <row r="4607" spans="1:26" x14ac:dyDescent="0.25">
      <c r="A4607" t="s">
        <v>4801</v>
      </c>
      <c r="J4607" t="s">
        <v>2</v>
      </c>
      <c r="R4607">
        <v>0.39</v>
      </c>
      <c r="Z4607" t="s">
        <v>757</v>
      </c>
    </row>
    <row r="4608" spans="1:26" x14ac:dyDescent="0.25">
      <c r="A4608" t="s">
        <v>4802</v>
      </c>
      <c r="J4608" t="s">
        <v>2</v>
      </c>
      <c r="R4608">
        <v>0.39</v>
      </c>
      <c r="Z4608" t="s">
        <v>757</v>
      </c>
    </row>
    <row r="4609" spans="1:26" x14ac:dyDescent="0.25">
      <c r="A4609" t="s">
        <v>4803</v>
      </c>
      <c r="J4609" t="s">
        <v>2</v>
      </c>
      <c r="R4609">
        <v>0.39</v>
      </c>
      <c r="Z4609" t="s">
        <v>757</v>
      </c>
    </row>
    <row r="4610" spans="1:26" x14ac:dyDescent="0.25">
      <c r="A4610" t="s">
        <v>4800</v>
      </c>
      <c r="J4610" t="s">
        <v>2</v>
      </c>
      <c r="R4610">
        <v>0.39</v>
      </c>
      <c r="Z4610" t="s">
        <v>757</v>
      </c>
    </row>
    <row r="4611" spans="1:26" x14ac:dyDescent="0.25">
      <c r="A4611" t="s">
        <v>4801</v>
      </c>
      <c r="J4611" t="s">
        <v>2</v>
      </c>
      <c r="R4611">
        <v>0.39</v>
      </c>
      <c r="Z4611" t="s">
        <v>757</v>
      </c>
    </row>
    <row r="4612" spans="1:26" x14ac:dyDescent="0.25">
      <c r="A4612" t="s">
        <v>4802</v>
      </c>
      <c r="J4612" t="s">
        <v>2</v>
      </c>
      <c r="R4612">
        <v>0.39</v>
      </c>
      <c r="Z4612" t="s">
        <v>757</v>
      </c>
    </row>
    <row r="4613" spans="1:26" x14ac:dyDescent="0.25">
      <c r="A4613" t="s">
        <v>4804</v>
      </c>
      <c r="J4613" t="s">
        <v>2</v>
      </c>
      <c r="R4613">
        <v>0.39</v>
      </c>
      <c r="Z4613" t="s">
        <v>757</v>
      </c>
    </row>
    <row r="4614" spans="1:26" x14ac:dyDescent="0.25">
      <c r="A4614" t="s">
        <v>4805</v>
      </c>
      <c r="J4614" t="s">
        <v>2</v>
      </c>
      <c r="R4614">
        <v>0.39</v>
      </c>
      <c r="Z4614" t="s">
        <v>757</v>
      </c>
    </row>
    <row r="4615" spans="1:26" x14ac:dyDescent="0.25">
      <c r="A4615" t="s">
        <v>4806</v>
      </c>
      <c r="J4615" t="s">
        <v>2</v>
      </c>
      <c r="R4615">
        <v>0.39</v>
      </c>
      <c r="Z4615" t="s">
        <v>757</v>
      </c>
    </row>
    <row r="4616" spans="1:26" x14ac:dyDescent="0.25">
      <c r="A4616" t="s">
        <v>4807</v>
      </c>
      <c r="J4616" t="s">
        <v>2</v>
      </c>
      <c r="R4616">
        <v>0.39</v>
      </c>
      <c r="Z4616" t="s">
        <v>757</v>
      </c>
    </row>
    <row r="4617" spans="1:26" x14ac:dyDescent="0.25">
      <c r="A4617" t="s">
        <v>4808</v>
      </c>
      <c r="J4617" t="s">
        <v>2</v>
      </c>
      <c r="R4617">
        <v>0.39</v>
      </c>
      <c r="Z4617" t="s">
        <v>757</v>
      </c>
    </row>
    <row r="4618" spans="1:26" x14ac:dyDescent="0.25">
      <c r="A4618" t="s">
        <v>4809</v>
      </c>
      <c r="J4618" t="s">
        <v>2</v>
      </c>
      <c r="R4618">
        <v>0.39</v>
      </c>
      <c r="Z4618" t="s">
        <v>757</v>
      </c>
    </row>
    <row r="4619" spans="1:26" x14ac:dyDescent="0.25">
      <c r="A4619" t="s">
        <v>4810</v>
      </c>
      <c r="J4619" t="s">
        <v>2</v>
      </c>
      <c r="R4619">
        <v>0.39</v>
      </c>
      <c r="Z4619" t="s">
        <v>757</v>
      </c>
    </row>
    <row r="4620" spans="1:26" x14ac:dyDescent="0.25">
      <c r="A4620" t="s">
        <v>4807</v>
      </c>
      <c r="J4620" t="s">
        <v>2</v>
      </c>
      <c r="R4620">
        <v>0.39</v>
      </c>
      <c r="Z4620" t="s">
        <v>757</v>
      </c>
    </row>
    <row r="4621" spans="1:26" x14ac:dyDescent="0.25">
      <c r="A4621" t="s">
        <v>4808</v>
      </c>
      <c r="J4621" t="s">
        <v>2</v>
      </c>
      <c r="R4621">
        <v>0.39</v>
      </c>
      <c r="Z4621" t="s">
        <v>757</v>
      </c>
    </row>
    <row r="4622" spans="1:26" x14ac:dyDescent="0.25">
      <c r="A4622" t="s">
        <v>4809</v>
      </c>
      <c r="J4622" t="s">
        <v>2</v>
      </c>
      <c r="R4622">
        <v>0.39</v>
      </c>
      <c r="Z4622" t="s">
        <v>757</v>
      </c>
    </row>
    <row r="4623" spans="1:26" x14ac:dyDescent="0.25">
      <c r="A4623" t="s">
        <v>4810</v>
      </c>
      <c r="J4623" t="s">
        <v>2</v>
      </c>
      <c r="R4623">
        <v>0.39</v>
      </c>
      <c r="Z4623" t="s">
        <v>757</v>
      </c>
    </row>
    <row r="4624" spans="1:26" x14ac:dyDescent="0.25">
      <c r="A4624" t="s">
        <v>4807</v>
      </c>
      <c r="J4624" t="s">
        <v>2</v>
      </c>
      <c r="R4624">
        <v>0.39</v>
      </c>
      <c r="Z4624" t="s">
        <v>757</v>
      </c>
    </row>
    <row r="4625" spans="1:26" x14ac:dyDescent="0.25">
      <c r="A4625" t="s">
        <v>4808</v>
      </c>
      <c r="J4625" t="s">
        <v>2</v>
      </c>
      <c r="R4625">
        <v>0.39</v>
      </c>
      <c r="Z4625" t="s">
        <v>757</v>
      </c>
    </row>
    <row r="4626" spans="1:26" x14ac:dyDescent="0.25">
      <c r="A4626" t="s">
        <v>4809</v>
      </c>
      <c r="J4626" t="s">
        <v>2</v>
      </c>
      <c r="R4626">
        <v>0.39</v>
      </c>
      <c r="Z4626" t="s">
        <v>757</v>
      </c>
    </row>
    <row r="4627" spans="1:26" x14ac:dyDescent="0.25">
      <c r="A4627" t="s">
        <v>4810</v>
      </c>
      <c r="J4627" t="s">
        <v>2</v>
      </c>
      <c r="R4627">
        <v>0.39</v>
      </c>
      <c r="Z4627" t="s">
        <v>757</v>
      </c>
    </row>
    <row r="4628" spans="1:26" x14ac:dyDescent="0.25">
      <c r="A4628" t="s">
        <v>4811</v>
      </c>
      <c r="J4628" t="s">
        <v>2</v>
      </c>
      <c r="R4628">
        <v>0.39</v>
      </c>
      <c r="Z4628" t="s">
        <v>757</v>
      </c>
    </row>
    <row r="4629" spans="1:26" x14ac:dyDescent="0.25">
      <c r="A4629" t="s">
        <v>4812</v>
      </c>
      <c r="J4629" t="s">
        <v>2</v>
      </c>
      <c r="R4629">
        <v>0.39</v>
      </c>
      <c r="Z4629" t="s">
        <v>757</v>
      </c>
    </row>
    <row r="4630" spans="1:26" x14ac:dyDescent="0.25">
      <c r="A4630" t="s">
        <v>4813</v>
      </c>
      <c r="J4630" t="s">
        <v>2</v>
      </c>
      <c r="R4630">
        <v>0.39</v>
      </c>
      <c r="Z4630" t="s">
        <v>757</v>
      </c>
    </row>
    <row r="4631" spans="1:26" x14ac:dyDescent="0.25">
      <c r="A4631" t="s">
        <v>4814</v>
      </c>
      <c r="J4631" t="s">
        <v>2</v>
      </c>
      <c r="R4631">
        <v>0.39</v>
      </c>
      <c r="Z4631" t="s">
        <v>757</v>
      </c>
    </row>
    <row r="4632" spans="1:26" x14ac:dyDescent="0.25">
      <c r="A4632" t="s">
        <v>541</v>
      </c>
      <c r="J4632" t="s">
        <v>4815</v>
      </c>
    </row>
    <row r="4633" spans="1:26" x14ac:dyDescent="0.25">
      <c r="J4633" t="s">
        <v>4438</v>
      </c>
    </row>
    <row r="4634" spans="1:26" x14ac:dyDescent="0.25">
      <c r="A4634">
        <v>1</v>
      </c>
      <c r="J4634" t="s">
        <v>786</v>
      </c>
    </row>
    <row r="4635" spans="1:26" x14ac:dyDescent="0.25">
      <c r="A4635">
        <v>2</v>
      </c>
      <c r="J4635" t="s">
        <v>787</v>
      </c>
    </row>
    <row r="4636" spans="1:26" x14ac:dyDescent="0.25">
      <c r="A4636">
        <v>3</v>
      </c>
      <c r="J4636" t="s">
        <v>788</v>
      </c>
    </row>
    <row r="4637" spans="1:26" x14ac:dyDescent="0.25">
      <c r="A4637">
        <v>4</v>
      </c>
      <c r="J4637" t="s">
        <v>789</v>
      </c>
    </row>
    <row r="4638" spans="1:26" x14ac:dyDescent="0.25">
      <c r="A4638">
        <v>5</v>
      </c>
      <c r="J4638" t="s">
        <v>790</v>
      </c>
    </row>
    <row r="4639" spans="1:26" x14ac:dyDescent="0.25">
      <c r="A4639">
        <v>6</v>
      </c>
      <c r="J4639" t="s">
        <v>791</v>
      </c>
    </row>
    <row r="4640" spans="1:26" x14ac:dyDescent="0.25">
      <c r="A4640">
        <v>7</v>
      </c>
      <c r="J4640" t="s">
        <v>792</v>
      </c>
    </row>
    <row r="4641" spans="1:10" x14ac:dyDescent="0.25">
      <c r="A4641">
        <v>8</v>
      </c>
      <c r="J4641" t="s">
        <v>793</v>
      </c>
    </row>
    <row r="4642" spans="1:10" x14ac:dyDescent="0.25">
      <c r="A4642">
        <v>9</v>
      </c>
      <c r="J4642" t="s">
        <v>794</v>
      </c>
    </row>
    <row r="4643" spans="1:10" x14ac:dyDescent="0.25">
      <c r="A4643">
        <v>10</v>
      </c>
      <c r="J4643" t="s">
        <v>795</v>
      </c>
    </row>
    <row r="4644" spans="1:10" x14ac:dyDescent="0.25">
      <c r="A4644">
        <v>11</v>
      </c>
      <c r="J4644" t="s">
        <v>796</v>
      </c>
    </row>
    <row r="4645" spans="1:10" x14ac:dyDescent="0.25">
      <c r="A4645">
        <v>12</v>
      </c>
      <c r="J4645" t="s">
        <v>797</v>
      </c>
    </row>
    <row r="4646" spans="1:10" x14ac:dyDescent="0.25">
      <c r="A4646">
        <v>13</v>
      </c>
      <c r="J4646" t="s">
        <v>798</v>
      </c>
    </row>
    <row r="4647" spans="1:10" x14ac:dyDescent="0.25">
      <c r="A4647">
        <v>14</v>
      </c>
      <c r="J4647" t="s">
        <v>799</v>
      </c>
    </row>
    <row r="4648" spans="1:10" x14ac:dyDescent="0.25">
      <c r="A4648">
        <v>15</v>
      </c>
      <c r="J4648" t="s">
        <v>800</v>
      </c>
    </row>
    <row r="4649" spans="1:10" x14ac:dyDescent="0.25">
      <c r="A4649">
        <v>16</v>
      </c>
      <c r="J4649" t="s">
        <v>801</v>
      </c>
    </row>
    <row r="4650" spans="1:10" x14ac:dyDescent="0.25">
      <c r="A4650">
        <v>17</v>
      </c>
      <c r="J4650" t="s">
        <v>802</v>
      </c>
    </row>
    <row r="4651" spans="1:10" x14ac:dyDescent="0.25">
      <c r="A4651">
        <v>18</v>
      </c>
      <c r="J4651" t="s">
        <v>803</v>
      </c>
    </row>
    <row r="4652" spans="1:10" x14ac:dyDescent="0.25">
      <c r="A4652">
        <v>19</v>
      </c>
      <c r="J4652" t="s">
        <v>804</v>
      </c>
    </row>
    <row r="4653" spans="1:10" x14ac:dyDescent="0.25">
      <c r="A4653">
        <v>20</v>
      </c>
      <c r="J4653" t="s">
        <v>805</v>
      </c>
    </row>
    <row r="4654" spans="1:10" x14ac:dyDescent="0.25">
      <c r="A4654">
        <v>21</v>
      </c>
      <c r="J4654" t="s">
        <v>806</v>
      </c>
    </row>
    <row r="4655" spans="1:10" x14ac:dyDescent="0.25">
      <c r="A4655">
        <v>22</v>
      </c>
      <c r="J4655" t="s">
        <v>807</v>
      </c>
    </row>
    <row r="4656" spans="1:10" x14ac:dyDescent="0.25">
      <c r="A4656">
        <v>23</v>
      </c>
      <c r="J4656" t="s">
        <v>808</v>
      </c>
    </row>
    <row r="4657" spans="1:26" x14ac:dyDescent="0.25">
      <c r="A4657">
        <v>24</v>
      </c>
      <c r="J4657" t="s">
        <v>809</v>
      </c>
    </row>
    <row r="4658" spans="1:26" x14ac:dyDescent="0.25">
      <c r="A4658">
        <v>25</v>
      </c>
      <c r="J4658" t="s">
        <v>810</v>
      </c>
    </row>
    <row r="4659" spans="1:26" x14ac:dyDescent="0.25">
      <c r="A4659">
        <v>26</v>
      </c>
      <c r="J4659" t="s">
        <v>811</v>
      </c>
    </row>
    <row r="4660" spans="1:26" x14ac:dyDescent="0.25">
      <c r="A4660">
        <v>27</v>
      </c>
      <c r="J4660" t="s">
        <v>812</v>
      </c>
    </row>
    <row r="4661" spans="1:26" x14ac:dyDescent="0.25">
      <c r="A4661">
        <v>28</v>
      </c>
      <c r="J4661" t="s">
        <v>813</v>
      </c>
    </row>
    <row r="4662" spans="1:26" x14ac:dyDescent="0.25">
      <c r="A4662">
        <v>29</v>
      </c>
      <c r="J4662" t="s">
        <v>814</v>
      </c>
    </row>
    <row r="4663" spans="1:26" x14ac:dyDescent="0.25">
      <c r="A4663">
        <v>30</v>
      </c>
      <c r="J4663" t="s">
        <v>815</v>
      </c>
    </row>
    <row r="4664" spans="1:26" x14ac:dyDescent="0.25">
      <c r="A4664">
        <v>31</v>
      </c>
      <c r="J4664" t="s">
        <v>816</v>
      </c>
    </row>
    <row r="4665" spans="1:26" x14ac:dyDescent="0.25">
      <c r="A4665">
        <v>32</v>
      </c>
      <c r="J4665" t="s">
        <v>817</v>
      </c>
    </row>
    <row r="4666" spans="1:26" x14ac:dyDescent="0.25">
      <c r="A4666">
        <v>33</v>
      </c>
      <c r="J4666" t="s">
        <v>818</v>
      </c>
    </row>
    <row r="4667" spans="1:26" x14ac:dyDescent="0.25">
      <c r="A4667" t="s">
        <v>624</v>
      </c>
      <c r="J4667" t="s">
        <v>745</v>
      </c>
      <c r="R4667" t="s">
        <v>612</v>
      </c>
      <c r="Z4667" t="s">
        <v>613</v>
      </c>
    </row>
    <row r="4669" spans="1:26" x14ac:dyDescent="0.25">
      <c r="A4669" t="s">
        <v>4816</v>
      </c>
      <c r="J4669" t="s">
        <v>2</v>
      </c>
      <c r="R4669">
        <v>0.39</v>
      </c>
      <c r="Z4669" t="s">
        <v>866</v>
      </c>
    </row>
    <row r="4670" spans="1:26" x14ac:dyDescent="0.25">
      <c r="A4670" t="s">
        <v>4817</v>
      </c>
      <c r="J4670" t="s">
        <v>2</v>
      </c>
      <c r="R4670">
        <v>0.39</v>
      </c>
      <c r="Z4670" t="s">
        <v>866</v>
      </c>
    </row>
    <row r="4671" spans="1:26" x14ac:dyDescent="0.25">
      <c r="A4671" t="s">
        <v>4818</v>
      </c>
      <c r="J4671" t="s">
        <v>2</v>
      </c>
      <c r="R4671">
        <v>0.39</v>
      </c>
      <c r="Z4671" t="s">
        <v>866</v>
      </c>
    </row>
    <row r="4672" spans="1:26" x14ac:dyDescent="0.25">
      <c r="A4672" t="s">
        <v>4819</v>
      </c>
      <c r="J4672" t="s">
        <v>2</v>
      </c>
      <c r="R4672">
        <v>0.39</v>
      </c>
      <c r="Z4672" t="s">
        <v>866</v>
      </c>
    </row>
    <row r="4673" spans="1:26" x14ac:dyDescent="0.25">
      <c r="A4673" t="s">
        <v>4820</v>
      </c>
      <c r="J4673" t="s">
        <v>2</v>
      </c>
      <c r="R4673">
        <v>0.39</v>
      </c>
      <c r="Z4673" t="s">
        <v>866</v>
      </c>
    </row>
    <row r="4674" spans="1:26" x14ac:dyDescent="0.25">
      <c r="A4674" t="s">
        <v>4821</v>
      </c>
      <c r="J4674" t="s">
        <v>2</v>
      </c>
      <c r="R4674">
        <v>0.39</v>
      </c>
      <c r="Z4674" t="s">
        <v>866</v>
      </c>
    </row>
    <row r="4675" spans="1:26" x14ac:dyDescent="0.25">
      <c r="A4675" t="s">
        <v>4822</v>
      </c>
      <c r="J4675" t="s">
        <v>2</v>
      </c>
      <c r="R4675">
        <v>0.39</v>
      </c>
      <c r="Z4675" t="s">
        <v>866</v>
      </c>
    </row>
    <row r="4676" spans="1:26" x14ac:dyDescent="0.25">
      <c r="A4676" t="s">
        <v>4823</v>
      </c>
      <c r="J4676" t="s">
        <v>2</v>
      </c>
      <c r="R4676">
        <v>0.39</v>
      </c>
      <c r="Z4676" t="s">
        <v>866</v>
      </c>
    </row>
    <row r="4677" spans="1:26" x14ac:dyDescent="0.25">
      <c r="A4677" t="s">
        <v>4824</v>
      </c>
      <c r="J4677" t="s">
        <v>2</v>
      </c>
      <c r="R4677">
        <v>0.39</v>
      </c>
      <c r="Z4677" t="s">
        <v>866</v>
      </c>
    </row>
    <row r="4678" spans="1:26" x14ac:dyDescent="0.25">
      <c r="A4678" t="s">
        <v>4825</v>
      </c>
      <c r="J4678" t="s">
        <v>2</v>
      </c>
      <c r="R4678">
        <v>0.39</v>
      </c>
      <c r="Z4678" t="s">
        <v>866</v>
      </c>
    </row>
    <row r="4679" spans="1:26" x14ac:dyDescent="0.25">
      <c r="A4679" t="s">
        <v>4826</v>
      </c>
      <c r="J4679" t="s">
        <v>2</v>
      </c>
      <c r="R4679">
        <v>0.39</v>
      </c>
      <c r="Z4679" t="s">
        <v>866</v>
      </c>
    </row>
    <row r="4680" spans="1:26" x14ac:dyDescent="0.25">
      <c r="A4680" t="s">
        <v>4827</v>
      </c>
      <c r="J4680" t="s">
        <v>2</v>
      </c>
      <c r="R4680">
        <v>0.39</v>
      </c>
      <c r="Z4680" t="s">
        <v>866</v>
      </c>
    </row>
    <row r="4681" spans="1:26" x14ac:dyDescent="0.25">
      <c r="A4681" t="s">
        <v>4828</v>
      </c>
      <c r="J4681" t="s">
        <v>2</v>
      </c>
      <c r="R4681">
        <v>0.39</v>
      </c>
      <c r="Z4681" t="s">
        <v>866</v>
      </c>
    </row>
    <row r="4682" spans="1:26" x14ac:dyDescent="0.25">
      <c r="A4682" t="s">
        <v>4829</v>
      </c>
      <c r="J4682" t="s">
        <v>2</v>
      </c>
      <c r="R4682">
        <v>0.39</v>
      </c>
      <c r="Z4682" t="s">
        <v>866</v>
      </c>
    </row>
    <row r="4683" spans="1:26" x14ac:dyDescent="0.25">
      <c r="A4683" t="s">
        <v>4830</v>
      </c>
      <c r="J4683" t="s">
        <v>2</v>
      </c>
      <c r="R4683">
        <v>0.39</v>
      </c>
      <c r="Z4683" t="s">
        <v>866</v>
      </c>
    </row>
    <row r="4684" spans="1:26" x14ac:dyDescent="0.25">
      <c r="A4684" t="s">
        <v>4831</v>
      </c>
      <c r="J4684" t="s">
        <v>2</v>
      </c>
      <c r="R4684">
        <v>0.39</v>
      </c>
      <c r="Z4684" t="s">
        <v>866</v>
      </c>
    </row>
    <row r="4685" spans="1:26" x14ac:dyDescent="0.25">
      <c r="A4685" t="s">
        <v>4832</v>
      </c>
      <c r="J4685" t="s">
        <v>2</v>
      </c>
      <c r="R4685">
        <v>0.39</v>
      </c>
      <c r="Z4685" t="s">
        <v>866</v>
      </c>
    </row>
    <row r="4686" spans="1:26" x14ac:dyDescent="0.25">
      <c r="A4686" t="s">
        <v>4833</v>
      </c>
      <c r="J4686" t="s">
        <v>2</v>
      </c>
      <c r="R4686">
        <v>0.39</v>
      </c>
      <c r="Z4686" t="s">
        <v>866</v>
      </c>
    </row>
    <row r="4687" spans="1:26" x14ac:dyDescent="0.25">
      <c r="A4687" t="s">
        <v>4834</v>
      </c>
      <c r="J4687" t="s">
        <v>2</v>
      </c>
      <c r="R4687">
        <v>0.39</v>
      </c>
      <c r="Z4687" t="s">
        <v>866</v>
      </c>
    </row>
    <row r="4688" spans="1:26" x14ac:dyDescent="0.25">
      <c r="A4688" t="s">
        <v>4835</v>
      </c>
      <c r="J4688" t="s">
        <v>2</v>
      </c>
      <c r="R4688">
        <v>0.39</v>
      </c>
      <c r="Z4688" t="s">
        <v>866</v>
      </c>
    </row>
    <row r="4689" spans="1:26" x14ac:dyDescent="0.25">
      <c r="A4689" t="s">
        <v>4836</v>
      </c>
      <c r="J4689" t="s">
        <v>2</v>
      </c>
      <c r="R4689">
        <v>0.39</v>
      </c>
      <c r="Z4689" t="s">
        <v>866</v>
      </c>
    </row>
    <row r="4690" spans="1:26" x14ac:dyDescent="0.25">
      <c r="A4690" t="s">
        <v>4837</v>
      </c>
      <c r="J4690" t="s">
        <v>2</v>
      </c>
      <c r="R4690">
        <v>0.39</v>
      </c>
      <c r="Z4690" t="s">
        <v>866</v>
      </c>
    </row>
    <row r="4691" spans="1:26" x14ac:dyDescent="0.25">
      <c r="A4691" t="s">
        <v>4838</v>
      </c>
      <c r="J4691" t="s">
        <v>2</v>
      </c>
      <c r="R4691">
        <v>0.39</v>
      </c>
      <c r="Z4691" t="s">
        <v>866</v>
      </c>
    </row>
    <row r="4692" spans="1:26" x14ac:dyDescent="0.25">
      <c r="A4692" t="s">
        <v>4839</v>
      </c>
      <c r="J4692" t="s">
        <v>2</v>
      </c>
      <c r="R4692">
        <v>0.39</v>
      </c>
      <c r="Z4692" t="s">
        <v>866</v>
      </c>
    </row>
    <row r="4693" spans="1:26" x14ac:dyDescent="0.25">
      <c r="A4693" t="s">
        <v>4840</v>
      </c>
      <c r="J4693" t="s">
        <v>2</v>
      </c>
      <c r="R4693">
        <v>0.39</v>
      </c>
      <c r="Z4693" t="s">
        <v>866</v>
      </c>
    </row>
    <row r="4694" spans="1:26" x14ac:dyDescent="0.25">
      <c r="A4694" t="s">
        <v>4841</v>
      </c>
      <c r="J4694" t="s">
        <v>2</v>
      </c>
      <c r="R4694">
        <v>0.39</v>
      </c>
      <c r="Z4694" t="s">
        <v>866</v>
      </c>
    </row>
    <row r="4695" spans="1:26" x14ac:dyDescent="0.25">
      <c r="A4695" t="s">
        <v>4842</v>
      </c>
      <c r="J4695" t="s">
        <v>2</v>
      </c>
      <c r="R4695">
        <v>0.39</v>
      </c>
      <c r="Z4695" t="s">
        <v>866</v>
      </c>
    </row>
    <row r="4696" spans="1:26" x14ac:dyDescent="0.25">
      <c r="A4696" t="s">
        <v>4843</v>
      </c>
      <c r="J4696" t="s">
        <v>2</v>
      </c>
      <c r="R4696">
        <v>0.39</v>
      </c>
      <c r="Z4696" t="s">
        <v>866</v>
      </c>
    </row>
    <row r="4697" spans="1:26" x14ac:dyDescent="0.25">
      <c r="A4697" t="s">
        <v>4844</v>
      </c>
      <c r="J4697" t="s">
        <v>2</v>
      </c>
      <c r="R4697">
        <v>0.39</v>
      </c>
      <c r="Z4697" t="s">
        <v>866</v>
      </c>
    </row>
    <row r="4698" spans="1:26" x14ac:dyDescent="0.25">
      <c r="A4698" t="s">
        <v>4845</v>
      </c>
      <c r="J4698" t="s">
        <v>2</v>
      </c>
      <c r="R4698">
        <v>0.39</v>
      </c>
      <c r="Z4698" t="s">
        <v>866</v>
      </c>
    </row>
    <row r="4699" spans="1:26" x14ac:dyDescent="0.25">
      <c r="A4699" t="s">
        <v>4846</v>
      </c>
      <c r="J4699" t="s">
        <v>2</v>
      </c>
      <c r="R4699">
        <v>0.39</v>
      </c>
      <c r="Z4699" t="s">
        <v>866</v>
      </c>
    </row>
    <row r="4700" spans="1:26" x14ac:dyDescent="0.25">
      <c r="A4700" t="s">
        <v>4847</v>
      </c>
      <c r="J4700" t="s">
        <v>2</v>
      </c>
      <c r="R4700">
        <v>0.39</v>
      </c>
      <c r="Z4700" t="s">
        <v>866</v>
      </c>
    </row>
    <row r="4701" spans="1:26" x14ac:dyDescent="0.25">
      <c r="A4701" t="s">
        <v>4848</v>
      </c>
      <c r="J4701" t="s">
        <v>2</v>
      </c>
      <c r="R4701">
        <v>0.39</v>
      </c>
      <c r="Z4701" t="s">
        <v>866</v>
      </c>
    </row>
    <row r="4702" spans="1:26" x14ac:dyDescent="0.25">
      <c r="A4702" t="s">
        <v>541</v>
      </c>
      <c r="J4702" t="s">
        <v>4849</v>
      </c>
    </row>
    <row r="4703" spans="1:26" x14ac:dyDescent="0.25">
      <c r="J4703" t="s">
        <v>4438</v>
      </c>
    </row>
    <row r="4704" spans="1:26" x14ac:dyDescent="0.25">
      <c r="A4704">
        <v>1</v>
      </c>
      <c r="J4704" t="s">
        <v>4850</v>
      </c>
    </row>
    <row r="4705" spans="1:10" x14ac:dyDescent="0.25">
      <c r="A4705">
        <v>2</v>
      </c>
      <c r="J4705" t="s">
        <v>4851</v>
      </c>
    </row>
    <row r="4706" spans="1:10" x14ac:dyDescent="0.25">
      <c r="A4706">
        <v>3</v>
      </c>
      <c r="J4706" t="s">
        <v>4852</v>
      </c>
    </row>
    <row r="4707" spans="1:10" x14ac:dyDescent="0.25">
      <c r="A4707">
        <v>4</v>
      </c>
      <c r="J4707" t="s">
        <v>4853</v>
      </c>
    </row>
    <row r="4708" spans="1:10" x14ac:dyDescent="0.25">
      <c r="A4708">
        <v>5</v>
      </c>
      <c r="J4708" t="s">
        <v>4854</v>
      </c>
    </row>
    <row r="4709" spans="1:10" x14ac:dyDescent="0.25">
      <c r="A4709">
        <v>6</v>
      </c>
      <c r="J4709" t="s">
        <v>4855</v>
      </c>
    </row>
    <row r="4710" spans="1:10" x14ac:dyDescent="0.25">
      <c r="A4710">
        <v>7</v>
      </c>
      <c r="J4710" t="s">
        <v>4856</v>
      </c>
    </row>
    <row r="4711" spans="1:10" x14ac:dyDescent="0.25">
      <c r="A4711">
        <v>8</v>
      </c>
      <c r="J4711" t="s">
        <v>4857</v>
      </c>
    </row>
    <row r="4712" spans="1:10" x14ac:dyDescent="0.25">
      <c r="A4712">
        <v>9</v>
      </c>
      <c r="J4712" t="s">
        <v>4858</v>
      </c>
    </row>
    <row r="4713" spans="1:10" x14ac:dyDescent="0.25">
      <c r="A4713">
        <v>10</v>
      </c>
      <c r="J4713" t="s">
        <v>4859</v>
      </c>
    </row>
    <row r="4714" spans="1:10" x14ac:dyDescent="0.25">
      <c r="A4714">
        <v>11</v>
      </c>
      <c r="J4714" t="s">
        <v>4860</v>
      </c>
    </row>
    <row r="4715" spans="1:10" x14ac:dyDescent="0.25">
      <c r="A4715">
        <v>12</v>
      </c>
      <c r="J4715" t="s">
        <v>4861</v>
      </c>
    </row>
    <row r="4716" spans="1:10" x14ac:dyDescent="0.25">
      <c r="A4716">
        <v>13</v>
      </c>
      <c r="J4716" t="s">
        <v>4862</v>
      </c>
    </row>
    <row r="4717" spans="1:10" x14ac:dyDescent="0.25">
      <c r="A4717">
        <v>14</v>
      </c>
      <c r="J4717" t="s">
        <v>4863</v>
      </c>
    </row>
    <row r="4718" spans="1:10" x14ac:dyDescent="0.25">
      <c r="A4718">
        <v>15</v>
      </c>
      <c r="J4718" t="s">
        <v>4864</v>
      </c>
    </row>
    <row r="4719" spans="1:10" x14ac:dyDescent="0.25">
      <c r="A4719">
        <v>16</v>
      </c>
      <c r="J4719" t="s">
        <v>4865</v>
      </c>
    </row>
    <row r="4720" spans="1:10" x14ac:dyDescent="0.25">
      <c r="A4720">
        <v>17</v>
      </c>
      <c r="J4720" t="s">
        <v>4866</v>
      </c>
    </row>
    <row r="4721" spans="1:28" x14ac:dyDescent="0.25">
      <c r="A4721">
        <v>18</v>
      </c>
      <c r="J4721" t="s">
        <v>4867</v>
      </c>
    </row>
    <row r="4722" spans="1:28" x14ac:dyDescent="0.25">
      <c r="A4722">
        <v>19</v>
      </c>
      <c r="J4722" t="s">
        <v>4868</v>
      </c>
    </row>
    <row r="4723" spans="1:28" x14ac:dyDescent="0.25">
      <c r="A4723">
        <v>20</v>
      </c>
      <c r="J4723" t="s">
        <v>4869</v>
      </c>
    </row>
    <row r="4724" spans="1:28" x14ac:dyDescent="0.25">
      <c r="A4724">
        <v>21</v>
      </c>
      <c r="J4724" t="s">
        <v>4870</v>
      </c>
    </row>
    <row r="4725" spans="1:28" x14ac:dyDescent="0.25">
      <c r="A4725">
        <v>22</v>
      </c>
      <c r="J4725" t="s">
        <v>4871</v>
      </c>
    </row>
    <row r="4726" spans="1:28" x14ac:dyDescent="0.25">
      <c r="A4726">
        <v>23</v>
      </c>
      <c r="J4726" t="s">
        <v>4872</v>
      </c>
    </row>
    <row r="4727" spans="1:28" x14ac:dyDescent="0.25">
      <c r="A4727">
        <v>24</v>
      </c>
      <c r="J4727" t="s">
        <v>4380</v>
      </c>
    </row>
    <row r="4728" spans="1:28" x14ac:dyDescent="0.25">
      <c r="A4728">
        <v>25</v>
      </c>
      <c r="J4728" t="s">
        <v>4873</v>
      </c>
    </row>
    <row r="4729" spans="1:28" x14ac:dyDescent="0.25">
      <c r="A4729">
        <v>26</v>
      </c>
      <c r="J4729" t="s">
        <v>4874</v>
      </c>
    </row>
    <row r="4730" spans="1:28" x14ac:dyDescent="0.25">
      <c r="A4730">
        <v>27</v>
      </c>
      <c r="J4730" t="s">
        <v>4875</v>
      </c>
    </row>
    <row r="4731" spans="1:28" x14ac:dyDescent="0.25">
      <c r="A4731" t="s">
        <v>624</v>
      </c>
      <c r="K4731" t="s">
        <v>745</v>
      </c>
      <c r="S4731" t="s">
        <v>612</v>
      </c>
      <c r="AB4731" t="s">
        <v>613</v>
      </c>
    </row>
    <row r="4733" spans="1:28" x14ac:dyDescent="0.25">
      <c r="A4733">
        <v>875</v>
      </c>
      <c r="K4733" t="s">
        <v>2</v>
      </c>
      <c r="S4733">
        <v>0.45</v>
      </c>
      <c r="AB4733" t="s">
        <v>4876</v>
      </c>
    </row>
    <row r="4734" spans="1:28" x14ac:dyDescent="0.25">
      <c r="A4734">
        <v>924</v>
      </c>
      <c r="K4734" t="s">
        <v>2</v>
      </c>
      <c r="S4734">
        <v>0.45</v>
      </c>
      <c r="AB4734" t="s">
        <v>4876</v>
      </c>
    </row>
    <row r="4735" spans="1:28" x14ac:dyDescent="0.25">
      <c r="A4735" t="s">
        <v>4877</v>
      </c>
      <c r="K4735" t="s">
        <v>2</v>
      </c>
      <c r="S4735">
        <v>0.45</v>
      </c>
      <c r="AB4735" t="s">
        <v>4876</v>
      </c>
    </row>
    <row r="4736" spans="1:28" x14ac:dyDescent="0.25">
      <c r="A4736" t="s">
        <v>4878</v>
      </c>
      <c r="K4736" t="s">
        <v>2</v>
      </c>
      <c r="S4736">
        <v>0.45</v>
      </c>
      <c r="AB4736" t="s">
        <v>4876</v>
      </c>
    </row>
    <row r="4737" spans="1:28" x14ac:dyDescent="0.25">
      <c r="A4737">
        <v>956</v>
      </c>
      <c r="K4737" t="s">
        <v>2</v>
      </c>
      <c r="S4737">
        <v>0.45</v>
      </c>
      <c r="AB4737" t="s">
        <v>4876</v>
      </c>
    </row>
    <row r="4738" spans="1:28" x14ac:dyDescent="0.25">
      <c r="A4738" t="s">
        <v>4879</v>
      </c>
      <c r="K4738" t="s">
        <v>2</v>
      </c>
      <c r="S4738">
        <v>0.45</v>
      </c>
      <c r="AB4738" t="s">
        <v>4876</v>
      </c>
    </row>
    <row r="4739" spans="1:28" x14ac:dyDescent="0.25">
      <c r="A4739" t="s">
        <v>4880</v>
      </c>
      <c r="K4739" t="s">
        <v>2</v>
      </c>
      <c r="S4739">
        <v>0.45</v>
      </c>
      <c r="AB4739" t="s">
        <v>4876</v>
      </c>
    </row>
    <row r="4740" spans="1:28" x14ac:dyDescent="0.25">
      <c r="A4740" t="s">
        <v>4881</v>
      </c>
      <c r="K4740" t="s">
        <v>2</v>
      </c>
      <c r="S4740">
        <v>0.45</v>
      </c>
      <c r="AB4740" t="s">
        <v>4876</v>
      </c>
    </row>
    <row r="4741" spans="1:28" x14ac:dyDescent="0.25">
      <c r="A4741" t="s">
        <v>4882</v>
      </c>
      <c r="K4741" t="s">
        <v>2</v>
      </c>
      <c r="S4741">
        <v>0.45</v>
      </c>
      <c r="AB4741" t="s">
        <v>4876</v>
      </c>
    </row>
    <row r="4742" spans="1:28" x14ac:dyDescent="0.25">
      <c r="A4742" t="s">
        <v>4883</v>
      </c>
      <c r="K4742" t="s">
        <v>2</v>
      </c>
      <c r="S4742">
        <v>0.45</v>
      </c>
      <c r="AB4742" t="s">
        <v>4876</v>
      </c>
    </row>
    <row r="4743" spans="1:28" x14ac:dyDescent="0.25">
      <c r="A4743" t="s">
        <v>4884</v>
      </c>
      <c r="K4743" t="s">
        <v>2</v>
      </c>
      <c r="S4743">
        <v>0.45</v>
      </c>
      <c r="AB4743" t="s">
        <v>4876</v>
      </c>
    </row>
    <row r="4744" spans="1:28" x14ac:dyDescent="0.25">
      <c r="A4744" t="s">
        <v>4885</v>
      </c>
      <c r="K4744" t="s">
        <v>2</v>
      </c>
      <c r="S4744">
        <v>0.45</v>
      </c>
      <c r="AB4744" t="s">
        <v>4876</v>
      </c>
    </row>
    <row r="4745" spans="1:28" x14ac:dyDescent="0.25">
      <c r="A4745" t="s">
        <v>4886</v>
      </c>
      <c r="K4745" t="s">
        <v>2</v>
      </c>
      <c r="S4745">
        <v>0.45</v>
      </c>
      <c r="AB4745" t="s">
        <v>4876</v>
      </c>
    </row>
    <row r="4746" spans="1:28" x14ac:dyDescent="0.25">
      <c r="A4746" t="s">
        <v>4887</v>
      </c>
      <c r="K4746" t="s">
        <v>2</v>
      </c>
      <c r="S4746">
        <v>0.45</v>
      </c>
      <c r="AB4746" t="s">
        <v>4876</v>
      </c>
    </row>
    <row r="4747" spans="1:28" x14ac:dyDescent="0.25">
      <c r="A4747" t="s">
        <v>4888</v>
      </c>
      <c r="K4747" t="s">
        <v>2</v>
      </c>
      <c r="S4747">
        <v>0.45</v>
      </c>
      <c r="AB4747" t="s">
        <v>4876</v>
      </c>
    </row>
    <row r="4748" spans="1:28" x14ac:dyDescent="0.25">
      <c r="A4748" t="s">
        <v>4889</v>
      </c>
      <c r="K4748" t="s">
        <v>2</v>
      </c>
      <c r="S4748">
        <v>0.45</v>
      </c>
      <c r="AB4748" t="s">
        <v>4876</v>
      </c>
    </row>
    <row r="4749" spans="1:28" x14ac:dyDescent="0.25">
      <c r="A4749" t="s">
        <v>4890</v>
      </c>
      <c r="K4749" t="s">
        <v>2</v>
      </c>
      <c r="S4749">
        <v>0.45</v>
      </c>
      <c r="AB4749" t="s">
        <v>4876</v>
      </c>
    </row>
    <row r="4750" spans="1:28" x14ac:dyDescent="0.25">
      <c r="A4750" t="s">
        <v>4891</v>
      </c>
      <c r="K4750" t="s">
        <v>2</v>
      </c>
      <c r="S4750">
        <v>0.45</v>
      </c>
      <c r="AB4750" t="s">
        <v>4876</v>
      </c>
    </row>
    <row r="4751" spans="1:28" x14ac:dyDescent="0.25">
      <c r="A4751" t="s">
        <v>4892</v>
      </c>
      <c r="K4751" t="s">
        <v>2</v>
      </c>
      <c r="S4751">
        <v>0.45</v>
      </c>
      <c r="AB4751" t="s">
        <v>4876</v>
      </c>
    </row>
    <row r="4752" spans="1:28" x14ac:dyDescent="0.25">
      <c r="A4752" t="s">
        <v>4893</v>
      </c>
      <c r="K4752" t="s">
        <v>2</v>
      </c>
      <c r="S4752">
        <v>0.45</v>
      </c>
      <c r="AB4752" t="s">
        <v>4876</v>
      </c>
    </row>
    <row r="4753" spans="1:75" x14ac:dyDescent="0.25">
      <c r="A4753" t="s">
        <v>4894</v>
      </c>
      <c r="K4753" t="s">
        <v>2</v>
      </c>
      <c r="S4753">
        <v>0.45</v>
      </c>
      <c r="AB4753" t="s">
        <v>4876</v>
      </c>
    </row>
    <row r="4754" spans="1:75" x14ac:dyDescent="0.25">
      <c r="A4754" t="s">
        <v>4895</v>
      </c>
      <c r="K4754" t="s">
        <v>2</v>
      </c>
      <c r="S4754">
        <v>0.45</v>
      </c>
      <c r="AB4754" t="s">
        <v>4876</v>
      </c>
    </row>
    <row r="4755" spans="1:75" x14ac:dyDescent="0.25">
      <c r="A4755" t="s">
        <v>4896</v>
      </c>
      <c r="K4755" t="s">
        <v>2</v>
      </c>
      <c r="S4755">
        <v>0.45</v>
      </c>
      <c r="AB4755" t="s">
        <v>4876</v>
      </c>
    </row>
    <row r="4756" spans="1:75" x14ac:dyDescent="0.25">
      <c r="A4756">
        <v>887</v>
      </c>
      <c r="K4756" t="s">
        <v>2</v>
      </c>
      <c r="S4756">
        <v>0.4</v>
      </c>
      <c r="AB4756" t="s">
        <v>950</v>
      </c>
    </row>
    <row r="4757" spans="1:75" x14ac:dyDescent="0.25">
      <c r="A4757">
        <v>676</v>
      </c>
      <c r="K4757" t="s">
        <v>2</v>
      </c>
      <c r="S4757">
        <v>0.48</v>
      </c>
      <c r="AB4757" t="s">
        <v>4876</v>
      </c>
    </row>
    <row r="4758" spans="1:75" x14ac:dyDescent="0.25">
      <c r="A4758" t="s">
        <v>4794</v>
      </c>
      <c r="K4758" t="s">
        <v>2</v>
      </c>
      <c r="S4758">
        <v>0.48</v>
      </c>
      <c r="AB4758" t="s">
        <v>4876</v>
      </c>
    </row>
    <row r="4759" spans="1:75" x14ac:dyDescent="0.25">
      <c r="A4759">
        <v>307</v>
      </c>
      <c r="K4759" t="s">
        <v>2</v>
      </c>
      <c r="S4759">
        <v>0.48</v>
      </c>
      <c r="AB4759" t="s">
        <v>4876</v>
      </c>
    </row>
    <row r="4761" spans="1:75" x14ac:dyDescent="0.25">
      <c r="A4761" t="s">
        <v>4897</v>
      </c>
    </row>
    <row r="4762" spans="1:75" x14ac:dyDescent="0.25">
      <c r="A4762" t="s">
        <v>4898</v>
      </c>
    </row>
    <row r="4763" spans="1:75" x14ac:dyDescent="0.25">
      <c r="A4763" t="s">
        <v>4899</v>
      </c>
      <c r="AX4763" t="s">
        <v>4900</v>
      </c>
    </row>
    <row r="4765" spans="1:75" x14ac:dyDescent="0.25">
      <c r="A4765" t="s">
        <v>4901</v>
      </c>
    </row>
    <row r="4766" spans="1:75" x14ac:dyDescent="0.25">
      <c r="I4766" t="s">
        <v>4902</v>
      </c>
      <c r="BW4766" t="s">
        <v>4903</v>
      </c>
    </row>
    <row r="4767" spans="1:75" x14ac:dyDescent="0.25">
      <c r="I4767" t="s">
        <v>4904</v>
      </c>
      <c r="BA4767" t="s">
        <v>2424</v>
      </c>
      <c r="BW4767">
        <v>11</v>
      </c>
    </row>
    <row r="4768" spans="1:75" x14ac:dyDescent="0.25">
      <c r="BA4768" t="s">
        <v>2424</v>
      </c>
      <c r="BW4768">
        <v>2.2999999999999998</v>
      </c>
    </row>
    <row r="4769" spans="53:75" x14ac:dyDescent="0.25">
      <c r="BA4769" t="s">
        <v>4905</v>
      </c>
      <c r="BW4769">
        <v>4.74</v>
      </c>
    </row>
    <row r="4770" spans="53:75" x14ac:dyDescent="0.25">
      <c r="BA4770" t="s">
        <v>2424</v>
      </c>
      <c r="BW4770">
        <v>13.58</v>
      </c>
    </row>
    <row r="4771" spans="53:75" x14ac:dyDescent="0.25">
      <c r="BA4771" t="s">
        <v>2424</v>
      </c>
      <c r="BW4771">
        <v>3.57</v>
      </c>
    </row>
    <row r="4772" spans="53:75" x14ac:dyDescent="0.25">
      <c r="BA4772" t="s">
        <v>4905</v>
      </c>
      <c r="BW4772">
        <v>3.8</v>
      </c>
    </row>
    <row r="4773" spans="53:75" x14ac:dyDescent="0.25">
      <c r="BW4773" t="s">
        <v>2879</v>
      </c>
    </row>
    <row r="4774" spans="53:75" x14ac:dyDescent="0.25">
      <c r="BA4774" t="s">
        <v>4906</v>
      </c>
      <c r="BW4774" t="s">
        <v>4907</v>
      </c>
    </row>
    <row r="4775" spans="53:75" x14ac:dyDescent="0.25">
      <c r="BA4775" t="s">
        <v>4905</v>
      </c>
      <c r="BW4775" t="s">
        <v>4908</v>
      </c>
    </row>
    <row r="4776" spans="53:75" x14ac:dyDescent="0.25">
      <c r="BA4776" t="s">
        <v>2424</v>
      </c>
      <c r="BW4776">
        <v>8</v>
      </c>
    </row>
    <row r="4777" spans="53:75" x14ac:dyDescent="0.25">
      <c r="BA4777" t="s">
        <v>2424</v>
      </c>
      <c r="BW4777">
        <v>2.88</v>
      </c>
    </row>
    <row r="4778" spans="53:75" x14ac:dyDescent="0.25">
      <c r="BA4778" t="s">
        <v>4905</v>
      </c>
      <c r="BW4778">
        <v>2.62</v>
      </c>
    </row>
    <row r="4779" spans="53:75" x14ac:dyDescent="0.25">
      <c r="BW4779" t="s">
        <v>4909</v>
      </c>
    </row>
    <row r="4780" spans="53:75" x14ac:dyDescent="0.25">
      <c r="BA4780" t="s">
        <v>2442</v>
      </c>
      <c r="BW4780" t="s">
        <v>4910</v>
      </c>
    </row>
    <row r="4781" spans="53:75" x14ac:dyDescent="0.25">
      <c r="BA4781" t="s">
        <v>4911</v>
      </c>
      <c r="BW4781" t="s">
        <v>4912</v>
      </c>
    </row>
    <row r="4782" spans="53:75" x14ac:dyDescent="0.25">
      <c r="BA4782" t="s">
        <v>4911</v>
      </c>
      <c r="BW4782" t="s">
        <v>4913</v>
      </c>
    </row>
    <row r="4783" spans="53:75" x14ac:dyDescent="0.25">
      <c r="BA4783" t="s">
        <v>4911</v>
      </c>
      <c r="BW4783" t="s">
        <v>4914</v>
      </c>
    </row>
    <row r="4784" spans="53:75" x14ac:dyDescent="0.25">
      <c r="BA4784" t="s">
        <v>4911</v>
      </c>
      <c r="BW4784" t="s">
        <v>4915</v>
      </c>
    </row>
    <row r="4785" spans="53:75" x14ac:dyDescent="0.25">
      <c r="BW4785" t="s">
        <v>4916</v>
      </c>
    </row>
    <row r="4786" spans="53:75" x14ac:dyDescent="0.25">
      <c r="BA4786" t="s">
        <v>4911</v>
      </c>
      <c r="BW4786" t="s">
        <v>4917</v>
      </c>
    </row>
    <row r="4787" spans="53:75" x14ac:dyDescent="0.25">
      <c r="BW4787" t="s">
        <v>2439</v>
      </c>
    </row>
    <row r="4788" spans="53:75" x14ac:dyDescent="0.25">
      <c r="BA4788" t="s">
        <v>4918</v>
      </c>
      <c r="BW4788" t="s">
        <v>4919</v>
      </c>
    </row>
    <row r="4789" spans="53:75" x14ac:dyDescent="0.25">
      <c r="BA4789" t="s">
        <v>4918</v>
      </c>
      <c r="BW4789" t="s">
        <v>4920</v>
      </c>
    </row>
    <row r="4790" spans="53:75" x14ac:dyDescent="0.25">
      <c r="BA4790" t="s">
        <v>2436</v>
      </c>
      <c r="BW4790" t="s">
        <v>4921</v>
      </c>
    </row>
    <row r="4791" spans="53:75" x14ac:dyDescent="0.25">
      <c r="BA4791" t="s">
        <v>2436</v>
      </c>
      <c r="BW4791" t="s">
        <v>2437</v>
      </c>
    </row>
    <row r="4792" spans="53:75" x14ac:dyDescent="0.25">
      <c r="BA4792" t="s">
        <v>551</v>
      </c>
      <c r="BW4792">
        <v>5</v>
      </c>
    </row>
    <row r="4793" spans="53:75" x14ac:dyDescent="0.25">
      <c r="BA4793" t="s">
        <v>551</v>
      </c>
      <c r="BW4793">
        <v>25</v>
      </c>
    </row>
    <row r="4794" spans="53:75" x14ac:dyDescent="0.25">
      <c r="BA4794" t="s">
        <v>551</v>
      </c>
      <c r="BW4794">
        <v>25</v>
      </c>
    </row>
    <row r="4795" spans="53:75" x14ac:dyDescent="0.25">
      <c r="BA4795" t="s">
        <v>2427</v>
      </c>
      <c r="BW4795">
        <v>65</v>
      </c>
    </row>
    <row r="4796" spans="53:75" x14ac:dyDescent="0.25">
      <c r="BA4796" t="s">
        <v>4922</v>
      </c>
      <c r="BW4796" t="s">
        <v>4923</v>
      </c>
    </row>
    <row r="4797" spans="53:75" x14ac:dyDescent="0.25">
      <c r="BA4797" t="s">
        <v>2427</v>
      </c>
      <c r="BW4797">
        <v>67</v>
      </c>
    </row>
    <row r="4798" spans="53:75" x14ac:dyDescent="0.25">
      <c r="BA4798" t="s">
        <v>2427</v>
      </c>
      <c r="BW4798">
        <v>58</v>
      </c>
    </row>
    <row r="4799" spans="53:75" x14ac:dyDescent="0.25">
      <c r="BA4799" t="s">
        <v>2427</v>
      </c>
      <c r="BW4799">
        <v>54</v>
      </c>
    </row>
    <row r="4800" spans="53:75" x14ac:dyDescent="0.25">
      <c r="BA4800" t="s">
        <v>4922</v>
      </c>
      <c r="BW4800" t="s">
        <v>4924</v>
      </c>
    </row>
    <row r="4801" spans="1:76" x14ac:dyDescent="0.25">
      <c r="BA4801" t="s">
        <v>2427</v>
      </c>
      <c r="BW4801">
        <v>62</v>
      </c>
    </row>
    <row r="4802" spans="1:76" x14ac:dyDescent="0.25">
      <c r="BA4802" t="s">
        <v>2427</v>
      </c>
      <c r="BW4802">
        <v>49</v>
      </c>
    </row>
    <row r="4803" spans="1:76" x14ac:dyDescent="0.25">
      <c r="BA4803" t="s">
        <v>2427</v>
      </c>
      <c r="BW4803">
        <v>49</v>
      </c>
    </row>
    <row r="4804" spans="1:76" x14ac:dyDescent="0.25">
      <c r="BW4804" t="s">
        <v>2440</v>
      </c>
    </row>
    <row r="4805" spans="1:76" x14ac:dyDescent="0.25">
      <c r="BA4805" t="s">
        <v>713</v>
      </c>
      <c r="BW4805">
        <v>1.3</v>
      </c>
    </row>
    <row r="4806" spans="1:76" x14ac:dyDescent="0.25">
      <c r="BA4806" t="s">
        <v>4925</v>
      </c>
      <c r="BW4806">
        <v>0.878</v>
      </c>
    </row>
    <row r="4807" spans="1:76" x14ac:dyDescent="0.25">
      <c r="BA4807" t="s">
        <v>551</v>
      </c>
      <c r="BW4807">
        <v>8</v>
      </c>
    </row>
    <row r="4808" spans="1:76" x14ac:dyDescent="0.25">
      <c r="BA4808" t="s">
        <v>2433</v>
      </c>
      <c r="BW4808" t="s">
        <v>4926</v>
      </c>
    </row>
    <row r="4809" spans="1:76" x14ac:dyDescent="0.25">
      <c r="BA4809" t="s">
        <v>713</v>
      </c>
      <c r="BW4809">
        <v>92</v>
      </c>
    </row>
    <row r="4810" spans="1:76" x14ac:dyDescent="0.25">
      <c r="A4810" t="s">
        <v>4927</v>
      </c>
    </row>
    <row r="4813" spans="1:76" x14ac:dyDescent="0.25">
      <c r="A4813" t="s">
        <v>4901</v>
      </c>
    </row>
    <row r="4814" spans="1:76" x14ac:dyDescent="0.25">
      <c r="I4814" t="s">
        <v>4928</v>
      </c>
      <c r="BX4814" t="s">
        <v>4929</v>
      </c>
    </row>
    <row r="4815" spans="1:76" x14ac:dyDescent="0.25">
      <c r="I4815" t="s">
        <v>4930</v>
      </c>
      <c r="BA4815" t="s">
        <v>4918</v>
      </c>
      <c r="BX4815" t="s">
        <v>4931</v>
      </c>
    </row>
    <row r="4816" spans="1:76" x14ac:dyDescent="0.25">
      <c r="BA4816" t="s">
        <v>4918</v>
      </c>
      <c r="BX4816" t="s">
        <v>4932</v>
      </c>
    </row>
    <row r="4817" spans="53:76" x14ac:dyDescent="0.25">
      <c r="BX4817" t="s">
        <v>4933</v>
      </c>
    </row>
    <row r="4818" spans="53:76" x14ac:dyDescent="0.25">
      <c r="BX4818">
        <v>2</v>
      </c>
    </row>
    <row r="4819" spans="53:76" x14ac:dyDescent="0.25">
      <c r="BA4819" t="s">
        <v>4934</v>
      </c>
      <c r="BX4819" t="s">
        <v>4910</v>
      </c>
    </row>
    <row r="4820" spans="53:76" x14ac:dyDescent="0.25">
      <c r="BA4820" t="s">
        <v>4911</v>
      </c>
      <c r="BX4820" t="s">
        <v>4917</v>
      </c>
    </row>
    <row r="4821" spans="53:76" x14ac:dyDescent="0.25">
      <c r="BX4821" t="s">
        <v>4935</v>
      </c>
    </row>
    <row r="4822" spans="53:76" x14ac:dyDescent="0.25">
      <c r="BA4822" t="s">
        <v>2431</v>
      </c>
      <c r="BX4822">
        <v>0.78</v>
      </c>
    </row>
    <row r="4823" spans="53:76" x14ac:dyDescent="0.25">
      <c r="BA4823" t="s">
        <v>2431</v>
      </c>
      <c r="BX4823">
        <v>1.3620000000000001</v>
      </c>
    </row>
    <row r="4824" spans="53:76" x14ac:dyDescent="0.25">
      <c r="BA4824" t="s">
        <v>2424</v>
      </c>
      <c r="BX4824">
        <v>0.06</v>
      </c>
    </row>
    <row r="4825" spans="53:76" x14ac:dyDescent="0.25">
      <c r="BX4825" t="s">
        <v>4936</v>
      </c>
    </row>
    <row r="4826" spans="53:76" x14ac:dyDescent="0.25">
      <c r="BA4826" t="s">
        <v>551</v>
      </c>
      <c r="BX4826">
        <v>7.2</v>
      </c>
    </row>
    <row r="4827" spans="53:76" x14ac:dyDescent="0.25">
      <c r="BA4827" t="s">
        <v>4937</v>
      </c>
      <c r="BX4827">
        <v>10</v>
      </c>
    </row>
    <row r="4828" spans="53:76" x14ac:dyDescent="0.25">
      <c r="BA4828" t="s">
        <v>4938</v>
      </c>
      <c r="BX4828" t="s">
        <v>4939</v>
      </c>
    </row>
    <row r="4829" spans="53:76" x14ac:dyDescent="0.25">
      <c r="BA4829" t="s">
        <v>2427</v>
      </c>
      <c r="BX4829">
        <v>24</v>
      </c>
    </row>
    <row r="4830" spans="53:76" x14ac:dyDescent="0.25">
      <c r="BA4830" t="s">
        <v>2427</v>
      </c>
      <c r="BX4830">
        <v>24</v>
      </c>
    </row>
    <row r="4831" spans="53:76" x14ac:dyDescent="0.25">
      <c r="BA4831" t="s">
        <v>2427</v>
      </c>
      <c r="BX4831">
        <v>45</v>
      </c>
    </row>
    <row r="4832" spans="53:76" x14ac:dyDescent="0.25">
      <c r="BA4832" t="s">
        <v>2427</v>
      </c>
      <c r="BX4832">
        <v>45</v>
      </c>
    </row>
    <row r="4833" spans="1:76" x14ac:dyDescent="0.25">
      <c r="BA4833" t="s">
        <v>2433</v>
      </c>
      <c r="BX4833" t="s">
        <v>4940</v>
      </c>
    </row>
    <row r="4834" spans="1:76" x14ac:dyDescent="0.25">
      <c r="BA4834" t="s">
        <v>713</v>
      </c>
      <c r="BX4834">
        <v>122</v>
      </c>
    </row>
    <row r="4835" spans="1:76" x14ac:dyDescent="0.25">
      <c r="A4835" t="s">
        <v>4941</v>
      </c>
    </row>
    <row r="4839" spans="1:76" x14ac:dyDescent="0.25">
      <c r="X4839" t="s">
        <v>4942</v>
      </c>
      <c r="BA4839" t="s">
        <v>4943</v>
      </c>
    </row>
    <row r="4840" spans="1:76" x14ac:dyDescent="0.25">
      <c r="X4840" t="s">
        <v>4944</v>
      </c>
    </row>
    <row r="4843" spans="1:76" x14ac:dyDescent="0.25">
      <c r="A4843" t="s">
        <v>4945</v>
      </c>
    </row>
    <row r="4844" spans="1:76" x14ac:dyDescent="0.25">
      <c r="A4844" t="s">
        <v>4945</v>
      </c>
    </row>
    <row r="4845" spans="1:76" x14ac:dyDescent="0.25">
      <c r="A4845" t="s">
        <v>4946</v>
      </c>
      <c r="Z4845" t="s">
        <v>2440</v>
      </c>
      <c r="AM4845" t="s">
        <v>4947</v>
      </c>
      <c r="BE4845" t="s">
        <v>4948</v>
      </c>
    </row>
    <row r="4846" spans="1:76" x14ac:dyDescent="0.25">
      <c r="A4846" t="s">
        <v>4949</v>
      </c>
      <c r="N4846" t="s">
        <v>2440</v>
      </c>
    </row>
    <row r="4847" spans="1:76" x14ac:dyDescent="0.25">
      <c r="A4847" t="s">
        <v>4950</v>
      </c>
      <c r="Y4847" t="s">
        <v>2440</v>
      </c>
      <c r="AM4847" t="s">
        <v>4951</v>
      </c>
    </row>
    <row r="4848" spans="1:76" x14ac:dyDescent="0.25">
      <c r="C4848" t="s">
        <v>4952</v>
      </c>
      <c r="Y4848" t="s">
        <v>4953</v>
      </c>
    </row>
    <row r="4849" spans="1:71" x14ac:dyDescent="0.25">
      <c r="A4849" t="s">
        <v>4954</v>
      </c>
    </row>
    <row r="4850" spans="1:71" x14ac:dyDescent="0.25">
      <c r="A4850">
        <v>2</v>
      </c>
    </row>
    <row r="4854" spans="1:71" x14ac:dyDescent="0.25">
      <c r="A4854" t="s">
        <v>4955</v>
      </c>
      <c r="R4854" t="s">
        <v>4956</v>
      </c>
      <c r="AM4854" t="s">
        <v>4957</v>
      </c>
      <c r="BJ4854" t="s">
        <v>4958</v>
      </c>
    </row>
    <row r="4856" spans="1:71" x14ac:dyDescent="0.25">
      <c r="BS4856" t="s">
        <v>4959</v>
      </c>
    </row>
    <row r="4857" spans="1:71" x14ac:dyDescent="0.25">
      <c r="A4857">
        <v>3</v>
      </c>
    </row>
    <row r="4861" spans="1:71" x14ac:dyDescent="0.25">
      <c r="A4861" t="s">
        <v>4960</v>
      </c>
    </row>
    <row r="4863" spans="1:71" x14ac:dyDescent="0.25">
      <c r="A4863" t="s">
        <v>4961</v>
      </c>
    </row>
    <row r="4865" spans="1:62" x14ac:dyDescent="0.25">
      <c r="G4865" t="s">
        <v>4962</v>
      </c>
      <c r="AI4865" t="s">
        <v>4963</v>
      </c>
      <c r="BJ4865" t="s">
        <v>4964</v>
      </c>
    </row>
    <row r="4866" spans="1:62" x14ac:dyDescent="0.25">
      <c r="G4866" t="s">
        <v>4965</v>
      </c>
    </row>
    <row r="4868" spans="1:62" x14ac:dyDescent="0.25">
      <c r="AX4868" t="s">
        <v>2440</v>
      </c>
    </row>
    <row r="4869" spans="1:62" x14ac:dyDescent="0.25">
      <c r="A4869" t="s">
        <v>4966</v>
      </c>
    </row>
    <row r="4871" spans="1:62" x14ac:dyDescent="0.25">
      <c r="A4871" t="s">
        <v>4967</v>
      </c>
    </row>
    <row r="4872" spans="1:62" x14ac:dyDescent="0.25">
      <c r="G4872" t="s">
        <v>4968</v>
      </c>
    </row>
    <row r="4873" spans="1:62" x14ac:dyDescent="0.25">
      <c r="G4873" t="s">
        <v>4969</v>
      </c>
      <c r="X4873" t="s">
        <v>2424</v>
      </c>
      <c r="AF4873">
        <v>4</v>
      </c>
    </row>
    <row r="4874" spans="1:62" x14ac:dyDescent="0.25">
      <c r="G4874" t="s">
        <v>4970</v>
      </c>
      <c r="X4874" t="s">
        <v>2424</v>
      </c>
      <c r="AF4874">
        <v>4</v>
      </c>
    </row>
    <row r="4875" spans="1:62" x14ac:dyDescent="0.25">
      <c r="G4875" t="s">
        <v>4971</v>
      </c>
      <c r="X4875" t="s">
        <v>2424</v>
      </c>
      <c r="AF4875" t="s">
        <v>4972</v>
      </c>
    </row>
    <row r="4876" spans="1:62" x14ac:dyDescent="0.25">
      <c r="G4876" t="s">
        <v>4973</v>
      </c>
      <c r="X4876" t="s">
        <v>2427</v>
      </c>
      <c r="AF4876">
        <v>59</v>
      </c>
    </row>
    <row r="4877" spans="1:62" x14ac:dyDescent="0.25">
      <c r="G4877" t="s">
        <v>4973</v>
      </c>
      <c r="X4877" t="s">
        <v>2427</v>
      </c>
      <c r="AF4877">
        <v>60</v>
      </c>
    </row>
    <row r="4878" spans="1:62" x14ac:dyDescent="0.25">
      <c r="G4878" t="s">
        <v>4974</v>
      </c>
      <c r="X4878" t="s">
        <v>2427</v>
      </c>
      <c r="AF4878">
        <v>54</v>
      </c>
    </row>
    <row r="4879" spans="1:62" x14ac:dyDescent="0.25">
      <c r="G4879" t="s">
        <v>4975</v>
      </c>
      <c r="X4879" t="s">
        <v>4905</v>
      </c>
      <c r="AF4879">
        <v>5.2</v>
      </c>
    </row>
    <row r="4880" spans="1:62" x14ac:dyDescent="0.25">
      <c r="G4880" t="s">
        <v>4976</v>
      </c>
      <c r="X4880" t="s">
        <v>4905</v>
      </c>
      <c r="AF4880">
        <v>3.45</v>
      </c>
    </row>
    <row r="4881" spans="7:50" x14ac:dyDescent="0.25">
      <c r="G4881" t="s">
        <v>4977</v>
      </c>
      <c r="AF4881" t="s">
        <v>2879</v>
      </c>
    </row>
    <row r="4882" spans="7:50" x14ac:dyDescent="0.25">
      <c r="G4882" t="s">
        <v>4978</v>
      </c>
      <c r="AF4882">
        <v>4.3</v>
      </c>
    </row>
    <row r="4883" spans="7:50" x14ac:dyDescent="0.25">
      <c r="G4883" t="s">
        <v>4979</v>
      </c>
      <c r="X4883" t="s">
        <v>4918</v>
      </c>
      <c r="AF4883" t="s">
        <v>4919</v>
      </c>
    </row>
    <row r="4884" spans="7:50" x14ac:dyDescent="0.25">
      <c r="G4884" t="s">
        <v>4979</v>
      </c>
      <c r="X4884" t="s">
        <v>4918</v>
      </c>
      <c r="AF4884" t="s">
        <v>4920</v>
      </c>
    </row>
    <row r="4885" spans="7:50" x14ac:dyDescent="0.25">
      <c r="G4885" t="s">
        <v>4980</v>
      </c>
      <c r="X4885" t="s">
        <v>2442</v>
      </c>
      <c r="AF4885" t="s">
        <v>4981</v>
      </c>
    </row>
    <row r="4886" spans="7:50" x14ac:dyDescent="0.25">
      <c r="G4886" t="s">
        <v>4982</v>
      </c>
      <c r="X4886" t="s">
        <v>4911</v>
      </c>
      <c r="AF4886">
        <v>16</v>
      </c>
    </row>
    <row r="4887" spans="7:50" x14ac:dyDescent="0.25">
      <c r="G4887" t="s">
        <v>4983</v>
      </c>
      <c r="AF4887" t="s">
        <v>2440</v>
      </c>
    </row>
    <row r="4888" spans="7:50" x14ac:dyDescent="0.25">
      <c r="G4888" t="s">
        <v>4984</v>
      </c>
      <c r="X4888" t="s">
        <v>2433</v>
      </c>
      <c r="AF4888" t="s">
        <v>4985</v>
      </c>
    </row>
    <row r="4889" spans="7:50" x14ac:dyDescent="0.25">
      <c r="G4889" t="s">
        <v>1001</v>
      </c>
      <c r="X4889" t="s">
        <v>4986</v>
      </c>
      <c r="AF4889" t="s">
        <v>4987</v>
      </c>
    </row>
    <row r="4891" spans="7:50" x14ac:dyDescent="0.25">
      <c r="G4891" t="s">
        <v>4988</v>
      </c>
      <c r="AF4891" t="s">
        <v>4989</v>
      </c>
      <c r="AX4891" t="s">
        <v>4990</v>
      </c>
    </row>
    <row r="4892" spans="7:50" x14ac:dyDescent="0.25">
      <c r="G4892" t="s">
        <v>4991</v>
      </c>
      <c r="X4892" t="s">
        <v>4918</v>
      </c>
      <c r="AF4892" t="s">
        <v>4992</v>
      </c>
      <c r="AX4892" t="s">
        <v>4992</v>
      </c>
    </row>
    <row r="4893" spans="7:50" x14ac:dyDescent="0.25">
      <c r="G4893" t="s">
        <v>4991</v>
      </c>
      <c r="X4893" t="s">
        <v>4918</v>
      </c>
      <c r="AF4893" t="s">
        <v>4932</v>
      </c>
      <c r="AX4893" t="s">
        <v>4932</v>
      </c>
    </row>
    <row r="4894" spans="7:50" x14ac:dyDescent="0.25">
      <c r="G4894" t="s">
        <v>4993</v>
      </c>
      <c r="X4894" t="s">
        <v>2424</v>
      </c>
      <c r="AF4894">
        <v>3</v>
      </c>
      <c r="AX4894" t="s">
        <v>3043</v>
      </c>
    </row>
    <row r="4895" spans="7:50" x14ac:dyDescent="0.25">
      <c r="G4895" t="s">
        <v>4994</v>
      </c>
      <c r="X4895" t="s">
        <v>2431</v>
      </c>
      <c r="AF4895">
        <v>0.66</v>
      </c>
      <c r="AX4895" t="s">
        <v>4995</v>
      </c>
    </row>
    <row r="4896" spans="7:50" x14ac:dyDescent="0.25">
      <c r="G4896" t="s">
        <v>4996</v>
      </c>
      <c r="X4896" t="s">
        <v>551</v>
      </c>
      <c r="AF4896">
        <v>7.2</v>
      </c>
      <c r="AX4896" t="s">
        <v>4997</v>
      </c>
    </row>
    <row r="4897" spans="1:71" x14ac:dyDescent="0.25">
      <c r="G4897" t="s">
        <v>4973</v>
      </c>
      <c r="X4897" t="s">
        <v>2427</v>
      </c>
      <c r="AF4897">
        <v>40</v>
      </c>
      <c r="AX4897" t="s">
        <v>3760</v>
      </c>
    </row>
    <row r="4898" spans="1:71" x14ac:dyDescent="0.25">
      <c r="G4898" t="s">
        <v>4973</v>
      </c>
      <c r="X4898" t="s">
        <v>2427</v>
      </c>
      <c r="AF4898">
        <v>40</v>
      </c>
      <c r="AX4898" t="s">
        <v>3760</v>
      </c>
    </row>
    <row r="4899" spans="1:71" x14ac:dyDescent="0.25">
      <c r="G4899" t="s">
        <v>4984</v>
      </c>
      <c r="X4899" t="s">
        <v>2433</v>
      </c>
      <c r="AF4899" t="s">
        <v>4998</v>
      </c>
      <c r="AX4899" t="s">
        <v>4998</v>
      </c>
    </row>
    <row r="4900" spans="1:71" x14ac:dyDescent="0.25">
      <c r="G4900" t="s">
        <v>1001</v>
      </c>
      <c r="X4900" t="s">
        <v>4986</v>
      </c>
      <c r="AF4900" t="s">
        <v>4999</v>
      </c>
      <c r="AX4900" t="s">
        <v>5000</v>
      </c>
    </row>
    <row r="4903" spans="1:71" x14ac:dyDescent="0.25">
      <c r="A4903" t="s">
        <v>5001</v>
      </c>
    </row>
    <row r="4904" spans="1:71" x14ac:dyDescent="0.25">
      <c r="A4904" t="s">
        <v>5002</v>
      </c>
    </row>
    <row r="4905" spans="1:71" x14ac:dyDescent="0.25">
      <c r="G4905" t="s">
        <v>4962</v>
      </c>
      <c r="AI4905" t="s">
        <v>4963</v>
      </c>
      <c r="BJ4905" t="s">
        <v>4964</v>
      </c>
    </row>
    <row r="4906" spans="1:71" x14ac:dyDescent="0.25">
      <c r="G4906" t="s">
        <v>4965</v>
      </c>
    </row>
    <row r="4907" spans="1:71" x14ac:dyDescent="0.25">
      <c r="G4907" t="s">
        <v>5003</v>
      </c>
      <c r="AX4907" t="s">
        <v>5004</v>
      </c>
      <c r="BS4907" t="s">
        <v>2440</v>
      </c>
    </row>
    <row r="4909" spans="1:71" x14ac:dyDescent="0.25">
      <c r="G4909" t="s">
        <v>4968</v>
      </c>
    </row>
    <row r="4910" spans="1:71" x14ac:dyDescent="0.25">
      <c r="G4910" t="s">
        <v>4969</v>
      </c>
      <c r="X4910" t="s">
        <v>2424</v>
      </c>
      <c r="AF4910">
        <v>4</v>
      </c>
    </row>
    <row r="4911" spans="1:71" x14ac:dyDescent="0.25">
      <c r="G4911" t="s">
        <v>4970</v>
      </c>
      <c r="X4911" t="s">
        <v>2424</v>
      </c>
      <c r="AF4911">
        <v>4</v>
      </c>
    </row>
    <row r="4912" spans="1:71" x14ac:dyDescent="0.25">
      <c r="G4912" t="s">
        <v>4971</v>
      </c>
      <c r="X4912" t="s">
        <v>2424</v>
      </c>
      <c r="AF4912" t="s">
        <v>4972</v>
      </c>
    </row>
    <row r="4913" spans="7:65" x14ac:dyDescent="0.25">
      <c r="G4913" t="s">
        <v>4973</v>
      </c>
      <c r="X4913" t="s">
        <v>5005</v>
      </c>
      <c r="AF4913" t="s">
        <v>5006</v>
      </c>
    </row>
    <row r="4914" spans="7:65" x14ac:dyDescent="0.25">
      <c r="G4914" t="s">
        <v>4974</v>
      </c>
      <c r="X4914" t="s">
        <v>2427</v>
      </c>
      <c r="AF4914">
        <v>54</v>
      </c>
    </row>
    <row r="4915" spans="7:65" x14ac:dyDescent="0.25">
      <c r="G4915" t="s">
        <v>4975</v>
      </c>
      <c r="X4915" t="s">
        <v>4905</v>
      </c>
      <c r="AF4915">
        <v>5.2</v>
      </c>
    </row>
    <row r="4916" spans="7:65" x14ac:dyDescent="0.25">
      <c r="G4916" t="s">
        <v>4976</v>
      </c>
      <c r="X4916" t="s">
        <v>4905</v>
      </c>
      <c r="AF4916">
        <v>3.45</v>
      </c>
    </row>
    <row r="4917" spans="7:65" x14ac:dyDescent="0.25">
      <c r="G4917" t="s">
        <v>4977</v>
      </c>
      <c r="AF4917" t="s">
        <v>2879</v>
      </c>
    </row>
    <row r="4918" spans="7:65" x14ac:dyDescent="0.25">
      <c r="G4918" t="s">
        <v>4978</v>
      </c>
      <c r="AF4918">
        <v>4.3</v>
      </c>
    </row>
    <row r="4919" spans="7:65" x14ac:dyDescent="0.25">
      <c r="G4919" t="s">
        <v>4979</v>
      </c>
      <c r="X4919" t="s">
        <v>4918</v>
      </c>
      <c r="AF4919" t="s">
        <v>4919</v>
      </c>
    </row>
    <row r="4920" spans="7:65" x14ac:dyDescent="0.25">
      <c r="G4920" t="s">
        <v>4979</v>
      </c>
      <c r="X4920" t="s">
        <v>4918</v>
      </c>
      <c r="AF4920" t="s">
        <v>4920</v>
      </c>
    </row>
    <row r="4921" spans="7:65" x14ac:dyDescent="0.25">
      <c r="G4921" t="s">
        <v>4980</v>
      </c>
      <c r="X4921" t="s">
        <v>2442</v>
      </c>
      <c r="AF4921" t="s">
        <v>4981</v>
      </c>
    </row>
    <row r="4922" spans="7:65" x14ac:dyDescent="0.25">
      <c r="G4922" t="s">
        <v>4982</v>
      </c>
      <c r="X4922" t="s">
        <v>4911</v>
      </c>
      <c r="AF4922">
        <v>16</v>
      </c>
    </row>
    <row r="4923" spans="7:65" x14ac:dyDescent="0.25">
      <c r="G4923" t="s">
        <v>4983</v>
      </c>
      <c r="AF4923" t="s">
        <v>2440</v>
      </c>
    </row>
    <row r="4924" spans="7:65" x14ac:dyDescent="0.25">
      <c r="G4924" t="s">
        <v>4984</v>
      </c>
      <c r="X4924" t="s">
        <v>2433</v>
      </c>
      <c r="AF4924" t="s">
        <v>4985</v>
      </c>
    </row>
    <row r="4925" spans="7:65" x14ac:dyDescent="0.25">
      <c r="G4925" t="s">
        <v>1001</v>
      </c>
      <c r="X4925" t="s">
        <v>4986</v>
      </c>
      <c r="AF4925" t="s">
        <v>4987</v>
      </c>
    </row>
    <row r="4927" spans="7:65" x14ac:dyDescent="0.25">
      <c r="G4927" t="s">
        <v>4988</v>
      </c>
      <c r="AF4927" t="s">
        <v>5007</v>
      </c>
      <c r="AX4927" t="s">
        <v>5008</v>
      </c>
      <c r="BM4927" t="s">
        <v>5009</v>
      </c>
    </row>
    <row r="4928" spans="7:65" x14ac:dyDescent="0.25">
      <c r="G4928" t="s">
        <v>5010</v>
      </c>
      <c r="X4928" t="s">
        <v>4937</v>
      </c>
      <c r="AF4928">
        <v>210</v>
      </c>
      <c r="AX4928" t="s">
        <v>5011</v>
      </c>
    </row>
    <row r="4929" spans="1:62" x14ac:dyDescent="0.25">
      <c r="G4929" t="s">
        <v>4991</v>
      </c>
      <c r="X4929" t="s">
        <v>4918</v>
      </c>
      <c r="AF4929" t="s">
        <v>4992</v>
      </c>
      <c r="AX4929" t="s">
        <v>4992</v>
      </c>
    </row>
    <row r="4930" spans="1:62" x14ac:dyDescent="0.25">
      <c r="G4930" t="s">
        <v>4991</v>
      </c>
      <c r="X4930" t="s">
        <v>4918</v>
      </c>
      <c r="AF4930" t="s">
        <v>4932</v>
      </c>
      <c r="AX4930" t="s">
        <v>4932</v>
      </c>
    </row>
    <row r="4931" spans="1:62" x14ac:dyDescent="0.25">
      <c r="G4931" t="s">
        <v>4993</v>
      </c>
      <c r="X4931" t="s">
        <v>2424</v>
      </c>
      <c r="AF4931">
        <v>3</v>
      </c>
      <c r="AX4931" t="s">
        <v>3043</v>
      </c>
    </row>
    <row r="4932" spans="1:62" x14ac:dyDescent="0.25">
      <c r="G4932" t="s">
        <v>4994</v>
      </c>
      <c r="X4932" t="s">
        <v>2431</v>
      </c>
      <c r="AF4932">
        <v>0.66</v>
      </c>
      <c r="AX4932" t="s">
        <v>4995</v>
      </c>
    </row>
    <row r="4933" spans="1:62" x14ac:dyDescent="0.25">
      <c r="G4933" t="s">
        <v>4996</v>
      </c>
      <c r="X4933" t="s">
        <v>551</v>
      </c>
      <c r="AF4933">
        <v>7.2</v>
      </c>
      <c r="AX4933" t="s">
        <v>4997</v>
      </c>
    </row>
    <row r="4934" spans="1:62" x14ac:dyDescent="0.25">
      <c r="G4934" t="s">
        <v>4973</v>
      </c>
      <c r="X4934" t="s">
        <v>5005</v>
      </c>
      <c r="AF4934" t="s">
        <v>5012</v>
      </c>
      <c r="AX4934" t="s">
        <v>5012</v>
      </c>
    </row>
    <row r="4935" spans="1:62" x14ac:dyDescent="0.25">
      <c r="G4935" t="s">
        <v>4984</v>
      </c>
      <c r="X4935" t="s">
        <v>2433</v>
      </c>
      <c r="AF4935" t="s">
        <v>4940</v>
      </c>
      <c r="AX4935" t="s">
        <v>4940</v>
      </c>
    </row>
    <row r="4936" spans="1:62" x14ac:dyDescent="0.25">
      <c r="G4936" t="s">
        <v>1001</v>
      </c>
      <c r="X4936" t="s">
        <v>4986</v>
      </c>
      <c r="AF4936" t="s">
        <v>5013</v>
      </c>
      <c r="AX4936" t="s">
        <v>5014</v>
      </c>
    </row>
    <row r="4939" spans="1:62" x14ac:dyDescent="0.25">
      <c r="A4939" t="s">
        <v>5015</v>
      </c>
    </row>
    <row r="4941" spans="1:62" x14ac:dyDescent="0.25">
      <c r="A4941" t="s">
        <v>4961</v>
      </c>
    </row>
    <row r="4943" spans="1:62" x14ac:dyDescent="0.25">
      <c r="G4943" t="s">
        <v>4962</v>
      </c>
      <c r="AI4943" t="s">
        <v>4963</v>
      </c>
      <c r="BJ4943" t="s">
        <v>4964</v>
      </c>
    </row>
    <row r="4944" spans="1:62" x14ac:dyDescent="0.25">
      <c r="G4944" t="s">
        <v>4965</v>
      </c>
    </row>
    <row r="4946" spans="1:50" x14ac:dyDescent="0.25">
      <c r="AX4946" t="s">
        <v>2440</v>
      </c>
    </row>
    <row r="4947" spans="1:50" x14ac:dyDescent="0.25">
      <c r="A4947" t="s">
        <v>4966</v>
      </c>
    </row>
    <row r="4949" spans="1:50" x14ac:dyDescent="0.25">
      <c r="A4949" t="s">
        <v>4967</v>
      </c>
    </row>
    <row r="4950" spans="1:50" x14ac:dyDescent="0.25">
      <c r="G4950" t="s">
        <v>5016</v>
      </c>
    </row>
    <row r="4951" spans="1:50" x14ac:dyDescent="0.25">
      <c r="G4951" t="s">
        <v>4969</v>
      </c>
      <c r="X4951" t="s">
        <v>2424</v>
      </c>
      <c r="AF4951">
        <v>6</v>
      </c>
    </row>
    <row r="4952" spans="1:50" x14ac:dyDescent="0.25">
      <c r="G4952" t="s">
        <v>4970</v>
      </c>
      <c r="X4952" t="s">
        <v>2424</v>
      </c>
      <c r="AF4952">
        <v>5</v>
      </c>
    </row>
    <row r="4953" spans="1:50" x14ac:dyDescent="0.25">
      <c r="G4953" t="s">
        <v>4971</v>
      </c>
      <c r="X4953" t="s">
        <v>2424</v>
      </c>
      <c r="AF4953" t="s">
        <v>5017</v>
      </c>
    </row>
    <row r="4954" spans="1:50" x14ac:dyDescent="0.25">
      <c r="G4954" t="s">
        <v>4973</v>
      </c>
      <c r="X4954" t="s">
        <v>5005</v>
      </c>
      <c r="AF4954" t="s">
        <v>5018</v>
      </c>
    </row>
    <row r="4955" spans="1:50" x14ac:dyDescent="0.25">
      <c r="G4955" t="s">
        <v>4974</v>
      </c>
      <c r="X4955" t="s">
        <v>2427</v>
      </c>
      <c r="AF4955">
        <v>58</v>
      </c>
    </row>
    <row r="4956" spans="1:50" x14ac:dyDescent="0.25">
      <c r="G4956" t="s">
        <v>4975</v>
      </c>
      <c r="X4956" t="s">
        <v>4905</v>
      </c>
      <c r="AF4956">
        <v>4.8</v>
      </c>
    </row>
    <row r="4957" spans="1:50" x14ac:dyDescent="0.25">
      <c r="G4957" t="s">
        <v>4976</v>
      </c>
      <c r="X4957" t="s">
        <v>4905</v>
      </c>
      <c r="AF4957">
        <v>3.3</v>
      </c>
    </row>
    <row r="4958" spans="1:50" x14ac:dyDescent="0.25">
      <c r="G4958" t="s">
        <v>4977</v>
      </c>
      <c r="AF4958" t="s">
        <v>2879</v>
      </c>
    </row>
    <row r="4959" spans="1:50" x14ac:dyDescent="0.25">
      <c r="G4959" t="s">
        <v>4978</v>
      </c>
      <c r="AF4959">
        <v>4.3</v>
      </c>
    </row>
    <row r="4960" spans="1:50" x14ac:dyDescent="0.25">
      <c r="G4960" t="s">
        <v>4979</v>
      </c>
      <c r="X4960" t="s">
        <v>4918</v>
      </c>
      <c r="AF4960" t="s">
        <v>4919</v>
      </c>
    </row>
    <row r="4961" spans="7:50" x14ac:dyDescent="0.25">
      <c r="G4961" t="s">
        <v>4979</v>
      </c>
      <c r="X4961" t="s">
        <v>4918</v>
      </c>
      <c r="AF4961" t="s">
        <v>4920</v>
      </c>
    </row>
    <row r="4962" spans="7:50" x14ac:dyDescent="0.25">
      <c r="G4962" t="s">
        <v>4980</v>
      </c>
      <c r="X4962" t="s">
        <v>2442</v>
      </c>
      <c r="AF4962" t="s">
        <v>4981</v>
      </c>
    </row>
    <row r="4963" spans="7:50" x14ac:dyDescent="0.25">
      <c r="G4963" t="s">
        <v>4982</v>
      </c>
      <c r="X4963" t="s">
        <v>4911</v>
      </c>
      <c r="AF4963">
        <v>16</v>
      </c>
    </row>
    <row r="4964" spans="7:50" x14ac:dyDescent="0.25">
      <c r="G4964" t="s">
        <v>4983</v>
      </c>
      <c r="AF4964" t="s">
        <v>2440</v>
      </c>
    </row>
    <row r="4965" spans="7:50" x14ac:dyDescent="0.25">
      <c r="G4965" t="s">
        <v>4984</v>
      </c>
      <c r="X4965" t="s">
        <v>2433</v>
      </c>
      <c r="AF4965" t="s">
        <v>4985</v>
      </c>
    </row>
    <row r="4966" spans="7:50" x14ac:dyDescent="0.25">
      <c r="G4966" t="s">
        <v>1001</v>
      </c>
      <c r="X4966" t="s">
        <v>4986</v>
      </c>
      <c r="AF4966" t="s">
        <v>5019</v>
      </c>
    </row>
    <row r="4968" spans="7:50" x14ac:dyDescent="0.25">
      <c r="G4968" t="s">
        <v>4988</v>
      </c>
      <c r="AF4968" t="s">
        <v>4989</v>
      </c>
      <c r="AX4968" t="s">
        <v>4990</v>
      </c>
    </row>
    <row r="4969" spans="7:50" x14ac:dyDescent="0.25">
      <c r="G4969" t="s">
        <v>4991</v>
      </c>
      <c r="X4969" t="s">
        <v>4918</v>
      </c>
      <c r="AF4969" t="s">
        <v>4992</v>
      </c>
      <c r="AX4969" t="s">
        <v>4992</v>
      </c>
    </row>
    <row r="4970" spans="7:50" x14ac:dyDescent="0.25">
      <c r="G4970" t="s">
        <v>4991</v>
      </c>
      <c r="X4970" t="s">
        <v>4918</v>
      </c>
      <c r="AF4970" t="s">
        <v>4932</v>
      </c>
      <c r="AX4970" t="s">
        <v>4932</v>
      </c>
    </row>
    <row r="4971" spans="7:50" x14ac:dyDescent="0.25">
      <c r="G4971" t="s">
        <v>4993</v>
      </c>
      <c r="X4971" t="s">
        <v>2424</v>
      </c>
      <c r="AF4971">
        <v>3</v>
      </c>
      <c r="AX4971" t="s">
        <v>3043</v>
      </c>
    </row>
    <row r="4972" spans="7:50" x14ac:dyDescent="0.25">
      <c r="G4972" t="s">
        <v>4994</v>
      </c>
      <c r="X4972" t="s">
        <v>2431</v>
      </c>
      <c r="AF4972">
        <v>0.66</v>
      </c>
      <c r="AX4972" t="s">
        <v>4995</v>
      </c>
    </row>
    <row r="4973" spans="7:50" x14ac:dyDescent="0.25">
      <c r="G4973" t="s">
        <v>4996</v>
      </c>
      <c r="X4973" t="s">
        <v>551</v>
      </c>
      <c r="AF4973">
        <v>7.2</v>
      </c>
      <c r="AX4973" t="s">
        <v>4997</v>
      </c>
    </row>
    <row r="4974" spans="7:50" x14ac:dyDescent="0.25">
      <c r="G4974" t="s">
        <v>4973</v>
      </c>
      <c r="X4974" t="s">
        <v>5005</v>
      </c>
      <c r="AF4974" t="s">
        <v>5012</v>
      </c>
      <c r="AX4974" t="s">
        <v>5012</v>
      </c>
    </row>
    <row r="4975" spans="7:50" x14ac:dyDescent="0.25">
      <c r="G4975" t="s">
        <v>4984</v>
      </c>
      <c r="X4975" t="s">
        <v>2433</v>
      </c>
      <c r="AF4975" t="s">
        <v>5020</v>
      </c>
      <c r="AX4975" t="s">
        <v>5020</v>
      </c>
    </row>
    <row r="4976" spans="7:50" x14ac:dyDescent="0.25">
      <c r="G4976" t="s">
        <v>1001</v>
      </c>
      <c r="X4976" t="s">
        <v>4986</v>
      </c>
      <c r="AF4976" t="s">
        <v>4999</v>
      </c>
      <c r="AX4976" t="s">
        <v>5000</v>
      </c>
    </row>
    <row r="4977" spans="1:71" x14ac:dyDescent="0.25">
      <c r="A4977">
        <v>6</v>
      </c>
    </row>
    <row r="4980" spans="1:71" x14ac:dyDescent="0.25">
      <c r="A4980" t="s">
        <v>5021</v>
      </c>
    </row>
    <row r="4981" spans="1:71" x14ac:dyDescent="0.25">
      <c r="A4981" t="s">
        <v>5002</v>
      </c>
    </row>
    <row r="4982" spans="1:71" x14ac:dyDescent="0.25">
      <c r="G4982" t="s">
        <v>4962</v>
      </c>
      <c r="AI4982" t="s">
        <v>4963</v>
      </c>
      <c r="BJ4982" t="s">
        <v>4964</v>
      </c>
    </row>
    <row r="4983" spans="1:71" x14ac:dyDescent="0.25">
      <c r="G4983" t="s">
        <v>4965</v>
      </c>
    </row>
    <row r="4984" spans="1:71" x14ac:dyDescent="0.25">
      <c r="G4984" t="s">
        <v>5003</v>
      </c>
      <c r="AX4984" t="s">
        <v>5004</v>
      </c>
      <c r="BS4984" t="s">
        <v>2440</v>
      </c>
    </row>
    <row r="4986" spans="1:71" x14ac:dyDescent="0.25">
      <c r="G4986" t="s">
        <v>5016</v>
      </c>
    </row>
    <row r="4987" spans="1:71" x14ac:dyDescent="0.25">
      <c r="G4987" t="s">
        <v>4969</v>
      </c>
      <c r="X4987" t="s">
        <v>2424</v>
      </c>
      <c r="AF4987">
        <v>6</v>
      </c>
    </row>
    <row r="4988" spans="1:71" x14ac:dyDescent="0.25">
      <c r="G4988" t="s">
        <v>4970</v>
      </c>
      <c r="X4988" t="s">
        <v>2424</v>
      </c>
      <c r="AF4988">
        <v>5</v>
      </c>
    </row>
    <row r="4989" spans="1:71" x14ac:dyDescent="0.25">
      <c r="G4989" t="s">
        <v>4971</v>
      </c>
      <c r="X4989" t="s">
        <v>2424</v>
      </c>
      <c r="AF4989" t="s">
        <v>5017</v>
      </c>
    </row>
    <row r="4990" spans="1:71" x14ac:dyDescent="0.25">
      <c r="G4990" t="s">
        <v>4973</v>
      </c>
      <c r="X4990" t="s">
        <v>5005</v>
      </c>
      <c r="AF4990" t="s">
        <v>5018</v>
      </c>
    </row>
    <row r="4991" spans="1:71" x14ac:dyDescent="0.25">
      <c r="G4991" t="s">
        <v>4974</v>
      </c>
      <c r="X4991" t="s">
        <v>2427</v>
      </c>
      <c r="AF4991">
        <v>58</v>
      </c>
    </row>
    <row r="4992" spans="1:71" x14ac:dyDescent="0.25">
      <c r="G4992" t="s">
        <v>4975</v>
      </c>
      <c r="X4992" t="s">
        <v>4905</v>
      </c>
      <c r="AF4992">
        <v>4.8</v>
      </c>
    </row>
    <row r="4993" spans="7:65" x14ac:dyDescent="0.25">
      <c r="G4993" t="s">
        <v>4976</v>
      </c>
      <c r="X4993" t="s">
        <v>4905</v>
      </c>
      <c r="AF4993">
        <v>3.3</v>
      </c>
    </row>
    <row r="4994" spans="7:65" x14ac:dyDescent="0.25">
      <c r="G4994" t="s">
        <v>4977</v>
      </c>
      <c r="AF4994" t="s">
        <v>2879</v>
      </c>
    </row>
    <row r="4995" spans="7:65" x14ac:dyDescent="0.25">
      <c r="G4995" t="s">
        <v>4978</v>
      </c>
      <c r="AF4995">
        <v>4.3</v>
      </c>
    </row>
    <row r="4996" spans="7:65" x14ac:dyDescent="0.25">
      <c r="G4996" t="s">
        <v>4979</v>
      </c>
      <c r="X4996" t="s">
        <v>4918</v>
      </c>
      <c r="AF4996" t="s">
        <v>4919</v>
      </c>
    </row>
    <row r="4997" spans="7:65" x14ac:dyDescent="0.25">
      <c r="G4997" t="s">
        <v>4979</v>
      </c>
      <c r="X4997" t="s">
        <v>4918</v>
      </c>
      <c r="AF4997" t="s">
        <v>4920</v>
      </c>
    </row>
    <row r="4998" spans="7:65" x14ac:dyDescent="0.25">
      <c r="G4998" t="s">
        <v>4980</v>
      </c>
      <c r="X4998" t="s">
        <v>2442</v>
      </c>
      <c r="AF4998" t="s">
        <v>4981</v>
      </c>
    </row>
    <row r="4999" spans="7:65" x14ac:dyDescent="0.25">
      <c r="G4999" t="s">
        <v>4982</v>
      </c>
      <c r="X4999" t="s">
        <v>4911</v>
      </c>
      <c r="AF4999">
        <v>16</v>
      </c>
    </row>
    <row r="5000" spans="7:65" x14ac:dyDescent="0.25">
      <c r="G5000" t="s">
        <v>4983</v>
      </c>
      <c r="AF5000" t="s">
        <v>2440</v>
      </c>
    </row>
    <row r="5001" spans="7:65" x14ac:dyDescent="0.25">
      <c r="G5001" t="s">
        <v>4984</v>
      </c>
      <c r="X5001" t="s">
        <v>2433</v>
      </c>
      <c r="AF5001" t="s">
        <v>4985</v>
      </c>
    </row>
    <row r="5002" spans="7:65" x14ac:dyDescent="0.25">
      <c r="G5002" t="s">
        <v>1001</v>
      </c>
      <c r="X5002" t="s">
        <v>4986</v>
      </c>
      <c r="AF5002" t="s">
        <v>5019</v>
      </c>
    </row>
    <row r="5004" spans="7:65" x14ac:dyDescent="0.25">
      <c r="G5004" t="s">
        <v>4988</v>
      </c>
      <c r="AF5004" t="s">
        <v>5007</v>
      </c>
      <c r="AX5004" t="s">
        <v>5008</v>
      </c>
      <c r="BM5004" t="s">
        <v>5009</v>
      </c>
    </row>
    <row r="5005" spans="7:65" x14ac:dyDescent="0.25">
      <c r="G5005" t="s">
        <v>5010</v>
      </c>
      <c r="X5005" t="s">
        <v>4937</v>
      </c>
      <c r="AF5005">
        <v>210</v>
      </c>
      <c r="AX5005" t="s">
        <v>5011</v>
      </c>
    </row>
    <row r="5006" spans="7:65" x14ac:dyDescent="0.25">
      <c r="G5006" t="s">
        <v>4991</v>
      </c>
      <c r="X5006" t="s">
        <v>4918</v>
      </c>
      <c r="AF5006" t="s">
        <v>4992</v>
      </c>
      <c r="AX5006" t="s">
        <v>4992</v>
      </c>
    </row>
    <row r="5007" spans="7:65" x14ac:dyDescent="0.25">
      <c r="G5007" t="s">
        <v>4991</v>
      </c>
      <c r="X5007" t="s">
        <v>4918</v>
      </c>
      <c r="AF5007" t="s">
        <v>4932</v>
      </c>
      <c r="AX5007" t="s">
        <v>4932</v>
      </c>
    </row>
    <row r="5008" spans="7:65" x14ac:dyDescent="0.25">
      <c r="G5008" t="s">
        <v>4993</v>
      </c>
      <c r="X5008" t="s">
        <v>2424</v>
      </c>
      <c r="AF5008">
        <v>3</v>
      </c>
      <c r="AX5008" t="s">
        <v>3043</v>
      </c>
    </row>
    <row r="5009" spans="1:62" x14ac:dyDescent="0.25">
      <c r="G5009" t="s">
        <v>4994</v>
      </c>
      <c r="X5009" t="s">
        <v>2431</v>
      </c>
      <c r="AF5009">
        <v>0.66</v>
      </c>
      <c r="AX5009" t="s">
        <v>4995</v>
      </c>
    </row>
    <row r="5010" spans="1:62" x14ac:dyDescent="0.25">
      <c r="G5010" t="s">
        <v>4996</v>
      </c>
      <c r="X5010" t="s">
        <v>551</v>
      </c>
      <c r="AF5010">
        <v>7.2</v>
      </c>
      <c r="AX5010" t="s">
        <v>4997</v>
      </c>
    </row>
    <row r="5011" spans="1:62" x14ac:dyDescent="0.25">
      <c r="G5011" t="s">
        <v>4973</v>
      </c>
      <c r="X5011" t="s">
        <v>5005</v>
      </c>
      <c r="AF5011" t="s">
        <v>5012</v>
      </c>
      <c r="AX5011" t="s">
        <v>5012</v>
      </c>
    </row>
    <row r="5012" spans="1:62" x14ac:dyDescent="0.25">
      <c r="G5012" t="s">
        <v>4984</v>
      </c>
      <c r="X5012" t="s">
        <v>2433</v>
      </c>
      <c r="AF5012" t="s">
        <v>4940</v>
      </c>
      <c r="AX5012" t="s">
        <v>4940</v>
      </c>
    </row>
    <row r="5013" spans="1:62" x14ac:dyDescent="0.25">
      <c r="G5013" t="s">
        <v>1001</v>
      </c>
      <c r="X5013" t="s">
        <v>4986</v>
      </c>
      <c r="AF5013" t="s">
        <v>5013</v>
      </c>
      <c r="AX5013" t="s">
        <v>5014</v>
      </c>
    </row>
    <row r="5016" spans="1:62" x14ac:dyDescent="0.25">
      <c r="A5016" t="s">
        <v>5022</v>
      </c>
    </row>
    <row r="5018" spans="1:62" x14ac:dyDescent="0.25">
      <c r="A5018" t="s">
        <v>4961</v>
      </c>
    </row>
    <row r="5020" spans="1:62" x14ac:dyDescent="0.25">
      <c r="G5020" t="s">
        <v>4962</v>
      </c>
      <c r="AI5020" t="s">
        <v>4963</v>
      </c>
      <c r="BJ5020" t="s">
        <v>5023</v>
      </c>
    </row>
    <row r="5021" spans="1:62" x14ac:dyDescent="0.25">
      <c r="G5021" t="s">
        <v>4965</v>
      </c>
    </row>
    <row r="5023" spans="1:62" x14ac:dyDescent="0.25">
      <c r="AX5023" t="s">
        <v>2440</v>
      </c>
    </row>
    <row r="5024" spans="1:62" x14ac:dyDescent="0.25">
      <c r="A5024" t="s">
        <v>5003</v>
      </c>
    </row>
    <row r="5026" spans="1:60" x14ac:dyDescent="0.25">
      <c r="A5026" t="s">
        <v>5024</v>
      </c>
    </row>
    <row r="5027" spans="1:60" x14ac:dyDescent="0.25">
      <c r="G5027" t="s">
        <v>5025</v>
      </c>
      <c r="AF5027" t="s">
        <v>5026</v>
      </c>
      <c r="BH5027" t="s">
        <v>5027</v>
      </c>
    </row>
    <row r="5028" spans="1:60" x14ac:dyDescent="0.25">
      <c r="G5028" t="s">
        <v>4969</v>
      </c>
      <c r="X5028" t="s">
        <v>2424</v>
      </c>
      <c r="AF5028">
        <v>8</v>
      </c>
      <c r="BH5028">
        <v>8</v>
      </c>
    </row>
    <row r="5029" spans="1:60" x14ac:dyDescent="0.25">
      <c r="G5029" t="s">
        <v>4970</v>
      </c>
      <c r="X5029" t="s">
        <v>2424</v>
      </c>
      <c r="AF5029">
        <v>6</v>
      </c>
      <c r="BH5029">
        <v>6</v>
      </c>
    </row>
    <row r="5030" spans="1:60" x14ac:dyDescent="0.25">
      <c r="G5030" t="s">
        <v>4971</v>
      </c>
      <c r="X5030" t="s">
        <v>2424</v>
      </c>
      <c r="AF5030" t="s">
        <v>5028</v>
      </c>
      <c r="BH5030" t="s">
        <v>2324</v>
      </c>
    </row>
    <row r="5031" spans="1:60" x14ac:dyDescent="0.25">
      <c r="G5031" t="s">
        <v>4973</v>
      </c>
      <c r="X5031" t="s">
        <v>5005</v>
      </c>
      <c r="AF5031" t="s">
        <v>5029</v>
      </c>
      <c r="BH5031" t="s">
        <v>5030</v>
      </c>
    </row>
    <row r="5032" spans="1:60" x14ac:dyDescent="0.25">
      <c r="G5032" t="s">
        <v>4974</v>
      </c>
      <c r="X5032" t="s">
        <v>2427</v>
      </c>
      <c r="AF5032">
        <v>58</v>
      </c>
      <c r="BH5032" t="s">
        <v>2324</v>
      </c>
    </row>
    <row r="5033" spans="1:60" x14ac:dyDescent="0.25">
      <c r="G5033" t="s">
        <v>4975</v>
      </c>
      <c r="X5033" t="s">
        <v>4905</v>
      </c>
      <c r="AF5033">
        <v>5.19</v>
      </c>
      <c r="BH5033">
        <v>5.0599999999999996</v>
      </c>
    </row>
    <row r="5034" spans="1:60" x14ac:dyDescent="0.25">
      <c r="G5034" t="s">
        <v>4976</v>
      </c>
      <c r="X5034" t="s">
        <v>4905</v>
      </c>
      <c r="AF5034">
        <v>3.2</v>
      </c>
      <c r="BH5034">
        <v>2.87</v>
      </c>
    </row>
    <row r="5035" spans="1:60" x14ac:dyDescent="0.25">
      <c r="G5035" t="s">
        <v>4977</v>
      </c>
      <c r="AF5035" t="s">
        <v>2879</v>
      </c>
      <c r="BH5035" t="s">
        <v>2879</v>
      </c>
    </row>
    <row r="5036" spans="1:60" x14ac:dyDescent="0.25">
      <c r="G5036" t="s">
        <v>4978</v>
      </c>
      <c r="AF5036">
        <v>4.4000000000000004</v>
      </c>
      <c r="BH5036" t="s">
        <v>2324</v>
      </c>
    </row>
    <row r="5037" spans="1:60" x14ac:dyDescent="0.25">
      <c r="G5037" t="s">
        <v>4979</v>
      </c>
      <c r="X5037" t="s">
        <v>4918</v>
      </c>
      <c r="AF5037" t="s">
        <v>4919</v>
      </c>
      <c r="BH5037" t="s">
        <v>4919</v>
      </c>
    </row>
    <row r="5038" spans="1:60" x14ac:dyDescent="0.25">
      <c r="G5038" t="s">
        <v>4979</v>
      </c>
      <c r="X5038" t="s">
        <v>4918</v>
      </c>
      <c r="AF5038" t="s">
        <v>4920</v>
      </c>
      <c r="BH5038" t="s">
        <v>4920</v>
      </c>
    </row>
    <row r="5039" spans="1:60" x14ac:dyDescent="0.25">
      <c r="G5039" t="s">
        <v>4980</v>
      </c>
      <c r="X5039" t="s">
        <v>2442</v>
      </c>
      <c r="AF5039" t="s">
        <v>4981</v>
      </c>
      <c r="BH5039" t="s">
        <v>4910</v>
      </c>
    </row>
    <row r="5040" spans="1:60" x14ac:dyDescent="0.25">
      <c r="G5040" t="s">
        <v>4982</v>
      </c>
      <c r="X5040" t="s">
        <v>4911</v>
      </c>
      <c r="AF5040">
        <v>20</v>
      </c>
      <c r="BH5040" t="s">
        <v>2324</v>
      </c>
    </row>
    <row r="5041" spans="1:71" x14ac:dyDescent="0.25">
      <c r="G5041" t="s">
        <v>4983</v>
      </c>
      <c r="AF5041" t="s">
        <v>2440</v>
      </c>
      <c r="BH5041" t="s">
        <v>2440</v>
      </c>
    </row>
    <row r="5042" spans="1:71" x14ac:dyDescent="0.25">
      <c r="G5042" t="s">
        <v>4984</v>
      </c>
      <c r="X5042" t="s">
        <v>2433</v>
      </c>
      <c r="AF5042" t="s">
        <v>4926</v>
      </c>
      <c r="BH5042" t="s">
        <v>4926</v>
      </c>
    </row>
    <row r="5043" spans="1:71" x14ac:dyDescent="0.25">
      <c r="G5043" t="s">
        <v>1001</v>
      </c>
      <c r="X5043" t="s">
        <v>4986</v>
      </c>
      <c r="AF5043" t="s">
        <v>5031</v>
      </c>
      <c r="BH5043" t="s">
        <v>5032</v>
      </c>
    </row>
    <row r="5045" spans="1:71" x14ac:dyDescent="0.25">
      <c r="G5045" t="s">
        <v>4988</v>
      </c>
      <c r="AF5045" t="s">
        <v>5033</v>
      </c>
      <c r="AT5045" t="s">
        <v>5034</v>
      </c>
      <c r="BH5045" t="s">
        <v>5033</v>
      </c>
      <c r="BS5045" t="s">
        <v>5034</v>
      </c>
    </row>
    <row r="5046" spans="1:71" x14ac:dyDescent="0.25">
      <c r="G5046" t="s">
        <v>4991</v>
      </c>
      <c r="X5046" t="s">
        <v>4918</v>
      </c>
      <c r="AF5046" t="s">
        <v>4931</v>
      </c>
      <c r="AT5046" t="s">
        <v>4931</v>
      </c>
      <c r="BH5046" t="s">
        <v>4931</v>
      </c>
      <c r="BS5046" t="s">
        <v>4931</v>
      </c>
    </row>
    <row r="5047" spans="1:71" x14ac:dyDescent="0.25">
      <c r="G5047" t="s">
        <v>4991</v>
      </c>
      <c r="X5047" t="s">
        <v>4918</v>
      </c>
      <c r="AF5047" t="s">
        <v>4932</v>
      </c>
      <c r="AT5047" t="s">
        <v>4932</v>
      </c>
      <c r="BH5047" t="s">
        <v>4932</v>
      </c>
      <c r="BS5047" t="s">
        <v>4932</v>
      </c>
    </row>
    <row r="5048" spans="1:71" x14ac:dyDescent="0.25">
      <c r="G5048" t="s">
        <v>4993</v>
      </c>
      <c r="X5048" t="s">
        <v>2424</v>
      </c>
      <c r="AF5048">
        <v>6</v>
      </c>
      <c r="AT5048">
        <v>9</v>
      </c>
      <c r="BH5048">
        <v>6</v>
      </c>
      <c r="BS5048" t="s">
        <v>5035</v>
      </c>
    </row>
    <row r="5049" spans="1:71" x14ac:dyDescent="0.25">
      <c r="G5049" t="s">
        <v>4994</v>
      </c>
      <c r="X5049" t="s">
        <v>2431</v>
      </c>
      <c r="AF5049">
        <v>0.78</v>
      </c>
      <c r="AT5049">
        <v>0.78</v>
      </c>
      <c r="BH5049">
        <v>0.78</v>
      </c>
      <c r="BS5049" t="s">
        <v>5036</v>
      </c>
    </row>
    <row r="5050" spans="1:71" x14ac:dyDescent="0.25">
      <c r="G5050" t="s">
        <v>4996</v>
      </c>
      <c r="X5050" t="s">
        <v>551</v>
      </c>
      <c r="AF5050">
        <v>7.2</v>
      </c>
      <c r="AT5050">
        <v>7.2</v>
      </c>
      <c r="BH5050">
        <v>7.2</v>
      </c>
      <c r="BS5050" t="s">
        <v>4997</v>
      </c>
    </row>
    <row r="5051" spans="1:71" x14ac:dyDescent="0.25">
      <c r="G5051" t="s">
        <v>4973</v>
      </c>
      <c r="X5051" t="s">
        <v>5005</v>
      </c>
      <c r="AF5051" t="s">
        <v>5012</v>
      </c>
      <c r="AT5051" t="s">
        <v>5012</v>
      </c>
      <c r="BH5051" t="s">
        <v>5012</v>
      </c>
      <c r="BS5051" t="s">
        <v>5012</v>
      </c>
    </row>
    <row r="5052" spans="1:71" x14ac:dyDescent="0.25">
      <c r="G5052" t="s">
        <v>4984</v>
      </c>
      <c r="X5052" t="s">
        <v>2433</v>
      </c>
      <c r="AF5052" t="s">
        <v>4998</v>
      </c>
      <c r="AT5052" t="s">
        <v>4998</v>
      </c>
      <c r="BH5052" t="s">
        <v>5020</v>
      </c>
      <c r="BS5052" t="s">
        <v>5020</v>
      </c>
    </row>
    <row r="5053" spans="1:71" x14ac:dyDescent="0.25">
      <c r="G5053" t="s">
        <v>1001</v>
      </c>
      <c r="X5053" t="s">
        <v>4986</v>
      </c>
      <c r="AF5053" t="s">
        <v>5037</v>
      </c>
      <c r="AT5053" t="s">
        <v>5038</v>
      </c>
      <c r="BH5053" t="s">
        <v>5037</v>
      </c>
      <c r="BS5053" t="s">
        <v>5038</v>
      </c>
    </row>
    <row r="5054" spans="1:71" x14ac:dyDescent="0.25">
      <c r="A5054">
        <v>8</v>
      </c>
    </row>
    <row r="5056" spans="1:71" x14ac:dyDescent="0.25">
      <c r="A5056" t="s">
        <v>5039</v>
      </c>
    </row>
    <row r="5057" spans="1:54" x14ac:dyDescent="0.25">
      <c r="A5057" t="s">
        <v>5040</v>
      </c>
    </row>
    <row r="5058" spans="1:54" x14ac:dyDescent="0.25">
      <c r="A5058" t="s">
        <v>5002</v>
      </c>
    </row>
    <row r="5059" spans="1:54" x14ac:dyDescent="0.25">
      <c r="A5059" t="s">
        <v>4962</v>
      </c>
      <c r="AB5059" t="s">
        <v>4963</v>
      </c>
    </row>
    <row r="5060" spans="1:54" x14ac:dyDescent="0.25">
      <c r="A5060" t="s">
        <v>4965</v>
      </c>
    </row>
    <row r="5061" spans="1:54" x14ac:dyDescent="0.25">
      <c r="AM5061" t="s">
        <v>5041</v>
      </c>
    </row>
    <row r="5062" spans="1:54" x14ac:dyDescent="0.25">
      <c r="A5062" t="s">
        <v>5003</v>
      </c>
    </row>
    <row r="5063" spans="1:54" x14ac:dyDescent="0.25">
      <c r="A5063" t="s">
        <v>5042</v>
      </c>
    </row>
    <row r="5064" spans="1:54" x14ac:dyDescent="0.25">
      <c r="A5064" t="s">
        <v>5025</v>
      </c>
      <c r="Y5064" t="s">
        <v>5026</v>
      </c>
    </row>
    <row r="5065" spans="1:54" x14ac:dyDescent="0.25">
      <c r="A5065" t="s">
        <v>4969</v>
      </c>
      <c r="R5065" t="s">
        <v>2424</v>
      </c>
      <c r="Y5065">
        <v>8</v>
      </c>
      <c r="BB5065">
        <v>8</v>
      </c>
    </row>
    <row r="5066" spans="1:54" x14ac:dyDescent="0.25">
      <c r="A5066" t="s">
        <v>4970</v>
      </c>
      <c r="R5066" t="s">
        <v>2424</v>
      </c>
      <c r="Y5066" t="s">
        <v>2324</v>
      </c>
      <c r="BB5066">
        <v>6</v>
      </c>
    </row>
    <row r="5067" spans="1:54" x14ac:dyDescent="0.25">
      <c r="A5067" t="s">
        <v>4971</v>
      </c>
      <c r="R5067" t="s">
        <v>2424</v>
      </c>
      <c r="Y5067" t="s">
        <v>5028</v>
      </c>
    </row>
    <row r="5068" spans="1:54" x14ac:dyDescent="0.25">
      <c r="A5068" t="s">
        <v>4973</v>
      </c>
      <c r="R5068" t="s">
        <v>5005</v>
      </c>
      <c r="Y5068" t="s">
        <v>5029</v>
      </c>
    </row>
    <row r="5069" spans="1:54" x14ac:dyDescent="0.25">
      <c r="A5069" t="s">
        <v>4974</v>
      </c>
      <c r="R5069" t="s">
        <v>2427</v>
      </c>
      <c r="Y5069">
        <v>58</v>
      </c>
    </row>
    <row r="5070" spans="1:54" x14ac:dyDescent="0.25">
      <c r="A5070" t="s">
        <v>4975</v>
      </c>
      <c r="R5070" t="s">
        <v>4905</v>
      </c>
      <c r="Y5070" t="s">
        <v>2324</v>
      </c>
      <c r="BB5070">
        <v>5</v>
      </c>
    </row>
    <row r="5071" spans="1:54" x14ac:dyDescent="0.25">
      <c r="A5071" t="s">
        <v>4976</v>
      </c>
      <c r="R5071" t="s">
        <v>4905</v>
      </c>
      <c r="Y5071" t="s">
        <v>2324</v>
      </c>
      <c r="BB5071">
        <v>3</v>
      </c>
    </row>
    <row r="5072" spans="1:54" x14ac:dyDescent="0.25">
      <c r="A5072" t="s">
        <v>4977</v>
      </c>
      <c r="Y5072" t="s">
        <v>2879</v>
      </c>
    </row>
    <row r="5073" spans="1:65" x14ac:dyDescent="0.25">
      <c r="A5073" t="s">
        <v>4978</v>
      </c>
      <c r="Y5073" t="s">
        <v>2324</v>
      </c>
    </row>
    <row r="5074" spans="1:65" x14ac:dyDescent="0.25">
      <c r="A5074" t="s">
        <v>4979</v>
      </c>
      <c r="R5074" t="s">
        <v>4918</v>
      </c>
      <c r="Y5074" t="s">
        <v>4919</v>
      </c>
    </row>
    <row r="5075" spans="1:65" x14ac:dyDescent="0.25">
      <c r="A5075" t="s">
        <v>4979</v>
      </c>
      <c r="R5075" t="s">
        <v>4918</v>
      </c>
      <c r="Y5075" t="s">
        <v>4920</v>
      </c>
    </row>
    <row r="5076" spans="1:65" x14ac:dyDescent="0.25">
      <c r="A5076" t="s">
        <v>4980</v>
      </c>
      <c r="R5076" t="s">
        <v>2442</v>
      </c>
      <c r="Y5076" t="s">
        <v>4981</v>
      </c>
    </row>
    <row r="5077" spans="1:65" x14ac:dyDescent="0.25">
      <c r="A5077" t="s">
        <v>4982</v>
      </c>
      <c r="R5077" t="s">
        <v>4911</v>
      </c>
      <c r="Y5077">
        <v>20</v>
      </c>
    </row>
    <row r="5078" spans="1:65" x14ac:dyDescent="0.25">
      <c r="A5078" t="s">
        <v>4983</v>
      </c>
      <c r="Y5078" t="s">
        <v>2440</v>
      </c>
    </row>
    <row r="5079" spans="1:65" x14ac:dyDescent="0.25">
      <c r="A5079" t="s">
        <v>4984</v>
      </c>
      <c r="R5079" t="s">
        <v>2433</v>
      </c>
      <c r="Y5079" t="s">
        <v>4926</v>
      </c>
    </row>
    <row r="5080" spans="1:65" x14ac:dyDescent="0.25">
      <c r="A5080" t="s">
        <v>1001</v>
      </c>
      <c r="R5080" t="s">
        <v>4986</v>
      </c>
      <c r="Y5080" t="s">
        <v>5031</v>
      </c>
    </row>
    <row r="5081" spans="1:65" x14ac:dyDescent="0.25">
      <c r="A5081" t="s">
        <v>4988</v>
      </c>
      <c r="Y5081" t="s">
        <v>5043</v>
      </c>
      <c r="AQ5081" t="s">
        <v>5044</v>
      </c>
      <c r="BM5081" t="s">
        <v>5044</v>
      </c>
    </row>
    <row r="5082" spans="1:65" x14ac:dyDescent="0.25">
      <c r="A5082" t="s">
        <v>5010</v>
      </c>
      <c r="R5082" t="s">
        <v>4937</v>
      </c>
      <c r="Y5082">
        <v>210</v>
      </c>
      <c r="AQ5082" t="s">
        <v>5011</v>
      </c>
      <c r="BB5082">
        <v>210</v>
      </c>
      <c r="BM5082">
        <v>210</v>
      </c>
    </row>
    <row r="5083" spans="1:65" x14ac:dyDescent="0.25">
      <c r="A5083" t="s">
        <v>4991</v>
      </c>
      <c r="R5083" t="s">
        <v>4918</v>
      </c>
      <c r="Y5083" t="s">
        <v>4931</v>
      </c>
      <c r="AQ5083" t="s">
        <v>4931</v>
      </c>
      <c r="BM5083" t="s">
        <v>4931</v>
      </c>
    </row>
    <row r="5084" spans="1:65" x14ac:dyDescent="0.25">
      <c r="A5084" t="s">
        <v>4991</v>
      </c>
      <c r="R5084" t="s">
        <v>4918</v>
      </c>
      <c r="Y5084" t="s">
        <v>4932</v>
      </c>
      <c r="AQ5084" t="s">
        <v>4932</v>
      </c>
      <c r="BM5084" t="s">
        <v>4932</v>
      </c>
    </row>
    <row r="5085" spans="1:65" x14ac:dyDescent="0.25">
      <c r="A5085" t="s">
        <v>4993</v>
      </c>
      <c r="R5085" t="s">
        <v>2424</v>
      </c>
      <c r="Y5085">
        <v>9</v>
      </c>
      <c r="AQ5085" t="s">
        <v>5035</v>
      </c>
      <c r="BB5085">
        <v>9</v>
      </c>
      <c r="BM5085">
        <v>9</v>
      </c>
    </row>
    <row r="5086" spans="1:65" x14ac:dyDescent="0.25">
      <c r="A5086" t="s">
        <v>4994</v>
      </c>
      <c r="R5086" t="s">
        <v>2431</v>
      </c>
      <c r="Y5086">
        <v>0.78</v>
      </c>
      <c r="AQ5086" t="s">
        <v>5036</v>
      </c>
      <c r="BB5086">
        <v>1</v>
      </c>
      <c r="BM5086">
        <v>0.78</v>
      </c>
    </row>
    <row r="5087" spans="1:65" x14ac:dyDescent="0.25">
      <c r="A5087" t="s">
        <v>4996</v>
      </c>
      <c r="R5087" t="s">
        <v>551</v>
      </c>
      <c r="Y5087">
        <v>7.2</v>
      </c>
      <c r="AQ5087" t="s">
        <v>4997</v>
      </c>
      <c r="BB5087">
        <v>7</v>
      </c>
      <c r="BM5087">
        <v>7.2</v>
      </c>
    </row>
    <row r="5088" spans="1:65" x14ac:dyDescent="0.25">
      <c r="A5088" t="s">
        <v>4973</v>
      </c>
      <c r="R5088" t="s">
        <v>5005</v>
      </c>
      <c r="Y5088" t="s">
        <v>5012</v>
      </c>
      <c r="AQ5088" t="s">
        <v>5045</v>
      </c>
      <c r="BM5088" t="s">
        <v>5045</v>
      </c>
    </row>
    <row r="5089" spans="1:73" x14ac:dyDescent="0.25">
      <c r="A5089" t="s">
        <v>4984</v>
      </c>
      <c r="R5089" t="s">
        <v>2433</v>
      </c>
      <c r="Y5089" t="s">
        <v>4940</v>
      </c>
      <c r="AQ5089" t="s">
        <v>4940</v>
      </c>
      <c r="BM5089" t="s">
        <v>4940</v>
      </c>
    </row>
    <row r="5090" spans="1:73" x14ac:dyDescent="0.25">
      <c r="A5090" t="s">
        <v>1001</v>
      </c>
      <c r="R5090" t="s">
        <v>4986</v>
      </c>
      <c r="Y5090" t="s">
        <v>5046</v>
      </c>
      <c r="AQ5090" t="s">
        <v>5047</v>
      </c>
      <c r="BM5090" t="s">
        <v>5047</v>
      </c>
    </row>
    <row r="5092" spans="1:73" x14ac:dyDescent="0.25">
      <c r="A5092" t="s">
        <v>5048</v>
      </c>
    </row>
    <row r="5094" spans="1:73" x14ac:dyDescent="0.25">
      <c r="A5094" t="s">
        <v>4961</v>
      </c>
    </row>
    <row r="5095" spans="1:73" x14ac:dyDescent="0.25">
      <c r="A5095" t="s">
        <v>5049</v>
      </c>
      <c r="AB5095" t="s">
        <v>4963</v>
      </c>
    </row>
    <row r="5096" spans="1:73" x14ac:dyDescent="0.25">
      <c r="A5096" t="s">
        <v>4965</v>
      </c>
    </row>
    <row r="5097" spans="1:73" x14ac:dyDescent="0.25">
      <c r="A5097" t="s">
        <v>5003</v>
      </c>
      <c r="AF5097" t="s">
        <v>2440</v>
      </c>
      <c r="BJ5097" t="s">
        <v>3640</v>
      </c>
    </row>
    <row r="5098" spans="1:73" x14ac:dyDescent="0.25">
      <c r="A5098" t="s">
        <v>4967</v>
      </c>
      <c r="AX5098" t="s">
        <v>4967</v>
      </c>
      <c r="BM5098" t="s">
        <v>5050</v>
      </c>
      <c r="BU5098" t="s">
        <v>5051</v>
      </c>
    </row>
    <row r="5099" spans="1:73" x14ac:dyDescent="0.25">
      <c r="A5099" t="s">
        <v>5025</v>
      </c>
      <c r="X5099" t="s">
        <v>5052</v>
      </c>
      <c r="AM5099" t="s">
        <v>5053</v>
      </c>
      <c r="BE5099" t="s">
        <v>5054</v>
      </c>
      <c r="BM5099" t="s">
        <v>5055</v>
      </c>
    </row>
    <row r="5100" spans="1:73" x14ac:dyDescent="0.25">
      <c r="A5100" t="s">
        <v>4969</v>
      </c>
      <c r="R5100" t="s">
        <v>2424</v>
      </c>
      <c r="X5100" t="s">
        <v>5056</v>
      </c>
      <c r="AM5100">
        <v>11</v>
      </c>
      <c r="BE5100">
        <v>11.2</v>
      </c>
      <c r="BM5100">
        <v>11.2</v>
      </c>
    </row>
    <row r="5101" spans="1:73" x14ac:dyDescent="0.25">
      <c r="A5101" t="s">
        <v>4970</v>
      </c>
      <c r="R5101" t="s">
        <v>2424</v>
      </c>
      <c r="X5101" t="s">
        <v>5057</v>
      </c>
      <c r="AM5101">
        <v>8</v>
      </c>
      <c r="BE5101">
        <v>10</v>
      </c>
      <c r="BM5101">
        <v>10</v>
      </c>
    </row>
    <row r="5102" spans="1:73" x14ac:dyDescent="0.25">
      <c r="A5102" t="s">
        <v>4971</v>
      </c>
      <c r="R5102" t="s">
        <v>2424</v>
      </c>
      <c r="X5102" t="s">
        <v>5058</v>
      </c>
      <c r="AM5102" t="s">
        <v>2324</v>
      </c>
      <c r="BE5102" t="s">
        <v>5059</v>
      </c>
      <c r="BM5102" t="s">
        <v>5060</v>
      </c>
    </row>
    <row r="5103" spans="1:73" x14ac:dyDescent="0.25">
      <c r="A5103" t="s">
        <v>4973</v>
      </c>
      <c r="R5103" t="s">
        <v>5005</v>
      </c>
      <c r="X5103" t="s">
        <v>5061</v>
      </c>
      <c r="AM5103" t="s">
        <v>5030</v>
      </c>
      <c r="BE5103" t="s">
        <v>5062</v>
      </c>
      <c r="BM5103" t="s">
        <v>5062</v>
      </c>
    </row>
    <row r="5104" spans="1:73" x14ac:dyDescent="0.25">
      <c r="A5104" t="s">
        <v>4974</v>
      </c>
      <c r="R5104" t="s">
        <v>2427</v>
      </c>
      <c r="X5104" t="s">
        <v>5063</v>
      </c>
      <c r="AM5104" t="s">
        <v>2324</v>
      </c>
      <c r="BE5104">
        <v>61</v>
      </c>
      <c r="BM5104">
        <v>61</v>
      </c>
    </row>
    <row r="5105" spans="1:73" x14ac:dyDescent="0.25">
      <c r="A5105" t="s">
        <v>4975</v>
      </c>
      <c r="R5105" t="s">
        <v>4905</v>
      </c>
      <c r="X5105" t="s">
        <v>5064</v>
      </c>
      <c r="AM5105">
        <v>4.74</v>
      </c>
      <c r="BE5105">
        <v>4.8</v>
      </c>
      <c r="BM5105">
        <v>4.8</v>
      </c>
    </row>
    <row r="5106" spans="1:73" x14ac:dyDescent="0.25">
      <c r="A5106" t="s">
        <v>4976</v>
      </c>
      <c r="R5106" t="s">
        <v>4905</v>
      </c>
      <c r="X5106" t="s">
        <v>5065</v>
      </c>
      <c r="AM5106">
        <v>2.62</v>
      </c>
      <c r="BE5106">
        <v>3.07</v>
      </c>
      <c r="BM5106">
        <v>3</v>
      </c>
    </row>
    <row r="5107" spans="1:73" x14ac:dyDescent="0.25">
      <c r="A5107" t="s">
        <v>4977</v>
      </c>
      <c r="X5107" t="s">
        <v>2879</v>
      </c>
      <c r="AM5107" t="s">
        <v>2879</v>
      </c>
      <c r="BE5107" t="s">
        <v>2880</v>
      </c>
      <c r="BM5107" t="s">
        <v>2879</v>
      </c>
    </row>
    <row r="5108" spans="1:73" x14ac:dyDescent="0.25">
      <c r="A5108" t="s">
        <v>4978</v>
      </c>
      <c r="X5108" t="s">
        <v>5066</v>
      </c>
      <c r="AM5108" t="s">
        <v>2324</v>
      </c>
      <c r="BE5108">
        <v>4.42</v>
      </c>
      <c r="BM5108">
        <v>0</v>
      </c>
    </row>
    <row r="5109" spans="1:73" x14ac:dyDescent="0.25">
      <c r="A5109" t="s">
        <v>4979</v>
      </c>
      <c r="R5109" t="s">
        <v>4918</v>
      </c>
      <c r="X5109" t="s">
        <v>4919</v>
      </c>
      <c r="AM5109" t="s">
        <v>4919</v>
      </c>
      <c r="BE5109" t="s">
        <v>5067</v>
      </c>
      <c r="BM5109" t="s">
        <v>5068</v>
      </c>
    </row>
    <row r="5110" spans="1:73" x14ac:dyDescent="0.25">
      <c r="A5110" t="s">
        <v>4979</v>
      </c>
      <c r="R5110" t="s">
        <v>4918</v>
      </c>
      <c r="X5110" t="s">
        <v>4920</v>
      </c>
      <c r="AM5110" t="s">
        <v>4920</v>
      </c>
      <c r="BE5110" t="s">
        <v>5069</v>
      </c>
      <c r="BM5110" t="s">
        <v>5069</v>
      </c>
    </row>
    <row r="5111" spans="1:73" x14ac:dyDescent="0.25">
      <c r="A5111" t="s">
        <v>4980</v>
      </c>
      <c r="R5111" t="s">
        <v>2442</v>
      </c>
      <c r="X5111" t="s">
        <v>4981</v>
      </c>
      <c r="AM5111" t="s">
        <v>4910</v>
      </c>
      <c r="BE5111" t="s">
        <v>4910</v>
      </c>
      <c r="BM5111" t="s">
        <v>4910</v>
      </c>
    </row>
    <row r="5112" spans="1:73" x14ac:dyDescent="0.25">
      <c r="A5112" t="s">
        <v>4982</v>
      </c>
      <c r="R5112" t="s">
        <v>4911</v>
      </c>
      <c r="X5112" t="s">
        <v>3756</v>
      </c>
      <c r="AM5112" t="s">
        <v>2324</v>
      </c>
      <c r="BE5112" t="s">
        <v>5070</v>
      </c>
      <c r="BM5112" t="s">
        <v>5070</v>
      </c>
    </row>
    <row r="5113" spans="1:73" x14ac:dyDescent="0.25">
      <c r="A5113" t="s">
        <v>4983</v>
      </c>
      <c r="X5113" t="s">
        <v>2440</v>
      </c>
      <c r="AM5113" t="s">
        <v>2440</v>
      </c>
      <c r="BE5113" t="s">
        <v>3640</v>
      </c>
      <c r="BM5113" t="s">
        <v>3640</v>
      </c>
    </row>
    <row r="5114" spans="1:73" x14ac:dyDescent="0.25">
      <c r="A5114" t="s">
        <v>4984</v>
      </c>
      <c r="R5114" t="s">
        <v>2433</v>
      </c>
      <c r="X5114" t="s">
        <v>4926</v>
      </c>
      <c r="AM5114" t="s">
        <v>4926</v>
      </c>
      <c r="BE5114" t="s">
        <v>5071</v>
      </c>
      <c r="BM5114" t="s">
        <v>5071</v>
      </c>
    </row>
    <row r="5115" spans="1:73" x14ac:dyDescent="0.25">
      <c r="A5115" t="s">
        <v>1001</v>
      </c>
      <c r="R5115" t="s">
        <v>4986</v>
      </c>
      <c r="X5115" t="s">
        <v>5072</v>
      </c>
      <c r="AM5115" t="s">
        <v>5073</v>
      </c>
      <c r="BE5115" t="s">
        <v>5074</v>
      </c>
      <c r="BM5115" t="s">
        <v>5075</v>
      </c>
    </row>
    <row r="5116" spans="1:73" x14ac:dyDescent="0.25">
      <c r="A5116" t="s">
        <v>4988</v>
      </c>
      <c r="X5116" t="s">
        <v>5033</v>
      </c>
      <c r="AH5116" t="s">
        <v>5034</v>
      </c>
      <c r="AM5116" t="s">
        <v>5033</v>
      </c>
      <c r="AX5116" t="s">
        <v>5034</v>
      </c>
      <c r="BE5116" t="s">
        <v>5076</v>
      </c>
      <c r="BM5116" t="s">
        <v>5077</v>
      </c>
      <c r="BU5116" t="s">
        <v>5078</v>
      </c>
    </row>
    <row r="5117" spans="1:73" x14ac:dyDescent="0.25">
      <c r="A5117" t="s">
        <v>4991</v>
      </c>
      <c r="R5117" t="s">
        <v>4918</v>
      </c>
      <c r="X5117" t="s">
        <v>4931</v>
      </c>
      <c r="AH5117" t="s">
        <v>4931</v>
      </c>
      <c r="AM5117" t="s">
        <v>4931</v>
      </c>
      <c r="AX5117" t="s">
        <v>4931</v>
      </c>
      <c r="BE5117" t="s">
        <v>4992</v>
      </c>
      <c r="BM5117" t="s">
        <v>5079</v>
      </c>
      <c r="BU5117" t="s">
        <v>5079</v>
      </c>
    </row>
    <row r="5118" spans="1:73" x14ac:dyDescent="0.25">
      <c r="A5118" t="s">
        <v>4991</v>
      </c>
      <c r="R5118" t="s">
        <v>4918</v>
      </c>
      <c r="X5118" t="s">
        <v>4932</v>
      </c>
      <c r="AH5118" t="s">
        <v>4932</v>
      </c>
      <c r="AM5118" t="s">
        <v>4932</v>
      </c>
      <c r="AX5118" t="s">
        <v>4932</v>
      </c>
      <c r="BE5118" t="s">
        <v>4932</v>
      </c>
      <c r="BM5118" t="s">
        <v>4932</v>
      </c>
      <c r="BU5118" t="s">
        <v>4932</v>
      </c>
    </row>
    <row r="5119" spans="1:73" x14ac:dyDescent="0.25">
      <c r="A5119" t="s">
        <v>4993</v>
      </c>
      <c r="R5119" t="s">
        <v>2424</v>
      </c>
      <c r="X5119" t="s">
        <v>3043</v>
      </c>
      <c r="AH5119" t="s">
        <v>5035</v>
      </c>
      <c r="AM5119">
        <v>6</v>
      </c>
      <c r="AX5119" t="s">
        <v>5035</v>
      </c>
      <c r="BE5119">
        <v>9</v>
      </c>
      <c r="BM5119">
        <v>6</v>
      </c>
      <c r="BU5119">
        <v>9</v>
      </c>
    </row>
    <row r="5120" spans="1:73" x14ac:dyDescent="0.25">
      <c r="A5120" t="s">
        <v>4994</v>
      </c>
      <c r="R5120" t="s">
        <v>2431</v>
      </c>
      <c r="X5120" t="s">
        <v>5036</v>
      </c>
      <c r="AH5120" t="s">
        <v>5036</v>
      </c>
      <c r="AM5120">
        <v>0.78</v>
      </c>
      <c r="AX5120" t="s">
        <v>5036</v>
      </c>
      <c r="BE5120">
        <v>1.05</v>
      </c>
      <c r="BM5120">
        <v>1.05</v>
      </c>
      <c r="BU5120">
        <v>1.05</v>
      </c>
    </row>
    <row r="5121" spans="1:73" x14ac:dyDescent="0.25">
      <c r="A5121" t="s">
        <v>4996</v>
      </c>
      <c r="R5121" t="s">
        <v>551</v>
      </c>
      <c r="X5121" t="s">
        <v>4997</v>
      </c>
      <c r="AH5121" t="s">
        <v>4997</v>
      </c>
      <c r="AM5121">
        <v>7.2</v>
      </c>
      <c r="AX5121" t="s">
        <v>4997</v>
      </c>
      <c r="BE5121">
        <v>8.8000000000000007</v>
      </c>
      <c r="BM5121">
        <v>8.8000000000000007</v>
      </c>
      <c r="BU5121">
        <v>8.8000000000000007</v>
      </c>
    </row>
    <row r="5122" spans="1:73" x14ac:dyDescent="0.25">
      <c r="A5122" t="s">
        <v>4973</v>
      </c>
      <c r="R5122" t="s">
        <v>5005</v>
      </c>
      <c r="X5122" t="s">
        <v>5012</v>
      </c>
      <c r="AH5122" t="s">
        <v>5012</v>
      </c>
      <c r="AM5122" t="s">
        <v>5012</v>
      </c>
      <c r="AX5122" t="s">
        <v>5012</v>
      </c>
      <c r="BE5122" t="s">
        <v>5080</v>
      </c>
      <c r="BM5122" t="s">
        <v>5080</v>
      </c>
      <c r="BU5122" t="s">
        <v>5080</v>
      </c>
    </row>
    <row r="5123" spans="1:73" x14ac:dyDescent="0.25">
      <c r="A5123" t="s">
        <v>4984</v>
      </c>
      <c r="R5123" t="s">
        <v>2433</v>
      </c>
      <c r="X5123" t="s">
        <v>5081</v>
      </c>
      <c r="AH5123" t="s">
        <v>5081</v>
      </c>
      <c r="AM5123" t="s">
        <v>5081</v>
      </c>
      <c r="AX5123" t="s">
        <v>5081</v>
      </c>
      <c r="BE5123" t="s">
        <v>5082</v>
      </c>
      <c r="BM5123" t="s">
        <v>5082</v>
      </c>
      <c r="BU5123" t="s">
        <v>5082</v>
      </c>
    </row>
    <row r="5124" spans="1:73" x14ac:dyDescent="0.25">
      <c r="A5124" t="s">
        <v>1001</v>
      </c>
      <c r="R5124" t="s">
        <v>4986</v>
      </c>
      <c r="X5124" t="s">
        <v>5037</v>
      </c>
      <c r="AH5124" t="s">
        <v>5038</v>
      </c>
      <c r="AM5124" t="s">
        <v>5037</v>
      </c>
      <c r="AX5124" t="s">
        <v>5038</v>
      </c>
      <c r="BE5124" t="s">
        <v>5083</v>
      </c>
      <c r="BM5124" t="s">
        <v>5084</v>
      </c>
      <c r="BU5124" t="s">
        <v>5083</v>
      </c>
    </row>
    <row r="5125" spans="1:73" x14ac:dyDescent="0.25">
      <c r="A5125">
        <v>10</v>
      </c>
    </row>
    <row r="5128" spans="1:73" x14ac:dyDescent="0.25">
      <c r="A5128" t="s">
        <v>5085</v>
      </c>
    </row>
    <row r="5129" spans="1:73" x14ac:dyDescent="0.25">
      <c r="A5129" t="s">
        <v>5002</v>
      </c>
    </row>
    <row r="5130" spans="1:73" x14ac:dyDescent="0.25">
      <c r="G5130" t="s">
        <v>4962</v>
      </c>
      <c r="AI5130" t="s">
        <v>4963</v>
      </c>
      <c r="BJ5130" t="s">
        <v>5023</v>
      </c>
    </row>
    <row r="5131" spans="1:73" x14ac:dyDescent="0.25">
      <c r="G5131" t="s">
        <v>4965</v>
      </c>
    </row>
    <row r="5132" spans="1:73" x14ac:dyDescent="0.25">
      <c r="G5132" t="s">
        <v>5086</v>
      </c>
      <c r="AT5132" t="s">
        <v>5041</v>
      </c>
      <c r="BS5132" t="s">
        <v>5087</v>
      </c>
    </row>
    <row r="5134" spans="1:73" x14ac:dyDescent="0.25">
      <c r="G5134" t="s">
        <v>5025</v>
      </c>
      <c r="AF5134" t="s">
        <v>5052</v>
      </c>
      <c r="BH5134" t="s">
        <v>5053</v>
      </c>
    </row>
    <row r="5135" spans="1:73" x14ac:dyDescent="0.25">
      <c r="G5135" t="s">
        <v>4969</v>
      </c>
      <c r="X5135" t="s">
        <v>2424</v>
      </c>
      <c r="AF5135">
        <v>11</v>
      </c>
      <c r="BH5135">
        <v>11</v>
      </c>
    </row>
    <row r="5136" spans="1:73" x14ac:dyDescent="0.25">
      <c r="G5136" t="s">
        <v>4970</v>
      </c>
      <c r="X5136" t="s">
        <v>2424</v>
      </c>
      <c r="AF5136" t="s">
        <v>2324</v>
      </c>
      <c r="BH5136">
        <v>8</v>
      </c>
    </row>
    <row r="5137" spans="7:71" x14ac:dyDescent="0.25">
      <c r="G5137" t="s">
        <v>4971</v>
      </c>
      <c r="X5137" t="s">
        <v>2424</v>
      </c>
      <c r="AF5137" t="s">
        <v>5058</v>
      </c>
      <c r="BH5137" t="s">
        <v>2324</v>
      </c>
    </row>
    <row r="5138" spans="7:71" x14ac:dyDescent="0.25">
      <c r="G5138" t="s">
        <v>4973</v>
      </c>
      <c r="X5138" t="s">
        <v>5005</v>
      </c>
      <c r="AF5138" t="s">
        <v>5061</v>
      </c>
      <c r="BH5138" t="s">
        <v>5030</v>
      </c>
    </row>
    <row r="5139" spans="7:71" x14ac:dyDescent="0.25">
      <c r="G5139" t="s">
        <v>4974</v>
      </c>
      <c r="X5139" t="s">
        <v>2427</v>
      </c>
      <c r="AF5139">
        <v>62</v>
      </c>
      <c r="BH5139" t="s">
        <v>2324</v>
      </c>
    </row>
    <row r="5140" spans="7:71" x14ac:dyDescent="0.25">
      <c r="G5140" t="s">
        <v>4975</v>
      </c>
      <c r="X5140" t="s">
        <v>4905</v>
      </c>
      <c r="AF5140" t="s">
        <v>2324</v>
      </c>
      <c r="BH5140">
        <v>4.74</v>
      </c>
    </row>
    <row r="5141" spans="7:71" x14ac:dyDescent="0.25">
      <c r="G5141" t="s">
        <v>4976</v>
      </c>
      <c r="X5141" t="s">
        <v>4905</v>
      </c>
      <c r="AF5141" t="s">
        <v>2324</v>
      </c>
      <c r="BH5141">
        <v>2.62</v>
      </c>
    </row>
    <row r="5142" spans="7:71" x14ac:dyDescent="0.25">
      <c r="G5142" t="s">
        <v>4977</v>
      </c>
      <c r="AF5142" t="s">
        <v>2879</v>
      </c>
      <c r="BH5142" t="s">
        <v>2879</v>
      </c>
    </row>
    <row r="5143" spans="7:71" x14ac:dyDescent="0.25">
      <c r="G5143" t="s">
        <v>4978</v>
      </c>
      <c r="AF5143" t="s">
        <v>2324</v>
      </c>
      <c r="BH5143" t="s">
        <v>2324</v>
      </c>
    </row>
    <row r="5144" spans="7:71" x14ac:dyDescent="0.25">
      <c r="G5144" t="s">
        <v>4979</v>
      </c>
      <c r="X5144" t="s">
        <v>4918</v>
      </c>
      <c r="AF5144" t="s">
        <v>4919</v>
      </c>
      <c r="BH5144" t="s">
        <v>4919</v>
      </c>
    </row>
    <row r="5145" spans="7:71" x14ac:dyDescent="0.25">
      <c r="G5145" t="s">
        <v>4979</v>
      </c>
      <c r="X5145" t="s">
        <v>4918</v>
      </c>
      <c r="AF5145" t="s">
        <v>4920</v>
      </c>
      <c r="BH5145" t="s">
        <v>4920</v>
      </c>
    </row>
    <row r="5146" spans="7:71" x14ac:dyDescent="0.25">
      <c r="G5146" t="s">
        <v>4980</v>
      </c>
      <c r="X5146" t="s">
        <v>2442</v>
      </c>
      <c r="AF5146" t="s">
        <v>4981</v>
      </c>
      <c r="BH5146" t="s">
        <v>4910</v>
      </c>
    </row>
    <row r="5147" spans="7:71" x14ac:dyDescent="0.25">
      <c r="G5147" t="s">
        <v>4982</v>
      </c>
      <c r="X5147" t="s">
        <v>4911</v>
      </c>
      <c r="AF5147">
        <v>20</v>
      </c>
      <c r="BH5147" t="s">
        <v>2324</v>
      </c>
    </row>
    <row r="5148" spans="7:71" x14ac:dyDescent="0.25">
      <c r="G5148" t="s">
        <v>4983</v>
      </c>
      <c r="AF5148" t="s">
        <v>2440</v>
      </c>
      <c r="BH5148" t="s">
        <v>2440</v>
      </c>
    </row>
    <row r="5149" spans="7:71" x14ac:dyDescent="0.25">
      <c r="G5149" t="s">
        <v>4984</v>
      </c>
      <c r="X5149" t="s">
        <v>2433</v>
      </c>
      <c r="AF5149" t="s">
        <v>4926</v>
      </c>
      <c r="BH5149" t="s">
        <v>4926</v>
      </c>
    </row>
    <row r="5150" spans="7:71" x14ac:dyDescent="0.25">
      <c r="G5150" t="s">
        <v>1001</v>
      </c>
      <c r="X5150" t="s">
        <v>4986</v>
      </c>
      <c r="AF5150" t="s">
        <v>5072</v>
      </c>
      <c r="BH5150" t="s">
        <v>5073</v>
      </c>
    </row>
    <row r="5152" spans="7:71" x14ac:dyDescent="0.25">
      <c r="G5152" t="s">
        <v>4988</v>
      </c>
      <c r="AF5152" t="s">
        <v>5043</v>
      </c>
      <c r="AX5152" t="s">
        <v>5044</v>
      </c>
      <c r="BH5152" t="s">
        <v>5043</v>
      </c>
      <c r="BS5152" t="s">
        <v>5044</v>
      </c>
    </row>
    <row r="5153" spans="1:73" x14ac:dyDescent="0.25">
      <c r="G5153" t="s">
        <v>5010</v>
      </c>
      <c r="X5153" t="s">
        <v>4937</v>
      </c>
      <c r="AF5153">
        <v>210</v>
      </c>
      <c r="AX5153" t="s">
        <v>5011</v>
      </c>
      <c r="BH5153">
        <v>210</v>
      </c>
      <c r="BS5153" t="s">
        <v>5011</v>
      </c>
    </row>
    <row r="5154" spans="1:73" x14ac:dyDescent="0.25">
      <c r="G5154" t="s">
        <v>4991</v>
      </c>
      <c r="X5154" t="s">
        <v>4918</v>
      </c>
      <c r="AF5154" t="s">
        <v>4931</v>
      </c>
      <c r="AX5154" t="s">
        <v>4931</v>
      </c>
      <c r="BH5154" t="s">
        <v>4931</v>
      </c>
      <c r="BS5154" t="s">
        <v>4931</v>
      </c>
    </row>
    <row r="5155" spans="1:73" x14ac:dyDescent="0.25">
      <c r="G5155" t="s">
        <v>4991</v>
      </c>
      <c r="X5155" t="s">
        <v>4918</v>
      </c>
      <c r="AF5155" t="s">
        <v>4932</v>
      </c>
      <c r="AX5155" t="s">
        <v>4932</v>
      </c>
      <c r="BH5155" t="s">
        <v>4932</v>
      </c>
      <c r="BS5155" t="s">
        <v>4932</v>
      </c>
    </row>
    <row r="5156" spans="1:73" x14ac:dyDescent="0.25">
      <c r="G5156" t="s">
        <v>4993</v>
      </c>
      <c r="X5156" t="s">
        <v>2424</v>
      </c>
      <c r="AF5156">
        <v>9</v>
      </c>
      <c r="AX5156" t="s">
        <v>5035</v>
      </c>
      <c r="BH5156">
        <v>9</v>
      </c>
      <c r="BS5156" t="s">
        <v>5035</v>
      </c>
    </row>
    <row r="5157" spans="1:73" x14ac:dyDescent="0.25">
      <c r="G5157" t="s">
        <v>4994</v>
      </c>
      <c r="X5157" t="s">
        <v>2431</v>
      </c>
      <c r="AF5157">
        <v>0.78</v>
      </c>
      <c r="AX5157" t="s">
        <v>5036</v>
      </c>
      <c r="BH5157">
        <v>0.78</v>
      </c>
      <c r="BS5157" t="s">
        <v>5036</v>
      </c>
    </row>
    <row r="5158" spans="1:73" x14ac:dyDescent="0.25">
      <c r="G5158" t="s">
        <v>4996</v>
      </c>
      <c r="X5158" t="s">
        <v>551</v>
      </c>
      <c r="AF5158">
        <v>7.2</v>
      </c>
      <c r="AX5158" t="s">
        <v>4997</v>
      </c>
      <c r="BH5158">
        <v>7.2</v>
      </c>
      <c r="BS5158" t="s">
        <v>4997</v>
      </c>
    </row>
    <row r="5159" spans="1:73" x14ac:dyDescent="0.25">
      <c r="G5159" t="s">
        <v>4973</v>
      </c>
      <c r="X5159" t="s">
        <v>5005</v>
      </c>
      <c r="AF5159" t="s">
        <v>5012</v>
      </c>
      <c r="AX5159" t="s">
        <v>5012</v>
      </c>
      <c r="BH5159" t="s">
        <v>5012</v>
      </c>
      <c r="BS5159" t="s">
        <v>5012</v>
      </c>
    </row>
    <row r="5160" spans="1:73" x14ac:dyDescent="0.25">
      <c r="G5160" t="s">
        <v>4984</v>
      </c>
      <c r="X5160" t="s">
        <v>2433</v>
      </c>
      <c r="AF5160" t="s">
        <v>4940</v>
      </c>
      <c r="AX5160" t="s">
        <v>4940</v>
      </c>
      <c r="BH5160" t="s">
        <v>4940</v>
      </c>
      <c r="BS5160" t="s">
        <v>4940</v>
      </c>
    </row>
    <row r="5161" spans="1:73" x14ac:dyDescent="0.25">
      <c r="G5161" t="s">
        <v>1001</v>
      </c>
      <c r="X5161" t="s">
        <v>4986</v>
      </c>
      <c r="AF5161" t="s">
        <v>5046</v>
      </c>
      <c r="AX5161" t="s">
        <v>5047</v>
      </c>
      <c r="BH5161" t="s">
        <v>5046</v>
      </c>
      <c r="BS5161" t="s">
        <v>5047</v>
      </c>
    </row>
    <row r="5163" spans="1:73" x14ac:dyDescent="0.25">
      <c r="A5163" t="s">
        <v>5088</v>
      </c>
    </row>
    <row r="5166" spans="1:73" x14ac:dyDescent="0.25">
      <c r="G5166" t="s">
        <v>5049</v>
      </c>
      <c r="AI5166" t="s">
        <v>4963</v>
      </c>
      <c r="BJ5166" t="s">
        <v>5023</v>
      </c>
    </row>
    <row r="5167" spans="1:73" x14ac:dyDescent="0.25">
      <c r="G5167" t="s">
        <v>4965</v>
      </c>
    </row>
    <row r="5168" spans="1:73" x14ac:dyDescent="0.25">
      <c r="G5168" t="s">
        <v>5003</v>
      </c>
      <c r="AE5168" t="s">
        <v>5089</v>
      </c>
      <c r="BA5168" t="s">
        <v>3640</v>
      </c>
      <c r="BU5168" t="s">
        <v>3640</v>
      </c>
    </row>
    <row r="5169" spans="1:75" x14ac:dyDescent="0.25">
      <c r="A5169" t="s">
        <v>5090</v>
      </c>
      <c r="AM5169" t="s">
        <v>5090</v>
      </c>
    </row>
    <row r="5170" spans="1:75" x14ac:dyDescent="0.25">
      <c r="AU5170" t="s">
        <v>5091</v>
      </c>
      <c r="BJ5170" t="s">
        <v>5091</v>
      </c>
      <c r="BW5170" t="s">
        <v>5051</v>
      </c>
    </row>
    <row r="5171" spans="1:75" x14ac:dyDescent="0.25">
      <c r="G5171" t="s">
        <v>5025</v>
      </c>
      <c r="AF5171" t="s">
        <v>5092</v>
      </c>
      <c r="AM5171" t="s">
        <v>5093</v>
      </c>
      <c r="AT5171" t="s">
        <v>5094</v>
      </c>
      <c r="BH5171" t="s">
        <v>5095</v>
      </c>
      <c r="BU5171" t="s">
        <v>5096</v>
      </c>
    </row>
    <row r="5172" spans="1:75" x14ac:dyDescent="0.25">
      <c r="G5172" t="s">
        <v>4969</v>
      </c>
      <c r="X5172" t="s">
        <v>2424</v>
      </c>
      <c r="AF5172">
        <v>14</v>
      </c>
      <c r="AM5172">
        <v>14</v>
      </c>
      <c r="AT5172">
        <v>14</v>
      </c>
      <c r="BH5172">
        <v>14</v>
      </c>
      <c r="BU5172">
        <v>14</v>
      </c>
    </row>
    <row r="5173" spans="1:75" x14ac:dyDescent="0.25">
      <c r="G5173" t="s">
        <v>4970</v>
      </c>
      <c r="X5173" t="s">
        <v>2424</v>
      </c>
      <c r="AF5173">
        <v>10</v>
      </c>
      <c r="AM5173">
        <v>10</v>
      </c>
      <c r="AT5173">
        <v>11</v>
      </c>
      <c r="BH5173">
        <v>11</v>
      </c>
      <c r="BU5173">
        <v>11</v>
      </c>
    </row>
    <row r="5174" spans="1:75" x14ac:dyDescent="0.25">
      <c r="G5174" t="s">
        <v>4971</v>
      </c>
      <c r="X5174" t="s">
        <v>2424</v>
      </c>
      <c r="AF5174" t="s">
        <v>2324</v>
      </c>
      <c r="AM5174" t="s">
        <v>2324</v>
      </c>
      <c r="AT5174" t="s">
        <v>5097</v>
      </c>
      <c r="BH5174" t="s">
        <v>5098</v>
      </c>
      <c r="BU5174" t="s">
        <v>5099</v>
      </c>
    </row>
    <row r="5175" spans="1:75" x14ac:dyDescent="0.25">
      <c r="G5175" t="s">
        <v>4973</v>
      </c>
      <c r="X5175" t="s">
        <v>5005</v>
      </c>
      <c r="AF5175" t="s">
        <v>5100</v>
      </c>
      <c r="AM5175" t="s">
        <v>5101</v>
      </c>
      <c r="AT5175" t="s">
        <v>5102</v>
      </c>
      <c r="BH5175" t="s">
        <v>5102</v>
      </c>
      <c r="BU5175" t="s">
        <v>5102</v>
      </c>
    </row>
    <row r="5176" spans="1:75" x14ac:dyDescent="0.25">
      <c r="G5176" t="s">
        <v>4974</v>
      </c>
      <c r="X5176" t="s">
        <v>2427</v>
      </c>
      <c r="AF5176">
        <v>62</v>
      </c>
      <c r="AM5176" t="s">
        <v>2324</v>
      </c>
      <c r="AT5176">
        <v>61</v>
      </c>
      <c r="BH5176">
        <v>61</v>
      </c>
      <c r="BU5176">
        <v>61</v>
      </c>
    </row>
    <row r="5177" spans="1:75" x14ac:dyDescent="0.25">
      <c r="G5177" t="s">
        <v>4975</v>
      </c>
      <c r="X5177" t="s">
        <v>4905</v>
      </c>
      <c r="AF5177">
        <v>4.5999999999999996</v>
      </c>
      <c r="AM5177">
        <v>4.5999999999999996</v>
      </c>
      <c r="AT5177">
        <v>4.5</v>
      </c>
      <c r="BH5177">
        <v>4.4400000000000004</v>
      </c>
      <c r="BU5177">
        <v>4.4400000000000004</v>
      </c>
    </row>
    <row r="5178" spans="1:75" x14ac:dyDescent="0.25">
      <c r="G5178" t="s">
        <v>4976</v>
      </c>
      <c r="X5178" t="s">
        <v>4905</v>
      </c>
      <c r="AF5178">
        <v>2.4500000000000002</v>
      </c>
      <c r="AM5178">
        <v>2.4500000000000002</v>
      </c>
      <c r="AT5178">
        <v>2.89</v>
      </c>
      <c r="BH5178">
        <v>2.89</v>
      </c>
      <c r="BU5178">
        <v>2.82</v>
      </c>
    </row>
    <row r="5179" spans="1:75" x14ac:dyDescent="0.25">
      <c r="G5179" t="s">
        <v>4977</v>
      </c>
      <c r="AF5179" t="s">
        <v>2879</v>
      </c>
      <c r="AM5179" t="s">
        <v>2879</v>
      </c>
      <c r="AT5179" t="s">
        <v>2880</v>
      </c>
      <c r="BH5179" t="s">
        <v>2880</v>
      </c>
      <c r="BU5179" t="s">
        <v>2880</v>
      </c>
    </row>
    <row r="5180" spans="1:75" x14ac:dyDescent="0.25">
      <c r="G5180" t="s">
        <v>4978</v>
      </c>
      <c r="AF5180" t="s">
        <v>2324</v>
      </c>
      <c r="AM5180" t="s">
        <v>2324</v>
      </c>
      <c r="AT5180">
        <v>4.03</v>
      </c>
      <c r="BH5180">
        <v>4.2300000000000004</v>
      </c>
      <c r="BU5180">
        <v>0</v>
      </c>
    </row>
    <row r="5181" spans="1:75" x14ac:dyDescent="0.25">
      <c r="G5181" t="s">
        <v>4979</v>
      </c>
      <c r="X5181" t="s">
        <v>4918</v>
      </c>
      <c r="AF5181" t="s">
        <v>4919</v>
      </c>
      <c r="AM5181" t="s">
        <v>4919</v>
      </c>
      <c r="AT5181" t="s">
        <v>5067</v>
      </c>
      <c r="BH5181" t="s">
        <v>5067</v>
      </c>
      <c r="BU5181" t="s">
        <v>5068</v>
      </c>
    </row>
    <row r="5182" spans="1:75" x14ac:dyDescent="0.25">
      <c r="G5182" t="s">
        <v>4979</v>
      </c>
      <c r="X5182" t="s">
        <v>4918</v>
      </c>
      <c r="AF5182" t="s">
        <v>4920</v>
      </c>
      <c r="AM5182" t="s">
        <v>4920</v>
      </c>
      <c r="AT5182" t="s">
        <v>5069</v>
      </c>
      <c r="BH5182" t="s">
        <v>5069</v>
      </c>
      <c r="BU5182" t="s">
        <v>5069</v>
      </c>
    </row>
    <row r="5183" spans="1:75" x14ac:dyDescent="0.25">
      <c r="G5183" t="s">
        <v>4980</v>
      </c>
      <c r="X5183" t="s">
        <v>2442</v>
      </c>
      <c r="AF5183" t="s">
        <v>5103</v>
      </c>
      <c r="AM5183" t="s">
        <v>5104</v>
      </c>
      <c r="AT5183" t="s">
        <v>5103</v>
      </c>
      <c r="BH5183" t="s">
        <v>5104</v>
      </c>
      <c r="BU5183" t="s">
        <v>5104</v>
      </c>
    </row>
    <row r="5184" spans="1:75" x14ac:dyDescent="0.25">
      <c r="G5184" t="s">
        <v>4982</v>
      </c>
      <c r="X5184" t="s">
        <v>4911</v>
      </c>
      <c r="AF5184">
        <v>20</v>
      </c>
      <c r="AM5184" t="s">
        <v>2324</v>
      </c>
      <c r="AT5184">
        <v>25</v>
      </c>
      <c r="BH5184" t="s">
        <v>5070</v>
      </c>
      <c r="BU5184" t="s">
        <v>5070</v>
      </c>
    </row>
    <row r="5185" spans="1:78" x14ac:dyDescent="0.25">
      <c r="G5185" t="s">
        <v>4983</v>
      </c>
      <c r="AF5185" t="s">
        <v>2440</v>
      </c>
      <c r="AM5185" t="s">
        <v>2440</v>
      </c>
      <c r="AT5185" t="s">
        <v>3640</v>
      </c>
      <c r="BH5185" t="s">
        <v>3640</v>
      </c>
      <c r="BU5185" t="s">
        <v>3640</v>
      </c>
    </row>
    <row r="5186" spans="1:78" x14ac:dyDescent="0.25">
      <c r="G5186" t="s">
        <v>4984</v>
      </c>
      <c r="X5186" t="s">
        <v>2433</v>
      </c>
      <c r="AF5186" t="s">
        <v>5105</v>
      </c>
      <c r="AM5186" t="s">
        <v>5105</v>
      </c>
      <c r="AT5186" t="s">
        <v>5071</v>
      </c>
      <c r="BH5186" t="s">
        <v>5071</v>
      </c>
      <c r="BU5186" t="s">
        <v>5071</v>
      </c>
    </row>
    <row r="5187" spans="1:78" x14ac:dyDescent="0.25">
      <c r="G5187" t="s">
        <v>1001</v>
      </c>
      <c r="X5187" t="s">
        <v>4986</v>
      </c>
      <c r="AF5187" t="s">
        <v>5106</v>
      </c>
      <c r="AM5187" t="s">
        <v>5107</v>
      </c>
      <c r="AT5187" t="s">
        <v>5108</v>
      </c>
      <c r="BH5187" t="s">
        <v>5109</v>
      </c>
      <c r="BU5187" t="s">
        <v>5110</v>
      </c>
    </row>
    <row r="5189" spans="1:78" x14ac:dyDescent="0.25">
      <c r="G5189" t="s">
        <v>4988</v>
      </c>
      <c r="AF5189" t="s">
        <v>5111</v>
      </c>
      <c r="AM5189" t="s">
        <v>5111</v>
      </c>
      <c r="AT5189" t="s">
        <v>5112</v>
      </c>
      <c r="BA5189" t="s">
        <v>5076</v>
      </c>
      <c r="BH5189" t="s">
        <v>5112</v>
      </c>
      <c r="BO5189" t="s">
        <v>5076</v>
      </c>
      <c r="BU5189" t="s">
        <v>5077</v>
      </c>
      <c r="BZ5189" t="s">
        <v>5078</v>
      </c>
    </row>
    <row r="5190" spans="1:78" x14ac:dyDescent="0.25">
      <c r="G5190" t="s">
        <v>4991</v>
      </c>
      <c r="X5190" t="s">
        <v>4918</v>
      </c>
      <c r="AF5190" t="s">
        <v>4931</v>
      </c>
      <c r="AM5190" t="s">
        <v>4931</v>
      </c>
      <c r="AT5190" t="s">
        <v>4992</v>
      </c>
      <c r="BA5190" t="s">
        <v>4992</v>
      </c>
      <c r="BH5190" t="s">
        <v>4992</v>
      </c>
      <c r="BO5190" t="s">
        <v>4992</v>
      </c>
      <c r="BU5190" t="s">
        <v>5079</v>
      </c>
      <c r="BZ5190" t="s">
        <v>5079</v>
      </c>
    </row>
    <row r="5191" spans="1:78" x14ac:dyDescent="0.25">
      <c r="G5191" t="s">
        <v>4991</v>
      </c>
      <c r="X5191" t="s">
        <v>4918</v>
      </c>
      <c r="AF5191" t="s">
        <v>4932</v>
      </c>
      <c r="AM5191" t="s">
        <v>4932</v>
      </c>
      <c r="AT5191" t="s">
        <v>4932</v>
      </c>
      <c r="BA5191" t="s">
        <v>4932</v>
      </c>
      <c r="BH5191" t="s">
        <v>4932</v>
      </c>
      <c r="BO5191" t="s">
        <v>4932</v>
      </c>
      <c r="BU5191" t="s">
        <v>4932</v>
      </c>
      <c r="BZ5191" t="s">
        <v>4932</v>
      </c>
    </row>
    <row r="5192" spans="1:78" x14ac:dyDescent="0.25">
      <c r="G5192" t="s">
        <v>4993</v>
      </c>
      <c r="X5192" t="s">
        <v>2424</v>
      </c>
      <c r="AF5192">
        <v>9</v>
      </c>
      <c r="AM5192">
        <v>9</v>
      </c>
      <c r="AT5192">
        <v>6</v>
      </c>
      <c r="BA5192">
        <v>9</v>
      </c>
      <c r="BH5192">
        <v>6</v>
      </c>
      <c r="BO5192">
        <v>9</v>
      </c>
      <c r="BU5192">
        <v>6</v>
      </c>
      <c r="BZ5192">
        <v>9</v>
      </c>
    </row>
    <row r="5193" spans="1:78" x14ac:dyDescent="0.25">
      <c r="G5193" t="s">
        <v>4994</v>
      </c>
      <c r="X5193" t="s">
        <v>2431</v>
      </c>
      <c r="AF5193">
        <v>0.78</v>
      </c>
      <c r="AM5193">
        <v>0.78</v>
      </c>
      <c r="AT5193">
        <v>1.05</v>
      </c>
      <c r="BA5193">
        <v>1.05</v>
      </c>
      <c r="BH5193">
        <v>1.05</v>
      </c>
      <c r="BO5193">
        <v>1.05</v>
      </c>
      <c r="BU5193">
        <v>1.05</v>
      </c>
      <c r="BZ5193">
        <v>1.05</v>
      </c>
    </row>
    <row r="5194" spans="1:78" x14ac:dyDescent="0.25">
      <c r="G5194" t="s">
        <v>4996</v>
      </c>
      <c r="X5194" t="s">
        <v>551</v>
      </c>
      <c r="AF5194">
        <v>7.2</v>
      </c>
      <c r="AM5194">
        <v>7.2</v>
      </c>
      <c r="AT5194">
        <v>8.8000000000000007</v>
      </c>
      <c r="BA5194">
        <v>8.8000000000000007</v>
      </c>
      <c r="BH5194">
        <v>8.8000000000000007</v>
      </c>
      <c r="BO5194">
        <v>8.8000000000000007</v>
      </c>
      <c r="BU5194">
        <v>8.8000000000000007</v>
      </c>
      <c r="BZ5194">
        <v>8.8000000000000007</v>
      </c>
    </row>
    <row r="5195" spans="1:78" x14ac:dyDescent="0.25">
      <c r="G5195" t="s">
        <v>4973</v>
      </c>
      <c r="X5195" t="s">
        <v>5005</v>
      </c>
      <c r="AF5195" t="s">
        <v>5012</v>
      </c>
      <c r="AM5195" t="s">
        <v>5012</v>
      </c>
      <c r="AT5195" t="s">
        <v>5080</v>
      </c>
      <c r="BA5195" t="s">
        <v>5080</v>
      </c>
      <c r="BH5195" t="s">
        <v>5080</v>
      </c>
      <c r="BO5195" t="s">
        <v>5080</v>
      </c>
      <c r="BU5195" t="s">
        <v>5080</v>
      </c>
      <c r="BZ5195" t="s">
        <v>5080</v>
      </c>
    </row>
    <row r="5196" spans="1:78" x14ac:dyDescent="0.25">
      <c r="G5196" t="s">
        <v>4984</v>
      </c>
      <c r="X5196" t="s">
        <v>2433</v>
      </c>
      <c r="AF5196" t="s">
        <v>5081</v>
      </c>
      <c r="AM5196" t="s">
        <v>5081</v>
      </c>
      <c r="AT5196" t="s">
        <v>5082</v>
      </c>
      <c r="BA5196" t="s">
        <v>5082</v>
      </c>
      <c r="BH5196" t="s">
        <v>5082</v>
      </c>
      <c r="BO5196" t="s">
        <v>5082</v>
      </c>
      <c r="BU5196" t="s">
        <v>5082</v>
      </c>
      <c r="BZ5196" t="s">
        <v>5082</v>
      </c>
    </row>
    <row r="5197" spans="1:78" x14ac:dyDescent="0.25">
      <c r="G5197" t="s">
        <v>1001</v>
      </c>
      <c r="X5197" t="s">
        <v>4986</v>
      </c>
      <c r="AF5197" t="s">
        <v>5113</v>
      </c>
      <c r="AM5197" t="s">
        <v>5113</v>
      </c>
      <c r="AT5197" t="s">
        <v>5084</v>
      </c>
      <c r="BA5197" t="s">
        <v>5083</v>
      </c>
      <c r="BH5197" t="s">
        <v>5084</v>
      </c>
      <c r="BO5197" t="s">
        <v>5083</v>
      </c>
      <c r="BU5197" t="s">
        <v>5084</v>
      </c>
      <c r="BZ5197" t="s">
        <v>5083</v>
      </c>
    </row>
    <row r="5200" spans="1:78" x14ac:dyDescent="0.25">
      <c r="A5200" t="s">
        <v>5114</v>
      </c>
    </row>
    <row r="5201" spans="1:71" x14ac:dyDescent="0.25">
      <c r="A5201" t="s">
        <v>5002</v>
      </c>
    </row>
    <row r="5202" spans="1:71" x14ac:dyDescent="0.25">
      <c r="G5202" t="s">
        <v>4962</v>
      </c>
      <c r="AI5202" t="s">
        <v>4963</v>
      </c>
      <c r="BJ5202" t="s">
        <v>5023</v>
      </c>
    </row>
    <row r="5203" spans="1:71" x14ac:dyDescent="0.25">
      <c r="G5203" t="s">
        <v>4965</v>
      </c>
    </row>
    <row r="5204" spans="1:71" x14ac:dyDescent="0.25">
      <c r="G5204" t="s">
        <v>5003</v>
      </c>
      <c r="BS5204" t="s">
        <v>2440</v>
      </c>
    </row>
    <row r="5205" spans="1:71" x14ac:dyDescent="0.25">
      <c r="A5205" t="s">
        <v>5115</v>
      </c>
    </row>
    <row r="5206" spans="1:71" x14ac:dyDescent="0.25">
      <c r="G5206" t="s">
        <v>5025</v>
      </c>
      <c r="AF5206" t="s">
        <v>5092</v>
      </c>
      <c r="BH5206" t="s">
        <v>5093</v>
      </c>
    </row>
    <row r="5207" spans="1:71" x14ac:dyDescent="0.25">
      <c r="G5207" t="s">
        <v>4969</v>
      </c>
      <c r="X5207" t="s">
        <v>2424</v>
      </c>
      <c r="AF5207">
        <v>14</v>
      </c>
      <c r="BH5207">
        <v>14</v>
      </c>
    </row>
    <row r="5208" spans="1:71" x14ac:dyDescent="0.25">
      <c r="G5208" t="s">
        <v>4970</v>
      </c>
      <c r="X5208" t="s">
        <v>2424</v>
      </c>
      <c r="AF5208">
        <v>10</v>
      </c>
      <c r="BH5208">
        <v>10</v>
      </c>
    </row>
    <row r="5209" spans="1:71" x14ac:dyDescent="0.25">
      <c r="G5209" t="s">
        <v>4971</v>
      </c>
      <c r="X5209" t="s">
        <v>2424</v>
      </c>
      <c r="AF5209" t="s">
        <v>2324</v>
      </c>
      <c r="BH5209" t="s">
        <v>2324</v>
      </c>
    </row>
    <row r="5210" spans="1:71" x14ac:dyDescent="0.25">
      <c r="G5210" t="s">
        <v>4973</v>
      </c>
      <c r="X5210" t="s">
        <v>5005</v>
      </c>
      <c r="AF5210" t="s">
        <v>5100</v>
      </c>
      <c r="BH5210" t="s">
        <v>5101</v>
      </c>
    </row>
    <row r="5211" spans="1:71" x14ac:dyDescent="0.25">
      <c r="G5211" t="s">
        <v>4974</v>
      </c>
      <c r="X5211" t="s">
        <v>2427</v>
      </c>
      <c r="AF5211">
        <v>62</v>
      </c>
      <c r="BH5211" t="s">
        <v>2324</v>
      </c>
    </row>
    <row r="5212" spans="1:71" x14ac:dyDescent="0.25">
      <c r="G5212" t="s">
        <v>4975</v>
      </c>
      <c r="X5212" t="s">
        <v>4905</v>
      </c>
      <c r="AF5212">
        <v>4.5999999999999996</v>
      </c>
      <c r="BH5212">
        <v>4.5999999999999996</v>
      </c>
    </row>
    <row r="5213" spans="1:71" x14ac:dyDescent="0.25">
      <c r="G5213" t="s">
        <v>4976</v>
      </c>
      <c r="X5213" t="s">
        <v>4905</v>
      </c>
      <c r="AF5213">
        <v>2.4500000000000002</v>
      </c>
      <c r="BH5213">
        <v>2.4500000000000002</v>
      </c>
    </row>
    <row r="5214" spans="1:71" x14ac:dyDescent="0.25">
      <c r="G5214" t="s">
        <v>4977</v>
      </c>
      <c r="AF5214" t="s">
        <v>2879</v>
      </c>
      <c r="BH5214" t="s">
        <v>2879</v>
      </c>
    </row>
    <row r="5215" spans="1:71" x14ac:dyDescent="0.25">
      <c r="G5215" t="s">
        <v>4978</v>
      </c>
      <c r="AF5215" t="s">
        <v>2324</v>
      </c>
      <c r="BH5215" t="s">
        <v>2324</v>
      </c>
    </row>
    <row r="5216" spans="1:71" x14ac:dyDescent="0.25">
      <c r="G5216" t="s">
        <v>4979</v>
      </c>
      <c r="X5216" t="s">
        <v>4918</v>
      </c>
      <c r="AF5216" t="s">
        <v>4919</v>
      </c>
      <c r="BH5216" t="s">
        <v>4919</v>
      </c>
    </row>
    <row r="5217" spans="7:71" x14ac:dyDescent="0.25">
      <c r="G5217" t="s">
        <v>4979</v>
      </c>
      <c r="X5217" t="s">
        <v>4918</v>
      </c>
      <c r="AF5217" t="s">
        <v>4920</v>
      </c>
      <c r="BH5217" t="s">
        <v>4920</v>
      </c>
    </row>
    <row r="5218" spans="7:71" x14ac:dyDescent="0.25">
      <c r="G5218" t="s">
        <v>4980</v>
      </c>
      <c r="X5218" t="s">
        <v>2442</v>
      </c>
      <c r="AF5218" t="s">
        <v>4981</v>
      </c>
      <c r="BH5218" t="s">
        <v>4910</v>
      </c>
    </row>
    <row r="5219" spans="7:71" x14ac:dyDescent="0.25">
      <c r="G5219" t="s">
        <v>4982</v>
      </c>
      <c r="X5219" t="s">
        <v>4911</v>
      </c>
      <c r="AF5219">
        <v>20</v>
      </c>
      <c r="BH5219" t="s">
        <v>2324</v>
      </c>
    </row>
    <row r="5220" spans="7:71" x14ac:dyDescent="0.25">
      <c r="G5220" t="s">
        <v>4983</v>
      </c>
      <c r="AF5220" t="s">
        <v>2440</v>
      </c>
      <c r="BH5220" t="s">
        <v>2440</v>
      </c>
    </row>
    <row r="5221" spans="7:71" x14ac:dyDescent="0.25">
      <c r="G5221" t="s">
        <v>4984</v>
      </c>
      <c r="X5221" t="s">
        <v>2433</v>
      </c>
      <c r="AF5221" t="s">
        <v>4926</v>
      </c>
      <c r="BH5221" t="s">
        <v>4926</v>
      </c>
    </row>
    <row r="5222" spans="7:71" x14ac:dyDescent="0.25">
      <c r="G5222" t="s">
        <v>1001</v>
      </c>
      <c r="X5222" t="s">
        <v>4986</v>
      </c>
      <c r="AF5222" t="s">
        <v>5106</v>
      </c>
      <c r="BH5222" t="s">
        <v>5107</v>
      </c>
    </row>
    <row r="5224" spans="7:71" x14ac:dyDescent="0.25">
      <c r="G5224" t="s">
        <v>4988</v>
      </c>
      <c r="AF5224" t="s">
        <v>5116</v>
      </c>
      <c r="AX5224" t="s">
        <v>5117</v>
      </c>
      <c r="BH5224" t="s">
        <v>5116</v>
      </c>
      <c r="BS5224" t="s">
        <v>5117</v>
      </c>
    </row>
    <row r="5225" spans="7:71" x14ac:dyDescent="0.25">
      <c r="G5225" t="s">
        <v>5010</v>
      </c>
      <c r="X5225" t="s">
        <v>4937</v>
      </c>
      <c r="AF5225">
        <v>210</v>
      </c>
      <c r="AX5225" t="s">
        <v>5011</v>
      </c>
      <c r="BH5225">
        <v>210</v>
      </c>
      <c r="BS5225" t="s">
        <v>5011</v>
      </c>
    </row>
    <row r="5226" spans="7:71" x14ac:dyDescent="0.25">
      <c r="G5226" t="s">
        <v>4991</v>
      </c>
      <c r="X5226" t="s">
        <v>4918</v>
      </c>
      <c r="AF5226" t="s">
        <v>4931</v>
      </c>
      <c r="AX5226" t="s">
        <v>4931</v>
      </c>
      <c r="BH5226" t="s">
        <v>4931</v>
      </c>
      <c r="BS5226" t="s">
        <v>4931</v>
      </c>
    </row>
    <row r="5227" spans="7:71" x14ac:dyDescent="0.25">
      <c r="G5227" t="s">
        <v>4991</v>
      </c>
      <c r="X5227" t="s">
        <v>4918</v>
      </c>
      <c r="AF5227" t="s">
        <v>4932</v>
      </c>
      <c r="AX5227" t="s">
        <v>4932</v>
      </c>
      <c r="BH5227" t="s">
        <v>4932</v>
      </c>
      <c r="BS5227" t="s">
        <v>4932</v>
      </c>
    </row>
    <row r="5228" spans="7:71" x14ac:dyDescent="0.25">
      <c r="G5228" t="s">
        <v>4993</v>
      </c>
      <c r="X5228" t="s">
        <v>2424</v>
      </c>
      <c r="AF5228">
        <v>9</v>
      </c>
      <c r="AX5228" t="s">
        <v>5035</v>
      </c>
      <c r="BH5228">
        <v>9</v>
      </c>
      <c r="BS5228" t="s">
        <v>5035</v>
      </c>
    </row>
    <row r="5229" spans="7:71" x14ac:dyDescent="0.25">
      <c r="G5229" t="s">
        <v>4994</v>
      </c>
      <c r="X5229" t="s">
        <v>2431</v>
      </c>
      <c r="AF5229">
        <v>0.78</v>
      </c>
      <c r="AX5229" t="s">
        <v>5036</v>
      </c>
      <c r="BH5229">
        <v>0.78</v>
      </c>
      <c r="BS5229" t="s">
        <v>5036</v>
      </c>
    </row>
    <row r="5230" spans="7:71" x14ac:dyDescent="0.25">
      <c r="G5230" t="s">
        <v>4996</v>
      </c>
      <c r="X5230" t="s">
        <v>551</v>
      </c>
      <c r="AF5230">
        <v>7.2</v>
      </c>
      <c r="AX5230" t="s">
        <v>4997</v>
      </c>
      <c r="BH5230">
        <v>7.2</v>
      </c>
      <c r="BS5230" t="s">
        <v>4997</v>
      </c>
    </row>
    <row r="5231" spans="7:71" x14ac:dyDescent="0.25">
      <c r="G5231" t="s">
        <v>4973</v>
      </c>
      <c r="X5231" t="s">
        <v>5005</v>
      </c>
      <c r="AF5231" t="s">
        <v>5118</v>
      </c>
      <c r="AX5231" t="s">
        <v>5118</v>
      </c>
      <c r="BH5231" t="s">
        <v>5118</v>
      </c>
      <c r="BS5231" t="s">
        <v>5118</v>
      </c>
    </row>
    <row r="5232" spans="7:71" x14ac:dyDescent="0.25">
      <c r="G5232" t="s">
        <v>4984</v>
      </c>
      <c r="X5232" t="s">
        <v>2433</v>
      </c>
      <c r="AF5232" t="s">
        <v>4940</v>
      </c>
      <c r="AX5232" t="s">
        <v>4940</v>
      </c>
      <c r="BH5232" t="s">
        <v>4940</v>
      </c>
      <c r="BS5232" t="s">
        <v>4940</v>
      </c>
    </row>
    <row r="5233" spans="1:71" x14ac:dyDescent="0.25">
      <c r="G5233" t="s">
        <v>1001</v>
      </c>
      <c r="X5233" t="s">
        <v>4986</v>
      </c>
      <c r="AF5233" t="s">
        <v>5119</v>
      </c>
      <c r="AX5233" t="s">
        <v>5120</v>
      </c>
      <c r="BH5233" t="s">
        <v>5119</v>
      </c>
      <c r="BS5233" t="s">
        <v>5120</v>
      </c>
    </row>
    <row r="5236" spans="1:71" x14ac:dyDescent="0.25">
      <c r="A5236" t="s">
        <v>5121</v>
      </c>
    </row>
    <row r="5238" spans="1:71" x14ac:dyDescent="0.25">
      <c r="A5238" t="s">
        <v>4961</v>
      </c>
    </row>
    <row r="5240" spans="1:71" x14ac:dyDescent="0.25">
      <c r="G5240" t="s">
        <v>5122</v>
      </c>
      <c r="AI5240" t="s">
        <v>5123</v>
      </c>
      <c r="BJ5240" t="s">
        <v>4964</v>
      </c>
    </row>
    <row r="5241" spans="1:71" x14ac:dyDescent="0.25">
      <c r="G5241" t="s">
        <v>4965</v>
      </c>
    </row>
    <row r="5243" spans="1:71" x14ac:dyDescent="0.25">
      <c r="AX5243" t="s">
        <v>3640</v>
      </c>
    </row>
    <row r="5244" spans="1:71" x14ac:dyDescent="0.25">
      <c r="A5244" t="s">
        <v>4966</v>
      </c>
    </row>
    <row r="5246" spans="1:71" x14ac:dyDescent="0.25">
      <c r="A5246" t="s">
        <v>5091</v>
      </c>
    </row>
    <row r="5247" spans="1:71" x14ac:dyDescent="0.25">
      <c r="G5247" t="s">
        <v>5124</v>
      </c>
    </row>
    <row r="5248" spans="1:71" x14ac:dyDescent="0.25">
      <c r="G5248" t="s">
        <v>4969</v>
      </c>
      <c r="X5248" t="s">
        <v>2424</v>
      </c>
      <c r="AF5248">
        <v>16</v>
      </c>
    </row>
    <row r="5249" spans="7:32" x14ac:dyDescent="0.25">
      <c r="G5249" t="s">
        <v>4970</v>
      </c>
      <c r="X5249" t="s">
        <v>2424</v>
      </c>
      <c r="AF5249">
        <v>13</v>
      </c>
    </row>
    <row r="5250" spans="7:32" x14ac:dyDescent="0.25">
      <c r="G5250" t="s">
        <v>4971</v>
      </c>
      <c r="X5250" t="s">
        <v>2424</v>
      </c>
      <c r="AF5250" t="s">
        <v>5125</v>
      </c>
    </row>
    <row r="5251" spans="7:32" x14ac:dyDescent="0.25">
      <c r="G5251" t="s">
        <v>4973</v>
      </c>
      <c r="X5251" t="s">
        <v>5005</v>
      </c>
      <c r="AF5251" t="s">
        <v>5126</v>
      </c>
    </row>
    <row r="5252" spans="7:32" x14ac:dyDescent="0.25">
      <c r="G5252" t="s">
        <v>4974</v>
      </c>
      <c r="X5252" t="s">
        <v>2427</v>
      </c>
      <c r="AF5252">
        <v>61</v>
      </c>
    </row>
    <row r="5253" spans="7:32" x14ac:dyDescent="0.25">
      <c r="G5253" t="s">
        <v>4975</v>
      </c>
      <c r="X5253" t="s">
        <v>4905</v>
      </c>
      <c r="AF5253">
        <v>4.3</v>
      </c>
    </row>
    <row r="5254" spans="7:32" x14ac:dyDescent="0.25">
      <c r="G5254" t="s">
        <v>4976</v>
      </c>
      <c r="X5254" t="s">
        <v>4905</v>
      </c>
      <c r="AF5254">
        <v>2.71</v>
      </c>
    </row>
    <row r="5255" spans="7:32" x14ac:dyDescent="0.25">
      <c r="G5255" t="s">
        <v>4977</v>
      </c>
      <c r="AF5255" t="s">
        <v>2880</v>
      </c>
    </row>
    <row r="5256" spans="7:32" x14ac:dyDescent="0.25">
      <c r="G5256" t="s">
        <v>4978</v>
      </c>
      <c r="AF5256">
        <v>4.0999999999999996</v>
      </c>
    </row>
    <row r="5257" spans="7:32" x14ac:dyDescent="0.25">
      <c r="G5257" t="s">
        <v>4979</v>
      </c>
      <c r="X5257" t="s">
        <v>4918</v>
      </c>
      <c r="AF5257" t="s">
        <v>5067</v>
      </c>
    </row>
    <row r="5258" spans="7:32" x14ac:dyDescent="0.25">
      <c r="G5258" t="s">
        <v>4979</v>
      </c>
      <c r="X5258" t="s">
        <v>4918</v>
      </c>
      <c r="AF5258" t="s">
        <v>5069</v>
      </c>
    </row>
    <row r="5259" spans="7:32" x14ac:dyDescent="0.25">
      <c r="G5259" t="s">
        <v>4980</v>
      </c>
      <c r="X5259" t="s">
        <v>2442</v>
      </c>
      <c r="AF5259" t="s">
        <v>4910</v>
      </c>
    </row>
    <row r="5260" spans="7:32" x14ac:dyDescent="0.25">
      <c r="G5260" t="s">
        <v>4982</v>
      </c>
      <c r="X5260" t="s">
        <v>4911</v>
      </c>
      <c r="AF5260" t="s">
        <v>5070</v>
      </c>
    </row>
    <row r="5261" spans="7:32" x14ac:dyDescent="0.25">
      <c r="G5261" t="s">
        <v>4983</v>
      </c>
      <c r="AF5261" t="s">
        <v>3640</v>
      </c>
    </row>
    <row r="5262" spans="7:32" x14ac:dyDescent="0.25">
      <c r="G5262" t="s">
        <v>4984</v>
      </c>
      <c r="X5262" t="s">
        <v>2433</v>
      </c>
      <c r="AF5262" t="s">
        <v>5071</v>
      </c>
    </row>
    <row r="5263" spans="7:32" x14ac:dyDescent="0.25">
      <c r="G5263" t="s">
        <v>1001</v>
      </c>
      <c r="X5263" t="s">
        <v>4986</v>
      </c>
      <c r="AF5263" t="s">
        <v>5127</v>
      </c>
    </row>
    <row r="5265" spans="1:62" x14ac:dyDescent="0.25">
      <c r="G5265" t="s">
        <v>5128</v>
      </c>
    </row>
    <row r="5266" spans="1:62" x14ac:dyDescent="0.25">
      <c r="G5266" t="s">
        <v>4991</v>
      </c>
      <c r="X5266" t="s">
        <v>4918</v>
      </c>
      <c r="AF5266" t="s">
        <v>4992</v>
      </c>
    </row>
    <row r="5267" spans="1:62" x14ac:dyDescent="0.25">
      <c r="G5267" t="s">
        <v>4991</v>
      </c>
      <c r="X5267" t="s">
        <v>4918</v>
      </c>
      <c r="AF5267" t="s">
        <v>4932</v>
      </c>
    </row>
    <row r="5268" spans="1:62" x14ac:dyDescent="0.25">
      <c r="G5268" t="s">
        <v>4993</v>
      </c>
      <c r="X5268" t="s">
        <v>2424</v>
      </c>
      <c r="AF5268">
        <v>9</v>
      </c>
    </row>
    <row r="5269" spans="1:62" x14ac:dyDescent="0.25">
      <c r="G5269" t="s">
        <v>4994</v>
      </c>
      <c r="X5269" t="s">
        <v>2431</v>
      </c>
      <c r="AF5269">
        <v>1.05</v>
      </c>
    </row>
    <row r="5270" spans="1:62" x14ac:dyDescent="0.25">
      <c r="G5270" t="s">
        <v>4996</v>
      </c>
      <c r="X5270" t="s">
        <v>551</v>
      </c>
      <c r="AF5270">
        <v>8.8000000000000007</v>
      </c>
    </row>
    <row r="5271" spans="1:62" x14ac:dyDescent="0.25">
      <c r="G5271" t="s">
        <v>4973</v>
      </c>
      <c r="X5271" t="s">
        <v>5005</v>
      </c>
      <c r="AF5271" t="s">
        <v>5080</v>
      </c>
    </row>
    <row r="5272" spans="1:62" x14ac:dyDescent="0.25">
      <c r="G5272" t="s">
        <v>4984</v>
      </c>
      <c r="X5272" t="s">
        <v>2433</v>
      </c>
      <c r="AF5272" t="s">
        <v>5129</v>
      </c>
    </row>
    <row r="5273" spans="1:62" x14ac:dyDescent="0.25">
      <c r="G5273" t="s">
        <v>1001</v>
      </c>
      <c r="X5273" t="s">
        <v>4986</v>
      </c>
      <c r="AF5273" t="s">
        <v>5083</v>
      </c>
    </row>
    <row r="5274" spans="1:62" x14ac:dyDescent="0.25">
      <c r="A5274">
        <v>14</v>
      </c>
    </row>
    <row r="5278" spans="1:62" x14ac:dyDescent="0.25">
      <c r="BJ5278" t="s">
        <v>5130</v>
      </c>
    </row>
    <row r="5279" spans="1:62" x14ac:dyDescent="0.25">
      <c r="A5279" t="s">
        <v>3768</v>
      </c>
    </row>
    <row r="5280" spans="1:62" x14ac:dyDescent="0.25">
      <c r="A5280" t="s">
        <v>5131</v>
      </c>
    </row>
    <row r="5281" spans="1:88" x14ac:dyDescent="0.25">
      <c r="J5281" t="s">
        <v>5132</v>
      </c>
    </row>
    <row r="5282" spans="1:88" x14ac:dyDescent="0.25">
      <c r="CJ5282" t="s">
        <v>5133</v>
      </c>
    </row>
    <row r="5283" spans="1:88" x14ac:dyDescent="0.25">
      <c r="A5283" t="s">
        <v>5134</v>
      </c>
    </row>
    <row r="5285" spans="1:88" x14ac:dyDescent="0.25">
      <c r="CJ5285" t="s">
        <v>5135</v>
      </c>
    </row>
    <row r="5286" spans="1:88" x14ac:dyDescent="0.25">
      <c r="A5286" t="s">
        <v>5136</v>
      </c>
    </row>
    <row r="5288" spans="1:88" x14ac:dyDescent="0.25">
      <c r="CJ5288" t="s">
        <v>5137</v>
      </c>
    </row>
    <row r="5289" spans="1:88" x14ac:dyDescent="0.25">
      <c r="A5289" t="s">
        <v>5138</v>
      </c>
    </row>
    <row r="5291" spans="1:88" x14ac:dyDescent="0.25">
      <c r="CJ5291" t="s">
        <v>5139</v>
      </c>
    </row>
    <row r="5292" spans="1:88" x14ac:dyDescent="0.25">
      <c r="A5292" t="s">
        <v>5140</v>
      </c>
    </row>
    <row r="5294" spans="1:88" x14ac:dyDescent="0.25">
      <c r="CJ5294" t="s">
        <v>5141</v>
      </c>
    </row>
    <row r="5295" spans="1:88" x14ac:dyDescent="0.25">
      <c r="A5295" t="s">
        <v>5142</v>
      </c>
    </row>
    <row r="5297" spans="1:88" x14ac:dyDescent="0.25">
      <c r="CJ5297" t="s">
        <v>5143</v>
      </c>
    </row>
    <row r="5298" spans="1:88" x14ac:dyDescent="0.25">
      <c r="A5298" t="s">
        <v>5144</v>
      </c>
    </row>
    <row r="5302" spans="1:88" x14ac:dyDescent="0.25">
      <c r="A5302" t="s">
        <v>3768</v>
      </c>
    </row>
    <row r="5303" spans="1:88" x14ac:dyDescent="0.25">
      <c r="A5303" t="s">
        <v>5145</v>
      </c>
    </row>
    <row r="5304" spans="1:88" x14ac:dyDescent="0.25">
      <c r="I5304" t="s">
        <v>5132</v>
      </c>
    </row>
    <row r="5305" spans="1:88" x14ac:dyDescent="0.25">
      <c r="CH5305" t="s">
        <v>5146</v>
      </c>
    </row>
    <row r="5306" spans="1:88" x14ac:dyDescent="0.25">
      <c r="A5306" t="s">
        <v>5147</v>
      </c>
    </row>
    <row r="5308" spans="1:88" x14ac:dyDescent="0.25">
      <c r="CH5308" t="s">
        <v>5148</v>
      </c>
    </row>
    <row r="5309" spans="1:88" x14ac:dyDescent="0.25">
      <c r="A5309" t="s">
        <v>5149</v>
      </c>
    </row>
    <row r="5311" spans="1:88" x14ac:dyDescent="0.25">
      <c r="CH5311" t="s">
        <v>5150</v>
      </c>
    </row>
    <row r="5312" spans="1:88" x14ac:dyDescent="0.25">
      <c r="A5312" t="s">
        <v>5151</v>
      </c>
    </row>
    <row r="5314" spans="1:86" x14ac:dyDescent="0.25">
      <c r="CH5314" t="s">
        <v>5139</v>
      </c>
    </row>
    <row r="5315" spans="1:86" x14ac:dyDescent="0.25">
      <c r="A5315" t="s">
        <v>5140</v>
      </c>
    </row>
    <row r="5317" spans="1:86" x14ac:dyDescent="0.25">
      <c r="CH5317" t="s">
        <v>5152</v>
      </c>
    </row>
    <row r="5318" spans="1:86" x14ac:dyDescent="0.25">
      <c r="A5318" t="s">
        <v>5153</v>
      </c>
    </row>
    <row r="5320" spans="1:86" x14ac:dyDescent="0.25">
      <c r="CH5320" t="s">
        <v>5154</v>
      </c>
    </row>
    <row r="5321" spans="1:86" x14ac:dyDescent="0.25">
      <c r="A5321" t="s">
        <v>5155</v>
      </c>
    </row>
    <row r="5325" spans="1:86" x14ac:dyDescent="0.25">
      <c r="A5325" t="s">
        <v>5156</v>
      </c>
    </row>
    <row r="5327" spans="1:86" x14ac:dyDescent="0.25">
      <c r="A5327">
        <v>18</v>
      </c>
    </row>
    <row r="5328" spans="1:86" x14ac:dyDescent="0.25">
      <c r="A5328" t="s">
        <v>5157</v>
      </c>
    </row>
    <row r="5330" spans="1:65" x14ac:dyDescent="0.25">
      <c r="A5330" t="s">
        <v>5158</v>
      </c>
    </row>
    <row r="5335" spans="1:65" x14ac:dyDescent="0.25">
      <c r="BM5335" t="s">
        <v>5159</v>
      </c>
    </row>
    <row r="5337" spans="1:65" x14ac:dyDescent="0.25">
      <c r="BM5337" t="s">
        <v>5160</v>
      </c>
    </row>
    <row r="5338" spans="1:65" x14ac:dyDescent="0.25">
      <c r="A5338" t="s">
        <v>5161</v>
      </c>
    </row>
    <row r="5339" spans="1:65" x14ac:dyDescent="0.25">
      <c r="A5339" t="s">
        <v>5162</v>
      </c>
    </row>
    <row r="5340" spans="1:65" x14ac:dyDescent="0.25">
      <c r="A5340" t="s">
        <v>5163</v>
      </c>
    </row>
    <row r="5341" spans="1:65" x14ac:dyDescent="0.25">
      <c r="A5341" t="s">
        <v>5164</v>
      </c>
    </row>
    <row r="5343" spans="1:65" x14ac:dyDescent="0.25">
      <c r="A5343" t="s">
        <v>5165</v>
      </c>
    </row>
    <row r="5344" spans="1:65" x14ac:dyDescent="0.25">
      <c r="A5344" t="s">
        <v>5166</v>
      </c>
    </row>
    <row r="5345" spans="1:68" x14ac:dyDescent="0.25">
      <c r="A5345" t="s">
        <v>5167</v>
      </c>
      <c r="S5345" t="s">
        <v>5168</v>
      </c>
      <c r="AQ5345" t="s">
        <v>5168</v>
      </c>
      <c r="BP5345" t="s">
        <v>5169</v>
      </c>
    </row>
    <row r="5346" spans="1:68" x14ac:dyDescent="0.25">
      <c r="A5346" t="s">
        <v>5170</v>
      </c>
      <c r="V5346" t="s">
        <v>2440</v>
      </c>
    </row>
    <row r="5347" spans="1:68" x14ac:dyDescent="0.25">
      <c r="A5347" t="s">
        <v>5167</v>
      </c>
      <c r="S5347" t="s">
        <v>5168</v>
      </c>
      <c r="AQ5347" t="s">
        <v>5168</v>
      </c>
      <c r="BP5347" t="s">
        <v>5169</v>
      </c>
    </row>
    <row r="5348" spans="1:68" x14ac:dyDescent="0.25">
      <c r="A5348" t="s">
        <v>5171</v>
      </c>
      <c r="V5348" t="s">
        <v>5172</v>
      </c>
    </row>
    <row r="5349" spans="1:68" x14ac:dyDescent="0.25">
      <c r="A5349" t="s">
        <v>5173</v>
      </c>
    </row>
    <row r="5350" spans="1:68" x14ac:dyDescent="0.25">
      <c r="A5350" t="s">
        <v>5174</v>
      </c>
      <c r="N5350" t="s">
        <v>2440</v>
      </c>
      <c r="AF5350" t="s">
        <v>5175</v>
      </c>
    </row>
    <row r="5351" spans="1:68" x14ac:dyDescent="0.25">
      <c r="C5351" t="s">
        <v>5176</v>
      </c>
    </row>
    <row r="5352" spans="1:68" x14ac:dyDescent="0.25">
      <c r="A5352" t="s">
        <v>5177</v>
      </c>
    </row>
    <row r="5356" spans="1:68" x14ac:dyDescent="0.25">
      <c r="D5356">
        <v>8111416</v>
      </c>
    </row>
    <row r="5357" spans="1:68" x14ac:dyDescent="0.25">
      <c r="A5357" t="s">
        <v>5178</v>
      </c>
      <c r="G5357" t="s">
        <v>5179</v>
      </c>
      <c r="AF5357" t="s">
        <v>5179</v>
      </c>
    </row>
    <row r="5358" spans="1:68" x14ac:dyDescent="0.25">
      <c r="A5358" t="s">
        <v>5178</v>
      </c>
      <c r="G5358" t="s">
        <v>5179</v>
      </c>
      <c r="AF5358" t="s">
        <v>5179</v>
      </c>
    </row>
    <row r="5359" spans="1:68" x14ac:dyDescent="0.25">
      <c r="S5359" t="s">
        <v>5180</v>
      </c>
      <c r="AB5359" t="s">
        <v>5181</v>
      </c>
    </row>
    <row r="5360" spans="1:68" x14ac:dyDescent="0.25">
      <c r="A5360" t="s">
        <v>5182</v>
      </c>
      <c r="AE5360" t="s">
        <v>5180</v>
      </c>
    </row>
    <row r="5363" spans="1:77" x14ac:dyDescent="0.25">
      <c r="A5363" t="s">
        <v>5183</v>
      </c>
    </row>
    <row r="5364" spans="1:77" x14ac:dyDescent="0.25">
      <c r="N5364" t="s">
        <v>5184</v>
      </c>
    </row>
    <row r="5365" spans="1:77" x14ac:dyDescent="0.25">
      <c r="A5365" t="s">
        <v>5185</v>
      </c>
    </row>
    <row r="5366" spans="1:77" x14ac:dyDescent="0.25">
      <c r="A5366" t="s">
        <v>5186</v>
      </c>
      <c r="S5366" t="s">
        <v>5187</v>
      </c>
    </row>
    <row r="5367" spans="1:77" x14ac:dyDescent="0.25">
      <c r="A5367" t="s">
        <v>5186</v>
      </c>
      <c r="AH5367" t="s">
        <v>5188</v>
      </c>
      <c r="AO5367" t="s">
        <v>5186</v>
      </c>
      <c r="BY5367" t="s">
        <v>5188</v>
      </c>
    </row>
    <row r="5370" spans="1:77" x14ac:dyDescent="0.25">
      <c r="A5370" t="s">
        <v>5189</v>
      </c>
    </row>
    <row r="5371" spans="1:77" x14ac:dyDescent="0.25">
      <c r="E5371" t="s">
        <v>5190</v>
      </c>
      <c r="AH5371" t="s">
        <v>5191</v>
      </c>
      <c r="BJ5371" t="s">
        <v>5192</v>
      </c>
    </row>
    <row r="5372" spans="1:77" x14ac:dyDescent="0.25">
      <c r="E5372" t="s">
        <v>5193</v>
      </c>
      <c r="AH5372" t="s">
        <v>5194</v>
      </c>
      <c r="BJ5372" t="s">
        <v>5168</v>
      </c>
    </row>
    <row r="5373" spans="1:77" x14ac:dyDescent="0.25">
      <c r="E5373" t="s">
        <v>5195</v>
      </c>
      <c r="AH5373" t="s">
        <v>3043</v>
      </c>
      <c r="BJ5373" t="s">
        <v>5168</v>
      </c>
    </row>
    <row r="5374" spans="1:77" x14ac:dyDescent="0.25">
      <c r="E5374" t="s">
        <v>5196</v>
      </c>
      <c r="AH5374" t="s">
        <v>5057</v>
      </c>
      <c r="BJ5374" t="s">
        <v>5168</v>
      </c>
    </row>
    <row r="5375" spans="1:77" x14ac:dyDescent="0.25">
      <c r="E5375" t="s">
        <v>5197</v>
      </c>
      <c r="AH5375" t="s">
        <v>5198</v>
      </c>
      <c r="BJ5375" t="s">
        <v>5168</v>
      </c>
    </row>
    <row r="5377" spans="1:62" x14ac:dyDescent="0.25">
      <c r="E5377" t="s">
        <v>5199</v>
      </c>
      <c r="AH5377" t="s">
        <v>5200</v>
      </c>
      <c r="BJ5377" t="s">
        <v>5201</v>
      </c>
    </row>
    <row r="5378" spans="1:62" x14ac:dyDescent="0.25">
      <c r="E5378" t="s">
        <v>5202</v>
      </c>
      <c r="AH5378" t="s">
        <v>5203</v>
      </c>
      <c r="BJ5378" t="s">
        <v>5204</v>
      </c>
    </row>
    <row r="5379" spans="1:62" x14ac:dyDescent="0.25">
      <c r="E5379" t="s">
        <v>5205</v>
      </c>
      <c r="AH5379" t="s">
        <v>5206</v>
      </c>
      <c r="BJ5379" t="s">
        <v>5204</v>
      </c>
    </row>
    <row r="5380" spans="1:62" x14ac:dyDescent="0.25">
      <c r="E5380" t="s">
        <v>5207</v>
      </c>
      <c r="AH5380" t="s">
        <v>5206</v>
      </c>
      <c r="BJ5380" t="s">
        <v>5208</v>
      </c>
    </row>
    <row r="5381" spans="1:62" x14ac:dyDescent="0.25">
      <c r="E5381" t="s">
        <v>5209</v>
      </c>
      <c r="AH5381" t="s">
        <v>5210</v>
      </c>
      <c r="BJ5381" t="s">
        <v>5208</v>
      </c>
    </row>
    <row r="5383" spans="1:62" x14ac:dyDescent="0.25">
      <c r="E5383" t="s">
        <v>5211</v>
      </c>
      <c r="AH5383" t="s">
        <v>5200</v>
      </c>
      <c r="BJ5383" t="s">
        <v>5201</v>
      </c>
    </row>
    <row r="5384" spans="1:62" x14ac:dyDescent="0.25">
      <c r="E5384" t="s">
        <v>5212</v>
      </c>
      <c r="AH5384" t="s">
        <v>5213</v>
      </c>
      <c r="BJ5384" t="s">
        <v>5204</v>
      </c>
    </row>
    <row r="5385" spans="1:62" x14ac:dyDescent="0.25">
      <c r="E5385" t="s">
        <v>5214</v>
      </c>
      <c r="AH5385" t="s">
        <v>5215</v>
      </c>
      <c r="BJ5385" t="s">
        <v>5204</v>
      </c>
    </row>
    <row r="5386" spans="1:62" x14ac:dyDescent="0.25">
      <c r="E5386" t="s">
        <v>5216</v>
      </c>
      <c r="AH5386" t="s">
        <v>5215</v>
      </c>
      <c r="BJ5386" t="s">
        <v>5208</v>
      </c>
    </row>
    <row r="5387" spans="1:62" x14ac:dyDescent="0.25">
      <c r="E5387" t="s">
        <v>5217</v>
      </c>
      <c r="AH5387" t="s">
        <v>5206</v>
      </c>
      <c r="BJ5387" t="s">
        <v>5208</v>
      </c>
    </row>
    <row r="5388" spans="1:62" x14ac:dyDescent="0.25">
      <c r="E5388" t="s">
        <v>5218</v>
      </c>
      <c r="AH5388" t="s">
        <v>5219</v>
      </c>
      <c r="BJ5388" t="s">
        <v>5208</v>
      </c>
    </row>
    <row r="5389" spans="1:62" x14ac:dyDescent="0.25">
      <c r="E5389" t="s">
        <v>5220</v>
      </c>
      <c r="AH5389" t="s">
        <v>5210</v>
      </c>
      <c r="BJ5389" t="s">
        <v>5208</v>
      </c>
    </row>
    <row r="5391" spans="1:62" x14ac:dyDescent="0.25">
      <c r="A5391" t="s">
        <v>5221</v>
      </c>
    </row>
    <row r="5393" spans="1:67" x14ac:dyDescent="0.25">
      <c r="A5393" t="s">
        <v>2449</v>
      </c>
    </row>
    <row r="5394" spans="1:67" x14ac:dyDescent="0.25">
      <c r="A5394" t="s">
        <v>5222</v>
      </c>
    </row>
    <row r="5396" spans="1:67" x14ac:dyDescent="0.25">
      <c r="A5396" t="s">
        <v>5223</v>
      </c>
    </row>
    <row r="5400" spans="1:67" x14ac:dyDescent="0.25">
      <c r="A5400" t="s">
        <v>5224</v>
      </c>
    </row>
    <row r="5401" spans="1:67" x14ac:dyDescent="0.25">
      <c r="A5401" t="s">
        <v>5225</v>
      </c>
    </row>
    <row r="5402" spans="1:67" x14ac:dyDescent="0.25">
      <c r="A5402" t="s">
        <v>5226</v>
      </c>
    </row>
    <row r="5403" spans="1:67" x14ac:dyDescent="0.25">
      <c r="I5403" t="s">
        <v>5227</v>
      </c>
    </row>
    <row r="5405" spans="1:67" x14ac:dyDescent="0.25">
      <c r="I5405" t="s">
        <v>5228</v>
      </c>
    </row>
    <row r="5407" spans="1:67" x14ac:dyDescent="0.25">
      <c r="I5407" t="s">
        <v>5229</v>
      </c>
      <c r="AK5407" t="s">
        <v>2870</v>
      </c>
      <c r="AX5407" t="s">
        <v>2424</v>
      </c>
      <c r="BO5407">
        <v>4</v>
      </c>
    </row>
    <row r="5408" spans="1:67" x14ac:dyDescent="0.25">
      <c r="AK5408" t="s">
        <v>5230</v>
      </c>
      <c r="AX5408" t="s">
        <v>2424</v>
      </c>
      <c r="BO5408">
        <v>0.77</v>
      </c>
    </row>
    <row r="5409" spans="1:90" x14ac:dyDescent="0.25">
      <c r="AK5409" t="s">
        <v>5231</v>
      </c>
      <c r="AX5409" t="s">
        <v>4905</v>
      </c>
      <c r="BO5409">
        <v>5.2</v>
      </c>
    </row>
    <row r="5410" spans="1:90" x14ac:dyDescent="0.25">
      <c r="AK5410" t="s">
        <v>5232</v>
      </c>
      <c r="AX5410" t="s">
        <v>5233</v>
      </c>
      <c r="BO5410">
        <v>11.6</v>
      </c>
    </row>
    <row r="5412" spans="1:90" x14ac:dyDescent="0.25">
      <c r="I5412" t="s">
        <v>5234</v>
      </c>
    </row>
    <row r="5414" spans="1:90" x14ac:dyDescent="0.25">
      <c r="I5414" t="s">
        <v>5235</v>
      </c>
    </row>
    <row r="5415" spans="1:90" x14ac:dyDescent="0.25">
      <c r="I5415" t="s">
        <v>5236</v>
      </c>
    </row>
    <row r="5419" spans="1:90" x14ac:dyDescent="0.25">
      <c r="A5419" t="s">
        <v>5237</v>
      </c>
      <c r="CL5419" t="s">
        <v>5226</v>
      </c>
    </row>
    <row r="5421" spans="1:90" x14ac:dyDescent="0.25">
      <c r="A5421" t="s">
        <v>5238</v>
      </c>
      <c r="V5421" t="s">
        <v>5239</v>
      </c>
    </row>
    <row r="5422" spans="1:90" x14ac:dyDescent="0.25">
      <c r="V5422" t="s">
        <v>5240</v>
      </c>
      <c r="AH5422" t="s">
        <v>5241</v>
      </c>
      <c r="AQ5422" t="s">
        <v>3760</v>
      </c>
      <c r="BB5422">
        <v>45</v>
      </c>
      <c r="BM5422">
        <v>50</v>
      </c>
      <c r="BW5422">
        <v>55</v>
      </c>
    </row>
    <row r="5423" spans="1:90" x14ac:dyDescent="0.25">
      <c r="A5423" t="s">
        <v>5242</v>
      </c>
      <c r="L5423" t="s">
        <v>5243</v>
      </c>
      <c r="V5423" t="s">
        <v>5244</v>
      </c>
      <c r="AH5423" t="s">
        <v>5245</v>
      </c>
      <c r="AQ5423" t="s">
        <v>5246</v>
      </c>
      <c r="BM5423" t="s">
        <v>5247</v>
      </c>
      <c r="BW5423" t="s">
        <v>5247</v>
      </c>
    </row>
    <row r="5424" spans="1:90" x14ac:dyDescent="0.25">
      <c r="L5424" t="s">
        <v>5248</v>
      </c>
      <c r="V5424" t="s">
        <v>5249</v>
      </c>
      <c r="AH5424" t="s">
        <v>5250</v>
      </c>
      <c r="AQ5424" t="s">
        <v>5251</v>
      </c>
      <c r="BB5424">
        <v>3</v>
      </c>
      <c r="BM5424" t="s">
        <v>5247</v>
      </c>
      <c r="BW5424" t="s">
        <v>5247</v>
      </c>
    </row>
    <row r="5425" spans="1:75" x14ac:dyDescent="0.25">
      <c r="L5425" t="s">
        <v>5252</v>
      </c>
      <c r="V5425" t="s">
        <v>5253</v>
      </c>
      <c r="AH5425" t="s">
        <v>5254</v>
      </c>
      <c r="AQ5425" t="s">
        <v>5255</v>
      </c>
      <c r="BB5425">
        <v>4</v>
      </c>
      <c r="BM5425">
        <v>3.9</v>
      </c>
      <c r="BW5425" t="s">
        <v>5247</v>
      </c>
    </row>
    <row r="5426" spans="1:75" x14ac:dyDescent="0.25">
      <c r="L5426" t="s">
        <v>5256</v>
      </c>
      <c r="V5426" t="s">
        <v>5257</v>
      </c>
      <c r="AH5426" t="s">
        <v>5258</v>
      </c>
      <c r="AQ5426" t="s">
        <v>5259</v>
      </c>
      <c r="BB5426">
        <v>4</v>
      </c>
      <c r="BM5426">
        <v>4.4000000000000004</v>
      </c>
      <c r="BW5426">
        <v>4.3099999999999996</v>
      </c>
    </row>
    <row r="5427" spans="1:75" x14ac:dyDescent="0.25">
      <c r="L5427" t="s">
        <v>5260</v>
      </c>
      <c r="V5427" t="s">
        <v>5261</v>
      </c>
      <c r="AH5427" t="s">
        <v>5262</v>
      </c>
      <c r="AQ5427" t="s">
        <v>5263</v>
      </c>
      <c r="BB5427">
        <v>5</v>
      </c>
      <c r="BM5427">
        <v>5.15</v>
      </c>
      <c r="BW5427">
        <v>4.9800000000000004</v>
      </c>
    </row>
    <row r="5428" spans="1:75" x14ac:dyDescent="0.25">
      <c r="L5428" t="s">
        <v>5264</v>
      </c>
      <c r="V5428" t="s">
        <v>5265</v>
      </c>
      <c r="AH5428" t="s">
        <v>5266</v>
      </c>
      <c r="AQ5428" t="s">
        <v>5267</v>
      </c>
      <c r="BB5428">
        <v>6</v>
      </c>
      <c r="BM5428">
        <v>5.76</v>
      </c>
      <c r="BW5428">
        <v>5.52</v>
      </c>
    </row>
    <row r="5429" spans="1:75" x14ac:dyDescent="0.25">
      <c r="L5429" t="s">
        <v>5268</v>
      </c>
      <c r="V5429" t="s">
        <v>5269</v>
      </c>
      <c r="AH5429" t="s">
        <v>5270</v>
      </c>
      <c r="AQ5429" t="s">
        <v>5271</v>
      </c>
      <c r="BB5429">
        <v>7</v>
      </c>
      <c r="BM5429">
        <v>6.74</v>
      </c>
      <c r="BW5429">
        <v>6.51</v>
      </c>
    </row>
    <row r="5430" spans="1:75" x14ac:dyDescent="0.25">
      <c r="L5430" t="s">
        <v>5272</v>
      </c>
      <c r="V5430" t="s">
        <v>5273</v>
      </c>
      <c r="AH5430" t="s">
        <v>5274</v>
      </c>
      <c r="AQ5430" t="s">
        <v>5275</v>
      </c>
      <c r="BB5430">
        <v>8</v>
      </c>
      <c r="BM5430">
        <v>7.41</v>
      </c>
      <c r="BW5430">
        <v>7.18</v>
      </c>
    </row>
    <row r="5431" spans="1:75" x14ac:dyDescent="0.25">
      <c r="L5431" t="s">
        <v>5276</v>
      </c>
      <c r="V5431" t="s">
        <v>5277</v>
      </c>
      <c r="AH5431" t="s">
        <v>5278</v>
      </c>
      <c r="AQ5431" t="s">
        <v>5279</v>
      </c>
      <c r="BB5431">
        <v>8</v>
      </c>
      <c r="BM5431">
        <v>7.86</v>
      </c>
      <c r="BW5431">
        <v>7.62</v>
      </c>
    </row>
    <row r="5432" spans="1:75" x14ac:dyDescent="0.25">
      <c r="L5432" t="s">
        <v>5280</v>
      </c>
      <c r="V5432" t="s">
        <v>5281</v>
      </c>
      <c r="AH5432" t="s">
        <v>5282</v>
      </c>
      <c r="AQ5432" t="s">
        <v>5283</v>
      </c>
      <c r="BB5432">
        <v>8</v>
      </c>
      <c r="BM5432">
        <v>8.0500000000000007</v>
      </c>
      <c r="BW5432">
        <v>7.79</v>
      </c>
    </row>
    <row r="5433" spans="1:75" x14ac:dyDescent="0.25">
      <c r="L5433" t="s">
        <v>3756</v>
      </c>
      <c r="V5433" t="s">
        <v>5284</v>
      </c>
      <c r="AH5433" t="s">
        <v>5285</v>
      </c>
      <c r="AQ5433" t="s">
        <v>5286</v>
      </c>
      <c r="BB5433">
        <v>9</v>
      </c>
      <c r="BM5433">
        <v>8.3699999999999992</v>
      </c>
      <c r="BW5433">
        <v>8.06</v>
      </c>
    </row>
    <row r="5435" spans="1:75" x14ac:dyDescent="0.25">
      <c r="A5435" t="s">
        <v>5287</v>
      </c>
      <c r="V5435" t="s">
        <v>5239</v>
      </c>
    </row>
    <row r="5436" spans="1:75" x14ac:dyDescent="0.25">
      <c r="V5436" t="s">
        <v>5240</v>
      </c>
      <c r="AH5436" t="s">
        <v>5241</v>
      </c>
      <c r="AQ5436" t="s">
        <v>3760</v>
      </c>
      <c r="BB5436">
        <v>45</v>
      </c>
      <c r="BM5436">
        <v>50</v>
      </c>
      <c r="BW5436">
        <v>55</v>
      </c>
    </row>
    <row r="5437" spans="1:75" x14ac:dyDescent="0.25">
      <c r="A5437" t="s">
        <v>5242</v>
      </c>
      <c r="L5437" t="s">
        <v>5243</v>
      </c>
      <c r="V5437" t="s">
        <v>5288</v>
      </c>
      <c r="AH5437" t="s">
        <v>5289</v>
      </c>
      <c r="AQ5437" t="s">
        <v>5290</v>
      </c>
      <c r="BM5437" t="s">
        <v>5247</v>
      </c>
      <c r="BW5437" t="s">
        <v>5247</v>
      </c>
    </row>
    <row r="5438" spans="1:75" x14ac:dyDescent="0.25">
      <c r="L5438" t="s">
        <v>5248</v>
      </c>
      <c r="V5438" t="s">
        <v>5289</v>
      </c>
      <c r="AH5438" t="s">
        <v>5291</v>
      </c>
      <c r="AQ5438" t="s">
        <v>5292</v>
      </c>
      <c r="BB5438">
        <v>2</v>
      </c>
      <c r="BM5438" t="s">
        <v>5247</v>
      </c>
      <c r="BW5438" t="s">
        <v>5247</v>
      </c>
    </row>
    <row r="5439" spans="1:75" x14ac:dyDescent="0.25">
      <c r="L5439" t="s">
        <v>5252</v>
      </c>
      <c r="V5439" t="s">
        <v>5293</v>
      </c>
      <c r="AH5439" t="s">
        <v>5294</v>
      </c>
      <c r="AQ5439" t="s">
        <v>5295</v>
      </c>
      <c r="BB5439">
        <v>2</v>
      </c>
      <c r="BM5439">
        <v>1.85</v>
      </c>
      <c r="BW5439" t="s">
        <v>5247</v>
      </c>
    </row>
    <row r="5440" spans="1:75" x14ac:dyDescent="0.25">
      <c r="L5440" t="s">
        <v>5256</v>
      </c>
      <c r="V5440" t="s">
        <v>5296</v>
      </c>
      <c r="AH5440" t="s">
        <v>5297</v>
      </c>
      <c r="AQ5440" t="s">
        <v>5298</v>
      </c>
      <c r="BB5440">
        <v>2</v>
      </c>
      <c r="BM5440">
        <v>1.88</v>
      </c>
      <c r="BW5440">
        <v>2.0299999999999998</v>
      </c>
    </row>
    <row r="5441" spans="1:75" x14ac:dyDescent="0.25">
      <c r="L5441" t="s">
        <v>5260</v>
      </c>
      <c r="V5441" t="s">
        <v>5296</v>
      </c>
      <c r="AH5441" t="s">
        <v>5292</v>
      </c>
      <c r="AQ5441" t="s">
        <v>5299</v>
      </c>
      <c r="BB5441">
        <v>2</v>
      </c>
      <c r="BM5441">
        <v>1.95</v>
      </c>
      <c r="BW5441">
        <v>2.11</v>
      </c>
    </row>
    <row r="5442" spans="1:75" x14ac:dyDescent="0.25">
      <c r="L5442" t="s">
        <v>5264</v>
      </c>
      <c r="V5442" t="s">
        <v>5296</v>
      </c>
      <c r="AH5442" t="s">
        <v>5300</v>
      </c>
      <c r="AQ5442" t="s">
        <v>5301</v>
      </c>
      <c r="BB5442">
        <v>2</v>
      </c>
      <c r="BM5442">
        <v>2</v>
      </c>
      <c r="BW5442">
        <v>2.17</v>
      </c>
    </row>
    <row r="5443" spans="1:75" x14ac:dyDescent="0.25">
      <c r="L5443" t="s">
        <v>5268</v>
      </c>
      <c r="V5443" t="s">
        <v>5302</v>
      </c>
      <c r="AH5443" t="s">
        <v>5297</v>
      </c>
      <c r="AQ5443" t="s">
        <v>5303</v>
      </c>
      <c r="BB5443">
        <v>2</v>
      </c>
      <c r="BM5443">
        <v>1.99</v>
      </c>
      <c r="BW5443">
        <v>2.15</v>
      </c>
    </row>
    <row r="5444" spans="1:75" x14ac:dyDescent="0.25">
      <c r="L5444" t="s">
        <v>5272</v>
      </c>
      <c r="V5444" t="s">
        <v>5304</v>
      </c>
      <c r="AH5444" t="s">
        <v>5305</v>
      </c>
      <c r="AQ5444" t="s">
        <v>5303</v>
      </c>
      <c r="BB5444">
        <v>2</v>
      </c>
      <c r="BM5444">
        <v>2</v>
      </c>
      <c r="BW5444">
        <v>2.17</v>
      </c>
    </row>
    <row r="5445" spans="1:75" x14ac:dyDescent="0.25">
      <c r="L5445" t="s">
        <v>5276</v>
      </c>
      <c r="V5445" t="s">
        <v>5304</v>
      </c>
      <c r="AH5445" t="s">
        <v>5305</v>
      </c>
      <c r="AQ5445" t="s">
        <v>5303</v>
      </c>
      <c r="BB5445">
        <v>2</v>
      </c>
      <c r="BM5445">
        <v>2.02</v>
      </c>
      <c r="BW5445">
        <v>2.19</v>
      </c>
    </row>
    <row r="5446" spans="1:75" x14ac:dyDescent="0.25">
      <c r="L5446" t="s">
        <v>5280</v>
      </c>
      <c r="V5446" t="s">
        <v>5304</v>
      </c>
      <c r="AH5446" t="s">
        <v>5305</v>
      </c>
      <c r="AQ5446" t="s">
        <v>5303</v>
      </c>
      <c r="BB5446">
        <v>2</v>
      </c>
      <c r="BM5446">
        <v>2.02</v>
      </c>
      <c r="BW5446">
        <v>2.19</v>
      </c>
    </row>
    <row r="5447" spans="1:75" x14ac:dyDescent="0.25">
      <c r="L5447" t="s">
        <v>3756</v>
      </c>
      <c r="V5447" t="s">
        <v>5304</v>
      </c>
      <c r="AH5447" t="s">
        <v>5305</v>
      </c>
      <c r="AQ5447" t="s">
        <v>5306</v>
      </c>
      <c r="BB5447">
        <v>2</v>
      </c>
      <c r="BM5447">
        <v>2.02</v>
      </c>
      <c r="BW5447">
        <v>2.1800000000000002</v>
      </c>
    </row>
    <row r="5449" spans="1:75" x14ac:dyDescent="0.25">
      <c r="A5449" t="s">
        <v>5231</v>
      </c>
      <c r="V5449" t="s">
        <v>5239</v>
      </c>
    </row>
    <row r="5450" spans="1:75" x14ac:dyDescent="0.25">
      <c r="V5450" t="s">
        <v>5240</v>
      </c>
      <c r="AH5450" t="s">
        <v>5241</v>
      </c>
      <c r="AQ5450" t="s">
        <v>3760</v>
      </c>
      <c r="BB5450">
        <v>45</v>
      </c>
      <c r="BM5450">
        <v>50</v>
      </c>
      <c r="BW5450">
        <v>55</v>
      </c>
    </row>
    <row r="5451" spans="1:75" x14ac:dyDescent="0.25">
      <c r="A5451" t="s">
        <v>5242</v>
      </c>
      <c r="L5451" t="s">
        <v>5243</v>
      </c>
      <c r="V5451" t="s">
        <v>5307</v>
      </c>
      <c r="AH5451" t="s">
        <v>5308</v>
      </c>
      <c r="AQ5451" t="s">
        <v>5309</v>
      </c>
      <c r="BM5451" t="s">
        <v>5247</v>
      </c>
      <c r="BW5451" t="s">
        <v>5247</v>
      </c>
    </row>
    <row r="5452" spans="1:75" x14ac:dyDescent="0.25">
      <c r="L5452" t="s">
        <v>5248</v>
      </c>
      <c r="V5452" t="s">
        <v>5310</v>
      </c>
      <c r="AH5452" t="s">
        <v>5311</v>
      </c>
      <c r="AQ5452" t="s">
        <v>5312</v>
      </c>
      <c r="BB5452">
        <v>2</v>
      </c>
      <c r="BM5452" t="s">
        <v>5247</v>
      </c>
      <c r="BW5452" t="s">
        <v>5247</v>
      </c>
    </row>
    <row r="5453" spans="1:75" x14ac:dyDescent="0.25">
      <c r="L5453" t="s">
        <v>5252</v>
      </c>
      <c r="V5453" t="s">
        <v>5313</v>
      </c>
      <c r="AH5453" t="s">
        <v>5314</v>
      </c>
      <c r="AQ5453" t="s">
        <v>5315</v>
      </c>
      <c r="BB5453">
        <v>2</v>
      </c>
      <c r="BM5453">
        <v>2.11</v>
      </c>
      <c r="BW5453" t="s">
        <v>5247</v>
      </c>
    </row>
    <row r="5454" spans="1:75" x14ac:dyDescent="0.25">
      <c r="L5454" t="s">
        <v>5256</v>
      </c>
      <c r="V5454" t="s">
        <v>5316</v>
      </c>
      <c r="AH5454" t="s">
        <v>5244</v>
      </c>
      <c r="AQ5454" t="s">
        <v>5317</v>
      </c>
      <c r="BB5454">
        <v>3</v>
      </c>
      <c r="BM5454">
        <v>2.34</v>
      </c>
      <c r="BW5454">
        <v>2.12</v>
      </c>
    </row>
    <row r="5455" spans="1:75" x14ac:dyDescent="0.25">
      <c r="L5455" t="s">
        <v>5260</v>
      </c>
      <c r="V5455" t="s">
        <v>5318</v>
      </c>
      <c r="AH5455" t="s">
        <v>5319</v>
      </c>
      <c r="AQ5455" t="s">
        <v>5320</v>
      </c>
      <c r="BB5455">
        <v>3</v>
      </c>
      <c r="BM5455">
        <v>2.65</v>
      </c>
      <c r="BW5455">
        <v>2.36</v>
      </c>
    </row>
    <row r="5456" spans="1:75" x14ac:dyDescent="0.25">
      <c r="L5456" t="s">
        <v>5264</v>
      </c>
      <c r="V5456" t="s">
        <v>5321</v>
      </c>
      <c r="AH5456" t="s">
        <v>5322</v>
      </c>
      <c r="AQ5456" t="s">
        <v>5323</v>
      </c>
      <c r="BB5456">
        <v>3</v>
      </c>
      <c r="BM5456">
        <v>2.88</v>
      </c>
      <c r="BW5456">
        <v>2.54</v>
      </c>
    </row>
    <row r="5457" spans="1:75" x14ac:dyDescent="0.25">
      <c r="L5457" t="s">
        <v>5268</v>
      </c>
      <c r="V5457" t="s">
        <v>5324</v>
      </c>
      <c r="AH5457" t="s">
        <v>5325</v>
      </c>
      <c r="AQ5457" t="s">
        <v>5066</v>
      </c>
      <c r="BB5457">
        <v>4</v>
      </c>
      <c r="BM5457">
        <v>3.4</v>
      </c>
      <c r="BW5457">
        <v>3.03</v>
      </c>
    </row>
    <row r="5458" spans="1:75" x14ac:dyDescent="0.25">
      <c r="L5458" t="s">
        <v>5272</v>
      </c>
      <c r="V5458" t="s">
        <v>5326</v>
      </c>
      <c r="AH5458" t="s">
        <v>5327</v>
      </c>
      <c r="AQ5458" t="s">
        <v>5328</v>
      </c>
      <c r="BB5458">
        <v>4</v>
      </c>
      <c r="BM5458">
        <v>3.7</v>
      </c>
      <c r="BW5458">
        <v>3.3</v>
      </c>
    </row>
    <row r="5459" spans="1:75" x14ac:dyDescent="0.25">
      <c r="L5459" t="s">
        <v>5276</v>
      </c>
      <c r="V5459" t="s">
        <v>5329</v>
      </c>
      <c r="AH5459" t="s">
        <v>5330</v>
      </c>
      <c r="AQ5459" t="s">
        <v>5331</v>
      </c>
      <c r="BB5459">
        <v>4</v>
      </c>
      <c r="BM5459">
        <v>3.9</v>
      </c>
      <c r="BW5459">
        <v>3.48</v>
      </c>
    </row>
    <row r="5460" spans="1:75" x14ac:dyDescent="0.25">
      <c r="L5460" t="s">
        <v>5280</v>
      </c>
      <c r="V5460" t="s">
        <v>5332</v>
      </c>
      <c r="AH5460" t="s">
        <v>5333</v>
      </c>
      <c r="AQ5460" t="s">
        <v>5334</v>
      </c>
      <c r="BB5460">
        <v>5</v>
      </c>
      <c r="BM5460">
        <v>3.99</v>
      </c>
      <c r="BW5460">
        <v>3.56</v>
      </c>
    </row>
    <row r="5461" spans="1:75" x14ac:dyDescent="0.25">
      <c r="L5461" t="s">
        <v>3756</v>
      </c>
      <c r="V5461" t="s">
        <v>5335</v>
      </c>
      <c r="AH5461" t="s">
        <v>5336</v>
      </c>
      <c r="AQ5461" t="s">
        <v>1873</v>
      </c>
      <c r="BB5461">
        <v>5</v>
      </c>
      <c r="BM5461">
        <v>4.1500000000000004</v>
      </c>
      <c r="BW5461">
        <v>3.7</v>
      </c>
    </row>
    <row r="5463" spans="1:75" x14ac:dyDescent="0.25">
      <c r="A5463" t="s">
        <v>5337</v>
      </c>
    </row>
    <row r="5464" spans="1:75" x14ac:dyDescent="0.25">
      <c r="A5464" t="s">
        <v>5338</v>
      </c>
    </row>
    <row r="5465" spans="1:75" x14ac:dyDescent="0.25">
      <c r="I5465" t="s">
        <v>5227</v>
      </c>
    </row>
    <row r="5467" spans="1:75" x14ac:dyDescent="0.25">
      <c r="I5467" t="s">
        <v>5339</v>
      </c>
    </row>
    <row r="5469" spans="1:75" x14ac:dyDescent="0.25">
      <c r="I5469" t="s">
        <v>5340</v>
      </c>
      <c r="AK5469" t="s">
        <v>2870</v>
      </c>
      <c r="AX5469" t="s">
        <v>2424</v>
      </c>
      <c r="BO5469">
        <v>4</v>
      </c>
    </row>
    <row r="5470" spans="1:75" x14ac:dyDescent="0.25">
      <c r="AK5470" t="s">
        <v>5230</v>
      </c>
      <c r="AX5470" t="s">
        <v>2424</v>
      </c>
      <c r="BO5470">
        <v>1.1599999999999999</v>
      </c>
    </row>
    <row r="5471" spans="1:75" x14ac:dyDescent="0.25">
      <c r="AK5471" t="s">
        <v>5341</v>
      </c>
      <c r="AX5471" t="s">
        <v>4905</v>
      </c>
      <c r="BO5471">
        <v>3.45</v>
      </c>
    </row>
    <row r="5472" spans="1:75" x14ac:dyDescent="0.25">
      <c r="AK5472" t="s">
        <v>5232</v>
      </c>
      <c r="AX5472" t="s">
        <v>5233</v>
      </c>
      <c r="BO5472">
        <v>11.5</v>
      </c>
    </row>
    <row r="5474" spans="1:90" x14ac:dyDescent="0.25">
      <c r="I5474" t="s">
        <v>5342</v>
      </c>
    </row>
    <row r="5476" spans="1:90" x14ac:dyDescent="0.25">
      <c r="I5476" t="s">
        <v>5343</v>
      </c>
    </row>
    <row r="5477" spans="1:90" x14ac:dyDescent="0.25">
      <c r="I5477" t="s">
        <v>5344</v>
      </c>
    </row>
    <row r="5481" spans="1:90" x14ac:dyDescent="0.25">
      <c r="CL5481" t="s">
        <v>5338</v>
      </c>
    </row>
    <row r="5482" spans="1:90" x14ac:dyDescent="0.25">
      <c r="A5482" t="s">
        <v>5345</v>
      </c>
    </row>
    <row r="5484" spans="1:90" x14ac:dyDescent="0.25">
      <c r="A5484" t="s">
        <v>5238</v>
      </c>
      <c r="Y5484" t="s">
        <v>5239</v>
      </c>
    </row>
    <row r="5485" spans="1:90" x14ac:dyDescent="0.25">
      <c r="Y5485">
        <v>7</v>
      </c>
      <c r="AK5485">
        <v>10</v>
      </c>
      <c r="AX5485" t="s">
        <v>5346</v>
      </c>
      <c r="BJ5485">
        <v>15</v>
      </c>
      <c r="BU5485">
        <v>18</v>
      </c>
    </row>
    <row r="5486" spans="1:90" x14ac:dyDescent="0.25">
      <c r="A5486" t="s">
        <v>5242</v>
      </c>
      <c r="N5486" t="s">
        <v>3756</v>
      </c>
      <c r="Y5486">
        <v>5.47</v>
      </c>
      <c r="AK5486">
        <v>5.86</v>
      </c>
      <c r="AX5486" t="s">
        <v>5347</v>
      </c>
      <c r="BJ5486">
        <v>6.62</v>
      </c>
      <c r="BU5486">
        <v>7.19</v>
      </c>
    </row>
    <row r="5487" spans="1:90" x14ac:dyDescent="0.25">
      <c r="N5487" t="s">
        <v>5348</v>
      </c>
      <c r="Y5487">
        <v>5.13</v>
      </c>
      <c r="AK5487">
        <v>5.56</v>
      </c>
      <c r="AX5487" t="s">
        <v>5349</v>
      </c>
      <c r="BJ5487">
        <v>6.31</v>
      </c>
      <c r="BU5487">
        <v>6.79</v>
      </c>
    </row>
    <row r="5488" spans="1:90" x14ac:dyDescent="0.25">
      <c r="N5488" t="s">
        <v>5240</v>
      </c>
      <c r="Y5488">
        <v>4.9800000000000004</v>
      </c>
      <c r="AK5488">
        <v>5.43</v>
      </c>
      <c r="AX5488" t="s">
        <v>5350</v>
      </c>
      <c r="BJ5488">
        <v>6.17</v>
      </c>
      <c r="BU5488">
        <v>6.62</v>
      </c>
    </row>
    <row r="5489" spans="1:73" x14ac:dyDescent="0.25">
      <c r="N5489" t="s">
        <v>5241</v>
      </c>
      <c r="Y5489">
        <v>4.74</v>
      </c>
      <c r="AK5489">
        <v>5.22</v>
      </c>
      <c r="AX5489" t="s">
        <v>5330</v>
      </c>
      <c r="BJ5489">
        <v>5.95</v>
      </c>
      <c r="BU5489">
        <v>6.34</v>
      </c>
    </row>
    <row r="5490" spans="1:73" x14ac:dyDescent="0.25">
      <c r="N5490" t="s">
        <v>3760</v>
      </c>
      <c r="Y5490">
        <v>4</v>
      </c>
      <c r="AK5490">
        <v>4.58</v>
      </c>
      <c r="AX5490" t="s">
        <v>5351</v>
      </c>
      <c r="BJ5490">
        <v>5.44</v>
      </c>
      <c r="BU5490">
        <v>5.87</v>
      </c>
    </row>
    <row r="5491" spans="1:73" x14ac:dyDescent="0.25">
      <c r="N5491" t="s">
        <v>5352</v>
      </c>
      <c r="Y5491">
        <v>3.56</v>
      </c>
      <c r="AK5491">
        <v>4.2</v>
      </c>
      <c r="AX5491" t="s">
        <v>5353</v>
      </c>
      <c r="BJ5491">
        <v>5.14</v>
      </c>
      <c r="BU5491">
        <v>5.59</v>
      </c>
    </row>
    <row r="5493" spans="1:73" x14ac:dyDescent="0.25">
      <c r="A5493" t="s">
        <v>5287</v>
      </c>
      <c r="Y5493" t="s">
        <v>5239</v>
      </c>
    </row>
    <row r="5494" spans="1:73" x14ac:dyDescent="0.25">
      <c r="Y5494">
        <v>7</v>
      </c>
      <c r="AK5494">
        <v>10</v>
      </c>
      <c r="AX5494" t="s">
        <v>5346</v>
      </c>
      <c r="BJ5494">
        <v>15</v>
      </c>
      <c r="BU5494">
        <v>18</v>
      </c>
    </row>
    <row r="5495" spans="1:73" x14ac:dyDescent="0.25">
      <c r="A5495" t="s">
        <v>5242</v>
      </c>
      <c r="N5495" t="s">
        <v>3756</v>
      </c>
      <c r="Y5495">
        <v>1.03</v>
      </c>
      <c r="AK5495">
        <v>1.1100000000000001</v>
      </c>
      <c r="AX5495" t="s">
        <v>5354</v>
      </c>
      <c r="BJ5495">
        <v>1.1599999999999999</v>
      </c>
      <c r="BU5495">
        <v>1.1299999999999999</v>
      </c>
    </row>
    <row r="5496" spans="1:73" x14ac:dyDescent="0.25">
      <c r="N5496" t="s">
        <v>5348</v>
      </c>
      <c r="Y5496">
        <v>1.2</v>
      </c>
      <c r="AK5496">
        <v>1.25</v>
      </c>
      <c r="AX5496" t="s">
        <v>5355</v>
      </c>
      <c r="BJ5496">
        <v>1.29</v>
      </c>
      <c r="BU5496">
        <v>1.28</v>
      </c>
    </row>
    <row r="5497" spans="1:73" x14ac:dyDescent="0.25">
      <c r="N5497" t="s">
        <v>5240</v>
      </c>
      <c r="Y5497">
        <v>1.27</v>
      </c>
      <c r="AK5497">
        <v>1.31</v>
      </c>
      <c r="AX5497" t="s">
        <v>5356</v>
      </c>
      <c r="BJ5497">
        <v>1.35</v>
      </c>
      <c r="BU5497">
        <v>1.34</v>
      </c>
    </row>
    <row r="5498" spans="1:73" x14ac:dyDescent="0.25">
      <c r="N5498" t="s">
        <v>5241</v>
      </c>
      <c r="Y5498">
        <v>1.39</v>
      </c>
      <c r="AK5498">
        <v>1.41</v>
      </c>
      <c r="AX5498" t="s">
        <v>5357</v>
      </c>
      <c r="BJ5498">
        <v>1.44</v>
      </c>
      <c r="BU5498">
        <v>1.45</v>
      </c>
    </row>
    <row r="5499" spans="1:73" x14ac:dyDescent="0.25">
      <c r="N5499" t="s">
        <v>3760</v>
      </c>
      <c r="Y5499">
        <v>1.51</v>
      </c>
      <c r="AK5499">
        <v>1.54</v>
      </c>
      <c r="AX5499" t="s">
        <v>5358</v>
      </c>
      <c r="BJ5499">
        <v>1.58</v>
      </c>
      <c r="BU5499">
        <v>1.59</v>
      </c>
    </row>
    <row r="5500" spans="1:73" x14ac:dyDescent="0.25">
      <c r="N5500" t="s">
        <v>5352</v>
      </c>
      <c r="Y5500">
        <v>1.58</v>
      </c>
      <c r="AK5500">
        <v>1.62</v>
      </c>
      <c r="AX5500" t="s">
        <v>5299</v>
      </c>
      <c r="BJ5500">
        <v>1.66</v>
      </c>
      <c r="BU5500">
        <v>1.68</v>
      </c>
    </row>
    <row r="5502" spans="1:73" x14ac:dyDescent="0.25">
      <c r="A5502" t="s">
        <v>5231</v>
      </c>
      <c r="Y5502" t="s">
        <v>5239</v>
      </c>
    </row>
    <row r="5503" spans="1:73" x14ac:dyDescent="0.25">
      <c r="Y5503">
        <v>7</v>
      </c>
      <c r="AK5503">
        <v>10</v>
      </c>
      <c r="AX5503" t="s">
        <v>5346</v>
      </c>
      <c r="BJ5503">
        <v>15</v>
      </c>
      <c r="BU5503">
        <v>18</v>
      </c>
    </row>
    <row r="5504" spans="1:73" x14ac:dyDescent="0.25">
      <c r="A5504" t="s">
        <v>5242</v>
      </c>
      <c r="N5504" t="s">
        <v>3756</v>
      </c>
      <c r="Y5504">
        <v>5.31</v>
      </c>
      <c r="AK5504">
        <v>5.3</v>
      </c>
      <c r="AX5504" t="s">
        <v>5359</v>
      </c>
      <c r="BJ5504">
        <v>5.71</v>
      </c>
      <c r="BU5504">
        <v>6.36</v>
      </c>
    </row>
    <row r="5505" spans="1:73" x14ac:dyDescent="0.25">
      <c r="N5505" t="s">
        <v>5348</v>
      </c>
      <c r="Y5505">
        <v>4.28</v>
      </c>
      <c r="AK5505">
        <v>4.45</v>
      </c>
      <c r="AX5505" t="s">
        <v>5360</v>
      </c>
      <c r="BJ5505">
        <v>4.8899999999999997</v>
      </c>
      <c r="BU5505">
        <v>5.31</v>
      </c>
    </row>
    <row r="5506" spans="1:73" x14ac:dyDescent="0.25">
      <c r="N5506" t="s">
        <v>5240</v>
      </c>
      <c r="Y5506">
        <v>3.92</v>
      </c>
      <c r="AK5506">
        <v>4.1500000000000004</v>
      </c>
      <c r="AX5506" t="s">
        <v>5361</v>
      </c>
      <c r="BJ5506">
        <v>4.59</v>
      </c>
      <c r="BU5506">
        <v>4.93</v>
      </c>
    </row>
    <row r="5507" spans="1:73" x14ac:dyDescent="0.25">
      <c r="N5507" t="s">
        <v>5241</v>
      </c>
      <c r="Y5507">
        <v>3.41</v>
      </c>
      <c r="AK5507">
        <v>3.7</v>
      </c>
      <c r="AX5507" t="s">
        <v>5362</v>
      </c>
      <c r="BJ5507">
        <v>4.1399999999999997</v>
      </c>
      <c r="BU5507">
        <v>4.37</v>
      </c>
    </row>
    <row r="5508" spans="1:73" x14ac:dyDescent="0.25">
      <c r="N5508" t="s">
        <v>3760</v>
      </c>
      <c r="Y5508">
        <v>2.65</v>
      </c>
      <c r="AK5508">
        <v>2.98</v>
      </c>
      <c r="AX5508" t="s">
        <v>5363</v>
      </c>
      <c r="BJ5508">
        <v>3.45</v>
      </c>
      <c r="BU5508">
        <v>3.68</v>
      </c>
    </row>
    <row r="5509" spans="1:73" x14ac:dyDescent="0.25">
      <c r="N5509" t="s">
        <v>5352</v>
      </c>
      <c r="Y5509">
        <v>2.25</v>
      </c>
      <c r="AK5509">
        <v>2.6</v>
      </c>
      <c r="AX5509" t="s">
        <v>5364</v>
      </c>
      <c r="BJ5509">
        <v>3.09</v>
      </c>
      <c r="BU5509">
        <v>3.33</v>
      </c>
    </row>
    <row r="5511" spans="1:73" x14ac:dyDescent="0.25">
      <c r="A5511" t="s">
        <v>5365</v>
      </c>
    </row>
    <row r="5512" spans="1:73" x14ac:dyDescent="0.25">
      <c r="A5512" t="s">
        <v>5366</v>
      </c>
    </row>
    <row r="5514" spans="1:73" x14ac:dyDescent="0.25">
      <c r="A5514" t="s">
        <v>5367</v>
      </c>
    </row>
    <row r="5515" spans="1:73" x14ac:dyDescent="0.25">
      <c r="I5515" t="s">
        <v>5368</v>
      </c>
    </row>
    <row r="5517" spans="1:73" x14ac:dyDescent="0.25">
      <c r="I5517" t="s">
        <v>5228</v>
      </c>
    </row>
    <row r="5519" spans="1:73" x14ac:dyDescent="0.25">
      <c r="I5519" t="s">
        <v>5229</v>
      </c>
      <c r="AK5519" t="s">
        <v>2870</v>
      </c>
      <c r="AX5519" t="s">
        <v>2424</v>
      </c>
      <c r="BO5519">
        <v>6</v>
      </c>
    </row>
    <row r="5520" spans="1:73" x14ac:dyDescent="0.25">
      <c r="AK5520" t="s">
        <v>5230</v>
      </c>
      <c r="AX5520" t="s">
        <v>2424</v>
      </c>
      <c r="BO5520">
        <v>1.25</v>
      </c>
    </row>
    <row r="5521" spans="1:90" x14ac:dyDescent="0.25">
      <c r="AK5521" t="s">
        <v>5231</v>
      </c>
      <c r="AX5521" t="s">
        <v>4905</v>
      </c>
      <c r="BO5521">
        <v>4.8</v>
      </c>
    </row>
    <row r="5522" spans="1:90" x14ac:dyDescent="0.25">
      <c r="AK5522" t="s">
        <v>5232</v>
      </c>
      <c r="AX5522" t="s">
        <v>5233</v>
      </c>
      <c r="BO5522">
        <v>17.3</v>
      </c>
    </row>
    <row r="5524" spans="1:90" x14ac:dyDescent="0.25">
      <c r="I5524" t="s">
        <v>5234</v>
      </c>
    </row>
    <row r="5526" spans="1:90" x14ac:dyDescent="0.25">
      <c r="I5526" t="s">
        <v>5369</v>
      </c>
    </row>
    <row r="5527" spans="1:90" x14ac:dyDescent="0.25">
      <c r="I5527" t="s">
        <v>5370</v>
      </c>
    </row>
    <row r="5531" spans="1:90" x14ac:dyDescent="0.25">
      <c r="A5531" t="s">
        <v>5371</v>
      </c>
      <c r="CL5531" t="s">
        <v>5367</v>
      </c>
    </row>
    <row r="5533" spans="1:90" x14ac:dyDescent="0.25">
      <c r="A5533" t="s">
        <v>5238</v>
      </c>
      <c r="V5533" t="s">
        <v>5239</v>
      </c>
    </row>
    <row r="5534" spans="1:90" x14ac:dyDescent="0.25">
      <c r="V5534" t="s">
        <v>5240</v>
      </c>
      <c r="AH5534" t="s">
        <v>5241</v>
      </c>
      <c r="AQ5534" t="s">
        <v>3760</v>
      </c>
      <c r="BB5534">
        <v>45</v>
      </c>
      <c r="BM5534">
        <v>50</v>
      </c>
      <c r="BW5534">
        <v>55</v>
      </c>
    </row>
    <row r="5535" spans="1:90" x14ac:dyDescent="0.25">
      <c r="A5535" t="s">
        <v>5242</v>
      </c>
      <c r="L5535" t="s">
        <v>5243</v>
      </c>
      <c r="V5535" t="s">
        <v>5372</v>
      </c>
      <c r="AH5535" t="s">
        <v>5373</v>
      </c>
      <c r="AQ5535" t="s">
        <v>5374</v>
      </c>
      <c r="BM5535" t="s">
        <v>5247</v>
      </c>
      <c r="BW5535" t="s">
        <v>5247</v>
      </c>
    </row>
    <row r="5536" spans="1:90" x14ac:dyDescent="0.25">
      <c r="L5536" t="s">
        <v>5248</v>
      </c>
      <c r="V5536" t="s">
        <v>5375</v>
      </c>
      <c r="AH5536" t="s">
        <v>5376</v>
      </c>
      <c r="AQ5536" t="s">
        <v>5377</v>
      </c>
      <c r="BB5536">
        <v>4</v>
      </c>
      <c r="BM5536" t="s">
        <v>5247</v>
      </c>
      <c r="BW5536" t="s">
        <v>5247</v>
      </c>
    </row>
    <row r="5537" spans="1:75" x14ac:dyDescent="0.25">
      <c r="L5537" t="s">
        <v>5252</v>
      </c>
      <c r="V5537" t="s">
        <v>5378</v>
      </c>
      <c r="AH5537" t="s">
        <v>5379</v>
      </c>
      <c r="AQ5537" t="s">
        <v>3036</v>
      </c>
      <c r="BB5537">
        <v>5</v>
      </c>
      <c r="BM5537">
        <v>4.92</v>
      </c>
      <c r="BW5537" t="s">
        <v>5247</v>
      </c>
    </row>
    <row r="5538" spans="1:75" x14ac:dyDescent="0.25">
      <c r="L5538" t="s">
        <v>5256</v>
      </c>
      <c r="V5538" t="s">
        <v>5326</v>
      </c>
      <c r="AH5538" t="s">
        <v>5380</v>
      </c>
      <c r="AQ5538" t="s">
        <v>5381</v>
      </c>
      <c r="BB5538">
        <v>6</v>
      </c>
      <c r="BM5538">
        <v>5.61</v>
      </c>
      <c r="BW5538">
        <v>5.42</v>
      </c>
    </row>
    <row r="5539" spans="1:75" x14ac:dyDescent="0.25">
      <c r="L5539" t="s">
        <v>5260</v>
      </c>
      <c r="V5539" t="s">
        <v>5261</v>
      </c>
      <c r="AH5539" t="s">
        <v>5262</v>
      </c>
      <c r="AQ5539" t="s">
        <v>5263</v>
      </c>
      <c r="BB5539">
        <v>5</v>
      </c>
      <c r="BM5539">
        <v>5.56</v>
      </c>
      <c r="BW5539">
        <v>5.8</v>
      </c>
    </row>
    <row r="5540" spans="1:75" x14ac:dyDescent="0.25">
      <c r="L5540" t="s">
        <v>5264</v>
      </c>
      <c r="V5540" t="s">
        <v>5265</v>
      </c>
      <c r="AH5540" t="s">
        <v>5266</v>
      </c>
      <c r="AQ5540" t="s">
        <v>5267</v>
      </c>
      <c r="BB5540">
        <v>6</v>
      </c>
      <c r="BM5540">
        <v>6.05</v>
      </c>
      <c r="BW5540">
        <v>6.1</v>
      </c>
    </row>
    <row r="5541" spans="1:75" x14ac:dyDescent="0.25">
      <c r="L5541" t="s">
        <v>5268</v>
      </c>
      <c r="V5541" t="s">
        <v>5269</v>
      </c>
      <c r="AH5541" t="s">
        <v>5270</v>
      </c>
      <c r="AQ5541" t="s">
        <v>5271</v>
      </c>
      <c r="BB5541">
        <v>7</v>
      </c>
      <c r="BM5541">
        <v>7.25</v>
      </c>
      <c r="BW5541">
        <v>7.53</v>
      </c>
    </row>
    <row r="5542" spans="1:75" x14ac:dyDescent="0.25">
      <c r="L5542" t="s">
        <v>5272</v>
      </c>
      <c r="V5542" t="s">
        <v>5273</v>
      </c>
      <c r="AH5542" t="s">
        <v>5274</v>
      </c>
      <c r="AQ5542" t="s">
        <v>5275</v>
      </c>
      <c r="BB5542">
        <v>8</v>
      </c>
      <c r="BM5542">
        <v>7.82</v>
      </c>
      <c r="BW5542">
        <v>8</v>
      </c>
    </row>
    <row r="5543" spans="1:75" x14ac:dyDescent="0.25">
      <c r="L5543" t="s">
        <v>5276</v>
      </c>
      <c r="V5543" t="s">
        <v>5277</v>
      </c>
      <c r="AH5543" t="s">
        <v>5278</v>
      </c>
      <c r="AQ5543" t="s">
        <v>5279</v>
      </c>
      <c r="BB5543">
        <v>8</v>
      </c>
      <c r="BM5543">
        <v>8.1999999999999993</v>
      </c>
      <c r="BW5543">
        <v>8.31</v>
      </c>
    </row>
    <row r="5544" spans="1:75" x14ac:dyDescent="0.25">
      <c r="L5544" t="s">
        <v>5280</v>
      </c>
      <c r="V5544" t="s">
        <v>5281</v>
      </c>
      <c r="AH5544" t="s">
        <v>5282</v>
      </c>
      <c r="AQ5544" t="s">
        <v>5283</v>
      </c>
      <c r="BB5544">
        <v>8</v>
      </c>
      <c r="BM5544">
        <v>8.26</v>
      </c>
      <c r="BW5544">
        <v>8.2200000000000006</v>
      </c>
    </row>
    <row r="5545" spans="1:75" x14ac:dyDescent="0.25">
      <c r="L5545" t="s">
        <v>3756</v>
      </c>
      <c r="V5545" t="s">
        <v>5284</v>
      </c>
      <c r="AH5545" t="s">
        <v>5285</v>
      </c>
      <c r="AQ5545" t="s">
        <v>5286</v>
      </c>
      <c r="BB5545">
        <v>9</v>
      </c>
      <c r="BM5545">
        <v>8.3699999999999992</v>
      </c>
      <c r="BW5545">
        <v>8.06</v>
      </c>
    </row>
    <row r="5547" spans="1:75" x14ac:dyDescent="0.25">
      <c r="A5547" t="s">
        <v>5287</v>
      </c>
      <c r="V5547" t="s">
        <v>5239</v>
      </c>
    </row>
    <row r="5548" spans="1:75" x14ac:dyDescent="0.25">
      <c r="V5548" t="s">
        <v>5240</v>
      </c>
      <c r="AH5548" t="s">
        <v>5241</v>
      </c>
      <c r="AQ5548" t="s">
        <v>3760</v>
      </c>
      <c r="BB5548">
        <v>45</v>
      </c>
      <c r="BM5548">
        <v>50</v>
      </c>
      <c r="BW5548">
        <v>55</v>
      </c>
    </row>
    <row r="5549" spans="1:75" x14ac:dyDescent="0.25">
      <c r="A5549" t="s">
        <v>5242</v>
      </c>
      <c r="L5549" t="s">
        <v>5243</v>
      </c>
      <c r="V5549" t="s">
        <v>5382</v>
      </c>
      <c r="AH5549" t="s">
        <v>5383</v>
      </c>
      <c r="AQ5549" t="s">
        <v>5384</v>
      </c>
      <c r="BM5549" t="s">
        <v>5247</v>
      </c>
      <c r="BW5549" t="s">
        <v>5247</v>
      </c>
    </row>
    <row r="5550" spans="1:75" x14ac:dyDescent="0.25">
      <c r="L5550" t="s">
        <v>5248</v>
      </c>
      <c r="V5550" t="s">
        <v>5385</v>
      </c>
      <c r="AH5550" t="s">
        <v>5386</v>
      </c>
      <c r="AQ5550" t="s">
        <v>5387</v>
      </c>
      <c r="BB5550">
        <v>2</v>
      </c>
      <c r="BM5550" t="s">
        <v>5247</v>
      </c>
      <c r="BW5550" t="s">
        <v>5247</v>
      </c>
    </row>
    <row r="5551" spans="1:75" x14ac:dyDescent="0.25">
      <c r="L5551" t="s">
        <v>5252</v>
      </c>
      <c r="V5551" t="s">
        <v>5388</v>
      </c>
      <c r="AH5551" t="s">
        <v>5389</v>
      </c>
      <c r="AQ5551" t="s">
        <v>5390</v>
      </c>
      <c r="BB5551">
        <v>2</v>
      </c>
      <c r="BM5551">
        <v>2.2599999999999998</v>
      </c>
      <c r="BW5551" t="s">
        <v>5247</v>
      </c>
    </row>
    <row r="5552" spans="1:75" x14ac:dyDescent="0.25">
      <c r="L5552" t="s">
        <v>5256</v>
      </c>
      <c r="V5552" t="s">
        <v>5386</v>
      </c>
      <c r="AH5552" t="s">
        <v>5391</v>
      </c>
      <c r="AQ5552" t="s">
        <v>5309</v>
      </c>
      <c r="BB5552">
        <v>2</v>
      </c>
      <c r="BM5552">
        <v>2.46</v>
      </c>
      <c r="BW5552">
        <v>2.66</v>
      </c>
    </row>
    <row r="5553" spans="1:75" x14ac:dyDescent="0.25">
      <c r="L5553" t="s">
        <v>5260</v>
      </c>
      <c r="V5553" t="s">
        <v>5296</v>
      </c>
      <c r="AH5553" t="s">
        <v>5292</v>
      </c>
      <c r="AQ5553" t="s">
        <v>5299</v>
      </c>
      <c r="BB5553">
        <v>2</v>
      </c>
      <c r="BM5553">
        <v>2.1800000000000002</v>
      </c>
      <c r="BW5553">
        <v>2.58</v>
      </c>
    </row>
    <row r="5554" spans="1:75" x14ac:dyDescent="0.25">
      <c r="L5554" t="s">
        <v>5264</v>
      </c>
      <c r="V5554" t="s">
        <v>5296</v>
      </c>
      <c r="AH5554" t="s">
        <v>5300</v>
      </c>
      <c r="AQ5554" t="s">
        <v>5301</v>
      </c>
      <c r="BB5554">
        <v>2</v>
      </c>
      <c r="BM5554">
        <v>2.1800000000000002</v>
      </c>
      <c r="BW5554">
        <v>2.52</v>
      </c>
    </row>
    <row r="5555" spans="1:75" x14ac:dyDescent="0.25">
      <c r="L5555" t="s">
        <v>5268</v>
      </c>
      <c r="V5555" t="s">
        <v>5302</v>
      </c>
      <c r="AH5555" t="s">
        <v>5297</v>
      </c>
      <c r="AQ5555" t="s">
        <v>5303</v>
      </c>
      <c r="BB5555">
        <v>2</v>
      </c>
      <c r="BM5555">
        <v>2.2200000000000002</v>
      </c>
      <c r="BW5555">
        <v>2.61</v>
      </c>
    </row>
    <row r="5556" spans="1:75" x14ac:dyDescent="0.25">
      <c r="L5556" t="s">
        <v>5272</v>
      </c>
      <c r="V5556" t="s">
        <v>5304</v>
      </c>
      <c r="AH5556" t="s">
        <v>5305</v>
      </c>
      <c r="AQ5556" t="s">
        <v>5303</v>
      </c>
      <c r="BB5556">
        <v>2</v>
      </c>
      <c r="BM5556">
        <v>2.2200000000000002</v>
      </c>
      <c r="BW5556">
        <v>2.6</v>
      </c>
    </row>
    <row r="5557" spans="1:75" x14ac:dyDescent="0.25">
      <c r="L5557" t="s">
        <v>5276</v>
      </c>
      <c r="V5557" t="s">
        <v>5304</v>
      </c>
      <c r="AH5557" t="s">
        <v>5305</v>
      </c>
      <c r="AQ5557" t="s">
        <v>5303</v>
      </c>
      <c r="BB5557">
        <v>2</v>
      </c>
      <c r="BM5557">
        <v>2.2200000000000002</v>
      </c>
      <c r="BW5557">
        <v>2.59</v>
      </c>
    </row>
    <row r="5558" spans="1:75" x14ac:dyDescent="0.25">
      <c r="L5558" t="s">
        <v>5280</v>
      </c>
      <c r="V5558" t="s">
        <v>5304</v>
      </c>
      <c r="AH5558" t="s">
        <v>5305</v>
      </c>
      <c r="AQ5558" t="s">
        <v>5303</v>
      </c>
      <c r="BB5558">
        <v>2</v>
      </c>
      <c r="BM5558">
        <v>2.14</v>
      </c>
      <c r="BW5558">
        <v>2.44</v>
      </c>
    </row>
    <row r="5559" spans="1:75" x14ac:dyDescent="0.25">
      <c r="L5559" t="s">
        <v>3756</v>
      </c>
      <c r="V5559" t="s">
        <v>5304</v>
      </c>
      <c r="AH5559" t="s">
        <v>5305</v>
      </c>
      <c r="AQ5559" t="s">
        <v>5306</v>
      </c>
      <c r="BB5559">
        <v>2</v>
      </c>
      <c r="BM5559">
        <v>2.02</v>
      </c>
      <c r="BW5559">
        <v>2.1800000000000002</v>
      </c>
    </row>
    <row r="5561" spans="1:75" x14ac:dyDescent="0.25">
      <c r="A5561" t="s">
        <v>5231</v>
      </c>
      <c r="V5561" t="s">
        <v>5239</v>
      </c>
    </row>
    <row r="5562" spans="1:75" x14ac:dyDescent="0.25">
      <c r="V5562" t="s">
        <v>5240</v>
      </c>
      <c r="AH5562" t="s">
        <v>5241</v>
      </c>
      <c r="AQ5562" t="s">
        <v>3760</v>
      </c>
      <c r="BB5562">
        <v>45</v>
      </c>
      <c r="BM5562">
        <v>50</v>
      </c>
      <c r="BW5562">
        <v>55</v>
      </c>
    </row>
    <row r="5563" spans="1:75" x14ac:dyDescent="0.25">
      <c r="A5563" t="s">
        <v>5242</v>
      </c>
      <c r="L5563" t="s">
        <v>5243</v>
      </c>
      <c r="V5563" t="s">
        <v>5392</v>
      </c>
      <c r="AH5563" t="s">
        <v>5393</v>
      </c>
      <c r="AQ5563" t="s">
        <v>5394</v>
      </c>
      <c r="BM5563" t="s">
        <v>5247</v>
      </c>
      <c r="BW5563" t="s">
        <v>5247</v>
      </c>
    </row>
    <row r="5564" spans="1:75" x14ac:dyDescent="0.25">
      <c r="L5564" t="s">
        <v>5248</v>
      </c>
      <c r="V5564" t="s">
        <v>5395</v>
      </c>
      <c r="AH5564" t="s">
        <v>5311</v>
      </c>
      <c r="AQ5564" t="s">
        <v>5396</v>
      </c>
      <c r="BB5564">
        <v>2</v>
      </c>
      <c r="BM5564" t="s">
        <v>5247</v>
      </c>
      <c r="BW5564" t="s">
        <v>5247</v>
      </c>
    </row>
    <row r="5565" spans="1:75" x14ac:dyDescent="0.25">
      <c r="L5565" t="s">
        <v>5252</v>
      </c>
      <c r="V5565" t="s">
        <v>5397</v>
      </c>
      <c r="AH5565" t="s">
        <v>5398</v>
      </c>
      <c r="AQ5565" t="s">
        <v>5399</v>
      </c>
      <c r="BB5565">
        <v>2</v>
      </c>
      <c r="BM5565">
        <v>2.1800000000000002</v>
      </c>
      <c r="BW5565" t="s">
        <v>5247</v>
      </c>
    </row>
    <row r="5566" spans="1:75" x14ac:dyDescent="0.25">
      <c r="L5566" t="s">
        <v>5256</v>
      </c>
      <c r="V5566" t="s">
        <v>5400</v>
      </c>
      <c r="AH5566" t="s">
        <v>5401</v>
      </c>
      <c r="AQ5566" t="s">
        <v>5402</v>
      </c>
      <c r="BB5566">
        <v>3</v>
      </c>
      <c r="BM5566">
        <v>2.29</v>
      </c>
      <c r="BW5566">
        <v>2.04</v>
      </c>
    </row>
    <row r="5567" spans="1:75" x14ac:dyDescent="0.25">
      <c r="L5567" t="s">
        <v>5260</v>
      </c>
      <c r="V5567" t="s">
        <v>5318</v>
      </c>
      <c r="AH5567" t="s">
        <v>5319</v>
      </c>
      <c r="AQ5567" t="s">
        <v>5320</v>
      </c>
      <c r="BB5567">
        <v>3</v>
      </c>
      <c r="BM5567">
        <v>2.5499999999999998</v>
      </c>
      <c r="BW5567">
        <v>2.25</v>
      </c>
    </row>
    <row r="5568" spans="1:75" x14ac:dyDescent="0.25">
      <c r="L5568" t="s">
        <v>5264</v>
      </c>
      <c r="V5568" t="s">
        <v>5321</v>
      </c>
      <c r="AH5568" t="s">
        <v>5322</v>
      </c>
      <c r="AQ5568" t="s">
        <v>5323</v>
      </c>
      <c r="BB5568">
        <v>3</v>
      </c>
      <c r="BM5568">
        <v>2.78</v>
      </c>
      <c r="BW5568">
        <v>2.42</v>
      </c>
    </row>
    <row r="5569" spans="1:75" x14ac:dyDescent="0.25">
      <c r="L5569" t="s">
        <v>5268</v>
      </c>
      <c r="V5569" t="s">
        <v>5324</v>
      </c>
      <c r="AH5569" t="s">
        <v>5325</v>
      </c>
      <c r="AQ5569" t="s">
        <v>5066</v>
      </c>
      <c r="BB5569">
        <v>4</v>
      </c>
      <c r="BM5569">
        <v>3.27</v>
      </c>
      <c r="BW5569">
        <v>2.89</v>
      </c>
    </row>
    <row r="5570" spans="1:75" x14ac:dyDescent="0.25">
      <c r="L5570" t="s">
        <v>5272</v>
      </c>
      <c r="V5570" t="s">
        <v>5326</v>
      </c>
      <c r="AH5570" t="s">
        <v>5327</v>
      </c>
      <c r="AQ5570" t="s">
        <v>5328</v>
      </c>
      <c r="BB5570">
        <v>4</v>
      </c>
      <c r="BM5570">
        <v>3.53</v>
      </c>
      <c r="BW5570">
        <v>3.08</v>
      </c>
    </row>
    <row r="5571" spans="1:75" x14ac:dyDescent="0.25">
      <c r="L5571" t="s">
        <v>5276</v>
      </c>
      <c r="V5571" t="s">
        <v>5329</v>
      </c>
      <c r="AH5571" t="s">
        <v>5330</v>
      </c>
      <c r="AQ5571" t="s">
        <v>5331</v>
      </c>
      <c r="BB5571">
        <v>4</v>
      </c>
      <c r="BM5571">
        <v>3.7</v>
      </c>
      <c r="BW5571">
        <v>3.21</v>
      </c>
    </row>
    <row r="5572" spans="1:75" x14ac:dyDescent="0.25">
      <c r="L5572" t="s">
        <v>5280</v>
      </c>
      <c r="V5572" t="s">
        <v>5332</v>
      </c>
      <c r="AH5572" t="s">
        <v>5333</v>
      </c>
      <c r="AQ5572" t="s">
        <v>5334</v>
      </c>
      <c r="BB5572">
        <v>5</v>
      </c>
      <c r="BM5572">
        <v>3.86</v>
      </c>
      <c r="BW5572">
        <v>3.37</v>
      </c>
    </row>
    <row r="5573" spans="1:75" x14ac:dyDescent="0.25">
      <c r="L5573" t="s">
        <v>3756</v>
      </c>
      <c r="V5573" t="s">
        <v>5335</v>
      </c>
      <c r="AH5573" t="s">
        <v>5336</v>
      </c>
      <c r="AQ5573" t="s">
        <v>1873</v>
      </c>
      <c r="BB5573">
        <v>5</v>
      </c>
      <c r="BM5573">
        <v>4.1500000000000004</v>
      </c>
      <c r="BW5573">
        <v>3.7</v>
      </c>
    </row>
    <row r="5575" spans="1:75" x14ac:dyDescent="0.25">
      <c r="A5575" t="s">
        <v>5403</v>
      </c>
    </row>
    <row r="5576" spans="1:75" x14ac:dyDescent="0.25">
      <c r="A5576" t="s">
        <v>5404</v>
      </c>
    </row>
    <row r="5577" spans="1:75" x14ac:dyDescent="0.25">
      <c r="I5577" t="s">
        <v>5368</v>
      </c>
    </row>
    <row r="5579" spans="1:75" x14ac:dyDescent="0.25">
      <c r="I5579" t="s">
        <v>5339</v>
      </c>
    </row>
    <row r="5581" spans="1:75" x14ac:dyDescent="0.25">
      <c r="I5581" t="s">
        <v>5340</v>
      </c>
      <c r="AK5581" t="s">
        <v>2870</v>
      </c>
      <c r="AX5581" t="s">
        <v>2424</v>
      </c>
      <c r="BO5581">
        <v>5</v>
      </c>
    </row>
    <row r="5582" spans="1:75" x14ac:dyDescent="0.25">
      <c r="AK5582" t="s">
        <v>5230</v>
      </c>
      <c r="AX5582" t="s">
        <v>2424</v>
      </c>
      <c r="BO5582">
        <v>1.52</v>
      </c>
    </row>
    <row r="5583" spans="1:75" x14ac:dyDescent="0.25">
      <c r="AK5583" t="s">
        <v>5341</v>
      </c>
      <c r="AX5583" t="s">
        <v>4905</v>
      </c>
      <c r="BO5583">
        <v>3.3</v>
      </c>
    </row>
    <row r="5584" spans="1:75" x14ac:dyDescent="0.25">
      <c r="AK5584" t="s">
        <v>5232</v>
      </c>
      <c r="AX5584" t="s">
        <v>5233</v>
      </c>
      <c r="BO5584">
        <v>14.3</v>
      </c>
    </row>
    <row r="5586" spans="1:90" x14ac:dyDescent="0.25">
      <c r="I5586" t="s">
        <v>5342</v>
      </c>
    </row>
    <row r="5588" spans="1:90" x14ac:dyDescent="0.25">
      <c r="I5588" t="s">
        <v>5343</v>
      </c>
    </row>
    <row r="5589" spans="1:90" x14ac:dyDescent="0.25">
      <c r="I5589" t="s">
        <v>5405</v>
      </c>
    </row>
    <row r="5593" spans="1:90" x14ac:dyDescent="0.25">
      <c r="CL5593" t="s">
        <v>5404</v>
      </c>
    </row>
    <row r="5594" spans="1:90" x14ac:dyDescent="0.25">
      <c r="A5594" t="s">
        <v>5406</v>
      </c>
    </row>
    <row r="5596" spans="1:90" x14ac:dyDescent="0.25">
      <c r="A5596" t="s">
        <v>5238</v>
      </c>
      <c r="Y5596" t="s">
        <v>5239</v>
      </c>
    </row>
    <row r="5597" spans="1:90" x14ac:dyDescent="0.25">
      <c r="Y5597">
        <v>7</v>
      </c>
      <c r="AK5597">
        <v>10</v>
      </c>
      <c r="AX5597" t="s">
        <v>5346</v>
      </c>
      <c r="BJ5597">
        <v>15</v>
      </c>
      <c r="BU5597">
        <v>18</v>
      </c>
    </row>
    <row r="5598" spans="1:90" x14ac:dyDescent="0.25">
      <c r="A5598" t="s">
        <v>5242</v>
      </c>
      <c r="N5598" t="s">
        <v>3756</v>
      </c>
      <c r="Y5598">
        <v>5.72</v>
      </c>
      <c r="AK5598">
        <v>6.18</v>
      </c>
      <c r="AX5598" t="s">
        <v>5407</v>
      </c>
      <c r="BJ5598">
        <v>6.98</v>
      </c>
      <c r="BU5598">
        <v>7.51</v>
      </c>
    </row>
    <row r="5599" spans="1:90" x14ac:dyDescent="0.25">
      <c r="N5599" t="s">
        <v>5348</v>
      </c>
      <c r="Y5599">
        <v>5.54</v>
      </c>
      <c r="AK5599">
        <v>6.06</v>
      </c>
      <c r="AX5599" t="s">
        <v>5408</v>
      </c>
      <c r="BJ5599">
        <v>6.88</v>
      </c>
      <c r="BU5599">
        <v>7.33</v>
      </c>
    </row>
    <row r="5600" spans="1:90" x14ac:dyDescent="0.25">
      <c r="N5600" t="s">
        <v>5240</v>
      </c>
      <c r="Y5600">
        <v>5.46</v>
      </c>
      <c r="AK5600">
        <v>6.01</v>
      </c>
      <c r="AX5600" t="s">
        <v>5409</v>
      </c>
      <c r="BJ5600">
        <v>6.83</v>
      </c>
      <c r="BU5600">
        <v>7.25</v>
      </c>
    </row>
    <row r="5601" spans="1:73" x14ac:dyDescent="0.25">
      <c r="N5601" t="s">
        <v>5241</v>
      </c>
      <c r="Y5601">
        <v>5.33</v>
      </c>
      <c r="AK5601">
        <v>5.92</v>
      </c>
      <c r="AX5601" t="s">
        <v>5329</v>
      </c>
      <c r="BJ5601">
        <v>6.75</v>
      </c>
      <c r="BU5601">
        <v>7.12</v>
      </c>
    </row>
    <row r="5602" spans="1:73" x14ac:dyDescent="0.25">
      <c r="N5602" t="s">
        <v>3760</v>
      </c>
      <c r="Y5602">
        <v>4.8099999999999996</v>
      </c>
      <c r="AK5602">
        <v>5.42</v>
      </c>
      <c r="AX5602" t="s">
        <v>5410</v>
      </c>
      <c r="BJ5602">
        <v>6.26</v>
      </c>
      <c r="BU5602">
        <v>6.6</v>
      </c>
    </row>
    <row r="5603" spans="1:73" x14ac:dyDescent="0.25">
      <c r="N5603" t="s">
        <v>5352</v>
      </c>
      <c r="Y5603">
        <v>4.49</v>
      </c>
      <c r="AK5603">
        <v>5.12</v>
      </c>
      <c r="AX5603" t="s">
        <v>5411</v>
      </c>
      <c r="BJ5603">
        <v>5.97</v>
      </c>
      <c r="BU5603">
        <v>6.29</v>
      </c>
    </row>
    <row r="5605" spans="1:73" x14ac:dyDescent="0.25">
      <c r="A5605" t="s">
        <v>5287</v>
      </c>
      <c r="Y5605" t="s">
        <v>5239</v>
      </c>
    </row>
    <row r="5606" spans="1:73" x14ac:dyDescent="0.25">
      <c r="Y5606">
        <v>7</v>
      </c>
      <c r="AK5606">
        <v>10</v>
      </c>
      <c r="AX5606" t="s">
        <v>5346</v>
      </c>
      <c r="BJ5606">
        <v>15</v>
      </c>
      <c r="BU5606">
        <v>18</v>
      </c>
    </row>
    <row r="5607" spans="1:73" x14ac:dyDescent="0.25">
      <c r="A5607" t="s">
        <v>5242</v>
      </c>
      <c r="N5607" t="s">
        <v>3756</v>
      </c>
      <c r="Y5607">
        <v>1.1200000000000001</v>
      </c>
      <c r="AK5607">
        <v>1.17</v>
      </c>
      <c r="AX5607" t="s">
        <v>5412</v>
      </c>
      <c r="BJ5607">
        <v>1.22</v>
      </c>
      <c r="BU5607">
        <v>1.23</v>
      </c>
    </row>
    <row r="5608" spans="1:73" x14ac:dyDescent="0.25">
      <c r="N5608" t="s">
        <v>5348</v>
      </c>
      <c r="Y5608">
        <v>1.4</v>
      </c>
      <c r="AK5608">
        <v>1.44</v>
      </c>
      <c r="AX5608" t="s">
        <v>5305</v>
      </c>
      <c r="BJ5608">
        <v>1.49</v>
      </c>
      <c r="BU5608">
        <v>1.51</v>
      </c>
    </row>
    <row r="5609" spans="1:73" x14ac:dyDescent="0.25">
      <c r="N5609" t="s">
        <v>5240</v>
      </c>
      <c r="Y5609">
        <v>1.52</v>
      </c>
      <c r="AK5609">
        <v>1.56</v>
      </c>
      <c r="AX5609" t="s">
        <v>5413</v>
      </c>
      <c r="BJ5609">
        <v>1.6</v>
      </c>
      <c r="BU5609">
        <v>1.62</v>
      </c>
    </row>
    <row r="5610" spans="1:73" x14ac:dyDescent="0.25">
      <c r="N5610" t="s">
        <v>5241</v>
      </c>
      <c r="Y5610">
        <v>1.72</v>
      </c>
      <c r="AK5610">
        <v>1.75</v>
      </c>
      <c r="AX5610" t="s">
        <v>5414</v>
      </c>
      <c r="BJ5610">
        <v>1.8</v>
      </c>
      <c r="BU5610">
        <v>1.82</v>
      </c>
    </row>
    <row r="5611" spans="1:73" x14ac:dyDescent="0.25">
      <c r="N5611" t="s">
        <v>3760</v>
      </c>
      <c r="Y5611">
        <v>1.86</v>
      </c>
      <c r="AK5611">
        <v>1.9</v>
      </c>
      <c r="AX5611" t="s">
        <v>5415</v>
      </c>
      <c r="BJ5611">
        <v>1.95</v>
      </c>
      <c r="BU5611">
        <v>1.97</v>
      </c>
    </row>
    <row r="5612" spans="1:73" x14ac:dyDescent="0.25">
      <c r="N5612" t="s">
        <v>5352</v>
      </c>
      <c r="Y5612">
        <v>1.94</v>
      </c>
      <c r="AK5612">
        <v>1.99</v>
      </c>
      <c r="AX5612" t="s">
        <v>5416</v>
      </c>
      <c r="BJ5612">
        <v>2.04</v>
      </c>
      <c r="BU5612">
        <v>2.06</v>
      </c>
    </row>
    <row r="5614" spans="1:73" x14ac:dyDescent="0.25">
      <c r="A5614" t="s">
        <v>5231</v>
      </c>
      <c r="Y5614" t="s">
        <v>5239</v>
      </c>
    </row>
    <row r="5615" spans="1:73" x14ac:dyDescent="0.25">
      <c r="Y5615">
        <v>7</v>
      </c>
      <c r="AK5615">
        <v>10</v>
      </c>
      <c r="AX5615" t="s">
        <v>5346</v>
      </c>
      <c r="BJ5615">
        <v>15</v>
      </c>
      <c r="BU5615">
        <v>18</v>
      </c>
    </row>
    <row r="5616" spans="1:73" x14ac:dyDescent="0.25">
      <c r="A5616" t="s">
        <v>5242</v>
      </c>
      <c r="N5616" t="s">
        <v>3756</v>
      </c>
      <c r="Y5616">
        <v>5.1100000000000003</v>
      </c>
      <c r="AK5616">
        <v>5.3</v>
      </c>
      <c r="AX5616" t="s">
        <v>5417</v>
      </c>
      <c r="BJ5616">
        <v>5.73</v>
      </c>
      <c r="BU5616">
        <v>6.11</v>
      </c>
    </row>
    <row r="5617" spans="1:73" x14ac:dyDescent="0.25">
      <c r="N5617" t="s">
        <v>5348</v>
      </c>
      <c r="Y5617">
        <v>3.96</v>
      </c>
      <c r="AK5617">
        <v>4.21</v>
      </c>
      <c r="AX5617" t="s">
        <v>3034</v>
      </c>
      <c r="BJ5617">
        <v>4.62</v>
      </c>
      <c r="BU5617">
        <v>4.87</v>
      </c>
    </row>
    <row r="5618" spans="1:73" x14ac:dyDescent="0.25">
      <c r="N5618" t="s">
        <v>5240</v>
      </c>
      <c r="Y5618">
        <v>3.59</v>
      </c>
      <c r="AK5618">
        <v>3.86</v>
      </c>
      <c r="AX5618" t="s">
        <v>5418</v>
      </c>
      <c r="BJ5618">
        <v>4.26</v>
      </c>
      <c r="BU5618">
        <v>4.47</v>
      </c>
    </row>
    <row r="5619" spans="1:73" x14ac:dyDescent="0.25">
      <c r="N5619" t="s">
        <v>5241</v>
      </c>
      <c r="Y5619">
        <v>3.1</v>
      </c>
      <c r="AK5619">
        <v>3.38</v>
      </c>
      <c r="AX5619" t="s">
        <v>5419</v>
      </c>
      <c r="BJ5619">
        <v>3.76</v>
      </c>
      <c r="BU5619">
        <v>3.91</v>
      </c>
    </row>
    <row r="5620" spans="1:73" x14ac:dyDescent="0.25">
      <c r="N5620" t="s">
        <v>3760</v>
      </c>
      <c r="Y5620">
        <v>2.59</v>
      </c>
      <c r="AK5620">
        <v>2.86</v>
      </c>
      <c r="AX5620" t="s">
        <v>5401</v>
      </c>
      <c r="BJ5620">
        <v>3.21</v>
      </c>
      <c r="BU5620">
        <v>3.35</v>
      </c>
    </row>
    <row r="5621" spans="1:73" x14ac:dyDescent="0.25">
      <c r="N5621" t="s">
        <v>5352</v>
      </c>
      <c r="Y5621">
        <v>2.31</v>
      </c>
      <c r="AK5621">
        <v>2.58</v>
      </c>
      <c r="AX5621" t="s">
        <v>5402</v>
      </c>
      <c r="BJ5621">
        <v>2.92</v>
      </c>
      <c r="BU5621">
        <v>3.05</v>
      </c>
    </row>
    <row r="5623" spans="1:73" x14ac:dyDescent="0.25">
      <c r="A5623" t="s">
        <v>5420</v>
      </c>
    </row>
    <row r="5624" spans="1:73" x14ac:dyDescent="0.25">
      <c r="A5624" t="s">
        <v>5421</v>
      </c>
    </row>
    <row r="5626" spans="1:73" x14ac:dyDescent="0.25">
      <c r="A5626" t="s">
        <v>5422</v>
      </c>
    </row>
    <row r="5627" spans="1:73" x14ac:dyDescent="0.25">
      <c r="I5627" t="s">
        <v>5423</v>
      </c>
    </row>
    <row r="5629" spans="1:73" x14ac:dyDescent="0.25">
      <c r="I5629" t="s">
        <v>5228</v>
      </c>
    </row>
    <row r="5631" spans="1:73" x14ac:dyDescent="0.25">
      <c r="I5631" t="s">
        <v>5229</v>
      </c>
      <c r="AK5631" t="s">
        <v>2870</v>
      </c>
      <c r="AX5631" t="s">
        <v>2424</v>
      </c>
      <c r="BO5631">
        <v>8</v>
      </c>
    </row>
    <row r="5632" spans="1:73" x14ac:dyDescent="0.25">
      <c r="AK5632" t="s">
        <v>5230</v>
      </c>
      <c r="AX5632" t="s">
        <v>2424</v>
      </c>
      <c r="BO5632">
        <v>1.54</v>
      </c>
    </row>
    <row r="5633" spans="1:90" x14ac:dyDescent="0.25">
      <c r="AK5633" t="s">
        <v>5231</v>
      </c>
      <c r="AX5633" t="s">
        <v>4905</v>
      </c>
      <c r="BO5633">
        <v>5.19</v>
      </c>
    </row>
    <row r="5634" spans="1:90" x14ac:dyDescent="0.25">
      <c r="AK5634" t="s">
        <v>5232</v>
      </c>
      <c r="AX5634" t="s">
        <v>5233</v>
      </c>
      <c r="BO5634">
        <v>23.1</v>
      </c>
    </row>
    <row r="5636" spans="1:90" x14ac:dyDescent="0.25">
      <c r="I5636" t="s">
        <v>5234</v>
      </c>
    </row>
    <row r="5638" spans="1:90" x14ac:dyDescent="0.25">
      <c r="I5638" t="s">
        <v>5369</v>
      </c>
    </row>
    <row r="5639" spans="1:90" x14ac:dyDescent="0.25">
      <c r="I5639" t="s">
        <v>5424</v>
      </c>
    </row>
    <row r="5643" spans="1:90" x14ac:dyDescent="0.25">
      <c r="A5643" t="s">
        <v>5425</v>
      </c>
      <c r="CL5643" t="s">
        <v>5422</v>
      </c>
    </row>
    <row r="5645" spans="1:90" x14ac:dyDescent="0.25">
      <c r="A5645" t="s">
        <v>5238</v>
      </c>
      <c r="V5645" t="s">
        <v>5239</v>
      </c>
    </row>
    <row r="5646" spans="1:90" x14ac:dyDescent="0.25">
      <c r="V5646" t="s">
        <v>5240</v>
      </c>
      <c r="AF5646">
        <v>35</v>
      </c>
      <c r="AM5646">
        <v>40</v>
      </c>
      <c r="AT5646">
        <v>45</v>
      </c>
      <c r="BB5646">
        <v>50</v>
      </c>
      <c r="BJ5646">
        <v>55</v>
      </c>
      <c r="BS5646" t="s">
        <v>5426</v>
      </c>
      <c r="BX5646">
        <v>65</v>
      </c>
    </row>
    <row r="5647" spans="1:90" x14ac:dyDescent="0.25">
      <c r="A5647" t="s">
        <v>5242</v>
      </c>
      <c r="L5647" t="s">
        <v>5427</v>
      </c>
      <c r="V5647" t="s">
        <v>5428</v>
      </c>
      <c r="AF5647">
        <v>4.43</v>
      </c>
      <c r="AM5647">
        <v>4.49</v>
      </c>
      <c r="AT5647">
        <v>4.55</v>
      </c>
      <c r="BB5647">
        <v>5</v>
      </c>
      <c r="BJ5647">
        <v>4.67</v>
      </c>
      <c r="BS5647" t="s">
        <v>5429</v>
      </c>
      <c r="BX5647" t="s">
        <v>5247</v>
      </c>
    </row>
    <row r="5648" spans="1:90" x14ac:dyDescent="0.25">
      <c r="L5648" t="s">
        <v>5243</v>
      </c>
      <c r="V5648" t="s">
        <v>5430</v>
      </c>
      <c r="AF5648">
        <v>5.45</v>
      </c>
      <c r="AM5648">
        <v>5.5</v>
      </c>
      <c r="AT5648">
        <v>5.27</v>
      </c>
      <c r="BB5648">
        <v>6</v>
      </c>
      <c r="BJ5648">
        <v>5.54</v>
      </c>
      <c r="BS5648" t="s">
        <v>5431</v>
      </c>
      <c r="BX5648" t="s">
        <v>5247</v>
      </c>
    </row>
    <row r="5649" spans="1:76" x14ac:dyDescent="0.25">
      <c r="L5649" t="s">
        <v>5248</v>
      </c>
      <c r="V5649" t="s">
        <v>5266</v>
      </c>
      <c r="AF5649">
        <v>6.46</v>
      </c>
      <c r="AM5649">
        <v>6.5</v>
      </c>
      <c r="AT5649">
        <v>6.54</v>
      </c>
      <c r="BB5649">
        <v>6</v>
      </c>
      <c r="BJ5649">
        <v>6.41</v>
      </c>
      <c r="BS5649" t="s">
        <v>5432</v>
      </c>
      <c r="BX5649" t="s">
        <v>5247</v>
      </c>
    </row>
    <row r="5650" spans="1:76" x14ac:dyDescent="0.25">
      <c r="L5650" t="s">
        <v>5252</v>
      </c>
      <c r="V5650" t="s">
        <v>5433</v>
      </c>
      <c r="AF5650">
        <v>7.49</v>
      </c>
      <c r="AM5650">
        <v>7.47</v>
      </c>
      <c r="AT5650">
        <v>7.45</v>
      </c>
      <c r="BB5650">
        <v>7</v>
      </c>
      <c r="BJ5650">
        <v>7</v>
      </c>
      <c r="BS5650" t="s">
        <v>5434</v>
      </c>
      <c r="BX5650" t="s">
        <v>5247</v>
      </c>
    </row>
    <row r="5651" spans="1:76" x14ac:dyDescent="0.25">
      <c r="L5651" t="s">
        <v>5256</v>
      </c>
      <c r="V5651" t="s">
        <v>5435</v>
      </c>
      <c r="AF5651">
        <v>8.11</v>
      </c>
      <c r="AM5651">
        <v>8.06</v>
      </c>
      <c r="AT5651">
        <v>8</v>
      </c>
      <c r="BB5651">
        <v>8</v>
      </c>
      <c r="BJ5651">
        <v>7.35</v>
      </c>
      <c r="BS5651" t="s">
        <v>5436</v>
      </c>
      <c r="BX5651" t="s">
        <v>5247</v>
      </c>
    </row>
    <row r="5652" spans="1:76" x14ac:dyDescent="0.25">
      <c r="L5652" t="s">
        <v>5260</v>
      </c>
      <c r="V5652" t="s">
        <v>5437</v>
      </c>
      <c r="AF5652">
        <v>9.24</v>
      </c>
      <c r="AM5652">
        <v>9.1999999999999993</v>
      </c>
      <c r="AT5652">
        <v>9.15</v>
      </c>
      <c r="BB5652">
        <v>9</v>
      </c>
      <c r="BJ5652">
        <v>8.7899999999999991</v>
      </c>
      <c r="BS5652" t="s">
        <v>5438</v>
      </c>
      <c r="BX5652" t="s">
        <v>5247</v>
      </c>
    </row>
    <row r="5653" spans="1:76" x14ac:dyDescent="0.25">
      <c r="L5653" t="s">
        <v>5264</v>
      </c>
      <c r="V5653" t="s">
        <v>5439</v>
      </c>
      <c r="AF5653">
        <v>10.3</v>
      </c>
      <c r="AM5653">
        <v>10.28</v>
      </c>
      <c r="AT5653">
        <v>10.26</v>
      </c>
      <c r="BB5653">
        <v>10</v>
      </c>
      <c r="BJ5653">
        <v>9.5</v>
      </c>
      <c r="BS5653" t="s">
        <v>5440</v>
      </c>
      <c r="BX5653" t="s">
        <v>5247</v>
      </c>
    </row>
    <row r="5654" spans="1:76" x14ac:dyDescent="0.25">
      <c r="L5654" t="s">
        <v>5268</v>
      </c>
      <c r="V5654" t="s">
        <v>5441</v>
      </c>
      <c r="AF5654">
        <v>11.9</v>
      </c>
      <c r="AM5654">
        <v>11.83</v>
      </c>
      <c r="AT5654">
        <v>11.75</v>
      </c>
      <c r="BB5654">
        <v>11</v>
      </c>
      <c r="BJ5654">
        <v>9.9600000000000009</v>
      </c>
      <c r="BS5654" t="s">
        <v>5442</v>
      </c>
      <c r="BX5654">
        <v>5.08</v>
      </c>
    </row>
    <row r="5655" spans="1:76" x14ac:dyDescent="0.25">
      <c r="L5655" t="s">
        <v>5272</v>
      </c>
      <c r="V5655" t="s">
        <v>5443</v>
      </c>
      <c r="AF5655">
        <v>12.57</v>
      </c>
      <c r="AM5655">
        <v>12.46</v>
      </c>
      <c r="AT5655">
        <v>12.36</v>
      </c>
      <c r="BB5655">
        <v>12</v>
      </c>
      <c r="BJ5655">
        <v>10.76</v>
      </c>
      <c r="BS5655" t="s">
        <v>5444</v>
      </c>
      <c r="BX5655">
        <v>5.09</v>
      </c>
    </row>
    <row r="5656" spans="1:76" x14ac:dyDescent="0.25">
      <c r="L5656" t="s">
        <v>5276</v>
      </c>
      <c r="V5656" t="s">
        <v>5445</v>
      </c>
      <c r="AF5656">
        <v>13.01</v>
      </c>
      <c r="AM5656">
        <v>12.89</v>
      </c>
      <c r="AT5656">
        <v>12.77</v>
      </c>
      <c r="BB5656">
        <v>12</v>
      </c>
      <c r="BJ5656">
        <v>11.29</v>
      </c>
      <c r="BS5656" t="s">
        <v>5446</v>
      </c>
      <c r="BX5656">
        <v>5.09</v>
      </c>
    </row>
    <row r="5657" spans="1:76" x14ac:dyDescent="0.25">
      <c r="L5657" t="s">
        <v>5280</v>
      </c>
      <c r="V5657" t="s">
        <v>5447</v>
      </c>
      <c r="AF5657">
        <v>13.22</v>
      </c>
      <c r="AM5657">
        <v>13.04</v>
      </c>
      <c r="AT5657">
        <v>12.87</v>
      </c>
      <c r="BB5657">
        <v>12</v>
      </c>
      <c r="BJ5657">
        <v>11.36</v>
      </c>
      <c r="BS5657" t="s">
        <v>5448</v>
      </c>
      <c r="BX5657">
        <v>5.08</v>
      </c>
    </row>
    <row r="5658" spans="1:76" x14ac:dyDescent="0.25">
      <c r="L5658" t="s">
        <v>3756</v>
      </c>
      <c r="V5658" t="s">
        <v>1936</v>
      </c>
      <c r="AF5658">
        <v>13.57</v>
      </c>
      <c r="AM5658">
        <v>13.3</v>
      </c>
      <c r="AT5658">
        <v>13.03</v>
      </c>
      <c r="BB5658">
        <v>12</v>
      </c>
      <c r="BJ5658">
        <v>11.47</v>
      </c>
      <c r="BS5658" t="s">
        <v>5449</v>
      </c>
      <c r="BX5658">
        <v>5.0599999999999996</v>
      </c>
    </row>
    <row r="5660" spans="1:76" x14ac:dyDescent="0.25">
      <c r="A5660" t="s">
        <v>5287</v>
      </c>
      <c r="V5660" t="s">
        <v>5239</v>
      </c>
    </row>
    <row r="5661" spans="1:76" x14ac:dyDescent="0.25">
      <c r="V5661" t="s">
        <v>5240</v>
      </c>
      <c r="AF5661">
        <v>35</v>
      </c>
      <c r="AM5661">
        <v>40</v>
      </c>
      <c r="AT5661">
        <v>45</v>
      </c>
      <c r="BB5661">
        <v>50</v>
      </c>
      <c r="BJ5661">
        <v>55</v>
      </c>
      <c r="BS5661" t="s">
        <v>5426</v>
      </c>
      <c r="BX5661">
        <v>65</v>
      </c>
    </row>
    <row r="5662" spans="1:76" x14ac:dyDescent="0.25">
      <c r="A5662" t="s">
        <v>5242</v>
      </c>
      <c r="L5662" t="s">
        <v>5427</v>
      </c>
      <c r="V5662" t="s">
        <v>5390</v>
      </c>
      <c r="AF5662">
        <v>2.2200000000000002</v>
      </c>
      <c r="AM5662">
        <v>2.4500000000000002</v>
      </c>
      <c r="AT5662">
        <v>2.68</v>
      </c>
      <c r="BB5662">
        <v>3</v>
      </c>
      <c r="BJ5662">
        <v>3.27</v>
      </c>
      <c r="BS5662" t="s">
        <v>5450</v>
      </c>
      <c r="BX5662" t="s">
        <v>5247</v>
      </c>
    </row>
    <row r="5663" spans="1:76" x14ac:dyDescent="0.25">
      <c r="L5663" t="s">
        <v>5243</v>
      </c>
      <c r="V5663" t="s">
        <v>5451</v>
      </c>
      <c r="AF5663">
        <v>2.41</v>
      </c>
      <c r="AM5663">
        <v>2.68</v>
      </c>
      <c r="AT5663">
        <v>2.83</v>
      </c>
      <c r="BB5663">
        <v>3</v>
      </c>
      <c r="BJ5663">
        <v>3.36</v>
      </c>
      <c r="BS5663" t="s">
        <v>5452</v>
      </c>
      <c r="BX5663" t="s">
        <v>5247</v>
      </c>
    </row>
    <row r="5664" spans="1:76" x14ac:dyDescent="0.25">
      <c r="L5664" t="s">
        <v>5248</v>
      </c>
      <c r="V5664" t="s">
        <v>5453</v>
      </c>
      <c r="AF5664">
        <v>2.6</v>
      </c>
      <c r="AM5664">
        <v>2.91</v>
      </c>
      <c r="AT5664">
        <v>3.21</v>
      </c>
      <c r="BB5664">
        <v>3</v>
      </c>
      <c r="BJ5664">
        <v>3.44</v>
      </c>
      <c r="BS5664" t="s">
        <v>5454</v>
      </c>
      <c r="BX5664" t="s">
        <v>5247</v>
      </c>
    </row>
    <row r="5665" spans="1:76" x14ac:dyDescent="0.25">
      <c r="L5665" t="s">
        <v>5252</v>
      </c>
      <c r="V5665" t="s">
        <v>5455</v>
      </c>
      <c r="AF5665">
        <v>2.78</v>
      </c>
      <c r="AM5665">
        <v>3.04</v>
      </c>
      <c r="AT5665">
        <v>3.31</v>
      </c>
      <c r="BB5665">
        <v>3</v>
      </c>
      <c r="BJ5665">
        <v>3.54</v>
      </c>
      <c r="BS5665" t="s">
        <v>5456</v>
      </c>
      <c r="BX5665" t="s">
        <v>5247</v>
      </c>
    </row>
    <row r="5666" spans="1:76" x14ac:dyDescent="0.25">
      <c r="L5666" t="s">
        <v>5256</v>
      </c>
      <c r="V5666" t="s">
        <v>5457</v>
      </c>
      <c r="AF5666">
        <v>2.88</v>
      </c>
      <c r="AM5666">
        <v>3.13</v>
      </c>
      <c r="AT5666">
        <v>3.37</v>
      </c>
      <c r="BB5666">
        <v>3</v>
      </c>
      <c r="BJ5666">
        <v>3.6</v>
      </c>
      <c r="BS5666" t="s">
        <v>5458</v>
      </c>
      <c r="BX5666" t="s">
        <v>5247</v>
      </c>
    </row>
    <row r="5667" spans="1:76" x14ac:dyDescent="0.25">
      <c r="L5667" t="s">
        <v>5260</v>
      </c>
      <c r="V5667" t="s">
        <v>5459</v>
      </c>
      <c r="AF5667">
        <v>2.71</v>
      </c>
      <c r="AM5667">
        <v>2.99</v>
      </c>
      <c r="AT5667">
        <v>3.26</v>
      </c>
      <c r="BB5667">
        <v>3</v>
      </c>
      <c r="BJ5667">
        <v>3.65</v>
      </c>
      <c r="BS5667" t="s">
        <v>5454</v>
      </c>
      <c r="BX5667" t="s">
        <v>5247</v>
      </c>
    </row>
    <row r="5668" spans="1:76" x14ac:dyDescent="0.25">
      <c r="L5668" t="s">
        <v>5264</v>
      </c>
      <c r="V5668" t="s">
        <v>5460</v>
      </c>
      <c r="AF5668">
        <v>2.77</v>
      </c>
      <c r="AM5668">
        <v>3.08</v>
      </c>
      <c r="AT5668">
        <v>3.38</v>
      </c>
      <c r="BB5668">
        <v>3</v>
      </c>
      <c r="BJ5668">
        <v>3.56</v>
      </c>
      <c r="BS5668" t="s">
        <v>5461</v>
      </c>
      <c r="BX5668" t="s">
        <v>5247</v>
      </c>
    </row>
    <row r="5669" spans="1:76" x14ac:dyDescent="0.25">
      <c r="L5669" t="s">
        <v>5268</v>
      </c>
      <c r="V5669" t="s">
        <v>5462</v>
      </c>
      <c r="AF5669">
        <v>2.62</v>
      </c>
      <c r="AM5669">
        <v>3.01</v>
      </c>
      <c r="AT5669">
        <v>3.39</v>
      </c>
      <c r="BB5669">
        <v>3</v>
      </c>
      <c r="BJ5669">
        <v>3.47</v>
      </c>
      <c r="BS5669" t="s">
        <v>5463</v>
      </c>
      <c r="BX5669">
        <v>2.19</v>
      </c>
    </row>
    <row r="5670" spans="1:76" x14ac:dyDescent="0.25">
      <c r="L5670" t="s">
        <v>5272</v>
      </c>
      <c r="V5670" t="s">
        <v>5396</v>
      </c>
      <c r="AF5670">
        <v>2.63</v>
      </c>
      <c r="AM5670">
        <v>3</v>
      </c>
      <c r="AT5670">
        <v>3.38</v>
      </c>
      <c r="BB5670">
        <v>3</v>
      </c>
      <c r="BJ5670">
        <v>3.47</v>
      </c>
      <c r="BS5670" t="s">
        <v>5464</v>
      </c>
      <c r="BX5670">
        <v>2.06</v>
      </c>
    </row>
    <row r="5671" spans="1:76" x14ac:dyDescent="0.25">
      <c r="L5671" t="s">
        <v>5276</v>
      </c>
      <c r="V5671" t="s">
        <v>5396</v>
      </c>
      <c r="AF5671">
        <v>2.63</v>
      </c>
      <c r="AM5671">
        <v>3</v>
      </c>
      <c r="AT5671">
        <v>3.37</v>
      </c>
      <c r="BB5671">
        <v>3</v>
      </c>
      <c r="BJ5671">
        <v>3.47</v>
      </c>
      <c r="BS5671" t="s">
        <v>5464</v>
      </c>
      <c r="BX5671">
        <v>1.98</v>
      </c>
    </row>
    <row r="5672" spans="1:76" x14ac:dyDescent="0.25">
      <c r="L5672" t="s">
        <v>5280</v>
      </c>
      <c r="V5672" t="s">
        <v>5396</v>
      </c>
      <c r="AF5672">
        <v>2.63</v>
      </c>
      <c r="AM5672">
        <v>3.01</v>
      </c>
      <c r="AT5672">
        <v>3.39</v>
      </c>
      <c r="BB5672">
        <v>3</v>
      </c>
      <c r="BJ5672">
        <v>3.46</v>
      </c>
      <c r="BS5672" t="s">
        <v>5465</v>
      </c>
      <c r="BX5672">
        <v>1.9</v>
      </c>
    </row>
    <row r="5673" spans="1:76" x14ac:dyDescent="0.25">
      <c r="L5673" t="s">
        <v>3756</v>
      </c>
      <c r="V5673" t="s">
        <v>5396</v>
      </c>
      <c r="AF5673">
        <v>2.62</v>
      </c>
      <c r="AM5673">
        <v>3.02</v>
      </c>
      <c r="AT5673">
        <v>3.42</v>
      </c>
      <c r="BB5673">
        <v>3</v>
      </c>
      <c r="BJ5673">
        <v>3.44</v>
      </c>
      <c r="BS5673" t="s">
        <v>5400</v>
      </c>
      <c r="BX5673">
        <v>1.76</v>
      </c>
    </row>
    <row r="5675" spans="1:76" x14ac:dyDescent="0.25">
      <c r="A5675" t="s">
        <v>5231</v>
      </c>
      <c r="V5675" t="s">
        <v>5239</v>
      </c>
    </row>
    <row r="5676" spans="1:76" x14ac:dyDescent="0.25">
      <c r="V5676" t="s">
        <v>5240</v>
      </c>
      <c r="AF5676">
        <v>35</v>
      </c>
      <c r="AM5676">
        <v>40</v>
      </c>
      <c r="AT5676">
        <v>45</v>
      </c>
      <c r="BB5676">
        <v>50</v>
      </c>
      <c r="BJ5676">
        <v>55</v>
      </c>
      <c r="BS5676" t="s">
        <v>5426</v>
      </c>
      <c r="BX5676">
        <v>65</v>
      </c>
    </row>
    <row r="5677" spans="1:76" x14ac:dyDescent="0.25">
      <c r="A5677" t="s">
        <v>5242</v>
      </c>
      <c r="L5677" t="s">
        <v>5427</v>
      </c>
      <c r="V5677" t="s">
        <v>5466</v>
      </c>
      <c r="AF5677">
        <v>2</v>
      </c>
      <c r="AM5677">
        <v>1.83</v>
      </c>
      <c r="AT5677">
        <v>1.7</v>
      </c>
      <c r="BB5677">
        <v>2</v>
      </c>
      <c r="BJ5677">
        <v>1.43</v>
      </c>
      <c r="BS5677" t="s">
        <v>5467</v>
      </c>
      <c r="BX5677" t="s">
        <v>5247</v>
      </c>
    </row>
    <row r="5678" spans="1:76" x14ac:dyDescent="0.25">
      <c r="L5678" t="s">
        <v>5243</v>
      </c>
      <c r="V5678" t="s">
        <v>5468</v>
      </c>
      <c r="AF5678">
        <v>2.2599999999999998</v>
      </c>
      <c r="AM5678">
        <v>2.0499999999999998</v>
      </c>
      <c r="AT5678">
        <v>1.86</v>
      </c>
      <c r="BB5678">
        <v>2</v>
      </c>
      <c r="BJ5678">
        <v>1.65</v>
      </c>
      <c r="BS5678" t="s">
        <v>5295</v>
      </c>
      <c r="BX5678" t="s">
        <v>5247</v>
      </c>
    </row>
    <row r="5679" spans="1:76" x14ac:dyDescent="0.25">
      <c r="L5679" t="s">
        <v>5248</v>
      </c>
      <c r="V5679" t="s">
        <v>5065</v>
      </c>
      <c r="AF5679">
        <v>2.48</v>
      </c>
      <c r="AM5679">
        <v>2.2400000000000002</v>
      </c>
      <c r="AT5679">
        <v>2.04</v>
      </c>
      <c r="BB5679">
        <v>2</v>
      </c>
      <c r="BJ5679">
        <v>1.86</v>
      </c>
      <c r="BS5679" t="s">
        <v>5469</v>
      </c>
      <c r="BX5679" t="s">
        <v>5247</v>
      </c>
    </row>
    <row r="5680" spans="1:76" x14ac:dyDescent="0.25">
      <c r="L5680" t="s">
        <v>5252</v>
      </c>
      <c r="V5680" t="s">
        <v>5246</v>
      </c>
      <c r="AF5680">
        <v>2.7</v>
      </c>
      <c r="AM5680">
        <v>2.46</v>
      </c>
      <c r="AT5680">
        <v>2.25</v>
      </c>
      <c r="BB5680">
        <v>2</v>
      </c>
      <c r="BJ5680">
        <v>1.98</v>
      </c>
      <c r="BS5680" t="s">
        <v>5387</v>
      </c>
      <c r="BX5680" t="s">
        <v>5247</v>
      </c>
    </row>
    <row r="5681" spans="1:76" x14ac:dyDescent="0.25">
      <c r="L5681" t="s">
        <v>5256</v>
      </c>
      <c r="V5681" t="s">
        <v>5470</v>
      </c>
      <c r="AF5681">
        <v>2.82</v>
      </c>
      <c r="AM5681">
        <v>2.58</v>
      </c>
      <c r="AT5681">
        <v>2.37</v>
      </c>
      <c r="BB5681">
        <v>2</v>
      </c>
      <c r="BJ5681">
        <v>2.04</v>
      </c>
      <c r="BS5681" t="s">
        <v>5389</v>
      </c>
      <c r="BX5681" t="s">
        <v>5247</v>
      </c>
    </row>
    <row r="5682" spans="1:76" x14ac:dyDescent="0.25">
      <c r="L5682" t="s">
        <v>5260</v>
      </c>
      <c r="V5682" t="s">
        <v>5319</v>
      </c>
      <c r="AF5682">
        <v>3.41</v>
      </c>
      <c r="AM5682">
        <v>3.08</v>
      </c>
      <c r="AT5682">
        <v>2.81</v>
      </c>
      <c r="BB5682">
        <v>3</v>
      </c>
      <c r="BJ5682">
        <v>2.41</v>
      </c>
      <c r="BS5682" t="s">
        <v>5471</v>
      </c>
      <c r="BX5682" t="s">
        <v>5247</v>
      </c>
    </row>
    <row r="5683" spans="1:76" x14ac:dyDescent="0.25">
      <c r="L5683" t="s">
        <v>5264</v>
      </c>
      <c r="V5683" t="s">
        <v>5472</v>
      </c>
      <c r="AF5683">
        <v>3.72</v>
      </c>
      <c r="AM5683">
        <v>3.34</v>
      </c>
      <c r="AT5683">
        <v>3.04</v>
      </c>
      <c r="BB5683">
        <v>3</v>
      </c>
      <c r="BJ5683">
        <v>2.67</v>
      </c>
      <c r="BS5683" t="s">
        <v>5473</v>
      </c>
      <c r="BX5683" t="s">
        <v>5247</v>
      </c>
    </row>
    <row r="5684" spans="1:76" x14ac:dyDescent="0.25">
      <c r="L5684" t="s">
        <v>5268</v>
      </c>
      <c r="V5684" t="s">
        <v>5474</v>
      </c>
      <c r="AF5684">
        <v>4.54</v>
      </c>
      <c r="AM5684">
        <v>3.94</v>
      </c>
      <c r="AT5684">
        <v>3.47</v>
      </c>
      <c r="BB5684">
        <v>3</v>
      </c>
      <c r="BJ5684">
        <v>2.87</v>
      </c>
      <c r="BS5684" t="s">
        <v>5475</v>
      </c>
      <c r="BX5684">
        <v>2.3199999999999998</v>
      </c>
    </row>
    <row r="5685" spans="1:76" x14ac:dyDescent="0.25">
      <c r="L5685" t="s">
        <v>5272</v>
      </c>
      <c r="V5685" t="s">
        <v>5476</v>
      </c>
      <c r="AF5685">
        <v>4.79</v>
      </c>
      <c r="AM5685">
        <v>4.1500000000000004</v>
      </c>
      <c r="AT5685">
        <v>3.66</v>
      </c>
      <c r="BB5685">
        <v>3</v>
      </c>
      <c r="BJ5685">
        <v>3.1</v>
      </c>
      <c r="BS5685" t="s">
        <v>5402</v>
      </c>
      <c r="BX5685">
        <v>2.46</v>
      </c>
    </row>
    <row r="5686" spans="1:76" x14ac:dyDescent="0.25">
      <c r="L5686" t="s">
        <v>5276</v>
      </c>
      <c r="V5686" t="s">
        <v>5477</v>
      </c>
      <c r="AF5686">
        <v>4.95</v>
      </c>
      <c r="AM5686">
        <v>4.3</v>
      </c>
      <c r="AT5686">
        <v>3.79</v>
      </c>
      <c r="BB5686">
        <v>4</v>
      </c>
      <c r="BJ5686">
        <v>3.25</v>
      </c>
      <c r="BS5686" t="s">
        <v>5478</v>
      </c>
      <c r="BX5686">
        <v>2.57</v>
      </c>
    </row>
    <row r="5688" spans="1:76" x14ac:dyDescent="0.25">
      <c r="L5688" t="s">
        <v>5280</v>
      </c>
      <c r="V5688" t="s">
        <v>5479</v>
      </c>
      <c r="AF5688">
        <v>5.03</v>
      </c>
      <c r="AM5688">
        <v>4.34</v>
      </c>
      <c r="AT5688">
        <v>3.8</v>
      </c>
      <c r="BB5688">
        <v>4</v>
      </c>
      <c r="BJ5688">
        <v>3.28</v>
      </c>
      <c r="BS5688" t="s">
        <v>5480</v>
      </c>
      <c r="BX5688">
        <v>2.68</v>
      </c>
    </row>
    <row r="5689" spans="1:76" x14ac:dyDescent="0.25">
      <c r="L5689" t="s">
        <v>3756</v>
      </c>
      <c r="V5689" t="s">
        <v>5481</v>
      </c>
      <c r="AF5689">
        <v>5.18</v>
      </c>
      <c r="AM5689">
        <v>4.4000000000000004</v>
      </c>
      <c r="AT5689">
        <v>3.81</v>
      </c>
      <c r="BB5689">
        <v>4</v>
      </c>
      <c r="BJ5689">
        <v>3.33</v>
      </c>
      <c r="BS5689" t="s">
        <v>5245</v>
      </c>
      <c r="BX5689">
        <v>2.88</v>
      </c>
    </row>
    <row r="5690" spans="1:76" x14ac:dyDescent="0.25">
      <c r="A5690" t="s">
        <v>5482</v>
      </c>
    </row>
    <row r="5691" spans="1:76" x14ac:dyDescent="0.25">
      <c r="BX5691" t="s">
        <v>5483</v>
      </c>
    </row>
    <row r="5693" spans="1:76" x14ac:dyDescent="0.25">
      <c r="A5693" t="s">
        <v>5484</v>
      </c>
    </row>
    <row r="5694" spans="1:76" x14ac:dyDescent="0.25">
      <c r="I5694" t="s">
        <v>5423</v>
      </c>
    </row>
    <row r="5696" spans="1:76" x14ac:dyDescent="0.25">
      <c r="I5696" t="s">
        <v>5339</v>
      </c>
    </row>
    <row r="5698" spans="1:90" x14ac:dyDescent="0.25">
      <c r="I5698" t="s">
        <v>5340</v>
      </c>
      <c r="AK5698" t="s">
        <v>2870</v>
      </c>
      <c r="AX5698" t="s">
        <v>2424</v>
      </c>
      <c r="BO5698">
        <v>6</v>
      </c>
    </row>
    <row r="5699" spans="1:90" x14ac:dyDescent="0.25">
      <c r="AK5699" t="s">
        <v>5230</v>
      </c>
      <c r="AX5699" t="s">
        <v>2424</v>
      </c>
      <c r="BO5699">
        <v>1.88</v>
      </c>
    </row>
    <row r="5700" spans="1:90" x14ac:dyDescent="0.25">
      <c r="AK5700" t="s">
        <v>5341</v>
      </c>
      <c r="AX5700" t="s">
        <v>4905</v>
      </c>
      <c r="BO5700">
        <v>3.2</v>
      </c>
    </row>
    <row r="5701" spans="1:90" x14ac:dyDescent="0.25">
      <c r="AK5701" t="s">
        <v>5232</v>
      </c>
      <c r="AX5701" t="s">
        <v>5233</v>
      </c>
      <c r="BO5701">
        <v>17.2</v>
      </c>
    </row>
    <row r="5703" spans="1:90" x14ac:dyDescent="0.25">
      <c r="I5703" t="s">
        <v>5485</v>
      </c>
    </row>
    <row r="5705" spans="1:90" x14ac:dyDescent="0.25">
      <c r="I5705" t="s">
        <v>5343</v>
      </c>
    </row>
    <row r="5706" spans="1:90" x14ac:dyDescent="0.25">
      <c r="I5706" t="s">
        <v>5486</v>
      </c>
    </row>
    <row r="5710" spans="1:90" x14ac:dyDescent="0.25">
      <c r="CL5710" t="s">
        <v>5484</v>
      </c>
    </row>
    <row r="5711" spans="1:90" x14ac:dyDescent="0.25">
      <c r="A5711" t="s">
        <v>5487</v>
      </c>
    </row>
    <row r="5713" spans="1:73" x14ac:dyDescent="0.25">
      <c r="A5713" t="s">
        <v>5238</v>
      </c>
      <c r="Y5713" t="s">
        <v>5239</v>
      </c>
    </row>
    <row r="5714" spans="1:73" x14ac:dyDescent="0.25">
      <c r="Y5714">
        <v>7</v>
      </c>
      <c r="AK5714">
        <v>10</v>
      </c>
      <c r="AX5714" t="s">
        <v>5346</v>
      </c>
      <c r="BJ5714">
        <v>15</v>
      </c>
      <c r="BU5714">
        <v>18</v>
      </c>
    </row>
    <row r="5715" spans="1:73" x14ac:dyDescent="0.25">
      <c r="A5715" t="s">
        <v>5242</v>
      </c>
      <c r="N5715" t="s">
        <v>3756</v>
      </c>
      <c r="Y5715">
        <v>7.79</v>
      </c>
      <c r="AK5715">
        <v>8.42</v>
      </c>
      <c r="AX5715" t="s">
        <v>5488</v>
      </c>
      <c r="BJ5715">
        <v>9.4600000000000009</v>
      </c>
      <c r="BU5715">
        <v>10.09</v>
      </c>
    </row>
    <row r="5716" spans="1:73" x14ac:dyDescent="0.25">
      <c r="N5716" t="s">
        <v>5348</v>
      </c>
      <c r="Y5716">
        <v>7.3</v>
      </c>
      <c r="AK5716">
        <v>7.9</v>
      </c>
      <c r="AX5716" t="s">
        <v>5489</v>
      </c>
      <c r="BJ5716">
        <v>8.91</v>
      </c>
      <c r="BU5716">
        <v>9.51</v>
      </c>
    </row>
    <row r="5717" spans="1:73" x14ac:dyDescent="0.25">
      <c r="N5717" t="s">
        <v>5240</v>
      </c>
      <c r="Y5717">
        <v>7.08</v>
      </c>
      <c r="AK5717">
        <v>7.68</v>
      </c>
      <c r="AX5717" t="s">
        <v>5490</v>
      </c>
      <c r="BJ5717">
        <v>8.67</v>
      </c>
      <c r="BU5717">
        <v>9.26</v>
      </c>
    </row>
    <row r="5718" spans="1:73" x14ac:dyDescent="0.25">
      <c r="N5718" t="s">
        <v>5241</v>
      </c>
      <c r="Y5718">
        <v>6.73</v>
      </c>
      <c r="AK5718">
        <v>7.31</v>
      </c>
      <c r="AX5718" t="s">
        <v>5491</v>
      </c>
      <c r="BJ5718">
        <v>8.27</v>
      </c>
      <c r="BU5718">
        <v>8.85</v>
      </c>
    </row>
    <row r="5719" spans="1:73" x14ac:dyDescent="0.25">
      <c r="N5719" t="s">
        <v>3760</v>
      </c>
      <c r="Y5719">
        <v>5.54</v>
      </c>
      <c r="AK5719">
        <v>6.22</v>
      </c>
      <c r="AX5719" t="s">
        <v>5268</v>
      </c>
      <c r="BJ5719">
        <v>7.36</v>
      </c>
      <c r="BU5719">
        <v>8.0399999999999991</v>
      </c>
    </row>
    <row r="5720" spans="1:73" x14ac:dyDescent="0.25">
      <c r="N5720" t="s">
        <v>5352</v>
      </c>
      <c r="Y5720">
        <v>4.82</v>
      </c>
      <c r="AK5720">
        <v>5.57</v>
      </c>
      <c r="AX5720" t="s">
        <v>5492</v>
      </c>
      <c r="BJ5720">
        <v>6.81</v>
      </c>
      <c r="BU5720">
        <v>7.56</v>
      </c>
    </row>
    <row r="5722" spans="1:73" x14ac:dyDescent="0.25">
      <c r="A5722" t="s">
        <v>5287</v>
      </c>
      <c r="Y5722" t="s">
        <v>5239</v>
      </c>
    </row>
    <row r="5723" spans="1:73" x14ac:dyDescent="0.25">
      <c r="Y5723">
        <v>7</v>
      </c>
      <c r="AK5723">
        <v>10</v>
      </c>
      <c r="AX5723" t="s">
        <v>5346</v>
      </c>
      <c r="BJ5723">
        <v>15</v>
      </c>
      <c r="BU5723">
        <v>18</v>
      </c>
    </row>
    <row r="5724" spans="1:73" x14ac:dyDescent="0.25">
      <c r="A5724" t="s">
        <v>5242</v>
      </c>
      <c r="N5724" t="s">
        <v>3756</v>
      </c>
      <c r="Y5724">
        <v>1.71</v>
      </c>
      <c r="AK5724">
        <v>1.71</v>
      </c>
      <c r="AX5724" t="s">
        <v>5385</v>
      </c>
      <c r="BJ5724">
        <v>1.71</v>
      </c>
      <c r="BU5724">
        <v>1.71</v>
      </c>
    </row>
    <row r="5725" spans="1:73" x14ac:dyDescent="0.25">
      <c r="N5725" t="s">
        <v>5348</v>
      </c>
      <c r="Y5725">
        <v>1.93</v>
      </c>
      <c r="AK5725">
        <v>1.95</v>
      </c>
      <c r="AX5725" t="s">
        <v>5390</v>
      </c>
      <c r="BJ5725">
        <v>1.97</v>
      </c>
      <c r="BU5725">
        <v>1.98</v>
      </c>
    </row>
    <row r="5726" spans="1:73" x14ac:dyDescent="0.25">
      <c r="N5726" t="s">
        <v>5240</v>
      </c>
      <c r="Y5726">
        <v>2.0299999999999998</v>
      </c>
      <c r="AK5726">
        <v>2.0499999999999998</v>
      </c>
      <c r="AX5726" t="s">
        <v>5394</v>
      </c>
      <c r="BJ5726">
        <v>2.08</v>
      </c>
      <c r="BU5726">
        <v>2.1</v>
      </c>
    </row>
    <row r="5727" spans="1:73" x14ac:dyDescent="0.25">
      <c r="N5727" t="s">
        <v>5241</v>
      </c>
      <c r="Y5727">
        <v>2.19</v>
      </c>
      <c r="AK5727">
        <v>2.2200000000000002</v>
      </c>
      <c r="AX5727" t="s">
        <v>5493</v>
      </c>
      <c r="BJ5727">
        <v>2.2599999999999998</v>
      </c>
      <c r="BU5727">
        <v>2.29</v>
      </c>
    </row>
    <row r="5728" spans="1:73" x14ac:dyDescent="0.25">
      <c r="N5728" t="s">
        <v>3760</v>
      </c>
      <c r="Y5728">
        <v>2.4</v>
      </c>
      <c r="AK5728">
        <v>2.44</v>
      </c>
      <c r="AX5728" t="s">
        <v>5494</v>
      </c>
      <c r="BJ5728">
        <v>2.5</v>
      </c>
      <c r="BU5728">
        <v>2.54</v>
      </c>
    </row>
    <row r="5729" spans="1:73" x14ac:dyDescent="0.25">
      <c r="N5729" t="s">
        <v>5352</v>
      </c>
      <c r="Y5729">
        <v>2.5299999999999998</v>
      </c>
      <c r="AK5729">
        <v>2.57</v>
      </c>
      <c r="AX5729" t="s">
        <v>5311</v>
      </c>
      <c r="BJ5729">
        <v>2.65</v>
      </c>
      <c r="BU5729">
        <v>2.69</v>
      </c>
    </row>
    <row r="5731" spans="1:73" x14ac:dyDescent="0.25">
      <c r="A5731" t="s">
        <v>5231</v>
      </c>
      <c r="Y5731" t="s">
        <v>5239</v>
      </c>
    </row>
    <row r="5732" spans="1:73" x14ac:dyDescent="0.25">
      <c r="Y5732">
        <v>7</v>
      </c>
      <c r="AK5732">
        <v>10</v>
      </c>
      <c r="AX5732" t="s">
        <v>5346</v>
      </c>
      <c r="BJ5732">
        <v>15</v>
      </c>
      <c r="BU5732">
        <v>18</v>
      </c>
    </row>
    <row r="5733" spans="1:73" x14ac:dyDescent="0.25">
      <c r="A5733" t="s">
        <v>5242</v>
      </c>
      <c r="N5733" t="s">
        <v>3756</v>
      </c>
      <c r="Y5733">
        <v>4.5599999999999996</v>
      </c>
      <c r="AK5733">
        <v>4.92</v>
      </c>
      <c r="AX5733" t="s">
        <v>5495</v>
      </c>
      <c r="BJ5733">
        <v>5.53</v>
      </c>
      <c r="BU5733">
        <v>5.9</v>
      </c>
    </row>
    <row r="5734" spans="1:73" x14ac:dyDescent="0.25">
      <c r="N5734" t="s">
        <v>5348</v>
      </c>
      <c r="Y5734">
        <v>3.77</v>
      </c>
      <c r="AK5734">
        <v>4.0599999999999996</v>
      </c>
      <c r="AX5734" t="s">
        <v>5496</v>
      </c>
      <c r="BJ5734">
        <v>4.53</v>
      </c>
      <c r="BU5734">
        <v>4.8</v>
      </c>
    </row>
    <row r="5735" spans="1:73" x14ac:dyDescent="0.25">
      <c r="N5735" t="s">
        <v>5240</v>
      </c>
      <c r="Y5735">
        <v>3.49</v>
      </c>
      <c r="AK5735">
        <v>3.75</v>
      </c>
      <c r="AX5735" t="s">
        <v>5497</v>
      </c>
      <c r="BJ5735">
        <v>4.17</v>
      </c>
      <c r="BU5735">
        <v>4.42</v>
      </c>
    </row>
    <row r="5736" spans="1:73" x14ac:dyDescent="0.25">
      <c r="N5736" t="s">
        <v>5241</v>
      </c>
      <c r="Y5736">
        <v>3.07</v>
      </c>
      <c r="AK5736">
        <v>3.3</v>
      </c>
      <c r="AX5736" t="s">
        <v>5461</v>
      </c>
      <c r="BJ5736">
        <v>3.66</v>
      </c>
      <c r="BU5736">
        <v>3.86</v>
      </c>
    </row>
    <row r="5737" spans="1:73" x14ac:dyDescent="0.25">
      <c r="N5737" t="s">
        <v>3760</v>
      </c>
      <c r="Y5737">
        <v>2.2999999999999998</v>
      </c>
      <c r="AK5737">
        <v>2.5499999999999998</v>
      </c>
      <c r="AX5737" t="s">
        <v>5065</v>
      </c>
      <c r="BJ5737">
        <v>2.94</v>
      </c>
      <c r="BU5737">
        <v>3.17</v>
      </c>
    </row>
    <row r="5738" spans="1:73" x14ac:dyDescent="0.25">
      <c r="N5738" t="s">
        <v>5352</v>
      </c>
      <c r="Y5738">
        <v>1.91</v>
      </c>
      <c r="AK5738">
        <v>2.16</v>
      </c>
      <c r="AX5738" t="s">
        <v>5498</v>
      </c>
      <c r="BJ5738">
        <v>2.57</v>
      </c>
      <c r="BU5738">
        <v>2.81</v>
      </c>
    </row>
    <row r="5740" spans="1:73" x14ac:dyDescent="0.25">
      <c r="A5740" t="s">
        <v>5365</v>
      </c>
    </row>
    <row r="5741" spans="1:73" x14ac:dyDescent="0.25">
      <c r="A5741" t="s">
        <v>5499</v>
      </c>
    </row>
    <row r="5743" spans="1:73" x14ac:dyDescent="0.25">
      <c r="A5743" t="s">
        <v>5500</v>
      </c>
    </row>
    <row r="5744" spans="1:73" x14ac:dyDescent="0.25">
      <c r="I5744" t="s">
        <v>5501</v>
      </c>
    </row>
    <row r="5746" spans="1:90" x14ac:dyDescent="0.25">
      <c r="I5746" t="s">
        <v>5228</v>
      </c>
    </row>
    <row r="5748" spans="1:90" x14ac:dyDescent="0.25">
      <c r="I5748" t="s">
        <v>5229</v>
      </c>
      <c r="AK5748" t="s">
        <v>2870</v>
      </c>
      <c r="AX5748" t="s">
        <v>2424</v>
      </c>
      <c r="BO5748">
        <v>11</v>
      </c>
    </row>
    <row r="5749" spans="1:90" x14ac:dyDescent="0.25">
      <c r="AK5749" t="s">
        <v>5230</v>
      </c>
      <c r="AX5749" t="s">
        <v>2424</v>
      </c>
      <c r="BO5749">
        <v>2.39</v>
      </c>
    </row>
    <row r="5750" spans="1:90" x14ac:dyDescent="0.25">
      <c r="AK5750" t="s">
        <v>5231</v>
      </c>
      <c r="AX5750" t="s">
        <v>4905</v>
      </c>
      <c r="BO5750">
        <v>4.5999999999999996</v>
      </c>
    </row>
    <row r="5751" spans="1:90" x14ac:dyDescent="0.25">
      <c r="AK5751" t="s">
        <v>5232</v>
      </c>
      <c r="AX5751" t="s">
        <v>5233</v>
      </c>
      <c r="BO5751">
        <v>31.8</v>
      </c>
    </row>
    <row r="5753" spans="1:90" x14ac:dyDescent="0.25">
      <c r="I5753" t="s">
        <v>5234</v>
      </c>
    </row>
    <row r="5755" spans="1:90" x14ac:dyDescent="0.25">
      <c r="I5755" t="s">
        <v>5369</v>
      </c>
    </row>
    <row r="5756" spans="1:90" x14ac:dyDescent="0.25">
      <c r="I5756" t="s">
        <v>5502</v>
      </c>
    </row>
    <row r="5760" spans="1:90" x14ac:dyDescent="0.25">
      <c r="A5760" t="s">
        <v>5503</v>
      </c>
      <c r="CL5760" t="s">
        <v>5500</v>
      </c>
    </row>
    <row r="5762" spans="1:76" x14ac:dyDescent="0.25">
      <c r="A5762" t="s">
        <v>5238</v>
      </c>
      <c r="V5762" t="s">
        <v>5239</v>
      </c>
    </row>
    <row r="5763" spans="1:76" x14ac:dyDescent="0.25">
      <c r="V5763" t="s">
        <v>5240</v>
      </c>
      <c r="AF5763">
        <v>35</v>
      </c>
      <c r="AM5763">
        <v>40</v>
      </c>
      <c r="AT5763">
        <v>45</v>
      </c>
      <c r="BB5763">
        <v>50</v>
      </c>
      <c r="BJ5763">
        <v>55</v>
      </c>
      <c r="BS5763" t="s">
        <v>5426</v>
      </c>
      <c r="BX5763">
        <v>65</v>
      </c>
    </row>
    <row r="5764" spans="1:76" x14ac:dyDescent="0.25">
      <c r="A5764" t="s">
        <v>5242</v>
      </c>
      <c r="L5764" t="s">
        <v>5427</v>
      </c>
      <c r="V5764" t="s">
        <v>5504</v>
      </c>
      <c r="AF5764">
        <v>5.2</v>
      </c>
      <c r="AM5764">
        <v>5.28</v>
      </c>
      <c r="AT5764">
        <v>5.36</v>
      </c>
      <c r="BB5764">
        <v>5</v>
      </c>
      <c r="BJ5764">
        <v>5.33</v>
      </c>
      <c r="BS5764" t="s">
        <v>5505</v>
      </c>
      <c r="BX5764" t="s">
        <v>5247</v>
      </c>
    </row>
    <row r="5765" spans="1:76" x14ac:dyDescent="0.25">
      <c r="L5765" t="s">
        <v>5243</v>
      </c>
      <c r="V5765" t="s">
        <v>5267</v>
      </c>
      <c r="AF5765">
        <v>6.29</v>
      </c>
      <c r="AM5765">
        <v>6.36</v>
      </c>
      <c r="AT5765">
        <v>6.25</v>
      </c>
      <c r="BB5765">
        <v>6</v>
      </c>
      <c r="BJ5765">
        <v>6.07</v>
      </c>
      <c r="BS5765" t="s">
        <v>5324</v>
      </c>
      <c r="BX5765" t="s">
        <v>5247</v>
      </c>
    </row>
    <row r="5766" spans="1:76" x14ac:dyDescent="0.25">
      <c r="L5766" t="s">
        <v>5248</v>
      </c>
      <c r="V5766" t="s">
        <v>5506</v>
      </c>
      <c r="AF5766">
        <v>7.37</v>
      </c>
      <c r="AM5766">
        <v>7.45</v>
      </c>
      <c r="AT5766">
        <v>7.52</v>
      </c>
      <c r="BB5766">
        <v>7</v>
      </c>
      <c r="BJ5766">
        <v>6.81</v>
      </c>
      <c r="BS5766" t="s">
        <v>5432</v>
      </c>
      <c r="BX5766" t="s">
        <v>5247</v>
      </c>
    </row>
    <row r="5767" spans="1:76" x14ac:dyDescent="0.25">
      <c r="L5767" t="s">
        <v>5252</v>
      </c>
      <c r="V5767" t="s">
        <v>5507</v>
      </c>
      <c r="AF5767">
        <v>8.4499999999999993</v>
      </c>
      <c r="AM5767">
        <v>8.27</v>
      </c>
      <c r="AT5767">
        <v>8.1</v>
      </c>
      <c r="BB5767">
        <v>8</v>
      </c>
      <c r="BJ5767">
        <v>7.15</v>
      </c>
      <c r="BS5767" t="s">
        <v>5434</v>
      </c>
      <c r="BX5767" t="s">
        <v>5247</v>
      </c>
    </row>
    <row r="5768" spans="1:76" x14ac:dyDescent="0.25">
      <c r="L5768" t="s">
        <v>5256</v>
      </c>
      <c r="V5768" t="s">
        <v>5508</v>
      </c>
      <c r="AF5768">
        <v>9.1</v>
      </c>
      <c r="AM5768">
        <v>8.77</v>
      </c>
      <c r="AT5768">
        <v>8.44</v>
      </c>
      <c r="BB5768">
        <v>8</v>
      </c>
      <c r="BJ5768">
        <v>7.35</v>
      </c>
      <c r="BS5768" t="s">
        <v>5436</v>
      </c>
      <c r="BX5768" t="s">
        <v>5247</v>
      </c>
    </row>
    <row r="5769" spans="1:76" x14ac:dyDescent="0.25">
      <c r="L5769" t="s">
        <v>5260</v>
      </c>
      <c r="V5769" t="s">
        <v>5509</v>
      </c>
      <c r="AF5769">
        <v>10.28</v>
      </c>
      <c r="AM5769">
        <v>10.16</v>
      </c>
      <c r="AT5769">
        <v>10.029999999999999</v>
      </c>
      <c r="BB5769">
        <v>9</v>
      </c>
      <c r="BJ5769">
        <v>8.7899999999999991</v>
      </c>
      <c r="BS5769" t="s">
        <v>5438</v>
      </c>
      <c r="BX5769" t="s">
        <v>5247</v>
      </c>
    </row>
    <row r="5770" spans="1:76" x14ac:dyDescent="0.25">
      <c r="L5770" t="s">
        <v>5264</v>
      </c>
      <c r="V5770" t="s">
        <v>5510</v>
      </c>
      <c r="AF5770">
        <v>11.46</v>
      </c>
      <c r="AM5770">
        <v>11.06</v>
      </c>
      <c r="AT5770">
        <v>10.66</v>
      </c>
      <c r="BB5770">
        <v>10</v>
      </c>
      <c r="BJ5770">
        <v>9.5</v>
      </c>
      <c r="BS5770" t="s">
        <v>5440</v>
      </c>
      <c r="BX5770" t="s">
        <v>5247</v>
      </c>
    </row>
    <row r="5771" spans="1:76" x14ac:dyDescent="0.25">
      <c r="L5771" t="s">
        <v>5268</v>
      </c>
      <c r="V5771" t="s">
        <v>5511</v>
      </c>
      <c r="AF5771">
        <v>13.24</v>
      </c>
      <c r="AM5771">
        <v>12.83</v>
      </c>
      <c r="AT5771">
        <v>12.41</v>
      </c>
      <c r="BB5771">
        <v>11</v>
      </c>
      <c r="BJ5771">
        <v>10.17</v>
      </c>
      <c r="BS5771" t="s">
        <v>5512</v>
      </c>
      <c r="BX5771">
        <v>5.08</v>
      </c>
    </row>
    <row r="5772" spans="1:76" x14ac:dyDescent="0.25">
      <c r="L5772" t="s">
        <v>5272</v>
      </c>
      <c r="V5772" t="s">
        <v>5513</v>
      </c>
      <c r="AF5772">
        <v>13.86</v>
      </c>
      <c r="AM5772">
        <v>13.39</v>
      </c>
      <c r="AT5772">
        <v>12.92</v>
      </c>
      <c r="BB5772">
        <v>12</v>
      </c>
      <c r="BJ5772">
        <v>10.84</v>
      </c>
      <c r="BS5772" t="s">
        <v>5514</v>
      </c>
      <c r="BX5772">
        <v>5.09</v>
      </c>
    </row>
    <row r="5773" spans="1:76" x14ac:dyDescent="0.25">
      <c r="L5773" t="s">
        <v>5276</v>
      </c>
      <c r="V5773" t="s">
        <v>5515</v>
      </c>
      <c r="AF5773">
        <v>14.28</v>
      </c>
      <c r="AM5773">
        <v>13.77</v>
      </c>
      <c r="AT5773">
        <v>13.26</v>
      </c>
      <c r="BB5773">
        <v>12</v>
      </c>
      <c r="BJ5773">
        <v>11.29</v>
      </c>
      <c r="BS5773" t="s">
        <v>5516</v>
      </c>
      <c r="BX5773">
        <v>5.09</v>
      </c>
    </row>
    <row r="5774" spans="1:76" x14ac:dyDescent="0.25">
      <c r="L5774" t="s">
        <v>5280</v>
      </c>
      <c r="V5774" t="s">
        <v>5517</v>
      </c>
      <c r="AF5774">
        <v>14.51</v>
      </c>
      <c r="AM5774">
        <v>13.87</v>
      </c>
      <c r="AT5774">
        <v>13.23</v>
      </c>
      <c r="BB5774">
        <v>12</v>
      </c>
      <c r="BJ5774">
        <v>11.36</v>
      </c>
      <c r="BS5774" t="s">
        <v>5518</v>
      </c>
      <c r="BX5774">
        <v>5.07</v>
      </c>
    </row>
    <row r="5775" spans="1:76" x14ac:dyDescent="0.25">
      <c r="L5775" t="s">
        <v>3756</v>
      </c>
      <c r="V5775" t="s">
        <v>5519</v>
      </c>
      <c r="AF5775">
        <v>14.9</v>
      </c>
      <c r="AM5775">
        <v>14.05</v>
      </c>
      <c r="AT5775">
        <v>13.19</v>
      </c>
      <c r="BB5775">
        <v>12</v>
      </c>
      <c r="BJ5775">
        <v>11.47</v>
      </c>
      <c r="BS5775" t="s">
        <v>5520</v>
      </c>
      <c r="BX5775">
        <v>5.0599999999999996</v>
      </c>
    </row>
    <row r="5777" spans="1:76" x14ac:dyDescent="0.25">
      <c r="A5777" t="s">
        <v>5287</v>
      </c>
      <c r="V5777" t="s">
        <v>5239</v>
      </c>
    </row>
    <row r="5778" spans="1:76" x14ac:dyDescent="0.25">
      <c r="V5778" t="s">
        <v>5240</v>
      </c>
      <c r="AF5778">
        <v>35</v>
      </c>
      <c r="AM5778">
        <v>40</v>
      </c>
      <c r="AT5778">
        <v>45</v>
      </c>
      <c r="BB5778">
        <v>50</v>
      </c>
      <c r="BJ5778">
        <v>55</v>
      </c>
      <c r="BS5778" t="s">
        <v>5426</v>
      </c>
      <c r="BX5778">
        <v>65</v>
      </c>
    </row>
    <row r="5779" spans="1:76" x14ac:dyDescent="0.25">
      <c r="A5779" t="s">
        <v>5242</v>
      </c>
      <c r="L5779" t="s">
        <v>5427</v>
      </c>
      <c r="V5779" t="s">
        <v>5521</v>
      </c>
      <c r="AF5779">
        <v>2.6</v>
      </c>
      <c r="AM5779">
        <v>2.89</v>
      </c>
      <c r="AT5779">
        <v>3.17</v>
      </c>
      <c r="BB5779">
        <v>3</v>
      </c>
      <c r="BJ5779">
        <v>3.69</v>
      </c>
      <c r="BS5779" t="s">
        <v>5522</v>
      </c>
      <c r="BX5779" t="s">
        <v>5247</v>
      </c>
    </row>
    <row r="5780" spans="1:76" x14ac:dyDescent="0.25">
      <c r="L5780" t="s">
        <v>5243</v>
      </c>
      <c r="V5780" t="s">
        <v>5475</v>
      </c>
      <c r="AF5780">
        <v>2.89</v>
      </c>
      <c r="AM5780">
        <v>3.19</v>
      </c>
      <c r="AT5780">
        <v>3.49</v>
      </c>
      <c r="BB5780">
        <v>4</v>
      </c>
      <c r="BJ5780">
        <v>3.68</v>
      </c>
      <c r="BS5780" t="s">
        <v>5316</v>
      </c>
      <c r="BX5780" t="s">
        <v>5247</v>
      </c>
    </row>
    <row r="5781" spans="1:76" x14ac:dyDescent="0.25">
      <c r="L5781" t="s">
        <v>5248</v>
      </c>
      <c r="V5781" t="s">
        <v>5523</v>
      </c>
      <c r="AF5781">
        <v>3.17</v>
      </c>
      <c r="AM5781">
        <v>3.5</v>
      </c>
      <c r="AT5781">
        <v>3.82</v>
      </c>
      <c r="BB5781">
        <v>4</v>
      </c>
      <c r="BJ5781">
        <v>3.67</v>
      </c>
      <c r="BS5781" t="s">
        <v>5454</v>
      </c>
      <c r="BX5781" t="s">
        <v>5247</v>
      </c>
    </row>
    <row r="5782" spans="1:76" x14ac:dyDescent="0.25">
      <c r="L5782" t="s">
        <v>5252</v>
      </c>
      <c r="V5782" t="s">
        <v>5524</v>
      </c>
      <c r="AF5782">
        <v>3.32</v>
      </c>
      <c r="AM5782">
        <v>3.53</v>
      </c>
      <c r="AT5782">
        <v>3.74</v>
      </c>
      <c r="BB5782">
        <v>4</v>
      </c>
      <c r="BJ5782">
        <v>3.63</v>
      </c>
      <c r="BS5782" t="s">
        <v>5456</v>
      </c>
      <c r="BX5782" t="s">
        <v>5247</v>
      </c>
    </row>
    <row r="5783" spans="1:76" x14ac:dyDescent="0.25">
      <c r="L5783" t="s">
        <v>5256</v>
      </c>
      <c r="V5783" t="s">
        <v>5320</v>
      </c>
      <c r="AF5783">
        <v>3.41</v>
      </c>
      <c r="AM5783">
        <v>3.55</v>
      </c>
      <c r="AT5783">
        <v>3.69</v>
      </c>
      <c r="BB5783">
        <v>4</v>
      </c>
      <c r="BJ5783">
        <v>3.6</v>
      </c>
      <c r="BS5783" t="s">
        <v>5458</v>
      </c>
      <c r="BX5783" t="s">
        <v>5247</v>
      </c>
    </row>
    <row r="5784" spans="1:76" x14ac:dyDescent="0.25">
      <c r="L5784" t="s">
        <v>5260</v>
      </c>
      <c r="V5784" t="s">
        <v>5525</v>
      </c>
      <c r="AF5784">
        <v>3.17</v>
      </c>
      <c r="AM5784">
        <v>3.43</v>
      </c>
      <c r="AT5784">
        <v>3.69</v>
      </c>
      <c r="BB5784">
        <v>4</v>
      </c>
      <c r="BJ5784">
        <v>3.65</v>
      </c>
      <c r="BS5784" t="s">
        <v>5454</v>
      </c>
      <c r="BX5784" t="s">
        <v>5247</v>
      </c>
    </row>
    <row r="5785" spans="1:76" x14ac:dyDescent="0.25">
      <c r="L5785" t="s">
        <v>5264</v>
      </c>
      <c r="V5785" t="s">
        <v>5526</v>
      </c>
      <c r="AF5785">
        <v>3.24</v>
      </c>
      <c r="AM5785">
        <v>3.42</v>
      </c>
      <c r="AT5785">
        <v>3.59</v>
      </c>
      <c r="BB5785">
        <v>4</v>
      </c>
      <c r="BJ5785">
        <v>3.56</v>
      </c>
      <c r="BS5785" t="s">
        <v>5461</v>
      </c>
      <c r="BX5785" t="s">
        <v>5247</v>
      </c>
    </row>
    <row r="5786" spans="1:76" x14ac:dyDescent="0.25">
      <c r="L5786" t="s">
        <v>5268</v>
      </c>
      <c r="V5786" t="s">
        <v>5480</v>
      </c>
      <c r="AF5786">
        <v>3.15</v>
      </c>
      <c r="AM5786">
        <v>3.43</v>
      </c>
      <c r="AT5786">
        <v>3.71</v>
      </c>
      <c r="BB5786">
        <v>4</v>
      </c>
      <c r="BJ5786">
        <v>3.62</v>
      </c>
      <c r="BS5786" t="s">
        <v>5527</v>
      </c>
      <c r="BX5786">
        <v>2.19</v>
      </c>
    </row>
    <row r="5787" spans="1:76" x14ac:dyDescent="0.25">
      <c r="L5787" t="s">
        <v>5272</v>
      </c>
      <c r="V5787" t="s">
        <v>5528</v>
      </c>
      <c r="AF5787">
        <v>3.12</v>
      </c>
      <c r="AM5787">
        <v>3.37</v>
      </c>
      <c r="AT5787">
        <v>3.61</v>
      </c>
      <c r="BB5787">
        <v>4</v>
      </c>
      <c r="BJ5787">
        <v>3.53</v>
      </c>
      <c r="BS5787" t="s">
        <v>5465</v>
      </c>
      <c r="BX5787">
        <v>2.06</v>
      </c>
    </row>
    <row r="5788" spans="1:76" x14ac:dyDescent="0.25">
      <c r="L5788" t="s">
        <v>5276</v>
      </c>
      <c r="V5788" t="s">
        <v>5314</v>
      </c>
      <c r="AF5788">
        <v>3.1</v>
      </c>
      <c r="AM5788">
        <v>3.33</v>
      </c>
      <c r="AT5788">
        <v>3.55</v>
      </c>
      <c r="BB5788">
        <v>4</v>
      </c>
      <c r="BJ5788">
        <v>3.47</v>
      </c>
      <c r="BS5788" t="s">
        <v>5529</v>
      </c>
      <c r="BX5788">
        <v>1.98</v>
      </c>
    </row>
    <row r="5789" spans="1:76" x14ac:dyDescent="0.25">
      <c r="L5789" t="s">
        <v>5280</v>
      </c>
      <c r="V5789" t="s">
        <v>5478</v>
      </c>
      <c r="AF5789">
        <v>3.09</v>
      </c>
      <c r="AM5789">
        <v>3.31</v>
      </c>
      <c r="AT5789">
        <v>3.53</v>
      </c>
      <c r="BB5789">
        <v>4</v>
      </c>
      <c r="BJ5789">
        <v>3.46</v>
      </c>
      <c r="BS5789" t="s">
        <v>5530</v>
      </c>
      <c r="BX5789">
        <v>1.9</v>
      </c>
    </row>
    <row r="5790" spans="1:76" x14ac:dyDescent="0.25">
      <c r="L5790" t="s">
        <v>3756</v>
      </c>
      <c r="V5790" t="s">
        <v>5531</v>
      </c>
      <c r="AF5790">
        <v>3.08</v>
      </c>
      <c r="AM5790">
        <v>3.29</v>
      </c>
      <c r="AT5790">
        <v>3.5</v>
      </c>
      <c r="BB5790">
        <v>3</v>
      </c>
      <c r="BJ5790">
        <v>3.44</v>
      </c>
      <c r="BS5790" t="s">
        <v>5452</v>
      </c>
      <c r="BX5790">
        <v>1.76</v>
      </c>
    </row>
    <row r="5792" spans="1:76" x14ac:dyDescent="0.25">
      <c r="A5792" t="s">
        <v>5231</v>
      </c>
      <c r="V5792" t="s">
        <v>5239</v>
      </c>
    </row>
    <row r="5793" spans="1:76" x14ac:dyDescent="0.25">
      <c r="V5793" t="s">
        <v>5240</v>
      </c>
      <c r="AF5793">
        <v>35</v>
      </c>
      <c r="AM5793">
        <v>40</v>
      </c>
      <c r="AT5793">
        <v>45</v>
      </c>
      <c r="BB5793">
        <v>50</v>
      </c>
      <c r="BJ5793">
        <v>55</v>
      </c>
      <c r="BS5793" t="s">
        <v>5426</v>
      </c>
      <c r="BX5793">
        <v>65</v>
      </c>
    </row>
    <row r="5794" spans="1:76" x14ac:dyDescent="0.25">
      <c r="A5794" t="s">
        <v>5242</v>
      </c>
      <c r="L5794" t="s">
        <v>5427</v>
      </c>
      <c r="V5794" t="s">
        <v>5532</v>
      </c>
      <c r="AF5794">
        <v>2</v>
      </c>
      <c r="AM5794">
        <v>1.83</v>
      </c>
      <c r="AT5794">
        <v>1.69</v>
      </c>
      <c r="BB5794">
        <v>2</v>
      </c>
      <c r="BJ5794">
        <v>1.44</v>
      </c>
      <c r="BS5794" t="s">
        <v>5533</v>
      </c>
      <c r="BX5794" t="s">
        <v>5247</v>
      </c>
    </row>
    <row r="5795" spans="1:76" x14ac:dyDescent="0.25">
      <c r="L5795" t="s">
        <v>5243</v>
      </c>
      <c r="V5795" t="s">
        <v>5462</v>
      </c>
      <c r="AF5795">
        <v>2.1800000000000002</v>
      </c>
      <c r="AM5795">
        <v>1.99</v>
      </c>
      <c r="AT5795">
        <v>1.79</v>
      </c>
      <c r="BB5795">
        <v>2</v>
      </c>
      <c r="BJ5795">
        <v>1.65</v>
      </c>
      <c r="BS5795" t="s">
        <v>5534</v>
      </c>
      <c r="BX5795" t="s">
        <v>5247</v>
      </c>
    </row>
    <row r="5796" spans="1:76" x14ac:dyDescent="0.25">
      <c r="L5796" t="s">
        <v>5248</v>
      </c>
      <c r="V5796" t="s">
        <v>5535</v>
      </c>
      <c r="AF5796">
        <v>2.3199999999999998</v>
      </c>
      <c r="AM5796">
        <v>2.13</v>
      </c>
      <c r="AT5796">
        <v>1.97</v>
      </c>
      <c r="BB5796">
        <v>2</v>
      </c>
      <c r="BJ5796">
        <v>1.86</v>
      </c>
      <c r="BS5796" t="s">
        <v>5469</v>
      </c>
      <c r="BX5796" t="s">
        <v>5247</v>
      </c>
    </row>
    <row r="5797" spans="1:76" x14ac:dyDescent="0.25">
      <c r="L5797" t="s">
        <v>5252</v>
      </c>
      <c r="V5797" t="s">
        <v>5536</v>
      </c>
      <c r="AF5797">
        <v>2.5499999999999998</v>
      </c>
      <c r="AM5797">
        <v>2.34</v>
      </c>
      <c r="AT5797">
        <v>2.17</v>
      </c>
      <c r="BB5797">
        <v>2</v>
      </c>
      <c r="BJ5797">
        <v>1.97</v>
      </c>
      <c r="BS5797" t="s">
        <v>5387</v>
      </c>
      <c r="BX5797" t="s">
        <v>5247</v>
      </c>
    </row>
    <row r="5798" spans="1:76" x14ac:dyDescent="0.25">
      <c r="L5798" t="s">
        <v>5256</v>
      </c>
      <c r="V5798" t="s">
        <v>5537</v>
      </c>
      <c r="AF5798">
        <v>2.67</v>
      </c>
      <c r="AM5798">
        <v>2.4700000000000002</v>
      </c>
      <c r="AT5798">
        <v>2.29</v>
      </c>
      <c r="BB5798">
        <v>2</v>
      </c>
      <c r="BJ5798">
        <v>2.04</v>
      </c>
      <c r="BS5798" t="s">
        <v>5389</v>
      </c>
      <c r="BX5798" t="s">
        <v>5247</v>
      </c>
    </row>
    <row r="5799" spans="1:76" x14ac:dyDescent="0.25">
      <c r="L5799" t="s">
        <v>5260</v>
      </c>
      <c r="V5799" t="s">
        <v>5465</v>
      </c>
      <c r="AF5799">
        <v>3.24</v>
      </c>
      <c r="AM5799">
        <v>2.96</v>
      </c>
      <c r="AT5799">
        <v>2.72</v>
      </c>
      <c r="BB5799">
        <v>3</v>
      </c>
      <c r="BJ5799">
        <v>2.41</v>
      </c>
      <c r="BS5799" t="s">
        <v>5471</v>
      </c>
      <c r="BX5799" t="s">
        <v>5247</v>
      </c>
    </row>
    <row r="5800" spans="1:76" x14ac:dyDescent="0.25">
      <c r="L5800" t="s">
        <v>5264</v>
      </c>
      <c r="V5800" t="s">
        <v>5319</v>
      </c>
      <c r="AF5800">
        <v>3.54</v>
      </c>
      <c r="AM5800">
        <v>3.24</v>
      </c>
      <c r="AT5800">
        <v>2.97</v>
      </c>
      <c r="BB5800">
        <v>3</v>
      </c>
      <c r="BJ5800">
        <v>2.67</v>
      </c>
      <c r="BS5800" t="s">
        <v>5473</v>
      </c>
      <c r="BX5800" t="s">
        <v>5247</v>
      </c>
    </row>
    <row r="5801" spans="1:76" x14ac:dyDescent="0.25">
      <c r="L5801" t="s">
        <v>5268</v>
      </c>
      <c r="V5801" t="s">
        <v>5538</v>
      </c>
      <c r="AF5801">
        <v>4.2</v>
      </c>
      <c r="AM5801">
        <v>3.74</v>
      </c>
      <c r="AT5801">
        <v>3.35</v>
      </c>
      <c r="BB5801">
        <v>3</v>
      </c>
      <c r="BJ5801">
        <v>2.81</v>
      </c>
      <c r="BS5801" t="s">
        <v>5539</v>
      </c>
      <c r="BX5801">
        <v>2.3199999999999998</v>
      </c>
    </row>
    <row r="5802" spans="1:76" x14ac:dyDescent="0.25">
      <c r="L5802" t="s">
        <v>5272</v>
      </c>
      <c r="V5802" t="s">
        <v>5353</v>
      </c>
      <c r="AF5802">
        <v>4.4400000000000004</v>
      </c>
      <c r="AM5802">
        <v>3.98</v>
      </c>
      <c r="AT5802">
        <v>3.57</v>
      </c>
      <c r="BB5802">
        <v>3</v>
      </c>
      <c r="BJ5802">
        <v>3.07</v>
      </c>
      <c r="BS5802" t="s">
        <v>5540</v>
      </c>
      <c r="BX5802">
        <v>2.46</v>
      </c>
    </row>
    <row r="5803" spans="1:76" x14ac:dyDescent="0.25">
      <c r="L5803" t="s">
        <v>5276</v>
      </c>
      <c r="V5803" t="s">
        <v>5541</v>
      </c>
      <c r="AF5803">
        <v>4.6100000000000003</v>
      </c>
      <c r="AM5803">
        <v>4.1399999999999997</v>
      </c>
      <c r="AT5803">
        <v>3.74</v>
      </c>
      <c r="BB5803">
        <v>4</v>
      </c>
      <c r="BJ5803">
        <v>3.25</v>
      </c>
      <c r="BS5803" t="s">
        <v>5478</v>
      </c>
      <c r="BX5803">
        <v>2.57</v>
      </c>
    </row>
    <row r="5805" spans="1:76" x14ac:dyDescent="0.25">
      <c r="L5805" t="s">
        <v>5280</v>
      </c>
      <c r="V5805" t="s">
        <v>5334</v>
      </c>
      <c r="AF5805">
        <v>4.6900000000000004</v>
      </c>
      <c r="AM5805">
        <v>4.1900000000000004</v>
      </c>
      <c r="AT5805">
        <v>3.75</v>
      </c>
      <c r="BB5805">
        <v>4</v>
      </c>
      <c r="BJ5805">
        <v>3.28</v>
      </c>
      <c r="BS5805" t="s">
        <v>5542</v>
      </c>
      <c r="BX5805">
        <v>2.67</v>
      </c>
    </row>
    <row r="5806" spans="1:76" x14ac:dyDescent="0.25">
      <c r="L5806" t="s">
        <v>3756</v>
      </c>
      <c r="V5806" t="s">
        <v>5543</v>
      </c>
      <c r="AF5806">
        <v>4.84</v>
      </c>
      <c r="AM5806">
        <v>4.2699999999999996</v>
      </c>
      <c r="AT5806">
        <v>3.77</v>
      </c>
      <c r="BB5806">
        <v>4</v>
      </c>
      <c r="BJ5806">
        <v>3.33</v>
      </c>
      <c r="BS5806" t="s">
        <v>5544</v>
      </c>
      <c r="BX5806">
        <v>2.88</v>
      </c>
    </row>
    <row r="5807" spans="1:76" x14ac:dyDescent="0.25">
      <c r="A5807" t="s">
        <v>5482</v>
      </c>
    </row>
    <row r="5808" spans="1:76" x14ac:dyDescent="0.25">
      <c r="BX5808" t="s">
        <v>5545</v>
      </c>
    </row>
    <row r="5810" spans="1:67" x14ac:dyDescent="0.25">
      <c r="A5810" t="s">
        <v>5546</v>
      </c>
    </row>
    <row r="5811" spans="1:67" x14ac:dyDescent="0.25">
      <c r="I5811" t="s">
        <v>5501</v>
      </c>
    </row>
    <row r="5813" spans="1:67" x14ac:dyDescent="0.25">
      <c r="I5813" t="s">
        <v>5339</v>
      </c>
    </row>
    <row r="5815" spans="1:67" x14ac:dyDescent="0.25">
      <c r="I5815" t="s">
        <v>5340</v>
      </c>
      <c r="AK5815" t="s">
        <v>2870</v>
      </c>
      <c r="AX5815" t="s">
        <v>2424</v>
      </c>
      <c r="BO5815">
        <v>8</v>
      </c>
    </row>
    <row r="5816" spans="1:67" x14ac:dyDescent="0.25">
      <c r="AK5816" t="s">
        <v>5230</v>
      </c>
      <c r="AX5816" t="s">
        <v>2424</v>
      </c>
      <c r="BO5816">
        <v>2.86</v>
      </c>
    </row>
    <row r="5817" spans="1:67" x14ac:dyDescent="0.25">
      <c r="AK5817" t="s">
        <v>5341</v>
      </c>
      <c r="AX5817" t="s">
        <v>4905</v>
      </c>
      <c r="BO5817">
        <v>2.8</v>
      </c>
    </row>
    <row r="5818" spans="1:67" x14ac:dyDescent="0.25">
      <c r="AK5818" t="s">
        <v>5232</v>
      </c>
      <c r="AX5818" t="s">
        <v>5233</v>
      </c>
      <c r="BO5818">
        <v>22.9</v>
      </c>
    </row>
    <row r="5820" spans="1:67" x14ac:dyDescent="0.25">
      <c r="I5820" t="s">
        <v>5342</v>
      </c>
    </row>
    <row r="5822" spans="1:67" x14ac:dyDescent="0.25">
      <c r="I5822" t="s">
        <v>5343</v>
      </c>
    </row>
    <row r="5823" spans="1:67" x14ac:dyDescent="0.25">
      <c r="I5823" t="s">
        <v>5547</v>
      </c>
    </row>
    <row r="5827" spans="1:90" x14ac:dyDescent="0.25">
      <c r="CL5827" t="s">
        <v>5546</v>
      </c>
    </row>
    <row r="5828" spans="1:90" x14ac:dyDescent="0.25">
      <c r="A5828" t="s">
        <v>5548</v>
      </c>
    </row>
    <row r="5830" spans="1:90" x14ac:dyDescent="0.25">
      <c r="A5830" t="s">
        <v>5238</v>
      </c>
      <c r="Y5830" t="s">
        <v>5239</v>
      </c>
    </row>
    <row r="5831" spans="1:90" x14ac:dyDescent="0.25">
      <c r="Y5831">
        <v>7</v>
      </c>
      <c r="AK5831">
        <v>10</v>
      </c>
      <c r="AX5831" t="s">
        <v>5346</v>
      </c>
      <c r="BJ5831">
        <v>15</v>
      </c>
      <c r="BU5831">
        <v>18</v>
      </c>
    </row>
    <row r="5832" spans="1:90" x14ac:dyDescent="0.25">
      <c r="A5832" t="s">
        <v>5242</v>
      </c>
      <c r="N5832" t="s">
        <v>3756</v>
      </c>
      <c r="Y5832">
        <v>8.1199999999999992</v>
      </c>
      <c r="AK5832">
        <v>8.7899999999999991</v>
      </c>
      <c r="AX5832" t="s">
        <v>5549</v>
      </c>
      <c r="BJ5832">
        <v>9.9</v>
      </c>
      <c r="BU5832">
        <v>10.57</v>
      </c>
    </row>
    <row r="5833" spans="1:90" x14ac:dyDescent="0.25">
      <c r="N5833" t="s">
        <v>5348</v>
      </c>
      <c r="Y5833">
        <v>7.91</v>
      </c>
      <c r="AK5833">
        <v>8.6</v>
      </c>
      <c r="AX5833" t="s">
        <v>5550</v>
      </c>
      <c r="BJ5833">
        <v>9.74</v>
      </c>
      <c r="BU5833">
        <v>10.43</v>
      </c>
    </row>
    <row r="5834" spans="1:90" x14ac:dyDescent="0.25">
      <c r="N5834" t="s">
        <v>5240</v>
      </c>
      <c r="Y5834">
        <v>7.83</v>
      </c>
      <c r="AK5834">
        <v>8.52</v>
      </c>
      <c r="AX5834" t="s">
        <v>5551</v>
      </c>
      <c r="BJ5834">
        <v>9.67</v>
      </c>
      <c r="BU5834">
        <v>10.36</v>
      </c>
    </row>
    <row r="5835" spans="1:90" x14ac:dyDescent="0.25">
      <c r="N5835" t="s">
        <v>5241</v>
      </c>
      <c r="Y5835">
        <v>7.68</v>
      </c>
      <c r="AK5835">
        <v>8.3800000000000008</v>
      </c>
      <c r="AX5835" t="s">
        <v>5552</v>
      </c>
      <c r="BJ5835">
        <v>9.56</v>
      </c>
      <c r="BU5835">
        <v>10.26</v>
      </c>
    </row>
    <row r="5836" spans="1:90" x14ac:dyDescent="0.25">
      <c r="N5836" t="s">
        <v>3760</v>
      </c>
      <c r="Y5836">
        <v>5.97</v>
      </c>
      <c r="AK5836">
        <v>6.68</v>
      </c>
      <c r="AX5836" t="s">
        <v>5553</v>
      </c>
      <c r="BJ5836">
        <v>7.86</v>
      </c>
      <c r="BU5836">
        <v>8.57</v>
      </c>
    </row>
    <row r="5837" spans="1:90" x14ac:dyDescent="0.25">
      <c r="N5837" t="s">
        <v>5352</v>
      </c>
      <c r="Y5837">
        <v>4.95</v>
      </c>
      <c r="AK5837">
        <v>5.66</v>
      </c>
      <c r="AX5837" t="s">
        <v>5492</v>
      </c>
      <c r="BJ5837">
        <v>6.85</v>
      </c>
      <c r="BU5837">
        <v>7.56</v>
      </c>
    </row>
    <row r="5839" spans="1:90" x14ac:dyDescent="0.25">
      <c r="A5839" t="s">
        <v>5287</v>
      </c>
      <c r="Y5839" t="s">
        <v>5239</v>
      </c>
    </row>
    <row r="5840" spans="1:90" x14ac:dyDescent="0.25">
      <c r="Y5840">
        <v>7</v>
      </c>
      <c r="AK5840">
        <v>10</v>
      </c>
      <c r="AX5840" t="s">
        <v>5346</v>
      </c>
      <c r="BJ5840">
        <v>15</v>
      </c>
      <c r="BU5840">
        <v>18</v>
      </c>
    </row>
    <row r="5841" spans="1:73" x14ac:dyDescent="0.25">
      <c r="A5841" t="s">
        <v>5242</v>
      </c>
      <c r="N5841" t="s">
        <v>3756</v>
      </c>
      <c r="Y5841">
        <v>1.85</v>
      </c>
      <c r="AK5841">
        <v>1.84</v>
      </c>
      <c r="AX5841" t="s">
        <v>5554</v>
      </c>
      <c r="BJ5841">
        <v>1.81</v>
      </c>
      <c r="BU5841">
        <v>1.8</v>
      </c>
    </row>
    <row r="5842" spans="1:73" x14ac:dyDescent="0.25">
      <c r="N5842" t="s">
        <v>5348</v>
      </c>
      <c r="Y5842">
        <v>2.25</v>
      </c>
      <c r="AK5842">
        <v>2.29</v>
      </c>
      <c r="AX5842" t="s">
        <v>5555</v>
      </c>
      <c r="BJ5842">
        <v>2.35</v>
      </c>
      <c r="BU5842">
        <v>2.39</v>
      </c>
    </row>
    <row r="5843" spans="1:73" x14ac:dyDescent="0.25">
      <c r="N5843" t="s">
        <v>5240</v>
      </c>
      <c r="Y5843">
        <v>2.42</v>
      </c>
      <c r="AK5843">
        <v>2.48</v>
      </c>
      <c r="AX5843" t="s">
        <v>1859</v>
      </c>
      <c r="BJ5843">
        <v>2.58</v>
      </c>
      <c r="BU5843">
        <v>2.64</v>
      </c>
    </row>
    <row r="5844" spans="1:73" x14ac:dyDescent="0.25">
      <c r="N5844" t="s">
        <v>5241</v>
      </c>
      <c r="Y5844">
        <v>2.71</v>
      </c>
      <c r="AK5844">
        <v>2.81</v>
      </c>
      <c r="AX5844" t="s">
        <v>5246</v>
      </c>
      <c r="BJ5844">
        <v>2.96</v>
      </c>
      <c r="BU5844">
        <v>3.06</v>
      </c>
    </row>
    <row r="5845" spans="1:73" x14ac:dyDescent="0.25">
      <c r="N5845" t="s">
        <v>3760</v>
      </c>
      <c r="Y5845">
        <v>2.69</v>
      </c>
      <c r="AK5845">
        <v>2.72</v>
      </c>
      <c r="AX5845" t="s">
        <v>5556</v>
      </c>
      <c r="BJ5845">
        <v>2.79</v>
      </c>
      <c r="BU5845">
        <v>2.83</v>
      </c>
    </row>
    <row r="5846" spans="1:73" x14ac:dyDescent="0.25">
      <c r="N5846" t="s">
        <v>5352</v>
      </c>
      <c r="Y5846">
        <v>2.67</v>
      </c>
      <c r="AK5846">
        <v>2.68</v>
      </c>
      <c r="AX5846" t="s">
        <v>5311</v>
      </c>
      <c r="BJ5846">
        <v>2.68</v>
      </c>
      <c r="BU5846">
        <v>2.69</v>
      </c>
    </row>
    <row r="5848" spans="1:73" x14ac:dyDescent="0.25">
      <c r="A5848" t="s">
        <v>5231</v>
      </c>
      <c r="Y5848" t="s">
        <v>5239</v>
      </c>
    </row>
    <row r="5849" spans="1:73" x14ac:dyDescent="0.25">
      <c r="Y5849">
        <v>7</v>
      </c>
      <c r="AK5849">
        <v>10</v>
      </c>
      <c r="AX5849" t="s">
        <v>5346</v>
      </c>
      <c r="BJ5849">
        <v>15</v>
      </c>
      <c r="BU5849">
        <v>18</v>
      </c>
    </row>
    <row r="5850" spans="1:73" x14ac:dyDescent="0.25">
      <c r="A5850" t="s">
        <v>5242</v>
      </c>
      <c r="N5850" t="s">
        <v>3756</v>
      </c>
      <c r="Y5850">
        <v>4.3899999999999997</v>
      </c>
      <c r="AK5850">
        <v>4.79</v>
      </c>
      <c r="AX5850" t="s">
        <v>5557</v>
      </c>
      <c r="BJ5850">
        <v>5.46</v>
      </c>
      <c r="BU5850">
        <v>5.87</v>
      </c>
    </row>
    <row r="5851" spans="1:73" x14ac:dyDescent="0.25">
      <c r="N5851" t="s">
        <v>5348</v>
      </c>
      <c r="Y5851">
        <v>3.52</v>
      </c>
      <c r="AK5851">
        <v>3.76</v>
      </c>
      <c r="AX5851" t="s">
        <v>5497</v>
      </c>
      <c r="BJ5851">
        <v>4.1399999999999997</v>
      </c>
      <c r="BU5851">
        <v>4.37</v>
      </c>
    </row>
    <row r="5852" spans="1:73" x14ac:dyDescent="0.25">
      <c r="N5852" t="s">
        <v>5240</v>
      </c>
      <c r="Y5852">
        <v>3.23</v>
      </c>
      <c r="AK5852">
        <v>3.43</v>
      </c>
      <c r="AX5852" t="s">
        <v>5558</v>
      </c>
      <c r="BJ5852">
        <v>3.75</v>
      </c>
      <c r="BU5852">
        <v>3.93</v>
      </c>
    </row>
    <row r="5853" spans="1:73" x14ac:dyDescent="0.25">
      <c r="N5853" t="s">
        <v>5241</v>
      </c>
      <c r="Y5853">
        <v>2.83</v>
      </c>
      <c r="AK5853">
        <v>2.99</v>
      </c>
      <c r="AX5853" t="s">
        <v>5245</v>
      </c>
      <c r="BJ5853">
        <v>3.22</v>
      </c>
      <c r="BU5853">
        <v>3.35</v>
      </c>
    </row>
    <row r="5854" spans="1:73" x14ac:dyDescent="0.25">
      <c r="N5854" t="s">
        <v>3760</v>
      </c>
      <c r="Y5854">
        <v>2.2200000000000002</v>
      </c>
      <c r="AK5854">
        <v>2.4500000000000002</v>
      </c>
      <c r="AX5854" t="s">
        <v>5457</v>
      </c>
      <c r="BJ5854">
        <v>2.82</v>
      </c>
      <c r="BU5854">
        <v>3.03</v>
      </c>
    </row>
    <row r="5855" spans="1:73" x14ac:dyDescent="0.25">
      <c r="N5855" t="s">
        <v>5352</v>
      </c>
      <c r="Y5855">
        <v>1.85</v>
      </c>
      <c r="AK5855">
        <v>2.12</v>
      </c>
      <c r="AX5855" t="s">
        <v>5498</v>
      </c>
      <c r="BJ5855">
        <v>2.5499999999999998</v>
      </c>
      <c r="BU5855">
        <v>2.81</v>
      </c>
    </row>
    <row r="5857" spans="1:95" x14ac:dyDescent="0.25">
      <c r="A5857" t="s">
        <v>5420</v>
      </c>
    </row>
    <row r="5858" spans="1:95" x14ac:dyDescent="0.25">
      <c r="A5858" t="s">
        <v>5559</v>
      </c>
    </row>
    <row r="5860" spans="1:95" x14ac:dyDescent="0.25">
      <c r="A5860" t="s">
        <v>5560</v>
      </c>
    </row>
    <row r="5861" spans="1:95" x14ac:dyDescent="0.25">
      <c r="A5861" t="s">
        <v>5561</v>
      </c>
      <c r="BJ5861" t="s">
        <v>5562</v>
      </c>
    </row>
    <row r="5862" spans="1:95" x14ac:dyDescent="0.25">
      <c r="A5862" t="s">
        <v>5563</v>
      </c>
    </row>
    <row r="5863" spans="1:95" x14ac:dyDescent="0.25">
      <c r="A5863" t="s">
        <v>5564</v>
      </c>
      <c r="Q5863" t="s">
        <v>5565</v>
      </c>
      <c r="U5863" t="s">
        <v>5566</v>
      </c>
      <c r="BJ5863" t="s">
        <v>5567</v>
      </c>
    </row>
    <row r="5864" spans="1:95" x14ac:dyDescent="0.25">
      <c r="A5864" t="s">
        <v>5568</v>
      </c>
      <c r="AM5864" t="s">
        <v>5569</v>
      </c>
      <c r="BJ5864" t="s">
        <v>5570</v>
      </c>
    </row>
    <row r="5865" spans="1:95" x14ac:dyDescent="0.25">
      <c r="A5865" t="s">
        <v>5571</v>
      </c>
      <c r="Q5865" t="s">
        <v>5572</v>
      </c>
      <c r="BJ5865" t="s">
        <v>5573</v>
      </c>
    </row>
    <row r="5866" spans="1:95" x14ac:dyDescent="0.25">
      <c r="A5866" t="s">
        <v>5574</v>
      </c>
      <c r="BJ5866" t="s">
        <v>5575</v>
      </c>
    </row>
    <row r="5867" spans="1:95" x14ac:dyDescent="0.25">
      <c r="A5867" t="s">
        <v>5576</v>
      </c>
      <c r="BS5867" t="s">
        <v>5577</v>
      </c>
      <c r="CQ5867" t="s">
        <v>5578</v>
      </c>
    </row>
    <row r="5868" spans="1:95" x14ac:dyDescent="0.25">
      <c r="A5868" t="s">
        <v>5579</v>
      </c>
      <c r="U5868" t="s">
        <v>5580</v>
      </c>
      <c r="BW5868" t="s">
        <v>5581</v>
      </c>
      <c r="CQ5868" t="s">
        <v>5582</v>
      </c>
    </row>
    <row r="5869" spans="1:95" x14ac:dyDescent="0.25">
      <c r="A5869" t="s">
        <v>5583</v>
      </c>
      <c r="Q5869" t="s">
        <v>5584</v>
      </c>
      <c r="V5869" t="s">
        <v>5585</v>
      </c>
      <c r="AH5869" t="s">
        <v>5586</v>
      </c>
      <c r="CQ5869" t="s">
        <v>5587</v>
      </c>
    </row>
    <row r="5870" spans="1:95" x14ac:dyDescent="0.25">
      <c r="A5870" t="s">
        <v>5588</v>
      </c>
      <c r="AE5870" t="s">
        <v>5589</v>
      </c>
      <c r="BW5870" t="s">
        <v>5590</v>
      </c>
    </row>
    <row r="5871" spans="1:95" x14ac:dyDescent="0.25">
      <c r="A5871" t="s">
        <v>5591</v>
      </c>
      <c r="Q5871" t="s">
        <v>5592</v>
      </c>
      <c r="U5871" t="s">
        <v>5593</v>
      </c>
      <c r="CQ5871" t="s">
        <v>5594</v>
      </c>
    </row>
    <row r="5872" spans="1:95" x14ac:dyDescent="0.25">
      <c r="A5872" t="s">
        <v>5595</v>
      </c>
      <c r="U5872" t="s">
        <v>5596</v>
      </c>
      <c r="CQ5872" t="s">
        <v>5597</v>
      </c>
    </row>
    <row r="5873" spans="1:97" x14ac:dyDescent="0.25">
      <c r="A5873" t="s">
        <v>5598</v>
      </c>
    </row>
    <row r="5877" spans="1:97" x14ac:dyDescent="0.25">
      <c r="A5877" t="s">
        <v>5599</v>
      </c>
      <c r="AB5877" t="s">
        <v>5600</v>
      </c>
    </row>
    <row r="5878" spans="1:97" x14ac:dyDescent="0.25">
      <c r="R5878" t="s">
        <v>5601</v>
      </c>
    </row>
    <row r="5879" spans="1:97" x14ac:dyDescent="0.25">
      <c r="A5879" t="s">
        <v>5602</v>
      </c>
    </row>
    <row r="5880" spans="1:97" x14ac:dyDescent="0.25">
      <c r="V5880" t="s">
        <v>5603</v>
      </c>
      <c r="AQ5880" t="s">
        <v>5604</v>
      </c>
    </row>
    <row r="5882" spans="1:97" x14ac:dyDescent="0.25">
      <c r="CS5882" t="s">
        <v>5605</v>
      </c>
    </row>
    <row r="5883" spans="1:97" x14ac:dyDescent="0.25">
      <c r="V5883" t="s">
        <v>5606</v>
      </c>
    </row>
    <row r="5884" spans="1:97" x14ac:dyDescent="0.25">
      <c r="A5884" t="s">
        <v>5607</v>
      </c>
    </row>
    <row r="5885" spans="1:97" x14ac:dyDescent="0.25">
      <c r="V5885" t="s">
        <v>5608</v>
      </c>
      <c r="CR5885" t="s">
        <v>5609</v>
      </c>
    </row>
    <row r="5886" spans="1:97" x14ac:dyDescent="0.25">
      <c r="AQ5886" t="s">
        <v>5610</v>
      </c>
      <c r="BE5886" t="s">
        <v>5611</v>
      </c>
      <c r="BW5886" t="s">
        <v>5612</v>
      </c>
    </row>
    <row r="5887" spans="1:97" x14ac:dyDescent="0.25">
      <c r="AH5887" t="s">
        <v>5613</v>
      </c>
      <c r="BX5887" t="s">
        <v>5614</v>
      </c>
      <c r="CS5887" t="s">
        <v>5615</v>
      </c>
    </row>
    <row r="5888" spans="1:97" x14ac:dyDescent="0.25">
      <c r="A5888" t="s">
        <v>5616</v>
      </c>
    </row>
    <row r="5889" spans="1:106" x14ac:dyDescent="0.25">
      <c r="Z5889" t="s">
        <v>5617</v>
      </c>
      <c r="AQ5889" t="s">
        <v>5618</v>
      </c>
      <c r="BG5889" t="s">
        <v>5619</v>
      </c>
      <c r="BX5889" t="s">
        <v>5620</v>
      </c>
      <c r="CQ5889" t="s">
        <v>5621</v>
      </c>
    </row>
    <row r="5890" spans="1:106" x14ac:dyDescent="0.25">
      <c r="A5890" t="s">
        <v>5622</v>
      </c>
      <c r="AI5890" t="s">
        <v>5623</v>
      </c>
      <c r="CV5890" t="s">
        <v>5624</v>
      </c>
    </row>
    <row r="5891" spans="1:106" x14ac:dyDescent="0.25">
      <c r="A5891" t="s">
        <v>5625</v>
      </c>
      <c r="Z5891" t="s">
        <v>5626</v>
      </c>
      <c r="CR5891" t="s">
        <v>5627</v>
      </c>
      <c r="DA5891" t="s">
        <v>5628</v>
      </c>
    </row>
    <row r="5892" spans="1:106" x14ac:dyDescent="0.25">
      <c r="A5892" t="s">
        <v>5596</v>
      </c>
      <c r="CS5892" t="s">
        <v>5597</v>
      </c>
    </row>
    <row r="5893" spans="1:106" x14ac:dyDescent="0.25">
      <c r="A5893" t="s">
        <v>5629</v>
      </c>
    </row>
    <row r="5897" spans="1:106" x14ac:dyDescent="0.25">
      <c r="A5897" t="s">
        <v>5630</v>
      </c>
      <c r="S5897" t="s">
        <v>5631</v>
      </c>
      <c r="BH5897" t="s">
        <v>5632</v>
      </c>
    </row>
    <row r="5898" spans="1:106" x14ac:dyDescent="0.25">
      <c r="A5898" t="s">
        <v>5633</v>
      </c>
      <c r="Z5898" t="s">
        <v>5634</v>
      </c>
    </row>
    <row r="5899" spans="1:106" x14ac:dyDescent="0.25">
      <c r="A5899" t="s">
        <v>5635</v>
      </c>
      <c r="BA5899" t="s">
        <v>5636</v>
      </c>
      <c r="BJ5899" t="s">
        <v>5637</v>
      </c>
    </row>
    <row r="5900" spans="1:106" x14ac:dyDescent="0.25">
      <c r="A5900" t="s">
        <v>5638</v>
      </c>
      <c r="AH5900" t="s">
        <v>5639</v>
      </c>
      <c r="AK5900" t="s">
        <v>5640</v>
      </c>
      <c r="BS5900" t="s">
        <v>5641</v>
      </c>
      <c r="CQ5900" t="s">
        <v>5642</v>
      </c>
    </row>
    <row r="5901" spans="1:106" x14ac:dyDescent="0.25">
      <c r="A5901" t="s">
        <v>5643</v>
      </c>
    </row>
    <row r="5902" spans="1:106" x14ac:dyDescent="0.25">
      <c r="A5902" t="s">
        <v>5644</v>
      </c>
      <c r="BU5902" t="s">
        <v>5645</v>
      </c>
      <c r="CL5902" t="s">
        <v>5646</v>
      </c>
      <c r="CY5902" t="s">
        <v>5647</v>
      </c>
      <c r="DB5902" t="s">
        <v>5648</v>
      </c>
    </row>
    <row r="5903" spans="1:106" x14ac:dyDescent="0.25">
      <c r="AO5903" t="s">
        <v>5649</v>
      </c>
      <c r="CH5903" t="s">
        <v>5650</v>
      </c>
      <c r="CL5903" t="s">
        <v>5651</v>
      </c>
      <c r="DB5903" t="s">
        <v>5652</v>
      </c>
    </row>
    <row r="5904" spans="1:106" x14ac:dyDescent="0.25">
      <c r="A5904" t="s">
        <v>5653</v>
      </c>
      <c r="X5904" t="s">
        <v>5654</v>
      </c>
      <c r="BH5904" t="s">
        <v>5655</v>
      </c>
      <c r="BW5904" t="s">
        <v>5656</v>
      </c>
      <c r="CR5904" t="s">
        <v>5657</v>
      </c>
    </row>
    <row r="5905" spans="1:93" x14ac:dyDescent="0.25">
      <c r="A5905" t="s">
        <v>5658</v>
      </c>
      <c r="L5905" t="s">
        <v>5659</v>
      </c>
      <c r="U5905" t="s">
        <v>5660</v>
      </c>
      <c r="BS5905" t="s">
        <v>5661</v>
      </c>
      <c r="CO5905" t="s">
        <v>5662</v>
      </c>
    </row>
    <row r="5906" spans="1:93" x14ac:dyDescent="0.25">
      <c r="A5906" t="s">
        <v>5629</v>
      </c>
    </row>
    <row r="5917" spans="1:93" x14ac:dyDescent="0.25">
      <c r="A5917" t="s">
        <v>5663</v>
      </c>
      <c r="S5917" t="s">
        <v>5664</v>
      </c>
    </row>
    <row r="5918" spans="1:93" x14ac:dyDescent="0.25">
      <c r="A5918" t="s">
        <v>5665</v>
      </c>
      <c r="Z5918" t="s">
        <v>5666</v>
      </c>
    </row>
    <row r="5919" spans="1:93" x14ac:dyDescent="0.25">
      <c r="A5919" t="s">
        <v>5667</v>
      </c>
      <c r="Z5919" t="s">
        <v>5668</v>
      </c>
    </row>
    <row r="5920" spans="1:93" x14ac:dyDescent="0.25">
      <c r="A5920" t="s">
        <v>5669</v>
      </c>
    </row>
    <row r="5921" spans="1:104" x14ac:dyDescent="0.25">
      <c r="A5921" t="s">
        <v>5670</v>
      </c>
    </row>
    <row r="5922" spans="1:104" x14ac:dyDescent="0.25">
      <c r="A5922" t="s">
        <v>5671</v>
      </c>
      <c r="BQ5922" t="s">
        <v>5672</v>
      </c>
      <c r="CQ5922" t="s">
        <v>5673</v>
      </c>
    </row>
    <row r="5923" spans="1:104" x14ac:dyDescent="0.25">
      <c r="A5923" t="s">
        <v>5674</v>
      </c>
      <c r="AF5923" t="s">
        <v>5675</v>
      </c>
      <c r="AK5923" t="s">
        <v>5676</v>
      </c>
      <c r="BW5923" t="s">
        <v>5677</v>
      </c>
      <c r="CQ5923" t="s">
        <v>5678</v>
      </c>
    </row>
    <row r="5924" spans="1:104" x14ac:dyDescent="0.25">
      <c r="A5924" t="s">
        <v>5679</v>
      </c>
    </row>
    <row r="5925" spans="1:104" x14ac:dyDescent="0.25">
      <c r="A5925" t="s">
        <v>5680</v>
      </c>
      <c r="P5925" t="s">
        <v>5681</v>
      </c>
      <c r="X5925" t="s">
        <v>5682</v>
      </c>
      <c r="BO5925" t="s">
        <v>5683</v>
      </c>
      <c r="CQ5925" t="s">
        <v>5684</v>
      </c>
    </row>
    <row r="5926" spans="1:104" x14ac:dyDescent="0.25">
      <c r="A5926" t="s">
        <v>5685</v>
      </c>
    </row>
    <row r="5927" spans="1:104" x14ac:dyDescent="0.25">
      <c r="A5927" t="s">
        <v>5686</v>
      </c>
      <c r="BS5927" t="s">
        <v>5687</v>
      </c>
    </row>
    <row r="5929" spans="1:104" x14ac:dyDescent="0.25">
      <c r="A5929" t="s">
        <v>5688</v>
      </c>
      <c r="Z5929" t="s">
        <v>5689</v>
      </c>
      <c r="BW5929" t="s">
        <v>5690</v>
      </c>
      <c r="CQ5929" t="s">
        <v>5627</v>
      </c>
      <c r="CZ5929" t="s">
        <v>5628</v>
      </c>
    </row>
    <row r="5930" spans="1:104" x14ac:dyDescent="0.25">
      <c r="A5930" t="s">
        <v>5691</v>
      </c>
      <c r="CQ5930" t="s">
        <v>5692</v>
      </c>
    </row>
    <row r="5931" spans="1:104" x14ac:dyDescent="0.25">
      <c r="A5931" t="s">
        <v>5629</v>
      </c>
    </row>
    <row r="5935" spans="1:104" x14ac:dyDescent="0.25">
      <c r="A5935" t="s">
        <v>5693</v>
      </c>
      <c r="R5935" t="s">
        <v>5694</v>
      </c>
    </row>
    <row r="5936" spans="1:104" x14ac:dyDescent="0.25">
      <c r="A5936" t="s">
        <v>5695</v>
      </c>
      <c r="Z5936" t="s">
        <v>5696</v>
      </c>
    </row>
    <row r="5937" spans="1:95" x14ac:dyDescent="0.25">
      <c r="A5937" t="s">
        <v>5697</v>
      </c>
      <c r="AB5937" t="s">
        <v>5698</v>
      </c>
    </row>
    <row r="5938" spans="1:95" x14ac:dyDescent="0.25">
      <c r="A5938" t="s">
        <v>5699</v>
      </c>
      <c r="BH5938" t="s">
        <v>5700</v>
      </c>
      <c r="BJ5938" t="s">
        <v>5701</v>
      </c>
    </row>
    <row r="5939" spans="1:95" x14ac:dyDescent="0.25">
      <c r="A5939" t="s">
        <v>5702</v>
      </c>
      <c r="BQ5939" t="s">
        <v>5703</v>
      </c>
      <c r="CQ5939" t="s">
        <v>5704</v>
      </c>
    </row>
    <row r="5940" spans="1:95" x14ac:dyDescent="0.25">
      <c r="A5940" t="s">
        <v>5705</v>
      </c>
      <c r="AE5940" t="s">
        <v>5706</v>
      </c>
      <c r="BW5940" t="s">
        <v>5707</v>
      </c>
      <c r="CQ5940" t="s">
        <v>5708</v>
      </c>
    </row>
    <row r="5941" spans="1:95" x14ac:dyDescent="0.25">
      <c r="A5941" t="s">
        <v>5709</v>
      </c>
      <c r="BS5941" t="s">
        <v>5710</v>
      </c>
      <c r="CQ5941" t="s">
        <v>5711</v>
      </c>
    </row>
    <row r="5942" spans="1:95" x14ac:dyDescent="0.25">
      <c r="A5942" t="s">
        <v>5712</v>
      </c>
    </row>
    <row r="5944" spans="1:95" x14ac:dyDescent="0.25">
      <c r="C5944">
        <v>200</v>
      </c>
    </row>
    <row r="5947" spans="1:95" x14ac:dyDescent="0.25">
      <c r="A5947" t="s">
        <v>5713</v>
      </c>
      <c r="K5947" t="s">
        <v>5714</v>
      </c>
    </row>
    <row r="5950" spans="1:95" x14ac:dyDescent="0.25">
      <c r="C5950" t="s">
        <v>5715</v>
      </c>
    </row>
    <row r="5951" spans="1:95" x14ac:dyDescent="0.25">
      <c r="A5951" t="s">
        <v>5716</v>
      </c>
    </row>
    <row r="5952" spans="1:95" x14ac:dyDescent="0.25">
      <c r="J5952" t="s">
        <v>5717</v>
      </c>
    </row>
    <row r="5953" spans="1:95" x14ac:dyDescent="0.25">
      <c r="A5953" t="s">
        <v>5718</v>
      </c>
    </row>
    <row r="5959" spans="1:95" x14ac:dyDescent="0.25">
      <c r="A5959" t="s">
        <v>5719</v>
      </c>
    </row>
    <row r="5960" spans="1:95" x14ac:dyDescent="0.25">
      <c r="A5960" t="s">
        <v>5720</v>
      </c>
      <c r="R5960" t="s">
        <v>5721</v>
      </c>
    </row>
    <row r="5961" spans="1:95" x14ac:dyDescent="0.25">
      <c r="A5961" t="s">
        <v>5722</v>
      </c>
    </row>
    <row r="5962" spans="1:95" x14ac:dyDescent="0.25">
      <c r="A5962" t="s">
        <v>5723</v>
      </c>
      <c r="AK5962" t="s">
        <v>5724</v>
      </c>
      <c r="BO5962" t="s">
        <v>5725</v>
      </c>
    </row>
    <row r="5963" spans="1:95" x14ac:dyDescent="0.25">
      <c r="A5963" t="s">
        <v>5726</v>
      </c>
      <c r="BJ5963" t="s">
        <v>5727</v>
      </c>
      <c r="CQ5963" t="s">
        <v>5728</v>
      </c>
    </row>
    <row r="5964" spans="1:95" x14ac:dyDescent="0.25">
      <c r="A5964" t="s">
        <v>5729</v>
      </c>
      <c r="U5964" t="s">
        <v>5730</v>
      </c>
      <c r="AF5964" t="s">
        <v>5731</v>
      </c>
      <c r="AQ5964" t="s">
        <v>5732</v>
      </c>
      <c r="BS5964" t="s">
        <v>5733</v>
      </c>
      <c r="CQ5964" t="s">
        <v>5734</v>
      </c>
    </row>
    <row r="5965" spans="1:95" x14ac:dyDescent="0.25">
      <c r="A5965" t="s">
        <v>5735</v>
      </c>
    </row>
    <row r="5966" spans="1:95" x14ac:dyDescent="0.25">
      <c r="A5966" t="s">
        <v>4911</v>
      </c>
    </row>
    <row r="5968" spans="1:95" x14ac:dyDescent="0.25">
      <c r="A5968" t="s">
        <v>5736</v>
      </c>
    </row>
    <row r="5969" spans="1:95" x14ac:dyDescent="0.25">
      <c r="A5969" t="s">
        <v>5737</v>
      </c>
      <c r="J5969" t="s">
        <v>5738</v>
      </c>
    </row>
    <row r="5970" spans="1:95" x14ac:dyDescent="0.25">
      <c r="A5970" t="s">
        <v>5739</v>
      </c>
      <c r="U5970" t="s">
        <v>5740</v>
      </c>
      <c r="BM5970" t="s">
        <v>5741</v>
      </c>
      <c r="CQ5970" t="s">
        <v>5742</v>
      </c>
    </row>
    <row r="5971" spans="1:95" x14ac:dyDescent="0.25">
      <c r="A5971" t="s">
        <v>5629</v>
      </c>
    </row>
    <row r="5976" spans="1:95" x14ac:dyDescent="0.25">
      <c r="A5976" t="s">
        <v>5743</v>
      </c>
      <c r="R5976" t="s">
        <v>5744</v>
      </c>
      <c r="BH5976" t="s">
        <v>5745</v>
      </c>
    </row>
    <row r="5977" spans="1:95" x14ac:dyDescent="0.25">
      <c r="A5977" t="s">
        <v>5746</v>
      </c>
      <c r="Q5977" t="s">
        <v>5747</v>
      </c>
      <c r="Z5977" t="s">
        <v>5748</v>
      </c>
      <c r="AT5977" t="s">
        <v>5749</v>
      </c>
    </row>
    <row r="5978" spans="1:95" x14ac:dyDescent="0.25">
      <c r="A5978" t="s">
        <v>5750</v>
      </c>
      <c r="BH5978" t="s">
        <v>5751</v>
      </c>
    </row>
    <row r="5979" spans="1:95" x14ac:dyDescent="0.25">
      <c r="A5979" t="s">
        <v>5752</v>
      </c>
    </row>
    <row r="5980" spans="1:95" x14ac:dyDescent="0.25">
      <c r="A5980" t="s">
        <v>5753</v>
      </c>
      <c r="AK5980" t="s">
        <v>5754</v>
      </c>
      <c r="BQ5980" t="s">
        <v>5755</v>
      </c>
      <c r="CQ5980" t="s">
        <v>5756</v>
      </c>
    </row>
    <row r="5981" spans="1:95" x14ac:dyDescent="0.25">
      <c r="A5981" t="s">
        <v>5757</v>
      </c>
      <c r="AF5981" t="s">
        <v>5758</v>
      </c>
      <c r="AO5981" t="s">
        <v>5759</v>
      </c>
      <c r="BQ5981" t="s">
        <v>5760</v>
      </c>
      <c r="CQ5981" t="s">
        <v>5761</v>
      </c>
    </row>
    <row r="5982" spans="1:95" x14ac:dyDescent="0.25">
      <c r="A5982" t="s">
        <v>5579</v>
      </c>
      <c r="S5982" t="s">
        <v>5762</v>
      </c>
      <c r="AF5982" t="s">
        <v>5763</v>
      </c>
      <c r="CQ5982" t="s">
        <v>5764</v>
      </c>
    </row>
    <row r="5983" spans="1:95" x14ac:dyDescent="0.25">
      <c r="A5983" t="s">
        <v>5583</v>
      </c>
      <c r="P5983" t="s">
        <v>5584</v>
      </c>
      <c r="X5983" t="s">
        <v>5765</v>
      </c>
      <c r="BG5983" t="s">
        <v>5656</v>
      </c>
      <c r="CQ5983" t="s">
        <v>5766</v>
      </c>
    </row>
    <row r="5984" spans="1:95" x14ac:dyDescent="0.25">
      <c r="A5984" t="s">
        <v>5767</v>
      </c>
    </row>
    <row r="5986" spans="1:104" x14ac:dyDescent="0.25">
      <c r="A5986" t="s">
        <v>5768</v>
      </c>
      <c r="P5986" t="s">
        <v>5769</v>
      </c>
    </row>
    <row r="5987" spans="1:104" x14ac:dyDescent="0.25">
      <c r="A5987" t="s">
        <v>5770</v>
      </c>
      <c r="S5987" t="s">
        <v>5771</v>
      </c>
    </row>
    <row r="5988" spans="1:104" x14ac:dyDescent="0.25">
      <c r="A5988" t="s">
        <v>5772</v>
      </c>
      <c r="Z5988" t="s">
        <v>5773</v>
      </c>
      <c r="BM5988" t="s">
        <v>5774</v>
      </c>
      <c r="CQ5988" t="s">
        <v>5627</v>
      </c>
      <c r="CZ5988" t="s">
        <v>5628</v>
      </c>
    </row>
    <row r="5990" spans="1:104" x14ac:dyDescent="0.25">
      <c r="A5990" t="s">
        <v>5775</v>
      </c>
      <c r="S5990" t="s">
        <v>5776</v>
      </c>
      <c r="CQ5990" t="s">
        <v>5777</v>
      </c>
    </row>
    <row r="5991" spans="1:104" x14ac:dyDescent="0.25">
      <c r="A5991" t="s">
        <v>5598</v>
      </c>
    </row>
    <row r="5996" spans="1:104" x14ac:dyDescent="0.25">
      <c r="A5996" t="s">
        <v>5719</v>
      </c>
    </row>
    <row r="5997" spans="1:104" x14ac:dyDescent="0.25">
      <c r="A5997" t="s">
        <v>5778</v>
      </c>
      <c r="R5997" t="s">
        <v>5779</v>
      </c>
    </row>
    <row r="5998" spans="1:104" x14ac:dyDescent="0.25">
      <c r="A5998" t="s">
        <v>5780</v>
      </c>
    </row>
    <row r="5999" spans="1:104" x14ac:dyDescent="0.25">
      <c r="A5999" t="s">
        <v>5722</v>
      </c>
    </row>
    <row r="6000" spans="1:104" x14ac:dyDescent="0.25">
      <c r="A6000" t="s">
        <v>5723</v>
      </c>
      <c r="AK6000" t="s">
        <v>5781</v>
      </c>
      <c r="BO6000" t="s">
        <v>5782</v>
      </c>
    </row>
    <row r="6001" spans="1:95" x14ac:dyDescent="0.25">
      <c r="A6001" t="s">
        <v>5783</v>
      </c>
    </row>
    <row r="6002" spans="1:95" x14ac:dyDescent="0.25">
      <c r="A6002" t="s">
        <v>5784</v>
      </c>
      <c r="AQ6002" t="s">
        <v>5785</v>
      </c>
      <c r="BQ6002" t="s">
        <v>5577</v>
      </c>
      <c r="CQ6002" t="s">
        <v>5786</v>
      </c>
    </row>
    <row r="6003" spans="1:95" x14ac:dyDescent="0.25">
      <c r="A6003" t="s">
        <v>5787</v>
      </c>
      <c r="CQ6003" t="s">
        <v>5788</v>
      </c>
    </row>
    <row r="6004" spans="1:95" x14ac:dyDescent="0.25">
      <c r="A6004" t="s">
        <v>5579</v>
      </c>
    </row>
    <row r="6005" spans="1:95" x14ac:dyDescent="0.25">
      <c r="C6005" t="s">
        <v>5789</v>
      </c>
      <c r="G6005" t="s">
        <v>5584</v>
      </c>
    </row>
    <row r="6006" spans="1:95" x14ac:dyDescent="0.25">
      <c r="C6006">
        <v>200</v>
      </c>
    </row>
    <row r="6007" spans="1:95" x14ac:dyDescent="0.25">
      <c r="C6007">
        <v>300</v>
      </c>
    </row>
    <row r="6009" spans="1:95" x14ac:dyDescent="0.25">
      <c r="A6009" t="s">
        <v>5790</v>
      </c>
    </row>
    <row r="6012" spans="1:95" x14ac:dyDescent="0.25">
      <c r="C6012" t="s">
        <v>5791</v>
      </c>
    </row>
    <row r="6013" spans="1:95" x14ac:dyDescent="0.25">
      <c r="J6013" t="s">
        <v>5792</v>
      </c>
    </row>
    <row r="6014" spans="1:95" x14ac:dyDescent="0.25">
      <c r="A6014" t="s">
        <v>5679</v>
      </c>
    </row>
    <row r="6015" spans="1:95" x14ac:dyDescent="0.25">
      <c r="A6015" t="s">
        <v>5793</v>
      </c>
    </row>
    <row r="6017" spans="1:95" x14ac:dyDescent="0.25">
      <c r="A6017" t="s">
        <v>5736</v>
      </c>
    </row>
    <row r="6018" spans="1:95" x14ac:dyDescent="0.25">
      <c r="A6018" t="s">
        <v>5737</v>
      </c>
      <c r="J6018" t="s">
        <v>5738</v>
      </c>
    </row>
    <row r="6020" spans="1:95" x14ac:dyDescent="0.25">
      <c r="A6020" t="s">
        <v>5629</v>
      </c>
    </row>
    <row r="6024" spans="1:95" x14ac:dyDescent="0.25">
      <c r="A6024" t="s">
        <v>5794</v>
      </c>
      <c r="AJ6024" t="s">
        <v>5795</v>
      </c>
    </row>
    <row r="6025" spans="1:95" x14ac:dyDescent="0.25">
      <c r="A6025" t="s">
        <v>5796</v>
      </c>
      <c r="V6025" t="s">
        <v>5797</v>
      </c>
      <c r="BS6025" t="s">
        <v>5798</v>
      </c>
      <c r="CC6025" t="s">
        <v>5799</v>
      </c>
    </row>
    <row r="6026" spans="1:95" x14ac:dyDescent="0.25">
      <c r="A6026" t="s">
        <v>5800</v>
      </c>
      <c r="V6026" t="s">
        <v>5801</v>
      </c>
      <c r="BU6026" t="s">
        <v>5802</v>
      </c>
      <c r="BW6026" t="s">
        <v>5803</v>
      </c>
    </row>
    <row r="6027" spans="1:95" x14ac:dyDescent="0.25">
      <c r="A6027" t="s">
        <v>5804</v>
      </c>
      <c r="X6027" t="s">
        <v>5805</v>
      </c>
    </row>
    <row r="6028" spans="1:95" x14ac:dyDescent="0.25">
      <c r="A6028" t="s">
        <v>5806</v>
      </c>
      <c r="AM6028" t="s">
        <v>5807</v>
      </c>
      <c r="CC6028" t="s">
        <v>5808</v>
      </c>
    </row>
    <row r="6029" spans="1:95" x14ac:dyDescent="0.25">
      <c r="A6029" t="s">
        <v>5809</v>
      </c>
      <c r="P6029" t="s">
        <v>5810</v>
      </c>
      <c r="Z6029" t="s">
        <v>5811</v>
      </c>
      <c r="BQ6029" t="s">
        <v>5812</v>
      </c>
      <c r="CQ6029" t="s">
        <v>5813</v>
      </c>
    </row>
    <row r="6030" spans="1:95" x14ac:dyDescent="0.25">
      <c r="A6030" t="s">
        <v>5814</v>
      </c>
    </row>
    <row r="6031" spans="1:95" x14ac:dyDescent="0.25">
      <c r="A6031" t="s">
        <v>5815</v>
      </c>
      <c r="K6031" t="s">
        <v>5816</v>
      </c>
      <c r="P6031" t="s">
        <v>5817</v>
      </c>
      <c r="V6031" t="s">
        <v>5818</v>
      </c>
      <c r="BM6031" t="s">
        <v>5819</v>
      </c>
      <c r="CQ6031" t="s">
        <v>5820</v>
      </c>
    </row>
    <row r="6032" spans="1:95" x14ac:dyDescent="0.25">
      <c r="A6032" t="s">
        <v>5821</v>
      </c>
      <c r="Z6032" t="s">
        <v>5822</v>
      </c>
    </row>
    <row r="6033" spans="1:104" x14ac:dyDescent="0.25">
      <c r="A6033" t="s">
        <v>5690</v>
      </c>
      <c r="CQ6033" t="s">
        <v>5627</v>
      </c>
      <c r="CZ6033" t="s">
        <v>5628</v>
      </c>
    </row>
    <row r="6034" spans="1:104" x14ac:dyDescent="0.25">
      <c r="A6034" t="s">
        <v>5596</v>
      </c>
      <c r="CQ6034" t="s">
        <v>5597</v>
      </c>
    </row>
    <row r="6035" spans="1:104" x14ac:dyDescent="0.25">
      <c r="A6035" t="s">
        <v>5629</v>
      </c>
    </row>
    <row r="6039" spans="1:104" x14ac:dyDescent="0.25">
      <c r="A6039" t="s">
        <v>5823</v>
      </c>
    </row>
    <row r="6040" spans="1:104" x14ac:dyDescent="0.25">
      <c r="A6040" t="s">
        <v>5824</v>
      </c>
      <c r="AU6040" t="s">
        <v>5825</v>
      </c>
      <c r="BJ6040" t="s">
        <v>5825</v>
      </c>
      <c r="BP6040" t="s">
        <v>1627</v>
      </c>
    </row>
    <row r="6041" spans="1:104" x14ac:dyDescent="0.25">
      <c r="A6041" t="s">
        <v>5826</v>
      </c>
      <c r="BU6041" t="s">
        <v>5827</v>
      </c>
      <c r="CO6041" t="s">
        <v>5828</v>
      </c>
    </row>
    <row r="6042" spans="1:104" x14ac:dyDescent="0.25">
      <c r="BU6042" t="s">
        <v>5829</v>
      </c>
      <c r="CO6042" t="s">
        <v>5830</v>
      </c>
    </row>
    <row r="6043" spans="1:104" x14ac:dyDescent="0.25">
      <c r="BU6043" t="s">
        <v>5831</v>
      </c>
      <c r="CO6043" t="s">
        <v>5832</v>
      </c>
    </row>
    <row r="6044" spans="1:104" x14ac:dyDescent="0.25">
      <c r="A6044" t="s">
        <v>5833</v>
      </c>
      <c r="AE6044" t="s">
        <v>5834</v>
      </c>
    </row>
    <row r="6045" spans="1:104" x14ac:dyDescent="0.25">
      <c r="BU6045" t="s">
        <v>5835</v>
      </c>
      <c r="CO6045" t="s">
        <v>5836</v>
      </c>
    </row>
    <row r="6046" spans="1:104" x14ac:dyDescent="0.25">
      <c r="BU6046" t="s">
        <v>5837</v>
      </c>
      <c r="CO6046" t="s">
        <v>5838</v>
      </c>
    </row>
    <row r="6047" spans="1:104" x14ac:dyDescent="0.25">
      <c r="BU6047" t="s">
        <v>5614</v>
      </c>
      <c r="CO6047" t="s">
        <v>5615</v>
      </c>
    </row>
    <row r="6049" spans="1:102" x14ac:dyDescent="0.25">
      <c r="AE6049" t="s">
        <v>5839</v>
      </c>
      <c r="BU6049" t="s">
        <v>5646</v>
      </c>
      <c r="CO6049" t="s">
        <v>5840</v>
      </c>
    </row>
    <row r="6051" spans="1:102" x14ac:dyDescent="0.25">
      <c r="A6051" t="s">
        <v>5841</v>
      </c>
      <c r="P6051" t="s">
        <v>5842</v>
      </c>
      <c r="S6051" t="s">
        <v>5843</v>
      </c>
      <c r="BU6051" t="s">
        <v>5844</v>
      </c>
      <c r="CO6051" t="s">
        <v>5652</v>
      </c>
    </row>
    <row r="6052" spans="1:102" x14ac:dyDescent="0.25">
      <c r="BU6052" t="s">
        <v>5845</v>
      </c>
      <c r="CO6052" t="s">
        <v>5846</v>
      </c>
    </row>
    <row r="6053" spans="1:102" x14ac:dyDescent="0.25">
      <c r="BU6053" t="s">
        <v>5847</v>
      </c>
      <c r="CO6053" t="s">
        <v>5848</v>
      </c>
    </row>
    <row r="6054" spans="1:102" x14ac:dyDescent="0.25">
      <c r="BU6054" t="s">
        <v>5849</v>
      </c>
      <c r="CO6054" t="s">
        <v>5850</v>
      </c>
    </row>
    <row r="6056" spans="1:102" x14ac:dyDescent="0.25">
      <c r="BU6056" t="s">
        <v>5851</v>
      </c>
      <c r="CO6056" t="s">
        <v>5852</v>
      </c>
    </row>
    <row r="6057" spans="1:102" x14ac:dyDescent="0.25">
      <c r="A6057" t="s">
        <v>5853</v>
      </c>
    </row>
    <row r="6058" spans="1:102" x14ac:dyDescent="0.25">
      <c r="BU6058" t="s">
        <v>5774</v>
      </c>
      <c r="CO6058" t="s">
        <v>5854</v>
      </c>
    </row>
    <row r="6059" spans="1:102" x14ac:dyDescent="0.25">
      <c r="CO6059" t="s">
        <v>5855</v>
      </c>
    </row>
    <row r="6060" spans="1:102" x14ac:dyDescent="0.25">
      <c r="CO6060" t="s">
        <v>5627</v>
      </c>
      <c r="CX6060" t="s">
        <v>5628</v>
      </c>
    </row>
    <row r="6061" spans="1:102" x14ac:dyDescent="0.25">
      <c r="BU6061" t="s">
        <v>5856</v>
      </c>
    </row>
    <row r="6062" spans="1:102" x14ac:dyDescent="0.25">
      <c r="BU6062" t="s">
        <v>5596</v>
      </c>
      <c r="CO6062" t="s">
        <v>5597</v>
      </c>
    </row>
    <row r="6063" spans="1:102" x14ac:dyDescent="0.25">
      <c r="BU6063" t="s">
        <v>5629</v>
      </c>
    </row>
    <row r="6064" spans="1:102" x14ac:dyDescent="0.25">
      <c r="A6064" t="s">
        <v>5857</v>
      </c>
    </row>
    <row r="6067" spans="1:98" x14ac:dyDescent="0.25">
      <c r="A6067" t="s">
        <v>5858</v>
      </c>
      <c r="BH6067" t="s">
        <v>5859</v>
      </c>
      <c r="BY6067" t="s">
        <v>5860</v>
      </c>
    </row>
    <row r="6068" spans="1:98" x14ac:dyDescent="0.25">
      <c r="BH6068" t="s">
        <v>5861</v>
      </c>
    </row>
    <row r="6069" spans="1:98" x14ac:dyDescent="0.25">
      <c r="BH6069" t="s">
        <v>5862</v>
      </c>
      <c r="CT6069" t="s">
        <v>5863</v>
      </c>
    </row>
    <row r="6070" spans="1:98" x14ac:dyDescent="0.25">
      <c r="BH6070" t="s">
        <v>5864</v>
      </c>
      <c r="CT6070">
        <v>1</v>
      </c>
    </row>
    <row r="6071" spans="1:98" x14ac:dyDescent="0.25">
      <c r="CT6071">
        <v>1</v>
      </c>
    </row>
    <row r="6072" spans="1:98" x14ac:dyDescent="0.25">
      <c r="CT6072">
        <v>1</v>
      </c>
    </row>
    <row r="6073" spans="1:98" x14ac:dyDescent="0.25">
      <c r="CT6073">
        <v>1</v>
      </c>
    </row>
    <row r="6074" spans="1:98" x14ac:dyDescent="0.25">
      <c r="CT6074">
        <v>1</v>
      </c>
    </row>
    <row r="6075" spans="1:98" x14ac:dyDescent="0.25">
      <c r="CT6075">
        <v>1</v>
      </c>
    </row>
    <row r="6076" spans="1:98" x14ac:dyDescent="0.25">
      <c r="CT6076">
        <v>1</v>
      </c>
    </row>
    <row r="6077" spans="1:98" x14ac:dyDescent="0.25">
      <c r="CT6077">
        <v>1</v>
      </c>
    </row>
    <row r="6079" spans="1:98" x14ac:dyDescent="0.25">
      <c r="A6079" t="s">
        <v>5865</v>
      </c>
      <c r="BU6079" t="s">
        <v>5827</v>
      </c>
      <c r="CO6079" t="s">
        <v>5605</v>
      </c>
    </row>
    <row r="6080" spans="1:98" x14ac:dyDescent="0.25">
      <c r="BU6080" t="s">
        <v>4925</v>
      </c>
      <c r="BY6080" t="s">
        <v>5866</v>
      </c>
      <c r="CR6080" t="s">
        <v>5867</v>
      </c>
      <c r="CT6080" t="s">
        <v>5830</v>
      </c>
    </row>
    <row r="6081" spans="73:102" x14ac:dyDescent="0.25">
      <c r="BU6081" t="s">
        <v>5868</v>
      </c>
      <c r="BY6081" t="s">
        <v>5869</v>
      </c>
      <c r="CO6081" t="s">
        <v>5832</v>
      </c>
    </row>
    <row r="6082" spans="73:102" x14ac:dyDescent="0.25">
      <c r="BU6082" t="s">
        <v>5835</v>
      </c>
      <c r="CR6082" t="s">
        <v>5870</v>
      </c>
      <c r="CT6082" t="s">
        <v>5871</v>
      </c>
    </row>
    <row r="6083" spans="73:102" x14ac:dyDescent="0.25">
      <c r="BU6083" t="s">
        <v>5872</v>
      </c>
      <c r="BY6083" t="s">
        <v>5873</v>
      </c>
      <c r="CR6083" t="s">
        <v>5874</v>
      </c>
      <c r="CT6083" t="s">
        <v>5875</v>
      </c>
    </row>
    <row r="6084" spans="73:102" x14ac:dyDescent="0.25">
      <c r="BU6084" t="s">
        <v>5614</v>
      </c>
      <c r="CT6084" t="s">
        <v>5615</v>
      </c>
    </row>
    <row r="6085" spans="73:102" x14ac:dyDescent="0.25">
      <c r="BU6085" t="s">
        <v>5646</v>
      </c>
      <c r="CO6085" t="s">
        <v>5648</v>
      </c>
    </row>
    <row r="6086" spans="73:102" x14ac:dyDescent="0.25">
      <c r="BU6086" t="s">
        <v>5876</v>
      </c>
      <c r="BY6086" t="s">
        <v>5651</v>
      </c>
      <c r="CO6086" t="s">
        <v>5652</v>
      </c>
    </row>
    <row r="6087" spans="73:102" x14ac:dyDescent="0.25">
      <c r="BU6087" t="s">
        <v>5845</v>
      </c>
      <c r="CQ6087" t="s">
        <v>5247</v>
      </c>
      <c r="CT6087" t="s">
        <v>5846</v>
      </c>
    </row>
    <row r="6088" spans="73:102" x14ac:dyDescent="0.25">
      <c r="BU6088" t="s">
        <v>5847</v>
      </c>
      <c r="CQ6088" t="s">
        <v>5247</v>
      </c>
      <c r="CT6088" t="s">
        <v>5848</v>
      </c>
    </row>
    <row r="6089" spans="73:102" x14ac:dyDescent="0.25">
      <c r="BU6089" t="s">
        <v>5849</v>
      </c>
      <c r="CQ6089" t="s">
        <v>5247</v>
      </c>
      <c r="CT6089" t="s">
        <v>5850</v>
      </c>
    </row>
    <row r="6090" spans="73:102" x14ac:dyDescent="0.25">
      <c r="BU6090" t="s">
        <v>5851</v>
      </c>
      <c r="CQ6090" t="s">
        <v>5247</v>
      </c>
      <c r="CT6090" t="s">
        <v>5852</v>
      </c>
    </row>
    <row r="6091" spans="73:102" x14ac:dyDescent="0.25">
      <c r="CO6091" t="s">
        <v>5877</v>
      </c>
    </row>
    <row r="6092" spans="73:102" x14ac:dyDescent="0.25">
      <c r="CO6092" t="s">
        <v>5878</v>
      </c>
    </row>
    <row r="6093" spans="73:102" x14ac:dyDescent="0.25">
      <c r="CO6093" t="s">
        <v>5879</v>
      </c>
    </row>
    <row r="6094" spans="73:102" x14ac:dyDescent="0.25">
      <c r="BU6094" t="s">
        <v>5774</v>
      </c>
      <c r="CO6094" t="s">
        <v>5627</v>
      </c>
      <c r="CX6094" t="s">
        <v>5628</v>
      </c>
    </row>
    <row r="6095" spans="73:102" x14ac:dyDescent="0.25">
      <c r="BU6095" t="s">
        <v>5880</v>
      </c>
    </row>
    <row r="6096" spans="73:102" x14ac:dyDescent="0.25">
      <c r="BU6096" t="s">
        <v>5596</v>
      </c>
      <c r="CO6096" t="s">
        <v>5777</v>
      </c>
    </row>
    <row r="6097" spans="1:93" x14ac:dyDescent="0.25">
      <c r="BU6097" t="s">
        <v>5881</v>
      </c>
    </row>
    <row r="6102" spans="1:93" x14ac:dyDescent="0.25">
      <c r="A6102" t="s">
        <v>5882</v>
      </c>
    </row>
    <row r="6103" spans="1:93" x14ac:dyDescent="0.25">
      <c r="A6103" t="s">
        <v>5883</v>
      </c>
      <c r="BU6103" t="s">
        <v>5884</v>
      </c>
    </row>
    <row r="6104" spans="1:93" x14ac:dyDescent="0.25">
      <c r="BU6104" t="s">
        <v>5596</v>
      </c>
      <c r="CO6104" t="s">
        <v>5777</v>
      </c>
    </row>
    <row r="6105" spans="1:93" x14ac:dyDescent="0.25">
      <c r="BU6105" t="s">
        <v>5885</v>
      </c>
    </row>
    <row r="6108" spans="1:93" x14ac:dyDescent="0.25">
      <c r="A6108" t="s">
        <v>5886</v>
      </c>
    </row>
    <row r="6111" spans="1:93" x14ac:dyDescent="0.25">
      <c r="A6111" t="s">
        <v>5887</v>
      </c>
      <c r="Z6111" t="s">
        <v>5888</v>
      </c>
    </row>
    <row r="6112" spans="1:93" x14ac:dyDescent="0.25">
      <c r="A6112" t="s">
        <v>5889</v>
      </c>
    </row>
    <row r="6113" spans="1:88" x14ac:dyDescent="0.25">
      <c r="A6113" t="s">
        <v>5890</v>
      </c>
    </row>
    <row r="6115" spans="1:88" x14ac:dyDescent="0.25">
      <c r="A6115" t="s">
        <v>5891</v>
      </c>
      <c r="N6115" t="s">
        <v>5892</v>
      </c>
    </row>
    <row r="6116" spans="1:88" x14ac:dyDescent="0.25">
      <c r="N6116" t="s">
        <v>5893</v>
      </c>
    </row>
    <row r="6117" spans="1:88" x14ac:dyDescent="0.25">
      <c r="A6117" t="s">
        <v>5894</v>
      </c>
      <c r="X6117" t="s">
        <v>5895</v>
      </c>
    </row>
    <row r="6118" spans="1:88" x14ac:dyDescent="0.25">
      <c r="A6118" t="s">
        <v>5896</v>
      </c>
      <c r="AB6118" t="s">
        <v>5897</v>
      </c>
      <c r="AX6118" t="s">
        <v>5898</v>
      </c>
      <c r="BW6118" t="s">
        <v>5899</v>
      </c>
    </row>
    <row r="6119" spans="1:88" x14ac:dyDescent="0.25">
      <c r="A6119" t="s">
        <v>5900</v>
      </c>
      <c r="X6119" t="s">
        <v>5901</v>
      </c>
    </row>
    <row r="6120" spans="1:88" x14ac:dyDescent="0.25">
      <c r="A6120" t="s">
        <v>5902</v>
      </c>
    </row>
    <row r="6121" spans="1:88" x14ac:dyDescent="0.25">
      <c r="A6121" t="s">
        <v>5903</v>
      </c>
      <c r="Q6121" t="s">
        <v>5904</v>
      </c>
      <c r="AQ6121" t="s">
        <v>5905</v>
      </c>
      <c r="CJ6121" t="s">
        <v>5906</v>
      </c>
    </row>
    <row r="6122" spans="1:88" x14ac:dyDescent="0.25">
      <c r="A6122" t="s">
        <v>5907</v>
      </c>
    </row>
    <row r="6123" spans="1:88" x14ac:dyDescent="0.25">
      <c r="A6123" t="s">
        <v>5908</v>
      </c>
      <c r="X6123" t="s">
        <v>5909</v>
      </c>
      <c r="AH6123" t="s">
        <v>5910</v>
      </c>
      <c r="AX6123" t="s">
        <v>5911</v>
      </c>
    </row>
    <row r="6124" spans="1:88" x14ac:dyDescent="0.25">
      <c r="A6124" t="s">
        <v>5912</v>
      </c>
      <c r="AH6124" t="s">
        <v>5913</v>
      </c>
    </row>
    <row r="6125" spans="1:88" x14ac:dyDescent="0.25">
      <c r="A6125" t="s">
        <v>5914</v>
      </c>
      <c r="AH6125" t="s">
        <v>5915</v>
      </c>
      <c r="AM6125" t="s">
        <v>5916</v>
      </c>
    </row>
    <row r="6126" spans="1:88" x14ac:dyDescent="0.25">
      <c r="A6126" t="s">
        <v>5917</v>
      </c>
      <c r="V6126" t="s">
        <v>5918</v>
      </c>
      <c r="AH6126" t="s">
        <v>5919</v>
      </c>
    </row>
    <row r="6127" spans="1:88" x14ac:dyDescent="0.25">
      <c r="A6127" t="s">
        <v>5920</v>
      </c>
      <c r="AB6127" t="s">
        <v>5921</v>
      </c>
      <c r="AF6127" t="s">
        <v>5922</v>
      </c>
      <c r="AM6127" t="s">
        <v>5921</v>
      </c>
    </row>
    <row r="6128" spans="1:88" x14ac:dyDescent="0.25">
      <c r="A6128" t="s">
        <v>5923</v>
      </c>
      <c r="AB6128" t="s">
        <v>5924</v>
      </c>
      <c r="BU6128" t="s">
        <v>5925</v>
      </c>
    </row>
    <row r="6129" spans="1:90" x14ac:dyDescent="0.25">
      <c r="A6129" t="s">
        <v>5926</v>
      </c>
    </row>
    <row r="6130" spans="1:90" x14ac:dyDescent="0.25">
      <c r="A6130" t="s">
        <v>5927</v>
      </c>
      <c r="BE6130" t="s">
        <v>5928</v>
      </c>
      <c r="BJ6130" t="s">
        <v>5929</v>
      </c>
      <c r="BW6130" t="s">
        <v>5930</v>
      </c>
    </row>
    <row r="6131" spans="1:90" x14ac:dyDescent="0.25">
      <c r="A6131" t="s">
        <v>5931</v>
      </c>
    </row>
    <row r="6132" spans="1:90" x14ac:dyDescent="0.25">
      <c r="A6132" t="s">
        <v>5932</v>
      </c>
      <c r="AK6132" t="s">
        <v>5933</v>
      </c>
      <c r="AQ6132" t="s">
        <v>5934</v>
      </c>
      <c r="AX6132" t="s">
        <v>5935</v>
      </c>
      <c r="BT6132" t="s">
        <v>5936</v>
      </c>
    </row>
    <row r="6133" spans="1:90" x14ac:dyDescent="0.25">
      <c r="A6133" t="s">
        <v>5885</v>
      </c>
    </row>
    <row r="6139" spans="1:90" x14ac:dyDescent="0.25">
      <c r="A6139" t="s">
        <v>5937</v>
      </c>
      <c r="CL6139" t="s">
        <v>5938</v>
      </c>
    </row>
    <row r="6141" spans="1:90" x14ac:dyDescent="0.25">
      <c r="AI6141" t="s">
        <v>5939</v>
      </c>
    </row>
    <row r="6143" spans="1:90" x14ac:dyDescent="0.25">
      <c r="A6143" t="s">
        <v>5940</v>
      </c>
    </row>
    <row r="6144" spans="1:90" x14ac:dyDescent="0.25">
      <c r="A6144" t="s">
        <v>5941</v>
      </c>
    </row>
    <row r="6146" spans="1:84" x14ac:dyDescent="0.25">
      <c r="A6146" t="s">
        <v>5942</v>
      </c>
    </row>
    <row r="6147" spans="1:84" x14ac:dyDescent="0.25">
      <c r="I6147" t="s">
        <v>5943</v>
      </c>
    </row>
    <row r="6149" spans="1:84" x14ac:dyDescent="0.25">
      <c r="I6149" t="s">
        <v>5944</v>
      </c>
    </row>
    <row r="6151" spans="1:84" x14ac:dyDescent="0.25">
      <c r="I6151" t="s">
        <v>5945</v>
      </c>
      <c r="AX6151" t="s">
        <v>5946</v>
      </c>
      <c r="BJ6151" t="s">
        <v>5947</v>
      </c>
      <c r="BT6151" t="s">
        <v>5948</v>
      </c>
      <c r="CF6151" t="s">
        <v>5949</v>
      </c>
    </row>
    <row r="6152" spans="1:84" x14ac:dyDescent="0.25">
      <c r="I6152" t="s">
        <v>5950</v>
      </c>
      <c r="AX6152" t="s">
        <v>5951</v>
      </c>
      <c r="BJ6152" t="s">
        <v>5952</v>
      </c>
      <c r="BT6152" t="s">
        <v>5953</v>
      </c>
      <c r="CF6152" t="s">
        <v>5954</v>
      </c>
    </row>
    <row r="6153" spans="1:84" x14ac:dyDescent="0.25">
      <c r="I6153" t="s">
        <v>5955</v>
      </c>
      <c r="AX6153" t="s">
        <v>5956</v>
      </c>
      <c r="BJ6153" t="s">
        <v>5957</v>
      </c>
      <c r="BT6153" t="s">
        <v>5958</v>
      </c>
      <c r="CF6153" t="s">
        <v>5959</v>
      </c>
    </row>
    <row r="6154" spans="1:84" x14ac:dyDescent="0.25">
      <c r="I6154" t="s">
        <v>5960</v>
      </c>
      <c r="AX6154" t="s">
        <v>5961</v>
      </c>
      <c r="BJ6154" t="s">
        <v>5962</v>
      </c>
      <c r="BT6154" t="s">
        <v>5963</v>
      </c>
      <c r="CF6154" t="s">
        <v>5964</v>
      </c>
    </row>
    <row r="6155" spans="1:84" x14ac:dyDescent="0.25">
      <c r="I6155" t="s">
        <v>5965</v>
      </c>
      <c r="AX6155" t="s">
        <v>5966</v>
      </c>
      <c r="BJ6155" t="s">
        <v>5967</v>
      </c>
      <c r="BT6155" t="s">
        <v>5968</v>
      </c>
      <c r="CF6155" t="s">
        <v>5969</v>
      </c>
    </row>
    <row r="6156" spans="1:84" x14ac:dyDescent="0.25">
      <c r="I6156" t="s">
        <v>5970</v>
      </c>
      <c r="AX6156" t="s">
        <v>5971</v>
      </c>
      <c r="BJ6156" t="s">
        <v>5971</v>
      </c>
      <c r="BT6156" t="s">
        <v>5971</v>
      </c>
      <c r="CF6156" t="s">
        <v>5971</v>
      </c>
    </row>
    <row r="6157" spans="1:84" x14ac:dyDescent="0.25">
      <c r="I6157" t="s">
        <v>5972</v>
      </c>
      <c r="AX6157" t="s">
        <v>5973</v>
      </c>
      <c r="BJ6157" t="s">
        <v>5974</v>
      </c>
      <c r="BT6157" t="s">
        <v>5975</v>
      </c>
      <c r="CF6157" t="s">
        <v>5976</v>
      </c>
    </row>
    <row r="6158" spans="1:84" x14ac:dyDescent="0.25">
      <c r="I6158" t="s">
        <v>5977</v>
      </c>
      <c r="AX6158" t="s">
        <v>5978</v>
      </c>
      <c r="BJ6158" t="s">
        <v>5979</v>
      </c>
      <c r="BT6158" t="s">
        <v>5980</v>
      </c>
      <c r="CF6158" t="s">
        <v>5981</v>
      </c>
    </row>
    <row r="6160" spans="1:84" x14ac:dyDescent="0.25">
      <c r="I6160" t="s">
        <v>5982</v>
      </c>
    </row>
    <row r="6162" spans="1:77" x14ac:dyDescent="0.25">
      <c r="I6162" t="s">
        <v>5983</v>
      </c>
      <c r="AK6162" t="s">
        <v>5984</v>
      </c>
      <c r="AX6162" t="s">
        <v>5985</v>
      </c>
      <c r="BM6162" t="s">
        <v>5986</v>
      </c>
      <c r="BY6162" t="s">
        <v>5987</v>
      </c>
    </row>
    <row r="6163" spans="1:77" x14ac:dyDescent="0.25">
      <c r="I6163" t="s">
        <v>5988</v>
      </c>
      <c r="V6163" t="s">
        <v>5989</v>
      </c>
      <c r="AK6163">
        <v>4</v>
      </c>
      <c r="AX6163" t="s">
        <v>3043</v>
      </c>
      <c r="BM6163">
        <v>8</v>
      </c>
      <c r="BY6163">
        <v>11.2</v>
      </c>
    </row>
    <row r="6164" spans="1:77" x14ac:dyDescent="0.25">
      <c r="V6164" t="s">
        <v>5990</v>
      </c>
      <c r="AK6164">
        <v>59</v>
      </c>
      <c r="AX6164" t="s">
        <v>5063</v>
      </c>
      <c r="BM6164">
        <v>63</v>
      </c>
      <c r="BY6164">
        <v>64</v>
      </c>
    </row>
    <row r="6165" spans="1:77" x14ac:dyDescent="0.25">
      <c r="I6165" t="s">
        <v>5991</v>
      </c>
      <c r="V6165" t="s">
        <v>5989</v>
      </c>
      <c r="AK6165">
        <v>2.85</v>
      </c>
      <c r="AX6165" t="s">
        <v>5992</v>
      </c>
      <c r="BM6165">
        <v>5.93</v>
      </c>
      <c r="BY6165">
        <v>8.2799999999999994</v>
      </c>
    </row>
    <row r="6166" spans="1:77" x14ac:dyDescent="0.25">
      <c r="V6166" t="s">
        <v>5993</v>
      </c>
      <c r="AK6166">
        <v>0.71</v>
      </c>
      <c r="AX6166" t="s">
        <v>5994</v>
      </c>
      <c r="BM6166">
        <v>0.74</v>
      </c>
      <c r="BY6166">
        <v>0.74</v>
      </c>
    </row>
    <row r="6167" spans="1:77" x14ac:dyDescent="0.25">
      <c r="V6167" t="s">
        <v>5990</v>
      </c>
      <c r="AK6167">
        <v>54</v>
      </c>
      <c r="AX6167" t="s">
        <v>5995</v>
      </c>
      <c r="BM6167">
        <v>58</v>
      </c>
      <c r="BY6167">
        <v>62</v>
      </c>
    </row>
    <row r="6168" spans="1:77" x14ac:dyDescent="0.25">
      <c r="V6168" t="s">
        <v>5993</v>
      </c>
      <c r="AK6168" t="s">
        <v>5996</v>
      </c>
      <c r="AX6168" t="s">
        <v>5997</v>
      </c>
      <c r="BM6168" t="s">
        <v>5996</v>
      </c>
      <c r="BY6168" t="s">
        <v>5998</v>
      </c>
    </row>
    <row r="6170" spans="1:77" x14ac:dyDescent="0.25">
      <c r="A6170" t="s">
        <v>5999</v>
      </c>
    </row>
    <row r="6172" spans="1:77" x14ac:dyDescent="0.25">
      <c r="A6172" t="s">
        <v>5163</v>
      </c>
    </row>
    <row r="6174" spans="1:77" x14ac:dyDescent="0.25">
      <c r="A6174" t="s">
        <v>5164</v>
      </c>
    </row>
    <row r="6175" spans="1:77" x14ac:dyDescent="0.25">
      <c r="A6175" t="s">
        <v>5221</v>
      </c>
    </row>
    <row r="6177" spans="1:84" x14ac:dyDescent="0.25">
      <c r="A6177" t="s">
        <v>2449</v>
      </c>
    </row>
    <row r="6178" spans="1:84" x14ac:dyDescent="0.25">
      <c r="A6178" t="s">
        <v>6000</v>
      </c>
      <c r="BA6178" t="s">
        <v>6001</v>
      </c>
      <c r="BE6178" t="s">
        <v>6001</v>
      </c>
      <c r="BG6178" t="s">
        <v>6001</v>
      </c>
      <c r="BH6178" t="s">
        <v>6001</v>
      </c>
      <c r="BJ6178" t="s">
        <v>6001</v>
      </c>
      <c r="BM6178" t="s">
        <v>6001</v>
      </c>
      <c r="BO6178" t="s">
        <v>6001</v>
      </c>
      <c r="BP6178" t="s">
        <v>6001</v>
      </c>
      <c r="BQ6178" t="s">
        <v>6001</v>
      </c>
      <c r="BS6178" t="s">
        <v>6001</v>
      </c>
      <c r="BT6178" t="s">
        <v>6001</v>
      </c>
      <c r="BU6178" t="s">
        <v>6001</v>
      </c>
      <c r="BW6178" t="s">
        <v>6001</v>
      </c>
      <c r="BX6178" t="s">
        <v>6001</v>
      </c>
      <c r="BY6178" t="s">
        <v>6001</v>
      </c>
      <c r="BZ6178" t="s">
        <v>6001</v>
      </c>
      <c r="CC6178" t="s">
        <v>6001</v>
      </c>
      <c r="CD6178" t="s">
        <v>6001</v>
      </c>
      <c r="CF6178" t="s">
        <v>6002</v>
      </c>
    </row>
    <row r="6179" spans="1:84" x14ac:dyDescent="0.25">
      <c r="A6179" t="s">
        <v>6003</v>
      </c>
      <c r="BA6179" t="s">
        <v>6001</v>
      </c>
      <c r="BE6179" t="s">
        <v>6001</v>
      </c>
      <c r="BG6179" t="s">
        <v>6001</v>
      </c>
      <c r="BH6179" t="s">
        <v>6001</v>
      </c>
      <c r="BJ6179" t="s">
        <v>6001</v>
      </c>
      <c r="BM6179" t="s">
        <v>6001</v>
      </c>
      <c r="BO6179" t="s">
        <v>6001</v>
      </c>
      <c r="BP6179" t="s">
        <v>6001</v>
      </c>
      <c r="BQ6179" t="s">
        <v>6001</v>
      </c>
      <c r="BS6179" t="s">
        <v>6001</v>
      </c>
      <c r="BT6179" t="s">
        <v>6001</v>
      </c>
      <c r="BU6179" t="s">
        <v>6001</v>
      </c>
      <c r="BW6179" t="s">
        <v>6001</v>
      </c>
      <c r="BX6179" t="s">
        <v>6001</v>
      </c>
      <c r="BY6179" t="s">
        <v>6001</v>
      </c>
      <c r="BZ6179" t="s">
        <v>6001</v>
      </c>
      <c r="CC6179" t="s">
        <v>6001</v>
      </c>
      <c r="CD6179" t="s">
        <v>6001</v>
      </c>
      <c r="CF6179" t="s">
        <v>6004</v>
      </c>
    </row>
    <row r="6180" spans="1:84" x14ac:dyDescent="0.25">
      <c r="A6180" t="s">
        <v>6005</v>
      </c>
      <c r="BA6180" t="s">
        <v>6001</v>
      </c>
      <c r="BE6180" t="s">
        <v>6001</v>
      </c>
      <c r="BG6180" t="s">
        <v>6001</v>
      </c>
      <c r="BH6180" t="s">
        <v>6001</v>
      </c>
      <c r="BJ6180" t="s">
        <v>6001</v>
      </c>
      <c r="BM6180" t="s">
        <v>6001</v>
      </c>
      <c r="BO6180" t="s">
        <v>6001</v>
      </c>
      <c r="BP6180" t="s">
        <v>6001</v>
      </c>
      <c r="BQ6180" t="s">
        <v>6001</v>
      </c>
      <c r="BS6180" t="s">
        <v>6001</v>
      </c>
      <c r="BT6180" t="s">
        <v>6001</v>
      </c>
      <c r="BU6180" t="s">
        <v>6001</v>
      </c>
      <c r="BW6180" t="s">
        <v>6001</v>
      </c>
      <c r="BX6180" t="s">
        <v>6001</v>
      </c>
      <c r="BY6180" t="s">
        <v>6001</v>
      </c>
      <c r="BZ6180" t="s">
        <v>6001</v>
      </c>
      <c r="CC6180" t="s">
        <v>6001</v>
      </c>
      <c r="CD6180" t="s">
        <v>6001</v>
      </c>
      <c r="CF6180" t="s">
        <v>6006</v>
      </c>
    </row>
    <row r="6181" spans="1:84" x14ac:dyDescent="0.25">
      <c r="A6181" t="s">
        <v>6007</v>
      </c>
      <c r="BA6181" t="s">
        <v>6001</v>
      </c>
      <c r="BE6181" t="s">
        <v>6001</v>
      </c>
      <c r="BG6181" t="s">
        <v>6001</v>
      </c>
      <c r="BH6181" t="s">
        <v>6001</v>
      </c>
      <c r="BJ6181" t="s">
        <v>6001</v>
      </c>
      <c r="BM6181" t="s">
        <v>6001</v>
      </c>
      <c r="BO6181" t="s">
        <v>6001</v>
      </c>
      <c r="BP6181" t="s">
        <v>6001</v>
      </c>
      <c r="BQ6181" t="s">
        <v>6001</v>
      </c>
      <c r="BS6181" t="s">
        <v>6001</v>
      </c>
      <c r="BT6181" t="s">
        <v>6001</v>
      </c>
      <c r="BU6181" t="s">
        <v>6001</v>
      </c>
      <c r="BW6181" t="s">
        <v>6001</v>
      </c>
      <c r="BX6181" t="s">
        <v>6001</v>
      </c>
      <c r="BY6181" t="s">
        <v>6001</v>
      </c>
      <c r="BZ6181" t="s">
        <v>6001</v>
      </c>
      <c r="CC6181" t="s">
        <v>6001</v>
      </c>
      <c r="CD6181" t="s">
        <v>6001</v>
      </c>
      <c r="CF6181" t="s">
        <v>6008</v>
      </c>
    </row>
    <row r="6182" spans="1:84" x14ac:dyDescent="0.25">
      <c r="A6182" t="s">
        <v>6009</v>
      </c>
      <c r="BA6182" t="s">
        <v>6001</v>
      </c>
      <c r="BE6182" t="s">
        <v>6001</v>
      </c>
      <c r="BG6182" t="s">
        <v>6001</v>
      </c>
      <c r="BH6182" t="s">
        <v>6001</v>
      </c>
      <c r="BJ6182" t="s">
        <v>6001</v>
      </c>
      <c r="BM6182" t="s">
        <v>6001</v>
      </c>
      <c r="BO6182" t="s">
        <v>6001</v>
      </c>
      <c r="BP6182" t="s">
        <v>6001</v>
      </c>
      <c r="BQ6182" t="s">
        <v>6001</v>
      </c>
      <c r="BS6182" t="s">
        <v>6001</v>
      </c>
      <c r="BT6182" t="s">
        <v>6001</v>
      </c>
      <c r="BU6182" t="s">
        <v>6001</v>
      </c>
      <c r="BW6182" t="s">
        <v>6001</v>
      </c>
      <c r="BX6182" t="s">
        <v>6001</v>
      </c>
      <c r="BY6182" t="s">
        <v>6001</v>
      </c>
      <c r="BZ6182" t="s">
        <v>6001</v>
      </c>
      <c r="CC6182" t="s">
        <v>6001</v>
      </c>
      <c r="CD6182" t="s">
        <v>6001</v>
      </c>
      <c r="CF6182" t="s">
        <v>6010</v>
      </c>
    </row>
    <row r="6183" spans="1:84" x14ac:dyDescent="0.25">
      <c r="A6183" t="s">
        <v>6011</v>
      </c>
      <c r="AO6183" t="s">
        <v>6001</v>
      </c>
      <c r="AQ6183" t="s">
        <v>6001</v>
      </c>
      <c r="AT6183" t="s">
        <v>6001</v>
      </c>
      <c r="AU6183" t="s">
        <v>6001</v>
      </c>
      <c r="AX6183" t="s">
        <v>6001</v>
      </c>
      <c r="BA6183" t="s">
        <v>6001</v>
      </c>
      <c r="BE6183" t="s">
        <v>6001</v>
      </c>
      <c r="BG6183" t="s">
        <v>6001</v>
      </c>
      <c r="BH6183" t="s">
        <v>6001</v>
      </c>
      <c r="BJ6183" t="s">
        <v>6001</v>
      </c>
      <c r="BM6183" t="s">
        <v>6001</v>
      </c>
      <c r="BO6183" t="s">
        <v>6001</v>
      </c>
      <c r="BP6183" t="s">
        <v>6001</v>
      </c>
      <c r="BQ6183" t="s">
        <v>6001</v>
      </c>
      <c r="BS6183" t="s">
        <v>6001</v>
      </c>
      <c r="BT6183" t="s">
        <v>6001</v>
      </c>
      <c r="BU6183" t="s">
        <v>6001</v>
      </c>
      <c r="BW6183" t="s">
        <v>6001</v>
      </c>
      <c r="BX6183" t="s">
        <v>6001</v>
      </c>
      <c r="BY6183" t="s">
        <v>6001</v>
      </c>
      <c r="BZ6183" t="s">
        <v>6001</v>
      </c>
      <c r="CC6183" t="s">
        <v>6001</v>
      </c>
      <c r="CD6183" t="s">
        <v>6001</v>
      </c>
      <c r="CF6183" t="s">
        <v>6012</v>
      </c>
    </row>
    <row r="6184" spans="1:84" x14ac:dyDescent="0.25">
      <c r="A6184" t="s">
        <v>6013</v>
      </c>
      <c r="AO6184" t="s">
        <v>6001</v>
      </c>
      <c r="AQ6184" t="s">
        <v>6001</v>
      </c>
      <c r="AT6184" t="s">
        <v>6001</v>
      </c>
      <c r="AU6184" t="s">
        <v>6001</v>
      </c>
      <c r="AX6184" t="s">
        <v>6001</v>
      </c>
      <c r="BA6184" t="s">
        <v>6001</v>
      </c>
      <c r="BE6184" t="s">
        <v>6001</v>
      </c>
      <c r="BG6184" t="s">
        <v>6001</v>
      </c>
      <c r="BH6184" t="s">
        <v>6001</v>
      </c>
      <c r="BJ6184" t="s">
        <v>6001</v>
      </c>
      <c r="BM6184" t="s">
        <v>6001</v>
      </c>
      <c r="BO6184" t="s">
        <v>6001</v>
      </c>
      <c r="BP6184" t="s">
        <v>6001</v>
      </c>
      <c r="BQ6184" t="s">
        <v>6001</v>
      </c>
      <c r="BS6184" t="s">
        <v>6001</v>
      </c>
      <c r="BT6184" t="s">
        <v>6001</v>
      </c>
      <c r="BU6184" t="s">
        <v>6001</v>
      </c>
      <c r="BW6184" t="s">
        <v>6001</v>
      </c>
      <c r="BX6184" t="s">
        <v>6001</v>
      </c>
      <c r="BY6184" t="s">
        <v>6001</v>
      </c>
      <c r="BZ6184" t="s">
        <v>6001</v>
      </c>
      <c r="CC6184" t="s">
        <v>6001</v>
      </c>
      <c r="CD6184" t="s">
        <v>6001</v>
      </c>
      <c r="CF6184" t="s">
        <v>6014</v>
      </c>
    </row>
    <row r="6185" spans="1:84" x14ac:dyDescent="0.25">
      <c r="A6185" t="s">
        <v>6015</v>
      </c>
      <c r="AO6185" t="s">
        <v>6001</v>
      </c>
      <c r="AQ6185" t="s">
        <v>6001</v>
      </c>
      <c r="AT6185" t="s">
        <v>6001</v>
      </c>
      <c r="AU6185" t="s">
        <v>6001</v>
      </c>
      <c r="AX6185" t="s">
        <v>6001</v>
      </c>
      <c r="BA6185" t="s">
        <v>6001</v>
      </c>
      <c r="BE6185" t="s">
        <v>6001</v>
      </c>
      <c r="BG6185" t="s">
        <v>6001</v>
      </c>
      <c r="BH6185" t="s">
        <v>6001</v>
      </c>
      <c r="BJ6185" t="s">
        <v>6001</v>
      </c>
      <c r="BM6185" t="s">
        <v>6001</v>
      </c>
      <c r="BO6185" t="s">
        <v>6001</v>
      </c>
      <c r="BP6185" t="s">
        <v>6001</v>
      </c>
      <c r="BQ6185" t="s">
        <v>6001</v>
      </c>
      <c r="BS6185" t="s">
        <v>6001</v>
      </c>
      <c r="BT6185" t="s">
        <v>6001</v>
      </c>
      <c r="BU6185" t="s">
        <v>6001</v>
      </c>
      <c r="BW6185" t="s">
        <v>6001</v>
      </c>
      <c r="BX6185" t="s">
        <v>6001</v>
      </c>
      <c r="BY6185" t="s">
        <v>6001</v>
      </c>
      <c r="BZ6185" t="s">
        <v>6001</v>
      </c>
      <c r="CC6185" t="s">
        <v>6001</v>
      </c>
      <c r="CD6185" t="s">
        <v>6001</v>
      </c>
      <c r="CF6185" t="s">
        <v>6016</v>
      </c>
    </row>
    <row r="6186" spans="1:84" x14ac:dyDescent="0.25">
      <c r="A6186" t="s">
        <v>6017</v>
      </c>
      <c r="AO6186" t="s">
        <v>6001</v>
      </c>
      <c r="AQ6186" t="s">
        <v>6001</v>
      </c>
      <c r="AT6186" t="s">
        <v>6001</v>
      </c>
      <c r="AU6186" t="s">
        <v>6001</v>
      </c>
      <c r="AX6186" t="s">
        <v>6001</v>
      </c>
      <c r="BA6186" t="s">
        <v>6001</v>
      </c>
      <c r="BE6186" t="s">
        <v>6001</v>
      </c>
      <c r="BG6186" t="s">
        <v>6001</v>
      </c>
      <c r="BH6186" t="s">
        <v>6001</v>
      </c>
      <c r="BJ6186" t="s">
        <v>6001</v>
      </c>
      <c r="BM6186" t="s">
        <v>6001</v>
      </c>
      <c r="BO6186" t="s">
        <v>6001</v>
      </c>
      <c r="BP6186" t="s">
        <v>6001</v>
      </c>
      <c r="BQ6186" t="s">
        <v>6001</v>
      </c>
      <c r="BS6186" t="s">
        <v>6001</v>
      </c>
      <c r="BT6186" t="s">
        <v>6001</v>
      </c>
      <c r="BU6186" t="s">
        <v>6001</v>
      </c>
      <c r="BW6186" t="s">
        <v>6001</v>
      </c>
      <c r="BX6186" t="s">
        <v>6001</v>
      </c>
      <c r="BY6186" t="s">
        <v>6001</v>
      </c>
      <c r="BZ6186" t="s">
        <v>6001</v>
      </c>
      <c r="CC6186" t="s">
        <v>6001</v>
      </c>
      <c r="CD6186" t="s">
        <v>6001</v>
      </c>
      <c r="CF6186" t="s">
        <v>6018</v>
      </c>
    </row>
    <row r="6187" spans="1:84" x14ac:dyDescent="0.25">
      <c r="A6187" t="s">
        <v>6019</v>
      </c>
      <c r="AO6187" t="s">
        <v>6001</v>
      </c>
      <c r="AQ6187" t="s">
        <v>6001</v>
      </c>
      <c r="AT6187" t="s">
        <v>6001</v>
      </c>
      <c r="AU6187" t="s">
        <v>6001</v>
      </c>
      <c r="AX6187" t="s">
        <v>6001</v>
      </c>
      <c r="BA6187" t="s">
        <v>6001</v>
      </c>
      <c r="BE6187" t="s">
        <v>6001</v>
      </c>
      <c r="BG6187" t="s">
        <v>6001</v>
      </c>
      <c r="BH6187" t="s">
        <v>6001</v>
      </c>
      <c r="BJ6187" t="s">
        <v>6001</v>
      </c>
      <c r="BM6187" t="s">
        <v>6001</v>
      </c>
      <c r="BO6187" t="s">
        <v>6001</v>
      </c>
      <c r="BP6187" t="s">
        <v>6001</v>
      </c>
      <c r="BQ6187" t="s">
        <v>6001</v>
      </c>
      <c r="BS6187" t="s">
        <v>6001</v>
      </c>
      <c r="BT6187" t="s">
        <v>6001</v>
      </c>
      <c r="BU6187" t="s">
        <v>6001</v>
      </c>
      <c r="BW6187" t="s">
        <v>6001</v>
      </c>
      <c r="BX6187" t="s">
        <v>6001</v>
      </c>
      <c r="BY6187" t="s">
        <v>6001</v>
      </c>
      <c r="BZ6187" t="s">
        <v>6001</v>
      </c>
      <c r="CC6187" t="s">
        <v>6001</v>
      </c>
      <c r="CD6187" t="s">
        <v>6001</v>
      </c>
      <c r="CF6187" t="s">
        <v>6020</v>
      </c>
    </row>
    <row r="6188" spans="1:84" x14ac:dyDescent="0.25">
      <c r="A6188" t="s">
        <v>6021</v>
      </c>
      <c r="AO6188" t="s">
        <v>6001</v>
      </c>
      <c r="AQ6188" t="s">
        <v>6001</v>
      </c>
      <c r="AT6188" t="s">
        <v>6001</v>
      </c>
      <c r="AU6188" t="s">
        <v>6001</v>
      </c>
      <c r="AX6188" t="s">
        <v>6001</v>
      </c>
      <c r="BA6188" t="s">
        <v>6001</v>
      </c>
      <c r="BE6188" t="s">
        <v>6001</v>
      </c>
      <c r="BG6188" t="s">
        <v>6001</v>
      </c>
      <c r="BH6188" t="s">
        <v>6001</v>
      </c>
      <c r="BJ6188" t="s">
        <v>6001</v>
      </c>
      <c r="BM6188" t="s">
        <v>6001</v>
      </c>
      <c r="BO6188" t="s">
        <v>6001</v>
      </c>
      <c r="BP6188" t="s">
        <v>6001</v>
      </c>
      <c r="BQ6188" t="s">
        <v>6001</v>
      </c>
      <c r="BS6188" t="s">
        <v>6001</v>
      </c>
      <c r="BT6188" t="s">
        <v>6001</v>
      </c>
      <c r="BU6188" t="s">
        <v>6001</v>
      </c>
      <c r="BW6188" t="s">
        <v>6001</v>
      </c>
      <c r="BX6188" t="s">
        <v>6001</v>
      </c>
      <c r="BY6188" t="s">
        <v>6001</v>
      </c>
      <c r="BZ6188" t="s">
        <v>6001</v>
      </c>
      <c r="CC6188" t="s">
        <v>6001</v>
      </c>
      <c r="CD6188" t="s">
        <v>6001</v>
      </c>
      <c r="CF6188" t="s">
        <v>6022</v>
      </c>
    </row>
    <row r="6189" spans="1:84" x14ac:dyDescent="0.25">
      <c r="A6189" t="s">
        <v>6023</v>
      </c>
      <c r="AO6189" t="s">
        <v>6001</v>
      </c>
      <c r="AQ6189" t="s">
        <v>6001</v>
      </c>
      <c r="AT6189" t="s">
        <v>6001</v>
      </c>
      <c r="AU6189" t="s">
        <v>6001</v>
      </c>
      <c r="AX6189" t="s">
        <v>6001</v>
      </c>
      <c r="BA6189" t="s">
        <v>6001</v>
      </c>
      <c r="BE6189" t="s">
        <v>6001</v>
      </c>
      <c r="BG6189" t="s">
        <v>6001</v>
      </c>
      <c r="BH6189" t="s">
        <v>6001</v>
      </c>
      <c r="BJ6189" t="s">
        <v>6001</v>
      </c>
      <c r="BM6189" t="s">
        <v>6001</v>
      </c>
      <c r="BO6189" t="s">
        <v>6001</v>
      </c>
      <c r="BP6189" t="s">
        <v>6001</v>
      </c>
      <c r="BQ6189" t="s">
        <v>6001</v>
      </c>
      <c r="BS6189" t="s">
        <v>6001</v>
      </c>
      <c r="BT6189" t="s">
        <v>6001</v>
      </c>
      <c r="BU6189" t="s">
        <v>6001</v>
      </c>
      <c r="BW6189" t="s">
        <v>6001</v>
      </c>
      <c r="BX6189" t="s">
        <v>6001</v>
      </c>
      <c r="BY6189" t="s">
        <v>6001</v>
      </c>
      <c r="BZ6189" t="s">
        <v>6001</v>
      </c>
      <c r="CC6189" t="s">
        <v>6001</v>
      </c>
      <c r="CD6189" t="s">
        <v>6001</v>
      </c>
      <c r="CF6189" t="s">
        <v>6024</v>
      </c>
    </row>
    <row r="6190" spans="1:84" x14ac:dyDescent="0.25">
      <c r="A6190" t="s">
        <v>6025</v>
      </c>
      <c r="AO6190" t="s">
        <v>6001</v>
      </c>
      <c r="AQ6190" t="s">
        <v>6001</v>
      </c>
      <c r="AT6190" t="s">
        <v>6001</v>
      </c>
      <c r="AU6190" t="s">
        <v>6001</v>
      </c>
      <c r="AX6190" t="s">
        <v>6001</v>
      </c>
      <c r="BA6190" t="s">
        <v>6001</v>
      </c>
      <c r="BE6190" t="s">
        <v>6001</v>
      </c>
      <c r="BG6190" t="s">
        <v>6001</v>
      </c>
      <c r="BH6190" t="s">
        <v>6001</v>
      </c>
      <c r="BJ6190" t="s">
        <v>6001</v>
      </c>
      <c r="BM6190" t="s">
        <v>6001</v>
      </c>
      <c r="BO6190" t="s">
        <v>6001</v>
      </c>
      <c r="BP6190" t="s">
        <v>6001</v>
      </c>
      <c r="BQ6190" t="s">
        <v>6001</v>
      </c>
      <c r="BS6190" t="s">
        <v>6001</v>
      </c>
      <c r="BT6190" t="s">
        <v>6001</v>
      </c>
      <c r="BU6190" t="s">
        <v>6001</v>
      </c>
      <c r="BW6190" t="s">
        <v>6001</v>
      </c>
      <c r="BX6190" t="s">
        <v>6001</v>
      </c>
      <c r="BY6190" t="s">
        <v>6001</v>
      </c>
      <c r="BZ6190" t="s">
        <v>6001</v>
      </c>
      <c r="CC6190" t="s">
        <v>6001</v>
      </c>
      <c r="CD6190" t="s">
        <v>6001</v>
      </c>
      <c r="CF6190" t="s">
        <v>6026</v>
      </c>
    </row>
    <row r="6191" spans="1:84" x14ac:dyDescent="0.25">
      <c r="A6191" t="s">
        <v>6027</v>
      </c>
      <c r="AO6191" t="s">
        <v>6001</v>
      </c>
      <c r="AQ6191" t="s">
        <v>6001</v>
      </c>
      <c r="AT6191" t="s">
        <v>6001</v>
      </c>
      <c r="AU6191" t="s">
        <v>6001</v>
      </c>
      <c r="AX6191" t="s">
        <v>6001</v>
      </c>
      <c r="BA6191" t="s">
        <v>6001</v>
      </c>
      <c r="BE6191" t="s">
        <v>6001</v>
      </c>
      <c r="BG6191" t="s">
        <v>6001</v>
      </c>
      <c r="BH6191" t="s">
        <v>6001</v>
      </c>
      <c r="BJ6191" t="s">
        <v>6001</v>
      </c>
      <c r="BM6191" t="s">
        <v>6001</v>
      </c>
      <c r="BO6191" t="s">
        <v>6001</v>
      </c>
      <c r="BP6191" t="s">
        <v>6001</v>
      </c>
      <c r="BQ6191" t="s">
        <v>6001</v>
      </c>
      <c r="BS6191" t="s">
        <v>6001</v>
      </c>
      <c r="BT6191" t="s">
        <v>6001</v>
      </c>
      <c r="BU6191" t="s">
        <v>6001</v>
      </c>
      <c r="BW6191" t="s">
        <v>6001</v>
      </c>
      <c r="BX6191" t="s">
        <v>6001</v>
      </c>
      <c r="BY6191" t="s">
        <v>6001</v>
      </c>
      <c r="BZ6191" t="s">
        <v>6001</v>
      </c>
      <c r="CC6191" t="s">
        <v>6001</v>
      </c>
      <c r="CD6191" t="s">
        <v>6001</v>
      </c>
      <c r="CF6191" t="s">
        <v>6028</v>
      </c>
    </row>
    <row r="6192" spans="1:84" x14ac:dyDescent="0.25">
      <c r="A6192" t="s">
        <v>6029</v>
      </c>
      <c r="AO6192" t="s">
        <v>6001</v>
      </c>
      <c r="AQ6192" t="s">
        <v>6001</v>
      </c>
      <c r="AT6192" t="s">
        <v>6001</v>
      </c>
      <c r="AU6192" t="s">
        <v>6001</v>
      </c>
      <c r="AX6192" t="s">
        <v>6001</v>
      </c>
      <c r="BA6192" t="s">
        <v>6001</v>
      </c>
      <c r="BE6192" t="s">
        <v>6001</v>
      </c>
      <c r="BG6192" t="s">
        <v>6001</v>
      </c>
      <c r="BH6192" t="s">
        <v>6001</v>
      </c>
      <c r="BJ6192" t="s">
        <v>6001</v>
      </c>
      <c r="BM6192" t="s">
        <v>6001</v>
      </c>
      <c r="BO6192" t="s">
        <v>6001</v>
      </c>
      <c r="BP6192" t="s">
        <v>6001</v>
      </c>
      <c r="BQ6192" t="s">
        <v>6001</v>
      </c>
      <c r="BS6192" t="s">
        <v>6001</v>
      </c>
      <c r="BT6192" t="s">
        <v>6001</v>
      </c>
      <c r="BU6192" t="s">
        <v>6001</v>
      </c>
      <c r="BW6192" t="s">
        <v>6001</v>
      </c>
      <c r="BX6192" t="s">
        <v>6001</v>
      </c>
      <c r="BY6192" t="s">
        <v>6001</v>
      </c>
      <c r="BZ6192" t="s">
        <v>6001</v>
      </c>
      <c r="CC6192" t="s">
        <v>6001</v>
      </c>
      <c r="CD6192" t="s">
        <v>6001</v>
      </c>
      <c r="CF6192" t="s">
        <v>6030</v>
      </c>
    </row>
    <row r="6193" spans="1:84" x14ac:dyDescent="0.25">
      <c r="A6193" t="s">
        <v>6031</v>
      </c>
      <c r="AO6193" t="s">
        <v>6001</v>
      </c>
      <c r="AQ6193" t="s">
        <v>6001</v>
      </c>
      <c r="AT6193" t="s">
        <v>6001</v>
      </c>
      <c r="AU6193" t="s">
        <v>6001</v>
      </c>
      <c r="AX6193" t="s">
        <v>6001</v>
      </c>
      <c r="BA6193" t="s">
        <v>6001</v>
      </c>
      <c r="BE6193" t="s">
        <v>6001</v>
      </c>
      <c r="BG6193" t="s">
        <v>6001</v>
      </c>
      <c r="BH6193" t="s">
        <v>6001</v>
      </c>
      <c r="BJ6193" t="s">
        <v>6001</v>
      </c>
      <c r="BM6193" t="s">
        <v>6001</v>
      </c>
      <c r="BO6193" t="s">
        <v>6001</v>
      </c>
      <c r="BP6193" t="s">
        <v>6001</v>
      </c>
      <c r="BQ6193" t="s">
        <v>6001</v>
      </c>
      <c r="BS6193" t="s">
        <v>6001</v>
      </c>
      <c r="BT6193" t="s">
        <v>6001</v>
      </c>
      <c r="BU6193" t="s">
        <v>6001</v>
      </c>
      <c r="BW6193" t="s">
        <v>6001</v>
      </c>
      <c r="BX6193" t="s">
        <v>6001</v>
      </c>
      <c r="BY6193" t="s">
        <v>6001</v>
      </c>
      <c r="BZ6193" t="s">
        <v>6001</v>
      </c>
      <c r="CC6193" t="s">
        <v>6001</v>
      </c>
      <c r="CD6193" t="s">
        <v>6001</v>
      </c>
      <c r="CF6193" t="s">
        <v>6032</v>
      </c>
    </row>
    <row r="6194" spans="1:84" x14ac:dyDescent="0.25">
      <c r="A6194" t="s">
        <v>6033</v>
      </c>
      <c r="AO6194" t="s">
        <v>6001</v>
      </c>
      <c r="AQ6194" t="s">
        <v>6001</v>
      </c>
      <c r="AT6194" t="s">
        <v>6001</v>
      </c>
      <c r="AU6194" t="s">
        <v>6001</v>
      </c>
      <c r="AX6194" t="s">
        <v>6001</v>
      </c>
      <c r="BA6194" t="s">
        <v>6001</v>
      </c>
      <c r="BE6194" t="s">
        <v>6001</v>
      </c>
      <c r="BG6194" t="s">
        <v>6001</v>
      </c>
      <c r="BH6194" t="s">
        <v>6001</v>
      </c>
      <c r="BJ6194" t="s">
        <v>6001</v>
      </c>
      <c r="BM6194" t="s">
        <v>6001</v>
      </c>
      <c r="BO6194" t="s">
        <v>6001</v>
      </c>
      <c r="BP6194" t="s">
        <v>6001</v>
      </c>
      <c r="BQ6194" t="s">
        <v>6001</v>
      </c>
      <c r="BS6194" t="s">
        <v>6001</v>
      </c>
      <c r="BT6194" t="s">
        <v>6001</v>
      </c>
      <c r="BU6194" t="s">
        <v>6001</v>
      </c>
      <c r="BW6194" t="s">
        <v>6001</v>
      </c>
      <c r="BX6194" t="s">
        <v>6001</v>
      </c>
      <c r="BY6194" t="s">
        <v>6001</v>
      </c>
      <c r="BZ6194" t="s">
        <v>6001</v>
      </c>
      <c r="CC6194" t="s">
        <v>6001</v>
      </c>
      <c r="CD6194" t="s">
        <v>6001</v>
      </c>
      <c r="CF6194" t="s">
        <v>6034</v>
      </c>
    </row>
    <row r="6195" spans="1:84" x14ac:dyDescent="0.25">
      <c r="A6195" t="s">
        <v>6035</v>
      </c>
      <c r="AO6195" t="s">
        <v>6001</v>
      </c>
      <c r="AQ6195" t="s">
        <v>6001</v>
      </c>
      <c r="AT6195" t="s">
        <v>6001</v>
      </c>
      <c r="AU6195" t="s">
        <v>6001</v>
      </c>
      <c r="AX6195" t="s">
        <v>6001</v>
      </c>
      <c r="BA6195" t="s">
        <v>6001</v>
      </c>
      <c r="BE6195" t="s">
        <v>6001</v>
      </c>
      <c r="BG6195" t="s">
        <v>6001</v>
      </c>
      <c r="BH6195" t="s">
        <v>6001</v>
      </c>
      <c r="BJ6195" t="s">
        <v>6001</v>
      </c>
      <c r="BM6195" t="s">
        <v>6001</v>
      </c>
      <c r="BO6195" t="s">
        <v>6001</v>
      </c>
      <c r="BP6195" t="s">
        <v>6001</v>
      </c>
      <c r="BQ6195" t="s">
        <v>6001</v>
      </c>
      <c r="BS6195" t="s">
        <v>6001</v>
      </c>
      <c r="BT6195" t="s">
        <v>6001</v>
      </c>
      <c r="BU6195" t="s">
        <v>6001</v>
      </c>
      <c r="BW6195" t="s">
        <v>6001</v>
      </c>
      <c r="BX6195" t="s">
        <v>6001</v>
      </c>
      <c r="BY6195" t="s">
        <v>6001</v>
      </c>
      <c r="BZ6195" t="s">
        <v>6001</v>
      </c>
      <c r="CC6195" t="s">
        <v>6001</v>
      </c>
      <c r="CD6195" t="s">
        <v>6001</v>
      </c>
      <c r="CF6195" t="s">
        <v>6036</v>
      </c>
    </row>
    <row r="6196" spans="1:84" x14ac:dyDescent="0.25">
      <c r="A6196" t="s">
        <v>6037</v>
      </c>
      <c r="AO6196" t="s">
        <v>6001</v>
      </c>
      <c r="AQ6196" t="s">
        <v>6001</v>
      </c>
      <c r="AT6196" t="s">
        <v>6001</v>
      </c>
      <c r="AU6196" t="s">
        <v>6001</v>
      </c>
      <c r="AX6196" t="s">
        <v>6001</v>
      </c>
      <c r="BA6196" t="s">
        <v>6001</v>
      </c>
      <c r="BE6196" t="s">
        <v>6001</v>
      </c>
      <c r="BG6196" t="s">
        <v>6001</v>
      </c>
      <c r="BH6196" t="s">
        <v>6001</v>
      </c>
      <c r="BJ6196" t="s">
        <v>6001</v>
      </c>
      <c r="BM6196" t="s">
        <v>6001</v>
      </c>
      <c r="BO6196" t="s">
        <v>6001</v>
      </c>
      <c r="BP6196" t="s">
        <v>6001</v>
      </c>
      <c r="BQ6196" t="s">
        <v>6001</v>
      </c>
      <c r="BS6196" t="s">
        <v>6001</v>
      </c>
      <c r="BT6196" t="s">
        <v>6001</v>
      </c>
      <c r="BU6196" t="s">
        <v>6001</v>
      </c>
      <c r="BW6196" t="s">
        <v>6001</v>
      </c>
      <c r="BX6196" t="s">
        <v>6001</v>
      </c>
      <c r="BY6196" t="s">
        <v>6001</v>
      </c>
      <c r="BZ6196" t="s">
        <v>6001</v>
      </c>
      <c r="CC6196" t="s">
        <v>6001</v>
      </c>
      <c r="CD6196" t="s">
        <v>6001</v>
      </c>
      <c r="CF6196" t="s">
        <v>6038</v>
      </c>
    </row>
    <row r="6197" spans="1:84" x14ac:dyDescent="0.25">
      <c r="A6197" t="s">
        <v>6039</v>
      </c>
      <c r="AO6197" t="s">
        <v>6001</v>
      </c>
      <c r="AQ6197" t="s">
        <v>6001</v>
      </c>
      <c r="AT6197" t="s">
        <v>6001</v>
      </c>
      <c r="AU6197" t="s">
        <v>6001</v>
      </c>
      <c r="AX6197" t="s">
        <v>6001</v>
      </c>
      <c r="BA6197" t="s">
        <v>6001</v>
      </c>
      <c r="BE6197" t="s">
        <v>6001</v>
      </c>
      <c r="BG6197" t="s">
        <v>6001</v>
      </c>
      <c r="BH6197" t="s">
        <v>6001</v>
      </c>
      <c r="BJ6197" t="s">
        <v>6001</v>
      </c>
      <c r="BM6197" t="s">
        <v>6001</v>
      </c>
      <c r="BO6197" t="s">
        <v>6001</v>
      </c>
      <c r="BP6197" t="s">
        <v>6001</v>
      </c>
      <c r="BQ6197" t="s">
        <v>6001</v>
      </c>
      <c r="BS6197" t="s">
        <v>6001</v>
      </c>
      <c r="BT6197" t="s">
        <v>6001</v>
      </c>
      <c r="BU6197" t="s">
        <v>6001</v>
      </c>
      <c r="BW6197" t="s">
        <v>6001</v>
      </c>
      <c r="BX6197" t="s">
        <v>6001</v>
      </c>
      <c r="BY6197" t="s">
        <v>6001</v>
      </c>
      <c r="BZ6197" t="s">
        <v>6001</v>
      </c>
      <c r="CC6197" t="s">
        <v>6001</v>
      </c>
      <c r="CD6197" t="s">
        <v>6001</v>
      </c>
      <c r="CF6197" t="s">
        <v>6040</v>
      </c>
    </row>
    <row r="6198" spans="1:84" x14ac:dyDescent="0.25">
      <c r="A6198" t="s">
        <v>6041</v>
      </c>
      <c r="AO6198" t="s">
        <v>6001</v>
      </c>
      <c r="AQ6198" t="s">
        <v>6001</v>
      </c>
      <c r="AT6198" t="s">
        <v>6001</v>
      </c>
      <c r="AU6198" t="s">
        <v>6001</v>
      </c>
      <c r="AX6198" t="s">
        <v>6001</v>
      </c>
      <c r="BA6198" t="s">
        <v>6001</v>
      </c>
      <c r="BE6198" t="s">
        <v>6001</v>
      </c>
      <c r="BG6198" t="s">
        <v>6001</v>
      </c>
      <c r="BH6198" t="s">
        <v>6001</v>
      </c>
      <c r="BJ6198" t="s">
        <v>6001</v>
      </c>
      <c r="BM6198" t="s">
        <v>6001</v>
      </c>
      <c r="BO6198" t="s">
        <v>6001</v>
      </c>
      <c r="BP6198" t="s">
        <v>6001</v>
      </c>
      <c r="BQ6198" t="s">
        <v>6001</v>
      </c>
      <c r="BS6198" t="s">
        <v>6001</v>
      </c>
      <c r="BT6198" t="s">
        <v>6001</v>
      </c>
      <c r="BU6198" t="s">
        <v>6001</v>
      </c>
      <c r="BW6198" t="s">
        <v>6001</v>
      </c>
      <c r="BX6198" t="s">
        <v>6001</v>
      </c>
      <c r="BY6198" t="s">
        <v>6001</v>
      </c>
      <c r="BZ6198" t="s">
        <v>6001</v>
      </c>
      <c r="CC6198" t="s">
        <v>6001</v>
      </c>
      <c r="CD6198" t="s">
        <v>6001</v>
      </c>
      <c r="CF6198" t="s">
        <v>6042</v>
      </c>
    </row>
    <row r="6199" spans="1:84" x14ac:dyDescent="0.25">
      <c r="A6199" t="s">
        <v>6043</v>
      </c>
      <c r="AO6199" t="s">
        <v>6001</v>
      </c>
      <c r="AQ6199" t="s">
        <v>6001</v>
      </c>
      <c r="AT6199" t="s">
        <v>6001</v>
      </c>
      <c r="AU6199" t="s">
        <v>6001</v>
      </c>
      <c r="AX6199" t="s">
        <v>6001</v>
      </c>
      <c r="BA6199" t="s">
        <v>6001</v>
      </c>
      <c r="BE6199" t="s">
        <v>6001</v>
      </c>
      <c r="BG6199" t="s">
        <v>6001</v>
      </c>
      <c r="BH6199" t="s">
        <v>6001</v>
      </c>
      <c r="BJ6199" t="s">
        <v>6001</v>
      </c>
      <c r="BM6199" t="s">
        <v>6001</v>
      </c>
      <c r="BO6199" t="s">
        <v>6001</v>
      </c>
      <c r="BP6199" t="s">
        <v>6001</v>
      </c>
      <c r="BQ6199" t="s">
        <v>6001</v>
      </c>
      <c r="BS6199" t="s">
        <v>6001</v>
      </c>
      <c r="BT6199" t="s">
        <v>6001</v>
      </c>
      <c r="BU6199" t="s">
        <v>6001</v>
      </c>
      <c r="BW6199" t="s">
        <v>6001</v>
      </c>
      <c r="BX6199" t="s">
        <v>6001</v>
      </c>
      <c r="BY6199" t="s">
        <v>6001</v>
      </c>
      <c r="BZ6199" t="s">
        <v>6001</v>
      </c>
      <c r="CC6199" t="s">
        <v>6001</v>
      </c>
      <c r="CD6199" t="s">
        <v>6001</v>
      </c>
      <c r="CF6199" t="s">
        <v>6044</v>
      </c>
    </row>
    <row r="6200" spans="1:84" x14ac:dyDescent="0.25">
      <c r="A6200" t="s">
        <v>6045</v>
      </c>
      <c r="AO6200" t="s">
        <v>6001</v>
      </c>
      <c r="AQ6200" t="s">
        <v>6001</v>
      </c>
      <c r="AT6200" t="s">
        <v>6001</v>
      </c>
      <c r="AU6200" t="s">
        <v>6001</v>
      </c>
      <c r="AX6200" t="s">
        <v>6001</v>
      </c>
      <c r="BA6200" t="s">
        <v>6001</v>
      </c>
      <c r="BE6200" t="s">
        <v>6001</v>
      </c>
      <c r="BG6200" t="s">
        <v>6001</v>
      </c>
      <c r="BH6200" t="s">
        <v>6001</v>
      </c>
      <c r="BJ6200" t="s">
        <v>6001</v>
      </c>
      <c r="BM6200" t="s">
        <v>6001</v>
      </c>
      <c r="BO6200" t="s">
        <v>6001</v>
      </c>
      <c r="BP6200" t="s">
        <v>6001</v>
      </c>
      <c r="BQ6200" t="s">
        <v>6001</v>
      </c>
      <c r="BS6200" t="s">
        <v>6001</v>
      </c>
      <c r="BT6200" t="s">
        <v>6001</v>
      </c>
      <c r="BU6200" t="s">
        <v>6001</v>
      </c>
      <c r="BW6200" t="s">
        <v>6001</v>
      </c>
      <c r="BX6200" t="s">
        <v>6001</v>
      </c>
      <c r="BY6200" t="s">
        <v>6001</v>
      </c>
      <c r="BZ6200" t="s">
        <v>6001</v>
      </c>
      <c r="CC6200" t="s">
        <v>6001</v>
      </c>
      <c r="CD6200" t="s">
        <v>6001</v>
      </c>
      <c r="CF6200" t="s">
        <v>6046</v>
      </c>
    </row>
    <row r="6201" spans="1:84" x14ac:dyDescent="0.25">
      <c r="A6201" t="s">
        <v>6047</v>
      </c>
    </row>
    <row r="6202" spans="1:84" x14ac:dyDescent="0.25">
      <c r="A6202" t="s">
        <v>6048</v>
      </c>
      <c r="I6202" t="s">
        <v>6049</v>
      </c>
    </row>
    <row r="6203" spans="1:84" x14ac:dyDescent="0.25">
      <c r="BJ6203" t="s">
        <v>6050</v>
      </c>
    </row>
    <row r="6204" spans="1:84" x14ac:dyDescent="0.25">
      <c r="AE6204" t="s">
        <v>6051</v>
      </c>
    </row>
    <row r="6205" spans="1:84" x14ac:dyDescent="0.25">
      <c r="BT6205" t="s">
        <v>6052</v>
      </c>
    </row>
    <row r="6206" spans="1:84" x14ac:dyDescent="0.25">
      <c r="AK6206" t="s">
        <v>6053</v>
      </c>
    </row>
    <row r="6207" spans="1:84" x14ac:dyDescent="0.25">
      <c r="I6207" t="s">
        <v>6054</v>
      </c>
    </row>
    <row r="6209" spans="1:93" x14ac:dyDescent="0.25">
      <c r="V6209" t="s">
        <v>6051</v>
      </c>
    </row>
    <row r="6210" spans="1:93" x14ac:dyDescent="0.25">
      <c r="BT6210" t="s">
        <v>6055</v>
      </c>
    </row>
    <row r="6211" spans="1:93" x14ac:dyDescent="0.25">
      <c r="AE6211" t="s">
        <v>6053</v>
      </c>
    </row>
    <row r="6213" spans="1:93" x14ac:dyDescent="0.25">
      <c r="A6213" t="s">
        <v>6056</v>
      </c>
      <c r="Q6213" t="s">
        <v>6057</v>
      </c>
    </row>
    <row r="6216" spans="1:93" x14ac:dyDescent="0.25">
      <c r="CO6216" t="s">
        <v>6058</v>
      </c>
    </row>
    <row r="6217" spans="1:93" x14ac:dyDescent="0.25">
      <c r="A6217" t="s">
        <v>6059</v>
      </c>
    </row>
    <row r="6219" spans="1:93" x14ac:dyDescent="0.25">
      <c r="E6219" t="s">
        <v>6060</v>
      </c>
      <c r="AH6219" t="s">
        <v>6061</v>
      </c>
      <c r="BJ6219" t="s">
        <v>6062</v>
      </c>
    </row>
    <row r="6220" spans="1:93" x14ac:dyDescent="0.25">
      <c r="E6220" t="s">
        <v>6063</v>
      </c>
      <c r="AH6220" t="s">
        <v>5057</v>
      </c>
      <c r="BJ6220">
        <v>1.5</v>
      </c>
    </row>
    <row r="6221" spans="1:93" x14ac:dyDescent="0.25">
      <c r="E6221" t="s">
        <v>6064</v>
      </c>
      <c r="AH6221" t="s">
        <v>5272</v>
      </c>
      <c r="BJ6221">
        <v>0.5</v>
      </c>
    </row>
    <row r="6223" spans="1:93" x14ac:dyDescent="0.25">
      <c r="A6223" t="s">
        <v>6065</v>
      </c>
    </row>
    <row r="6225" spans="1:73" x14ac:dyDescent="0.25">
      <c r="E6225" t="s">
        <v>6066</v>
      </c>
      <c r="BE6225" t="s">
        <v>6067</v>
      </c>
    </row>
    <row r="6226" spans="1:73" x14ac:dyDescent="0.25">
      <c r="E6226" t="s">
        <v>6068</v>
      </c>
      <c r="V6226" t="s">
        <v>6069</v>
      </c>
      <c r="AK6226" t="s">
        <v>6070</v>
      </c>
      <c r="BE6226" t="s">
        <v>6071</v>
      </c>
      <c r="BU6226" t="s">
        <v>6072</v>
      </c>
    </row>
    <row r="6227" spans="1:73" x14ac:dyDescent="0.25">
      <c r="E6227" t="s">
        <v>6073</v>
      </c>
      <c r="V6227" t="s">
        <v>6074</v>
      </c>
      <c r="AK6227" t="s">
        <v>6075</v>
      </c>
      <c r="BE6227" t="s">
        <v>6076</v>
      </c>
      <c r="BU6227">
        <v>9.2999999999999992E-3</v>
      </c>
    </row>
    <row r="6228" spans="1:73" x14ac:dyDescent="0.25">
      <c r="V6228" t="s">
        <v>6077</v>
      </c>
      <c r="AK6228" t="s">
        <v>6078</v>
      </c>
      <c r="BE6228" t="s">
        <v>6079</v>
      </c>
      <c r="BU6228">
        <v>1.29E-2</v>
      </c>
    </row>
    <row r="6229" spans="1:73" x14ac:dyDescent="0.25">
      <c r="E6229" t="s">
        <v>6080</v>
      </c>
      <c r="V6229" t="s">
        <v>6074</v>
      </c>
      <c r="AK6229" t="s">
        <v>6081</v>
      </c>
      <c r="BE6229" t="s">
        <v>6082</v>
      </c>
      <c r="BU6229">
        <v>1.7100000000000001E-2</v>
      </c>
    </row>
    <row r="6230" spans="1:73" x14ac:dyDescent="0.25">
      <c r="V6230" t="s">
        <v>6077</v>
      </c>
      <c r="AK6230" t="s">
        <v>6083</v>
      </c>
      <c r="BE6230" t="s">
        <v>6084</v>
      </c>
      <c r="BU6230">
        <v>2.2200000000000001E-2</v>
      </c>
    </row>
    <row r="6231" spans="1:73" x14ac:dyDescent="0.25">
      <c r="E6231" t="s">
        <v>6085</v>
      </c>
      <c r="V6231" t="s">
        <v>2324</v>
      </c>
      <c r="AK6231" t="s">
        <v>6086</v>
      </c>
    </row>
    <row r="6233" spans="1:73" x14ac:dyDescent="0.25">
      <c r="A6233" t="s">
        <v>6087</v>
      </c>
    </row>
    <row r="6235" spans="1:73" x14ac:dyDescent="0.25">
      <c r="A6235" t="s">
        <v>6088</v>
      </c>
    </row>
    <row r="6237" spans="1:73" x14ac:dyDescent="0.25">
      <c r="A6237" t="s">
        <v>6089</v>
      </c>
    </row>
    <row r="6239" spans="1:73" x14ac:dyDescent="0.25">
      <c r="A6239" t="s">
        <v>6090</v>
      </c>
    </row>
    <row r="6241" spans="1:72" x14ac:dyDescent="0.25">
      <c r="A6241" t="s">
        <v>6091</v>
      </c>
    </row>
    <row r="6243" spans="1:72" x14ac:dyDescent="0.25">
      <c r="E6243" t="s">
        <v>6092</v>
      </c>
      <c r="Z6243" t="s">
        <v>5946</v>
      </c>
      <c r="AO6243" t="s">
        <v>5947</v>
      </c>
      <c r="BE6243" t="s">
        <v>6093</v>
      </c>
      <c r="BT6243" t="s">
        <v>6094</v>
      </c>
    </row>
    <row r="6244" spans="1:72" x14ac:dyDescent="0.25">
      <c r="E6244" t="s">
        <v>6095</v>
      </c>
      <c r="Z6244" t="s">
        <v>6096</v>
      </c>
    </row>
    <row r="6245" spans="1:72" x14ac:dyDescent="0.25">
      <c r="E6245" t="s">
        <v>6097</v>
      </c>
      <c r="Z6245" t="s">
        <v>6098</v>
      </c>
      <c r="BE6245" t="s">
        <v>6099</v>
      </c>
    </row>
    <row r="6246" spans="1:72" x14ac:dyDescent="0.25">
      <c r="E6246" t="s">
        <v>6100</v>
      </c>
      <c r="Z6246" t="s">
        <v>6101</v>
      </c>
      <c r="BE6246" t="s">
        <v>6102</v>
      </c>
    </row>
    <row r="6247" spans="1:72" x14ac:dyDescent="0.25">
      <c r="E6247" t="s">
        <v>6103</v>
      </c>
      <c r="Z6247" t="s">
        <v>6104</v>
      </c>
    </row>
    <row r="6249" spans="1:72" x14ac:dyDescent="0.25">
      <c r="E6249" t="s">
        <v>6105</v>
      </c>
      <c r="Z6249" t="s">
        <v>6106</v>
      </c>
    </row>
    <row r="6250" spans="1:72" x14ac:dyDescent="0.25">
      <c r="E6250" t="s">
        <v>6107</v>
      </c>
      <c r="Z6250" t="s">
        <v>6108</v>
      </c>
    </row>
    <row r="6251" spans="1:72" x14ac:dyDescent="0.25">
      <c r="A6251" t="s">
        <v>6109</v>
      </c>
    </row>
    <row r="6252" spans="1:72" x14ac:dyDescent="0.25">
      <c r="A6252" t="s">
        <v>6110</v>
      </c>
    </row>
    <row r="6254" spans="1:72" x14ac:dyDescent="0.25">
      <c r="A6254" t="s">
        <v>6111</v>
      </c>
    </row>
    <row r="6255" spans="1:72" x14ac:dyDescent="0.25">
      <c r="A6255" t="s">
        <v>6112</v>
      </c>
    </row>
    <row r="6256" spans="1:72" x14ac:dyDescent="0.25">
      <c r="A6256" t="s">
        <v>6113</v>
      </c>
      <c r="AX6256" t="s">
        <v>6114</v>
      </c>
    </row>
    <row r="6257" spans="1:53" x14ac:dyDescent="0.25">
      <c r="Y6257" t="s">
        <v>6115</v>
      </c>
    </row>
    <row r="6258" spans="1:53" x14ac:dyDescent="0.25">
      <c r="A6258" t="s">
        <v>6116</v>
      </c>
      <c r="L6258" t="s">
        <v>6117</v>
      </c>
    </row>
    <row r="6259" spans="1:53" x14ac:dyDescent="0.25">
      <c r="X6259" t="s">
        <v>5057</v>
      </c>
    </row>
    <row r="6260" spans="1:53" x14ac:dyDescent="0.25">
      <c r="S6260" t="s">
        <v>6118</v>
      </c>
    </row>
    <row r="6261" spans="1:53" x14ac:dyDescent="0.25">
      <c r="X6261" t="s">
        <v>5035</v>
      </c>
    </row>
    <row r="6263" spans="1:53" x14ac:dyDescent="0.25">
      <c r="X6263" t="s">
        <v>5272</v>
      </c>
    </row>
    <row r="6267" spans="1:53" x14ac:dyDescent="0.25">
      <c r="AF6267" t="s">
        <v>6119</v>
      </c>
    </row>
    <row r="6268" spans="1:53" x14ac:dyDescent="0.25">
      <c r="A6268" t="s">
        <v>6120</v>
      </c>
      <c r="K6268" t="s">
        <v>6121</v>
      </c>
      <c r="AF6268">
        <v>0</v>
      </c>
    </row>
    <row r="6269" spans="1:53" x14ac:dyDescent="0.25">
      <c r="A6269" t="s">
        <v>6122</v>
      </c>
      <c r="K6269" t="s">
        <v>6123</v>
      </c>
      <c r="AF6269">
        <v>0</v>
      </c>
    </row>
    <row r="6270" spans="1:53" x14ac:dyDescent="0.25">
      <c r="A6270" t="s">
        <v>6124</v>
      </c>
      <c r="K6270" t="s">
        <v>6125</v>
      </c>
      <c r="AF6270">
        <v>1</v>
      </c>
    </row>
    <row r="6271" spans="1:53" x14ac:dyDescent="0.25">
      <c r="A6271" t="s">
        <v>6126</v>
      </c>
    </row>
    <row r="6272" spans="1:53" x14ac:dyDescent="0.25">
      <c r="A6272" t="s">
        <v>6127</v>
      </c>
      <c r="BA6272" t="s">
        <v>6128</v>
      </c>
    </row>
    <row r="6273" spans="1:37" x14ac:dyDescent="0.25">
      <c r="A6273" t="s">
        <v>6129</v>
      </c>
    </row>
    <row r="6274" spans="1:37" x14ac:dyDescent="0.25">
      <c r="A6274" t="s">
        <v>6129</v>
      </c>
    </row>
    <row r="6275" spans="1:37" x14ac:dyDescent="0.25">
      <c r="A6275" t="s">
        <v>6130</v>
      </c>
      <c r="AK6275" t="s">
        <v>6126</v>
      </c>
    </row>
    <row r="6276" spans="1:37" x14ac:dyDescent="0.25">
      <c r="AB6276" t="s">
        <v>6115</v>
      </c>
    </row>
    <row r="6277" spans="1:37" x14ac:dyDescent="0.25">
      <c r="A6277" t="s">
        <v>6131</v>
      </c>
    </row>
    <row r="6278" spans="1:37" x14ac:dyDescent="0.25">
      <c r="Z6278">
        <v>8</v>
      </c>
    </row>
    <row r="6279" spans="1:37" x14ac:dyDescent="0.25">
      <c r="Z6279">
        <v>9</v>
      </c>
    </row>
    <row r="6280" spans="1:37" x14ac:dyDescent="0.25">
      <c r="S6280" t="s">
        <v>6132</v>
      </c>
    </row>
    <row r="6281" spans="1:37" x14ac:dyDescent="0.25">
      <c r="Z6281">
        <v>10</v>
      </c>
    </row>
    <row r="6285" spans="1:37" x14ac:dyDescent="0.25">
      <c r="A6285" t="s">
        <v>6133</v>
      </c>
    </row>
    <row r="6288" spans="1:37" x14ac:dyDescent="0.25">
      <c r="A6288" t="s">
        <v>6134</v>
      </c>
    </row>
    <row r="6290" spans="1:73" x14ac:dyDescent="0.25">
      <c r="A6290" t="s">
        <v>6135</v>
      </c>
      <c r="AU6290" t="s">
        <v>6136</v>
      </c>
    </row>
    <row r="6291" spans="1:73" x14ac:dyDescent="0.25">
      <c r="A6291" t="s">
        <v>6137</v>
      </c>
      <c r="BU6291" t="s">
        <v>6138</v>
      </c>
    </row>
    <row r="6292" spans="1:73" x14ac:dyDescent="0.25">
      <c r="A6292" t="s">
        <v>6139</v>
      </c>
      <c r="V6292" t="s">
        <v>6140</v>
      </c>
    </row>
    <row r="6297" spans="1:73" x14ac:dyDescent="0.25">
      <c r="L6297" t="s">
        <v>4401</v>
      </c>
      <c r="N6297" t="s">
        <v>5264</v>
      </c>
      <c r="P6297" t="s">
        <v>5789</v>
      </c>
      <c r="R6297" t="s">
        <v>6141</v>
      </c>
    </row>
    <row r="6298" spans="1:73" x14ac:dyDescent="0.25">
      <c r="A6298" t="s">
        <v>6142</v>
      </c>
      <c r="J6298" t="s">
        <v>6143</v>
      </c>
    </row>
    <row r="6299" spans="1:73" x14ac:dyDescent="0.25">
      <c r="A6299" t="s">
        <v>6144</v>
      </c>
      <c r="Z6299" t="s">
        <v>6145</v>
      </c>
    </row>
    <row r="6300" spans="1:73" x14ac:dyDescent="0.25">
      <c r="L6300" t="s">
        <v>6117</v>
      </c>
    </row>
    <row r="6301" spans="1:73" x14ac:dyDescent="0.25">
      <c r="Y6301" t="s">
        <v>6146</v>
      </c>
    </row>
    <row r="6302" spans="1:73" x14ac:dyDescent="0.25">
      <c r="X6302" t="s">
        <v>5268</v>
      </c>
    </row>
    <row r="6303" spans="1:73" x14ac:dyDescent="0.25">
      <c r="R6303" t="s">
        <v>6118</v>
      </c>
    </row>
    <row r="6304" spans="1:73" x14ac:dyDescent="0.25">
      <c r="X6304" t="s">
        <v>5057</v>
      </c>
    </row>
    <row r="6306" spans="1:68" x14ac:dyDescent="0.25">
      <c r="X6306" t="s">
        <v>5035</v>
      </c>
    </row>
    <row r="6308" spans="1:68" x14ac:dyDescent="0.25">
      <c r="X6308" t="s">
        <v>5272</v>
      </c>
    </row>
    <row r="6310" spans="1:68" x14ac:dyDescent="0.25">
      <c r="A6310" t="s">
        <v>6147</v>
      </c>
    </row>
    <row r="6313" spans="1:68" x14ac:dyDescent="0.25">
      <c r="A6313" t="s">
        <v>6148</v>
      </c>
    </row>
    <row r="6314" spans="1:68" x14ac:dyDescent="0.25">
      <c r="I6314" t="s">
        <v>6149</v>
      </c>
    </row>
    <row r="6316" spans="1:68" x14ac:dyDescent="0.25">
      <c r="I6316" t="s">
        <v>6150</v>
      </c>
    </row>
    <row r="6318" spans="1:68" x14ac:dyDescent="0.25">
      <c r="AO6318" t="s">
        <v>6151</v>
      </c>
      <c r="AX6318" t="s">
        <v>6152</v>
      </c>
    </row>
    <row r="6319" spans="1:68" x14ac:dyDescent="0.25">
      <c r="U6319" t="s">
        <v>6153</v>
      </c>
      <c r="AO6319" t="s">
        <v>6154</v>
      </c>
      <c r="AT6319" t="s">
        <v>6155</v>
      </c>
      <c r="AX6319" t="s">
        <v>6156</v>
      </c>
      <c r="BH6319" t="s">
        <v>6157</v>
      </c>
      <c r="BP6319" t="s">
        <v>6158</v>
      </c>
    </row>
    <row r="6320" spans="1:68" x14ac:dyDescent="0.25">
      <c r="I6320" t="s">
        <v>6159</v>
      </c>
      <c r="U6320" t="s">
        <v>6160</v>
      </c>
      <c r="AO6320" t="s">
        <v>6161</v>
      </c>
      <c r="AT6320" t="s">
        <v>2324</v>
      </c>
      <c r="AX6320" t="s">
        <v>6162</v>
      </c>
      <c r="BH6320">
        <v>0</v>
      </c>
      <c r="BP6320" t="s">
        <v>6163</v>
      </c>
    </row>
    <row r="6321" spans="21:68" x14ac:dyDescent="0.25">
      <c r="U6321" t="s">
        <v>6164</v>
      </c>
      <c r="AO6321" t="s">
        <v>6165</v>
      </c>
      <c r="AT6321" t="s">
        <v>2324</v>
      </c>
      <c r="AX6321" t="s">
        <v>6162</v>
      </c>
      <c r="BH6321">
        <v>0</v>
      </c>
      <c r="BP6321" t="s">
        <v>6166</v>
      </c>
    </row>
    <row r="6322" spans="21:68" x14ac:dyDescent="0.25">
      <c r="U6322" t="s">
        <v>6167</v>
      </c>
      <c r="AO6322" t="s">
        <v>6168</v>
      </c>
      <c r="AT6322" t="s">
        <v>2324</v>
      </c>
      <c r="AX6322" t="s">
        <v>6162</v>
      </c>
      <c r="BH6322">
        <v>0</v>
      </c>
      <c r="BP6322" t="s">
        <v>6169</v>
      </c>
    </row>
    <row r="6323" spans="21:68" x14ac:dyDescent="0.25">
      <c r="U6323" t="s">
        <v>6170</v>
      </c>
      <c r="AO6323" t="s">
        <v>6171</v>
      </c>
      <c r="AT6323" t="s">
        <v>2324</v>
      </c>
      <c r="AX6323" t="s">
        <v>6162</v>
      </c>
      <c r="BH6323">
        <v>0</v>
      </c>
      <c r="BP6323" t="s">
        <v>6172</v>
      </c>
    </row>
    <row r="6324" spans="21:68" x14ac:dyDescent="0.25">
      <c r="U6324" t="s">
        <v>6173</v>
      </c>
      <c r="AO6324" t="s">
        <v>6119</v>
      </c>
      <c r="AT6324" t="s">
        <v>2324</v>
      </c>
      <c r="AX6324" t="s">
        <v>6162</v>
      </c>
      <c r="BH6324">
        <v>0</v>
      </c>
      <c r="BP6324" t="s">
        <v>6174</v>
      </c>
    </row>
    <row r="6325" spans="21:68" x14ac:dyDescent="0.25">
      <c r="U6325" t="s">
        <v>6175</v>
      </c>
      <c r="AO6325" t="s">
        <v>6176</v>
      </c>
      <c r="AT6325" t="s">
        <v>2324</v>
      </c>
      <c r="AX6325" t="s">
        <v>6162</v>
      </c>
      <c r="BH6325">
        <v>0</v>
      </c>
      <c r="BP6325" t="s">
        <v>6177</v>
      </c>
    </row>
    <row r="6326" spans="21:68" x14ac:dyDescent="0.25">
      <c r="U6326" t="s">
        <v>6178</v>
      </c>
      <c r="AO6326" t="s">
        <v>6179</v>
      </c>
      <c r="AT6326" t="s">
        <v>2324</v>
      </c>
      <c r="AX6326" t="s">
        <v>6162</v>
      </c>
      <c r="BH6326">
        <v>0</v>
      </c>
    </row>
    <row r="6327" spans="21:68" x14ac:dyDescent="0.25">
      <c r="U6327" t="s">
        <v>6180</v>
      </c>
      <c r="AO6327" t="s">
        <v>6181</v>
      </c>
      <c r="AT6327" t="s">
        <v>2324</v>
      </c>
      <c r="AX6327" t="s">
        <v>6162</v>
      </c>
      <c r="BH6327">
        <v>0</v>
      </c>
      <c r="BP6327" t="s">
        <v>6182</v>
      </c>
    </row>
    <row r="6328" spans="21:68" x14ac:dyDescent="0.25">
      <c r="U6328" t="s">
        <v>6183</v>
      </c>
      <c r="AO6328" t="s">
        <v>6184</v>
      </c>
      <c r="AT6328" t="s">
        <v>2324</v>
      </c>
      <c r="AX6328" t="s">
        <v>6162</v>
      </c>
      <c r="BH6328">
        <v>0</v>
      </c>
      <c r="BP6328" t="s">
        <v>6185</v>
      </c>
    </row>
    <row r="6329" spans="21:68" x14ac:dyDescent="0.25">
      <c r="U6329" t="s">
        <v>6186</v>
      </c>
      <c r="AO6329" t="s">
        <v>6187</v>
      </c>
      <c r="AT6329" t="s">
        <v>2324</v>
      </c>
      <c r="AX6329" t="s">
        <v>6162</v>
      </c>
      <c r="BH6329">
        <v>0</v>
      </c>
      <c r="BP6329" t="s">
        <v>6188</v>
      </c>
    </row>
    <row r="6330" spans="21:68" x14ac:dyDescent="0.25">
      <c r="U6330" t="s">
        <v>6189</v>
      </c>
      <c r="AO6330" t="s">
        <v>6190</v>
      </c>
      <c r="AT6330" t="s">
        <v>2324</v>
      </c>
      <c r="AX6330" t="s">
        <v>6162</v>
      </c>
      <c r="BH6330">
        <v>0</v>
      </c>
    </row>
    <row r="6331" spans="21:68" x14ac:dyDescent="0.25">
      <c r="U6331" t="s">
        <v>6191</v>
      </c>
      <c r="AO6331" t="s">
        <v>6192</v>
      </c>
      <c r="AT6331" t="s">
        <v>2324</v>
      </c>
      <c r="AX6331" t="s">
        <v>6162</v>
      </c>
      <c r="BH6331">
        <v>0</v>
      </c>
      <c r="BP6331" t="s">
        <v>6193</v>
      </c>
    </row>
    <row r="6332" spans="21:68" x14ac:dyDescent="0.25">
      <c r="U6332" t="s">
        <v>6194</v>
      </c>
      <c r="AO6332" t="s">
        <v>6195</v>
      </c>
      <c r="AT6332" t="s">
        <v>2324</v>
      </c>
      <c r="AX6332" t="s">
        <v>6162</v>
      </c>
      <c r="BH6332">
        <v>0</v>
      </c>
      <c r="BP6332" t="s">
        <v>6196</v>
      </c>
    </row>
    <row r="6333" spans="21:68" x14ac:dyDescent="0.25">
      <c r="U6333" t="s">
        <v>6197</v>
      </c>
      <c r="AO6333" t="s">
        <v>6198</v>
      </c>
      <c r="AT6333" t="s">
        <v>2324</v>
      </c>
      <c r="AX6333" t="s">
        <v>6162</v>
      </c>
      <c r="BH6333">
        <v>0</v>
      </c>
      <c r="BP6333" t="s">
        <v>6199</v>
      </c>
    </row>
    <row r="6335" spans="21:68" x14ac:dyDescent="0.25">
      <c r="U6335" t="s">
        <v>6200</v>
      </c>
      <c r="AO6335">
        <v>28</v>
      </c>
      <c r="AT6335" t="s">
        <v>2324</v>
      </c>
      <c r="AX6335" t="s">
        <v>6162</v>
      </c>
      <c r="BH6335">
        <v>1</v>
      </c>
    </row>
    <row r="6336" spans="21:68" x14ac:dyDescent="0.25">
      <c r="U6336" t="s">
        <v>6201</v>
      </c>
      <c r="AO6336" t="s">
        <v>6202</v>
      </c>
      <c r="AT6336" t="s">
        <v>2324</v>
      </c>
      <c r="AX6336" t="s">
        <v>6162</v>
      </c>
      <c r="BH6336">
        <v>0</v>
      </c>
      <c r="BP6336" t="s">
        <v>6203</v>
      </c>
    </row>
    <row r="6337" spans="1:90" x14ac:dyDescent="0.25">
      <c r="A6337" t="s">
        <v>6204</v>
      </c>
    </row>
    <row r="6338" spans="1:90" x14ac:dyDescent="0.25">
      <c r="CL6338" t="s">
        <v>6148</v>
      </c>
    </row>
    <row r="6339" spans="1:90" x14ac:dyDescent="0.25">
      <c r="AI6339" t="s">
        <v>6151</v>
      </c>
      <c r="AQ6339" t="s">
        <v>6152</v>
      </c>
    </row>
    <row r="6340" spans="1:90" x14ac:dyDescent="0.25">
      <c r="N6340" t="s">
        <v>6153</v>
      </c>
      <c r="AI6340" t="s">
        <v>6154</v>
      </c>
      <c r="AM6340" t="s">
        <v>6155</v>
      </c>
      <c r="AQ6340" t="s">
        <v>6156</v>
      </c>
      <c r="AY6340" t="s">
        <v>6157</v>
      </c>
      <c r="BH6340" t="s">
        <v>6158</v>
      </c>
    </row>
    <row r="6341" spans="1:90" x14ac:dyDescent="0.25">
      <c r="A6341" t="s">
        <v>6159</v>
      </c>
      <c r="N6341" t="s">
        <v>6205</v>
      </c>
      <c r="AI6341" t="s">
        <v>6206</v>
      </c>
      <c r="AM6341" t="s">
        <v>2324</v>
      </c>
      <c r="AQ6341" t="s">
        <v>6207</v>
      </c>
      <c r="AY6341">
        <v>0</v>
      </c>
    </row>
    <row r="6342" spans="1:90" x14ac:dyDescent="0.25">
      <c r="A6342" t="s">
        <v>6208</v>
      </c>
      <c r="N6342" t="s">
        <v>6209</v>
      </c>
      <c r="AI6342">
        <v>10</v>
      </c>
      <c r="AM6342" t="s">
        <v>2324</v>
      </c>
      <c r="AQ6342" t="s">
        <v>6210</v>
      </c>
      <c r="AY6342" t="s">
        <v>6211</v>
      </c>
    </row>
    <row r="6343" spans="1:90" x14ac:dyDescent="0.25">
      <c r="A6343" t="s">
        <v>6212</v>
      </c>
      <c r="N6343" t="s">
        <v>6213</v>
      </c>
      <c r="AI6343">
        <v>11</v>
      </c>
      <c r="AM6343" t="s">
        <v>2324</v>
      </c>
      <c r="AQ6343" t="s">
        <v>6214</v>
      </c>
      <c r="AY6343" t="s">
        <v>6211</v>
      </c>
    </row>
    <row r="6344" spans="1:90" x14ac:dyDescent="0.25">
      <c r="A6344" t="s">
        <v>6215</v>
      </c>
      <c r="N6344" t="s">
        <v>6216</v>
      </c>
      <c r="AI6344" t="s">
        <v>6217</v>
      </c>
      <c r="AM6344" t="s">
        <v>2324</v>
      </c>
      <c r="AQ6344" t="s">
        <v>6218</v>
      </c>
      <c r="AY6344" t="s">
        <v>6219</v>
      </c>
    </row>
    <row r="6345" spans="1:90" x14ac:dyDescent="0.25">
      <c r="A6345" t="s">
        <v>6220</v>
      </c>
      <c r="N6345" t="s">
        <v>6221</v>
      </c>
      <c r="AI6345">
        <v>12</v>
      </c>
      <c r="AM6345" t="s">
        <v>2324</v>
      </c>
      <c r="AQ6345" t="s">
        <v>6222</v>
      </c>
      <c r="AY6345" t="s">
        <v>6223</v>
      </c>
    </row>
    <row r="6346" spans="1:90" x14ac:dyDescent="0.25">
      <c r="N6346" t="s">
        <v>6224</v>
      </c>
      <c r="AI6346">
        <v>13</v>
      </c>
      <c r="AM6346" t="s">
        <v>2324</v>
      </c>
      <c r="AQ6346" t="s">
        <v>6222</v>
      </c>
      <c r="AY6346" t="s">
        <v>6223</v>
      </c>
    </row>
    <row r="6347" spans="1:90" x14ac:dyDescent="0.25">
      <c r="N6347" t="s">
        <v>6225</v>
      </c>
      <c r="AI6347">
        <v>14</v>
      </c>
      <c r="AM6347" t="s">
        <v>2324</v>
      </c>
      <c r="AQ6347" t="s">
        <v>6226</v>
      </c>
      <c r="AY6347" t="s">
        <v>6223</v>
      </c>
    </row>
    <row r="6348" spans="1:90" x14ac:dyDescent="0.25">
      <c r="N6348" t="s">
        <v>6227</v>
      </c>
      <c r="AI6348">
        <v>3</v>
      </c>
      <c r="AM6348" t="s">
        <v>2324</v>
      </c>
      <c r="AQ6348" t="s">
        <v>6222</v>
      </c>
      <c r="AY6348" t="s">
        <v>6223</v>
      </c>
      <c r="BH6348" t="s">
        <v>6228</v>
      </c>
    </row>
    <row r="6349" spans="1:90" x14ac:dyDescent="0.25">
      <c r="A6349" t="s">
        <v>6229</v>
      </c>
      <c r="N6349" t="s">
        <v>6230</v>
      </c>
      <c r="AI6349" t="s">
        <v>6231</v>
      </c>
      <c r="AM6349" t="s">
        <v>2324</v>
      </c>
      <c r="AQ6349" t="s">
        <v>6232</v>
      </c>
      <c r="AY6349">
        <v>0</v>
      </c>
    </row>
    <row r="6350" spans="1:90" x14ac:dyDescent="0.25">
      <c r="N6350" t="s">
        <v>6233</v>
      </c>
      <c r="AI6350" t="s">
        <v>6234</v>
      </c>
      <c r="AM6350" t="s">
        <v>2324</v>
      </c>
      <c r="AQ6350" t="s">
        <v>6162</v>
      </c>
      <c r="AY6350">
        <v>0</v>
      </c>
    </row>
    <row r="6351" spans="1:90" x14ac:dyDescent="0.25">
      <c r="A6351" t="s">
        <v>6235</v>
      </c>
      <c r="N6351" t="s">
        <v>6236</v>
      </c>
      <c r="AI6351" t="s">
        <v>2324</v>
      </c>
      <c r="AM6351" t="s">
        <v>6237</v>
      </c>
      <c r="AQ6351" t="s">
        <v>6162</v>
      </c>
      <c r="AY6351">
        <v>1</v>
      </c>
    </row>
    <row r="6353" spans="1:36" x14ac:dyDescent="0.25">
      <c r="A6353" t="s">
        <v>6238</v>
      </c>
    </row>
    <row r="6354" spans="1:36" x14ac:dyDescent="0.25">
      <c r="A6354" t="s">
        <v>6009</v>
      </c>
      <c r="I6354" t="s">
        <v>6239</v>
      </c>
    </row>
    <row r="6355" spans="1:36" x14ac:dyDescent="0.25">
      <c r="AJ6355" t="s">
        <v>6240</v>
      </c>
    </row>
    <row r="6359" spans="1:36" x14ac:dyDescent="0.25">
      <c r="I6359" t="s">
        <v>6241</v>
      </c>
    </row>
    <row r="6360" spans="1:36" x14ac:dyDescent="0.25">
      <c r="AJ6360" t="s">
        <v>6240</v>
      </c>
    </row>
    <row r="6361" spans="1:36" x14ac:dyDescent="0.25">
      <c r="I6361" t="s">
        <v>5236</v>
      </c>
    </row>
    <row r="6365" spans="1:36" x14ac:dyDescent="0.25">
      <c r="A6365" t="s">
        <v>6242</v>
      </c>
    </row>
    <row r="6367" spans="1:36" x14ac:dyDescent="0.25">
      <c r="A6367" t="s">
        <v>6243</v>
      </c>
    </row>
    <row r="6368" spans="1:36" x14ac:dyDescent="0.25">
      <c r="A6368" t="s">
        <v>6244</v>
      </c>
    </row>
    <row r="6370" spans="1:18" x14ac:dyDescent="0.25">
      <c r="A6370" t="s">
        <v>6245</v>
      </c>
    </row>
    <row r="6372" spans="1:18" x14ac:dyDescent="0.25">
      <c r="A6372" t="s">
        <v>6246</v>
      </c>
    </row>
    <row r="6373" spans="1:18" x14ac:dyDescent="0.25">
      <c r="A6373" t="s">
        <v>6247</v>
      </c>
    </row>
    <row r="6375" spans="1:18" x14ac:dyDescent="0.25">
      <c r="A6375" t="s">
        <v>6248</v>
      </c>
    </row>
    <row r="6376" spans="1:18" x14ac:dyDescent="0.25">
      <c r="A6376" t="s">
        <v>6249</v>
      </c>
      <c r="R6376" t="s">
        <v>615</v>
      </c>
    </row>
    <row r="6377" spans="1:18" x14ac:dyDescent="0.25">
      <c r="A6377" t="s">
        <v>6250</v>
      </c>
      <c r="R6377" t="s">
        <v>6251</v>
      </c>
    </row>
    <row r="6378" spans="1:18" x14ac:dyDescent="0.25">
      <c r="A6378" t="s">
        <v>6252</v>
      </c>
      <c r="R6378" t="s">
        <v>6253</v>
      </c>
    </row>
    <row r="6379" spans="1:18" x14ac:dyDescent="0.25">
      <c r="A6379" t="s">
        <v>6254</v>
      </c>
      <c r="R6379" t="s">
        <v>6255</v>
      </c>
    </row>
    <row r="6380" spans="1:18" x14ac:dyDescent="0.25">
      <c r="A6380" t="s">
        <v>6250</v>
      </c>
      <c r="R6380" t="s">
        <v>6256</v>
      </c>
    </row>
    <row r="6381" spans="1:18" x14ac:dyDescent="0.25">
      <c r="A6381" t="s">
        <v>6257</v>
      </c>
      <c r="R6381" t="s">
        <v>6258</v>
      </c>
    </row>
    <row r="6382" spans="1:18" x14ac:dyDescent="0.25">
      <c r="A6382" t="s">
        <v>6257</v>
      </c>
      <c r="R6382" t="s">
        <v>6259</v>
      </c>
    </row>
    <row r="6383" spans="1:18" x14ac:dyDescent="0.25">
      <c r="A6383" t="s">
        <v>6254</v>
      </c>
      <c r="R6383" t="s">
        <v>6260</v>
      </c>
    </row>
    <row r="6384" spans="1:18" x14ac:dyDescent="0.25">
      <c r="R6384" t="s">
        <v>6261</v>
      </c>
    </row>
    <row r="6385" spans="1:18" x14ac:dyDescent="0.25">
      <c r="E6385" t="s">
        <v>6254</v>
      </c>
    </row>
    <row r="6386" spans="1:18" x14ac:dyDescent="0.25">
      <c r="R6386" t="s">
        <v>6262</v>
      </c>
    </row>
    <row r="6387" spans="1:18" x14ac:dyDescent="0.25">
      <c r="R6387" t="s">
        <v>6263</v>
      </c>
    </row>
    <row r="6388" spans="1:18" x14ac:dyDescent="0.25">
      <c r="R6388" t="s">
        <v>6264</v>
      </c>
    </row>
    <row r="6389" spans="1:18" x14ac:dyDescent="0.25">
      <c r="R6389" t="s">
        <v>6265</v>
      </c>
    </row>
    <row r="6390" spans="1:18" x14ac:dyDescent="0.25">
      <c r="R6390" t="s">
        <v>6266</v>
      </c>
    </row>
    <row r="6391" spans="1:18" x14ac:dyDescent="0.25">
      <c r="A6391" t="s">
        <v>6267</v>
      </c>
      <c r="R6391" t="s">
        <v>6268</v>
      </c>
    </row>
    <row r="6392" spans="1:18" x14ac:dyDescent="0.25">
      <c r="R6392" t="s">
        <v>6269</v>
      </c>
    </row>
    <row r="6393" spans="1:18" x14ac:dyDescent="0.25">
      <c r="R6393" t="s">
        <v>6270</v>
      </c>
    </row>
    <row r="6397" spans="1:18" x14ac:dyDescent="0.25">
      <c r="A6397" t="s">
        <v>5344</v>
      </c>
    </row>
    <row r="6399" spans="1:18" x14ac:dyDescent="0.25">
      <c r="A6399" t="s">
        <v>6247</v>
      </c>
    </row>
    <row r="6401" spans="1:18" x14ac:dyDescent="0.25">
      <c r="A6401" t="s">
        <v>6248</v>
      </c>
    </row>
    <row r="6402" spans="1:18" x14ac:dyDescent="0.25">
      <c r="A6402" t="s">
        <v>6249</v>
      </c>
      <c r="R6402" t="s">
        <v>615</v>
      </c>
    </row>
    <row r="6403" spans="1:18" x14ac:dyDescent="0.25">
      <c r="R6403" t="s">
        <v>6271</v>
      </c>
    </row>
    <row r="6404" spans="1:18" x14ac:dyDescent="0.25">
      <c r="R6404" t="s">
        <v>6272</v>
      </c>
    </row>
    <row r="6405" spans="1:18" x14ac:dyDescent="0.25">
      <c r="R6405" t="s">
        <v>6273</v>
      </c>
    </row>
    <row r="6406" spans="1:18" x14ac:dyDescent="0.25">
      <c r="R6406" t="s">
        <v>6274</v>
      </c>
    </row>
    <row r="6407" spans="1:18" x14ac:dyDescent="0.25">
      <c r="R6407" t="s">
        <v>6275</v>
      </c>
    </row>
    <row r="6408" spans="1:18" x14ac:dyDescent="0.25">
      <c r="R6408" t="s">
        <v>6276</v>
      </c>
    </row>
    <row r="6409" spans="1:18" x14ac:dyDescent="0.25">
      <c r="R6409" t="s">
        <v>6277</v>
      </c>
    </row>
    <row r="6410" spans="1:18" x14ac:dyDescent="0.25">
      <c r="R6410" t="s">
        <v>6278</v>
      </c>
    </row>
    <row r="6411" spans="1:18" x14ac:dyDescent="0.25">
      <c r="R6411" t="s">
        <v>6279</v>
      </c>
    </row>
    <row r="6412" spans="1:18" x14ac:dyDescent="0.25">
      <c r="R6412" t="s">
        <v>6280</v>
      </c>
    </row>
    <row r="6413" spans="1:18" x14ac:dyDescent="0.25">
      <c r="A6413" t="s">
        <v>6281</v>
      </c>
    </row>
    <row r="6415" spans="1:18" x14ac:dyDescent="0.25">
      <c r="A6415" t="s">
        <v>6282</v>
      </c>
    </row>
    <row r="6416" spans="1:18" x14ac:dyDescent="0.25">
      <c r="A6416" t="s">
        <v>5366</v>
      </c>
    </row>
    <row r="6418" spans="1:1" x14ac:dyDescent="0.25">
      <c r="A6418" t="s">
        <v>6247</v>
      </c>
    </row>
    <row r="6420" spans="1:1" x14ac:dyDescent="0.25">
      <c r="A6420" t="s">
        <v>6283</v>
      </c>
    </row>
    <row r="6421" spans="1:1" x14ac:dyDescent="0.25">
      <c r="A6421" t="s">
        <v>6284</v>
      </c>
    </row>
    <row r="6423" spans="1:1" x14ac:dyDescent="0.25">
      <c r="A6423" t="s">
        <v>6285</v>
      </c>
    </row>
    <row r="6425" spans="1:1" x14ac:dyDescent="0.25">
      <c r="A6425" t="s">
        <v>6286</v>
      </c>
    </row>
    <row r="6426" spans="1:1" x14ac:dyDescent="0.25">
      <c r="A6426" t="s">
        <v>6287</v>
      </c>
    </row>
    <row r="6429" spans="1:1" x14ac:dyDescent="0.25">
      <c r="A6429" t="s">
        <v>6288</v>
      </c>
    </row>
    <row r="6430" spans="1:1" x14ac:dyDescent="0.25">
      <c r="A6430" t="s">
        <v>6289</v>
      </c>
    </row>
    <row r="6431" spans="1:1" x14ac:dyDescent="0.25">
      <c r="A6431" t="s">
        <v>6290</v>
      </c>
    </row>
    <row r="6432" spans="1:1" x14ac:dyDescent="0.25">
      <c r="A6432" t="s">
        <v>6291</v>
      </c>
    </row>
    <row r="6434" spans="1:16" x14ac:dyDescent="0.25">
      <c r="P6434" t="s">
        <v>6292</v>
      </c>
    </row>
    <row r="6435" spans="1:16" x14ac:dyDescent="0.25">
      <c r="A6435" t="s">
        <v>6288</v>
      </c>
    </row>
    <row r="6436" spans="1:16" x14ac:dyDescent="0.25">
      <c r="A6436" t="s">
        <v>6293</v>
      </c>
    </row>
    <row r="6437" spans="1:16" x14ac:dyDescent="0.25">
      <c r="A6437" t="s">
        <v>6294</v>
      </c>
    </row>
    <row r="6438" spans="1:16" x14ac:dyDescent="0.25">
      <c r="A6438" t="s">
        <v>6295</v>
      </c>
    </row>
    <row r="6440" spans="1:16" x14ac:dyDescent="0.25">
      <c r="P6440" t="s">
        <v>6292</v>
      </c>
    </row>
    <row r="6441" spans="1:16" x14ac:dyDescent="0.25">
      <c r="A6441" t="s">
        <v>6296</v>
      </c>
    </row>
    <row r="6444" spans="1:16" x14ac:dyDescent="0.25">
      <c r="A6444" t="s">
        <v>6290</v>
      </c>
    </row>
    <row r="6445" spans="1:16" x14ac:dyDescent="0.25">
      <c r="A6445" t="s">
        <v>6297</v>
      </c>
    </row>
    <row r="6446" spans="1:16" x14ac:dyDescent="0.25">
      <c r="A6446" t="s">
        <v>6298</v>
      </c>
    </row>
    <row r="6447" spans="1:16" x14ac:dyDescent="0.25">
      <c r="A6447" t="s">
        <v>6299</v>
      </c>
      <c r="P6447" t="s">
        <v>6300</v>
      </c>
    </row>
    <row r="6448" spans="1:16" x14ac:dyDescent="0.25">
      <c r="A6448" t="s">
        <v>6294</v>
      </c>
    </row>
    <row r="6449" spans="1:90" x14ac:dyDescent="0.25">
      <c r="A6449" t="s">
        <v>6301</v>
      </c>
    </row>
    <row r="6450" spans="1:90" x14ac:dyDescent="0.25">
      <c r="A6450" t="s">
        <v>6298</v>
      </c>
    </row>
    <row r="6451" spans="1:90" x14ac:dyDescent="0.25">
      <c r="A6451" t="s">
        <v>6299</v>
      </c>
      <c r="P6451" t="s">
        <v>6300</v>
      </c>
    </row>
    <row r="6454" spans="1:90" x14ac:dyDescent="0.25">
      <c r="A6454" t="s">
        <v>6302</v>
      </c>
    </row>
    <row r="6455" spans="1:90" x14ac:dyDescent="0.25">
      <c r="A6455" t="s">
        <v>5370</v>
      </c>
    </row>
    <row r="6456" spans="1:90" x14ac:dyDescent="0.25">
      <c r="A6456" t="s">
        <v>6303</v>
      </c>
      <c r="CL6456" t="s">
        <v>6148</v>
      </c>
    </row>
    <row r="6458" spans="1:90" x14ac:dyDescent="0.25">
      <c r="AK6458" t="s">
        <v>6151</v>
      </c>
      <c r="AT6458" t="s">
        <v>6152</v>
      </c>
    </row>
    <row r="6459" spans="1:90" x14ac:dyDescent="0.25">
      <c r="N6459" t="s">
        <v>6153</v>
      </c>
      <c r="AK6459" t="s">
        <v>6154</v>
      </c>
      <c r="AO6459" t="s">
        <v>6155</v>
      </c>
      <c r="AT6459" t="s">
        <v>6156</v>
      </c>
      <c r="BJ6459" t="s">
        <v>6158</v>
      </c>
    </row>
    <row r="6460" spans="1:90" x14ac:dyDescent="0.25">
      <c r="A6460" t="s">
        <v>6304</v>
      </c>
      <c r="N6460" t="s">
        <v>6305</v>
      </c>
      <c r="AK6460" t="s">
        <v>6306</v>
      </c>
      <c r="AO6460" t="s">
        <v>2324</v>
      </c>
      <c r="AT6460" t="s">
        <v>6307</v>
      </c>
      <c r="BB6460">
        <v>55</v>
      </c>
      <c r="BJ6460" t="s">
        <v>6308</v>
      </c>
    </row>
    <row r="6461" spans="1:90" x14ac:dyDescent="0.25">
      <c r="N6461" t="s">
        <v>6309</v>
      </c>
      <c r="AK6461" t="s">
        <v>6237</v>
      </c>
      <c r="AO6461" t="s">
        <v>2324</v>
      </c>
      <c r="AT6461" t="s">
        <v>6310</v>
      </c>
      <c r="BB6461">
        <v>20</v>
      </c>
    </row>
    <row r="6462" spans="1:90" x14ac:dyDescent="0.25">
      <c r="N6462" t="s">
        <v>6311</v>
      </c>
      <c r="AK6462" t="s">
        <v>6312</v>
      </c>
      <c r="AO6462" t="s">
        <v>2324</v>
      </c>
      <c r="AT6462" t="s">
        <v>6307</v>
      </c>
      <c r="BB6462">
        <v>55</v>
      </c>
    </row>
    <row r="6463" spans="1:90" x14ac:dyDescent="0.25">
      <c r="N6463" t="s">
        <v>6313</v>
      </c>
      <c r="AK6463" t="s">
        <v>6314</v>
      </c>
      <c r="AO6463" t="s">
        <v>2324</v>
      </c>
      <c r="AT6463" t="s">
        <v>6310</v>
      </c>
      <c r="BB6463">
        <v>20</v>
      </c>
      <c r="BJ6463" t="s">
        <v>6315</v>
      </c>
    </row>
    <row r="6464" spans="1:90" x14ac:dyDescent="0.25">
      <c r="N6464" t="s">
        <v>6316</v>
      </c>
      <c r="AK6464">
        <v>18</v>
      </c>
      <c r="AO6464" t="s">
        <v>2324</v>
      </c>
      <c r="AT6464" t="s">
        <v>6317</v>
      </c>
      <c r="BB6464">
        <v>25</v>
      </c>
    </row>
    <row r="6465" spans="1:62" x14ac:dyDescent="0.25">
      <c r="N6465" t="s">
        <v>6318</v>
      </c>
      <c r="AK6465">
        <v>19</v>
      </c>
      <c r="AO6465" t="s">
        <v>2324</v>
      </c>
      <c r="AT6465" t="s">
        <v>6319</v>
      </c>
      <c r="BB6465">
        <v>10</v>
      </c>
      <c r="BJ6465" t="s">
        <v>6320</v>
      </c>
    </row>
    <row r="6466" spans="1:62" x14ac:dyDescent="0.25">
      <c r="N6466" t="s">
        <v>6321</v>
      </c>
      <c r="AK6466" t="s">
        <v>6322</v>
      </c>
      <c r="AO6466" t="s">
        <v>2324</v>
      </c>
      <c r="AT6466" t="s">
        <v>6323</v>
      </c>
      <c r="BB6466">
        <v>75</v>
      </c>
    </row>
    <row r="6467" spans="1:62" x14ac:dyDescent="0.25">
      <c r="N6467" t="s">
        <v>6324</v>
      </c>
      <c r="AK6467" t="s">
        <v>6325</v>
      </c>
      <c r="AO6467" t="s">
        <v>2324</v>
      </c>
      <c r="AT6467" t="s">
        <v>6326</v>
      </c>
      <c r="BB6467">
        <v>40</v>
      </c>
    </row>
    <row r="6468" spans="1:62" x14ac:dyDescent="0.25">
      <c r="A6468" t="s">
        <v>6327</v>
      </c>
      <c r="N6468" t="s">
        <v>6328</v>
      </c>
      <c r="AK6468">
        <v>20</v>
      </c>
      <c r="AO6468" t="s">
        <v>2324</v>
      </c>
      <c r="AT6468" t="s">
        <v>6329</v>
      </c>
      <c r="BB6468">
        <v>38</v>
      </c>
      <c r="BJ6468" t="s">
        <v>6330</v>
      </c>
    </row>
    <row r="6469" spans="1:62" x14ac:dyDescent="0.25">
      <c r="N6469" t="s">
        <v>6331</v>
      </c>
      <c r="AK6469">
        <v>21</v>
      </c>
      <c r="AO6469" t="s">
        <v>2324</v>
      </c>
      <c r="AT6469" t="s">
        <v>6332</v>
      </c>
      <c r="BB6469">
        <v>45</v>
      </c>
      <c r="BJ6469" t="s">
        <v>6333</v>
      </c>
    </row>
    <row r="6470" spans="1:62" x14ac:dyDescent="0.25">
      <c r="N6470" t="s">
        <v>6334</v>
      </c>
      <c r="AK6470" t="s">
        <v>6335</v>
      </c>
      <c r="AO6470" t="s">
        <v>2324</v>
      </c>
      <c r="AT6470" t="s">
        <v>6162</v>
      </c>
      <c r="BB6470">
        <v>0</v>
      </c>
    </row>
    <row r="6471" spans="1:62" x14ac:dyDescent="0.25">
      <c r="N6471" t="s">
        <v>6336</v>
      </c>
      <c r="AK6471">
        <v>73</v>
      </c>
      <c r="AO6471" t="s">
        <v>2324</v>
      </c>
      <c r="AT6471" t="s">
        <v>6218</v>
      </c>
      <c r="BB6471">
        <v>0</v>
      </c>
      <c r="BJ6471" t="s">
        <v>6337</v>
      </c>
    </row>
    <row r="6472" spans="1:62" x14ac:dyDescent="0.25">
      <c r="N6472" t="s">
        <v>6338</v>
      </c>
      <c r="AK6472" t="s">
        <v>6339</v>
      </c>
      <c r="AO6472" t="s">
        <v>2324</v>
      </c>
      <c r="AT6472" t="s">
        <v>6340</v>
      </c>
      <c r="BJ6472" t="s">
        <v>6341</v>
      </c>
    </row>
    <row r="6473" spans="1:62" x14ac:dyDescent="0.25">
      <c r="A6473" t="s">
        <v>6342</v>
      </c>
      <c r="N6473" t="s">
        <v>6343</v>
      </c>
      <c r="AK6473">
        <v>7</v>
      </c>
      <c r="AO6473" t="s">
        <v>2324</v>
      </c>
      <c r="AT6473" t="s">
        <v>6344</v>
      </c>
      <c r="BB6473">
        <v>30</v>
      </c>
      <c r="BJ6473" t="s">
        <v>6345</v>
      </c>
    </row>
    <row r="6474" spans="1:62" x14ac:dyDescent="0.25">
      <c r="A6474" t="s">
        <v>6346</v>
      </c>
      <c r="N6474" t="s">
        <v>6347</v>
      </c>
      <c r="AK6474">
        <v>22</v>
      </c>
      <c r="AO6474" t="s">
        <v>2324</v>
      </c>
      <c r="AT6474" t="s">
        <v>6348</v>
      </c>
      <c r="BB6474">
        <v>0</v>
      </c>
      <c r="BJ6474" t="s">
        <v>6349</v>
      </c>
    </row>
    <row r="6475" spans="1:62" x14ac:dyDescent="0.25">
      <c r="N6475" t="s">
        <v>6350</v>
      </c>
      <c r="AK6475">
        <v>24</v>
      </c>
      <c r="AO6475" t="s">
        <v>2324</v>
      </c>
      <c r="AT6475" t="s">
        <v>6351</v>
      </c>
      <c r="BB6475">
        <v>0</v>
      </c>
      <c r="BJ6475" t="s">
        <v>6352</v>
      </c>
    </row>
    <row r="6476" spans="1:62" x14ac:dyDescent="0.25">
      <c r="N6476" t="s">
        <v>6353</v>
      </c>
      <c r="AK6476">
        <v>25</v>
      </c>
      <c r="AO6476" t="s">
        <v>2324</v>
      </c>
      <c r="AT6476" t="s">
        <v>6354</v>
      </c>
      <c r="BB6476">
        <v>3</v>
      </c>
      <c r="BJ6476" t="s">
        <v>6355</v>
      </c>
    </row>
    <row r="6477" spans="1:62" x14ac:dyDescent="0.25">
      <c r="A6477" t="s">
        <v>6356</v>
      </c>
      <c r="N6477" t="s">
        <v>6357</v>
      </c>
      <c r="AK6477">
        <v>8</v>
      </c>
      <c r="AO6477" t="s">
        <v>2324</v>
      </c>
      <c r="AT6477" t="s">
        <v>6358</v>
      </c>
      <c r="BB6477">
        <v>6</v>
      </c>
      <c r="BJ6477" t="s">
        <v>6359</v>
      </c>
    </row>
    <row r="6478" spans="1:62" x14ac:dyDescent="0.25">
      <c r="N6478" t="s">
        <v>6360</v>
      </c>
      <c r="AK6478">
        <v>9</v>
      </c>
      <c r="AO6478" t="s">
        <v>2324</v>
      </c>
      <c r="AT6478" t="s">
        <v>6361</v>
      </c>
      <c r="BB6478">
        <v>75</v>
      </c>
      <c r="BJ6478" t="s">
        <v>6362</v>
      </c>
    </row>
    <row r="6479" spans="1:62" x14ac:dyDescent="0.25">
      <c r="A6479" t="s">
        <v>6363</v>
      </c>
      <c r="N6479" t="s">
        <v>6364</v>
      </c>
      <c r="AK6479" t="s">
        <v>6365</v>
      </c>
      <c r="AO6479" t="s">
        <v>2324</v>
      </c>
      <c r="AT6479" t="s">
        <v>6366</v>
      </c>
      <c r="BB6479">
        <v>75</v>
      </c>
      <c r="BJ6479" t="s">
        <v>6367</v>
      </c>
    </row>
    <row r="6480" spans="1:62" x14ac:dyDescent="0.25">
      <c r="N6480" t="s">
        <v>6368</v>
      </c>
      <c r="AK6480" t="s">
        <v>2324</v>
      </c>
      <c r="AO6480" t="s">
        <v>6369</v>
      </c>
      <c r="AT6480" t="s">
        <v>6370</v>
      </c>
      <c r="BB6480">
        <v>7</v>
      </c>
      <c r="BJ6480" t="s">
        <v>6371</v>
      </c>
    </row>
    <row r="6481" spans="1:62" x14ac:dyDescent="0.25">
      <c r="N6481" t="s">
        <v>6372</v>
      </c>
      <c r="AK6481" t="s">
        <v>2324</v>
      </c>
      <c r="AO6481" t="s">
        <v>6373</v>
      </c>
      <c r="AT6481" t="s">
        <v>6374</v>
      </c>
      <c r="BB6481">
        <v>22</v>
      </c>
      <c r="BJ6481" t="s">
        <v>6375</v>
      </c>
    </row>
    <row r="6482" spans="1:62" x14ac:dyDescent="0.25">
      <c r="N6482" t="s">
        <v>6376</v>
      </c>
      <c r="AK6482" t="s">
        <v>6377</v>
      </c>
      <c r="AO6482" t="s">
        <v>2324</v>
      </c>
      <c r="AT6482" t="s">
        <v>6378</v>
      </c>
      <c r="BB6482">
        <v>30</v>
      </c>
    </row>
    <row r="6483" spans="1:62" x14ac:dyDescent="0.25">
      <c r="A6483" t="s">
        <v>6379</v>
      </c>
      <c r="N6483" t="s">
        <v>6380</v>
      </c>
      <c r="AK6483">
        <v>23</v>
      </c>
      <c r="AO6483" t="s">
        <v>2324</v>
      </c>
      <c r="AT6483" t="s">
        <v>6348</v>
      </c>
      <c r="BB6483">
        <v>-10</v>
      </c>
      <c r="BJ6483" t="s">
        <v>6381</v>
      </c>
    </row>
    <row r="6484" spans="1:62" x14ac:dyDescent="0.25">
      <c r="N6484" t="s">
        <v>6382</v>
      </c>
      <c r="AK6484" t="s">
        <v>6383</v>
      </c>
      <c r="AO6484" t="s">
        <v>2324</v>
      </c>
      <c r="AT6484" t="s">
        <v>6162</v>
      </c>
      <c r="BB6484">
        <v>0</v>
      </c>
      <c r="BJ6484" t="s">
        <v>6384</v>
      </c>
    </row>
    <row r="6486" spans="1:62" x14ac:dyDescent="0.25">
      <c r="A6486" t="s">
        <v>6385</v>
      </c>
    </row>
    <row r="6487" spans="1:62" x14ac:dyDescent="0.25">
      <c r="A6487" t="s">
        <v>6148</v>
      </c>
    </row>
    <row r="6489" spans="1:62" x14ac:dyDescent="0.25">
      <c r="AK6489" t="s">
        <v>6151</v>
      </c>
      <c r="AT6489" t="s">
        <v>6152</v>
      </c>
    </row>
    <row r="6490" spans="1:62" x14ac:dyDescent="0.25">
      <c r="N6490" t="s">
        <v>6153</v>
      </c>
      <c r="AK6490" t="s">
        <v>6154</v>
      </c>
      <c r="AO6490" t="s">
        <v>6155</v>
      </c>
      <c r="AT6490" t="s">
        <v>6156</v>
      </c>
      <c r="BJ6490" t="s">
        <v>6158</v>
      </c>
    </row>
    <row r="6491" spans="1:62" x14ac:dyDescent="0.25">
      <c r="A6491" t="s">
        <v>6386</v>
      </c>
      <c r="N6491" t="s">
        <v>6387</v>
      </c>
      <c r="AK6491" t="s">
        <v>6388</v>
      </c>
      <c r="AO6491" t="s">
        <v>6389</v>
      </c>
      <c r="AT6491" t="s">
        <v>6390</v>
      </c>
      <c r="BB6491">
        <v>-20</v>
      </c>
      <c r="BJ6491" t="s">
        <v>6391</v>
      </c>
    </row>
    <row r="6492" spans="1:62" x14ac:dyDescent="0.25">
      <c r="N6492" t="s">
        <v>6392</v>
      </c>
      <c r="AK6492">
        <v>29</v>
      </c>
      <c r="AO6492" t="s">
        <v>6389</v>
      </c>
      <c r="AT6492" t="s">
        <v>6393</v>
      </c>
      <c r="BB6492">
        <v>-10</v>
      </c>
    </row>
    <row r="6493" spans="1:62" x14ac:dyDescent="0.25">
      <c r="N6493" t="s">
        <v>6394</v>
      </c>
      <c r="AK6493" t="s">
        <v>6395</v>
      </c>
      <c r="AO6493" t="s">
        <v>6389</v>
      </c>
      <c r="AT6493" t="s">
        <v>6354</v>
      </c>
      <c r="BB6493">
        <v>10</v>
      </c>
    </row>
    <row r="6494" spans="1:62" x14ac:dyDescent="0.25">
      <c r="N6494" t="s">
        <v>6396</v>
      </c>
      <c r="AK6494" t="s">
        <v>6397</v>
      </c>
      <c r="AO6494" t="s">
        <v>6389</v>
      </c>
      <c r="AT6494" t="s">
        <v>6398</v>
      </c>
      <c r="BB6494">
        <v>40</v>
      </c>
    </row>
    <row r="6495" spans="1:62" x14ac:dyDescent="0.25">
      <c r="N6495" t="s">
        <v>6399</v>
      </c>
      <c r="AK6495" t="s">
        <v>6400</v>
      </c>
      <c r="AO6495" t="s">
        <v>6389</v>
      </c>
      <c r="AT6495" t="s">
        <v>6398</v>
      </c>
      <c r="BB6495">
        <v>35</v>
      </c>
    </row>
    <row r="6496" spans="1:62" x14ac:dyDescent="0.25">
      <c r="N6496" t="s">
        <v>6401</v>
      </c>
      <c r="AK6496" t="s">
        <v>6402</v>
      </c>
      <c r="AO6496" t="s">
        <v>6389</v>
      </c>
      <c r="AT6496" t="s">
        <v>6398</v>
      </c>
      <c r="BB6496">
        <v>30</v>
      </c>
    </row>
    <row r="6497" spans="1:62" x14ac:dyDescent="0.25">
      <c r="N6497" t="s">
        <v>6403</v>
      </c>
      <c r="AK6497" t="s">
        <v>6404</v>
      </c>
      <c r="AO6497" t="s">
        <v>6389</v>
      </c>
      <c r="AT6497" t="s">
        <v>6398</v>
      </c>
      <c r="BB6497">
        <v>25</v>
      </c>
    </row>
    <row r="6498" spans="1:62" x14ac:dyDescent="0.25">
      <c r="N6498" t="s">
        <v>6405</v>
      </c>
      <c r="AK6498">
        <v>30</v>
      </c>
      <c r="AO6498" t="s">
        <v>6389</v>
      </c>
      <c r="AT6498" t="s">
        <v>6406</v>
      </c>
      <c r="BB6498">
        <v>20</v>
      </c>
    </row>
    <row r="6499" spans="1:62" x14ac:dyDescent="0.25">
      <c r="N6499" t="s">
        <v>6407</v>
      </c>
      <c r="AK6499">
        <v>31</v>
      </c>
      <c r="AO6499" t="s">
        <v>6389</v>
      </c>
      <c r="AT6499" t="s">
        <v>6408</v>
      </c>
      <c r="BB6499">
        <v>80</v>
      </c>
    </row>
    <row r="6500" spans="1:62" x14ac:dyDescent="0.25">
      <c r="N6500" t="s">
        <v>6409</v>
      </c>
      <c r="AK6500" t="s">
        <v>6410</v>
      </c>
      <c r="AO6500" t="s">
        <v>6389</v>
      </c>
      <c r="AT6500" t="s">
        <v>6162</v>
      </c>
      <c r="BB6500">
        <v>0</v>
      </c>
    </row>
    <row r="6501" spans="1:62" x14ac:dyDescent="0.25">
      <c r="N6501" t="s">
        <v>6411</v>
      </c>
      <c r="AK6501" t="s">
        <v>6412</v>
      </c>
      <c r="AO6501" t="s">
        <v>6389</v>
      </c>
      <c r="AT6501" t="s">
        <v>6406</v>
      </c>
      <c r="BB6501">
        <v>40</v>
      </c>
    </row>
    <row r="6502" spans="1:62" x14ac:dyDescent="0.25">
      <c r="N6502" t="s">
        <v>6413</v>
      </c>
      <c r="AK6502" t="s">
        <v>6414</v>
      </c>
      <c r="AO6502" t="s">
        <v>6389</v>
      </c>
      <c r="AT6502" t="s">
        <v>6406</v>
      </c>
      <c r="BB6502">
        <v>35</v>
      </c>
    </row>
    <row r="6503" spans="1:62" x14ac:dyDescent="0.25">
      <c r="N6503" t="s">
        <v>6415</v>
      </c>
      <c r="AK6503" t="s">
        <v>6416</v>
      </c>
      <c r="AO6503" t="s">
        <v>6389</v>
      </c>
      <c r="AT6503" t="s">
        <v>6406</v>
      </c>
      <c r="BB6503">
        <v>20</v>
      </c>
    </row>
    <row r="6504" spans="1:62" x14ac:dyDescent="0.25">
      <c r="N6504" t="s">
        <v>6417</v>
      </c>
      <c r="AK6504">
        <v>27</v>
      </c>
      <c r="AO6504" t="s">
        <v>6389</v>
      </c>
      <c r="AT6504" t="s">
        <v>6418</v>
      </c>
      <c r="BB6504">
        <v>0</v>
      </c>
    </row>
    <row r="6505" spans="1:62" x14ac:dyDescent="0.25">
      <c r="A6505" t="s">
        <v>6419</v>
      </c>
      <c r="N6505" t="s">
        <v>6420</v>
      </c>
      <c r="AK6505" t="s">
        <v>6421</v>
      </c>
      <c r="AO6505" t="s">
        <v>2324</v>
      </c>
      <c r="AT6505" t="s">
        <v>6162</v>
      </c>
      <c r="BB6505">
        <v>1</v>
      </c>
      <c r="BJ6505" t="s">
        <v>6422</v>
      </c>
    </row>
    <row r="6506" spans="1:62" x14ac:dyDescent="0.25">
      <c r="N6506" t="s">
        <v>6423</v>
      </c>
      <c r="AK6506" t="s">
        <v>6424</v>
      </c>
      <c r="AO6506" t="s">
        <v>2324</v>
      </c>
      <c r="AT6506" t="s">
        <v>6425</v>
      </c>
      <c r="BB6506">
        <v>15</v>
      </c>
      <c r="BJ6506" t="s">
        <v>6426</v>
      </c>
    </row>
    <row r="6507" spans="1:62" x14ac:dyDescent="0.25">
      <c r="N6507" t="s">
        <v>6427</v>
      </c>
      <c r="AK6507" t="s">
        <v>2324</v>
      </c>
      <c r="AO6507">
        <v>12</v>
      </c>
      <c r="AT6507" t="s">
        <v>6428</v>
      </c>
      <c r="BB6507">
        <v>0</v>
      </c>
      <c r="BJ6507" t="s">
        <v>6429</v>
      </c>
    </row>
    <row r="6508" spans="1:62" x14ac:dyDescent="0.25">
      <c r="N6508" t="s">
        <v>6430</v>
      </c>
      <c r="AK6508" t="s">
        <v>2324</v>
      </c>
      <c r="AO6508">
        <v>13</v>
      </c>
      <c r="AT6508" t="s">
        <v>6374</v>
      </c>
      <c r="BB6508">
        <v>0</v>
      </c>
      <c r="BJ6508" t="s">
        <v>6431</v>
      </c>
    </row>
    <row r="6509" spans="1:62" x14ac:dyDescent="0.25">
      <c r="A6509" t="s">
        <v>6432</v>
      </c>
      <c r="N6509" t="s">
        <v>6433</v>
      </c>
      <c r="AK6509">
        <v>33</v>
      </c>
      <c r="AO6509" t="s">
        <v>2324</v>
      </c>
      <c r="AT6509" t="s">
        <v>6218</v>
      </c>
      <c r="BB6509">
        <v>1</v>
      </c>
      <c r="BJ6509" t="s">
        <v>6434</v>
      </c>
    </row>
    <row r="6510" spans="1:62" x14ac:dyDescent="0.25">
      <c r="N6510" t="s">
        <v>6435</v>
      </c>
      <c r="AK6510">
        <v>34</v>
      </c>
      <c r="AO6510" t="s">
        <v>2324</v>
      </c>
      <c r="AT6510" t="s">
        <v>6218</v>
      </c>
      <c r="BB6510">
        <v>0</v>
      </c>
      <c r="BJ6510" t="s">
        <v>6436</v>
      </c>
    </row>
    <row r="6511" spans="1:62" x14ac:dyDescent="0.25">
      <c r="N6511" t="s">
        <v>6437</v>
      </c>
      <c r="AK6511" t="s">
        <v>6438</v>
      </c>
      <c r="AO6511" t="s">
        <v>2324</v>
      </c>
      <c r="AT6511" t="s">
        <v>6439</v>
      </c>
      <c r="BB6511">
        <v>0</v>
      </c>
      <c r="BJ6511" t="s">
        <v>6440</v>
      </c>
    </row>
    <row r="6512" spans="1:62" x14ac:dyDescent="0.25">
      <c r="N6512" t="s">
        <v>6441</v>
      </c>
      <c r="AK6512" t="s">
        <v>6442</v>
      </c>
      <c r="AO6512" t="s">
        <v>2324</v>
      </c>
      <c r="AT6512" t="s">
        <v>6207</v>
      </c>
      <c r="BB6512">
        <v>0</v>
      </c>
      <c r="BJ6512" t="s">
        <v>6443</v>
      </c>
    </row>
    <row r="6513" spans="1:90" x14ac:dyDescent="0.25">
      <c r="N6513" t="s">
        <v>6444</v>
      </c>
      <c r="AK6513" t="s">
        <v>6445</v>
      </c>
      <c r="AO6513" t="s">
        <v>2324</v>
      </c>
      <c r="AT6513" t="s">
        <v>6226</v>
      </c>
    </row>
    <row r="6514" spans="1:90" x14ac:dyDescent="0.25">
      <c r="A6514" t="s">
        <v>6446</v>
      </c>
      <c r="N6514" t="s">
        <v>6447</v>
      </c>
      <c r="AK6514">
        <v>26</v>
      </c>
      <c r="AO6514" t="s">
        <v>2324</v>
      </c>
      <c r="AT6514" t="s">
        <v>6448</v>
      </c>
      <c r="BB6514">
        <v>5</v>
      </c>
      <c r="BJ6514" t="s">
        <v>6449</v>
      </c>
    </row>
    <row r="6515" spans="1:90" x14ac:dyDescent="0.25">
      <c r="N6515" t="s">
        <v>6450</v>
      </c>
      <c r="AK6515">
        <v>58</v>
      </c>
      <c r="AO6515" t="s">
        <v>2324</v>
      </c>
      <c r="AT6515" t="s">
        <v>6451</v>
      </c>
      <c r="BB6515">
        <v>0</v>
      </c>
      <c r="BJ6515" t="s">
        <v>6452</v>
      </c>
    </row>
    <row r="6516" spans="1:90" x14ac:dyDescent="0.25">
      <c r="N6516" t="s">
        <v>6453</v>
      </c>
      <c r="AK6516" t="s">
        <v>2324</v>
      </c>
      <c r="AO6516" t="s">
        <v>6454</v>
      </c>
      <c r="AT6516" t="s">
        <v>6374</v>
      </c>
      <c r="BB6516">
        <v>22</v>
      </c>
      <c r="BJ6516" t="s">
        <v>6455</v>
      </c>
    </row>
    <row r="6517" spans="1:90" x14ac:dyDescent="0.25">
      <c r="N6517" t="s">
        <v>6456</v>
      </c>
      <c r="AK6517" t="s">
        <v>2324</v>
      </c>
      <c r="AO6517" t="s">
        <v>6457</v>
      </c>
      <c r="AT6517" t="s">
        <v>6374</v>
      </c>
      <c r="BB6517">
        <v>6</v>
      </c>
      <c r="BJ6517" t="s">
        <v>6458</v>
      </c>
    </row>
    <row r="6520" spans="1:90" x14ac:dyDescent="0.25">
      <c r="A6520" t="s">
        <v>5405</v>
      </c>
    </row>
    <row r="6521" spans="1:90" x14ac:dyDescent="0.25">
      <c r="CL6521" t="s">
        <v>6148</v>
      </c>
    </row>
    <row r="6522" spans="1:90" x14ac:dyDescent="0.25">
      <c r="AK6522" t="s">
        <v>6151</v>
      </c>
      <c r="AT6522" t="s">
        <v>6152</v>
      </c>
    </row>
    <row r="6523" spans="1:90" x14ac:dyDescent="0.25">
      <c r="N6523" t="s">
        <v>6153</v>
      </c>
      <c r="AK6523" t="s">
        <v>6154</v>
      </c>
      <c r="AO6523" t="s">
        <v>6155</v>
      </c>
      <c r="AT6523" t="s">
        <v>6156</v>
      </c>
      <c r="BJ6523" t="s">
        <v>6158</v>
      </c>
    </row>
    <row r="6524" spans="1:90" x14ac:dyDescent="0.25">
      <c r="A6524" t="s">
        <v>6459</v>
      </c>
      <c r="N6524" t="s">
        <v>6460</v>
      </c>
      <c r="AK6524">
        <v>40</v>
      </c>
      <c r="AO6524" t="s">
        <v>2324</v>
      </c>
      <c r="AT6524" t="s">
        <v>6162</v>
      </c>
      <c r="BC6524">
        <v>0</v>
      </c>
      <c r="BJ6524" t="s">
        <v>6461</v>
      </c>
    </row>
    <row r="6525" spans="1:90" x14ac:dyDescent="0.25">
      <c r="N6525" t="s">
        <v>6462</v>
      </c>
      <c r="AK6525">
        <v>92</v>
      </c>
      <c r="AO6525" t="s">
        <v>2324</v>
      </c>
      <c r="AT6525" t="s">
        <v>6463</v>
      </c>
      <c r="BC6525">
        <v>29</v>
      </c>
      <c r="BJ6525" t="s">
        <v>6464</v>
      </c>
    </row>
    <row r="6526" spans="1:90" x14ac:dyDescent="0.25">
      <c r="N6526" t="s">
        <v>6465</v>
      </c>
      <c r="AK6526">
        <v>93</v>
      </c>
      <c r="AO6526" t="s">
        <v>2324</v>
      </c>
      <c r="AT6526" t="s">
        <v>6463</v>
      </c>
      <c r="BC6526">
        <v>18</v>
      </c>
    </row>
    <row r="6527" spans="1:90" x14ac:dyDescent="0.25">
      <c r="N6527" t="s">
        <v>6466</v>
      </c>
      <c r="AK6527">
        <v>94</v>
      </c>
      <c r="AO6527" t="s">
        <v>2324</v>
      </c>
      <c r="AT6527" t="s">
        <v>6463</v>
      </c>
      <c r="BC6527">
        <v>29</v>
      </c>
    </row>
    <row r="6528" spans="1:90" x14ac:dyDescent="0.25">
      <c r="N6528" t="s">
        <v>6467</v>
      </c>
      <c r="AK6528">
        <v>95</v>
      </c>
      <c r="AO6528" t="s">
        <v>2324</v>
      </c>
      <c r="AT6528" t="s">
        <v>6463</v>
      </c>
      <c r="BC6528">
        <v>18</v>
      </c>
    </row>
    <row r="6529" spans="1:62" x14ac:dyDescent="0.25">
      <c r="N6529" t="s">
        <v>6468</v>
      </c>
      <c r="AK6529">
        <v>96</v>
      </c>
      <c r="AO6529" t="s">
        <v>2324</v>
      </c>
      <c r="AT6529" t="s">
        <v>6469</v>
      </c>
      <c r="BC6529">
        <v>20</v>
      </c>
      <c r="BJ6529" t="s">
        <v>6470</v>
      </c>
    </row>
    <row r="6530" spans="1:62" x14ac:dyDescent="0.25">
      <c r="N6530" t="s">
        <v>6471</v>
      </c>
      <c r="AK6530" t="s">
        <v>6472</v>
      </c>
      <c r="AO6530" t="s">
        <v>2324</v>
      </c>
      <c r="AT6530" t="s">
        <v>6473</v>
      </c>
      <c r="BC6530">
        <v>40</v>
      </c>
      <c r="BJ6530" t="s">
        <v>6474</v>
      </c>
    </row>
    <row r="6531" spans="1:62" x14ac:dyDescent="0.25">
      <c r="N6531" t="s">
        <v>6475</v>
      </c>
      <c r="AK6531" t="s">
        <v>6476</v>
      </c>
      <c r="AO6531" t="s">
        <v>2324</v>
      </c>
      <c r="AT6531" t="s">
        <v>6477</v>
      </c>
      <c r="BC6531">
        <v>25</v>
      </c>
      <c r="BJ6531" t="s">
        <v>6478</v>
      </c>
    </row>
    <row r="6532" spans="1:62" x14ac:dyDescent="0.25">
      <c r="N6532" t="s">
        <v>6479</v>
      </c>
      <c r="AK6532" t="s">
        <v>6480</v>
      </c>
      <c r="AO6532" t="s">
        <v>2324</v>
      </c>
      <c r="AT6532" t="s">
        <v>6162</v>
      </c>
      <c r="BC6532">
        <v>0</v>
      </c>
      <c r="BJ6532" t="s">
        <v>6481</v>
      </c>
    </row>
    <row r="6533" spans="1:62" x14ac:dyDescent="0.25">
      <c r="N6533" t="s">
        <v>6482</v>
      </c>
      <c r="AK6533" t="s">
        <v>2324</v>
      </c>
      <c r="AO6533">
        <v>2</v>
      </c>
      <c r="AT6533" t="s">
        <v>6483</v>
      </c>
      <c r="BC6533">
        <v>-1</v>
      </c>
      <c r="BJ6533" t="s">
        <v>6484</v>
      </c>
    </row>
    <row r="6534" spans="1:62" x14ac:dyDescent="0.25">
      <c r="N6534" t="s">
        <v>6485</v>
      </c>
      <c r="AK6534" t="s">
        <v>2324</v>
      </c>
      <c r="AO6534">
        <v>3</v>
      </c>
      <c r="AT6534" t="s">
        <v>6483</v>
      </c>
      <c r="BC6534">
        <v>-1</v>
      </c>
      <c r="BJ6534" t="s">
        <v>6484</v>
      </c>
    </row>
    <row r="6535" spans="1:62" x14ac:dyDescent="0.25">
      <c r="A6535" t="s">
        <v>6486</v>
      </c>
      <c r="N6535" t="s">
        <v>6487</v>
      </c>
      <c r="AK6535" t="s">
        <v>6488</v>
      </c>
      <c r="AO6535" t="s">
        <v>2324</v>
      </c>
      <c r="AT6535" t="s">
        <v>6162</v>
      </c>
      <c r="BJ6535" t="s">
        <v>6489</v>
      </c>
    </row>
    <row r="6536" spans="1:62" x14ac:dyDescent="0.25">
      <c r="A6536" t="s">
        <v>6490</v>
      </c>
      <c r="N6536" t="s">
        <v>6491</v>
      </c>
      <c r="AK6536">
        <v>54</v>
      </c>
      <c r="AT6536" t="s">
        <v>6162</v>
      </c>
      <c r="BC6536">
        <v>0</v>
      </c>
      <c r="BJ6536" t="s">
        <v>6492</v>
      </c>
    </row>
    <row r="6537" spans="1:62" x14ac:dyDescent="0.25">
      <c r="A6537" t="s">
        <v>6493</v>
      </c>
      <c r="N6537" t="s">
        <v>6494</v>
      </c>
      <c r="AK6537" t="s">
        <v>6373</v>
      </c>
      <c r="AO6537" t="s">
        <v>2324</v>
      </c>
      <c r="AT6537" t="s">
        <v>6495</v>
      </c>
      <c r="BC6537">
        <v>6</v>
      </c>
      <c r="BJ6537" t="s">
        <v>6496</v>
      </c>
    </row>
    <row r="6538" spans="1:62" x14ac:dyDescent="0.25">
      <c r="N6538" t="s">
        <v>6497</v>
      </c>
      <c r="AK6538">
        <v>59</v>
      </c>
      <c r="AO6538" t="s">
        <v>2324</v>
      </c>
      <c r="AT6538" t="s">
        <v>6498</v>
      </c>
      <c r="BC6538">
        <v>2</v>
      </c>
      <c r="BJ6538" t="s">
        <v>6499</v>
      </c>
    </row>
    <row r="6539" spans="1:62" x14ac:dyDescent="0.25">
      <c r="N6539" t="s">
        <v>6500</v>
      </c>
      <c r="AK6539" t="s">
        <v>6501</v>
      </c>
      <c r="AO6539" t="s">
        <v>2324</v>
      </c>
      <c r="AT6539" t="s">
        <v>6502</v>
      </c>
      <c r="BC6539">
        <v>2</v>
      </c>
    </row>
    <row r="6540" spans="1:62" x14ac:dyDescent="0.25">
      <c r="N6540" t="s">
        <v>6503</v>
      </c>
      <c r="AK6540" t="s">
        <v>6504</v>
      </c>
      <c r="AO6540" t="s">
        <v>2324</v>
      </c>
      <c r="AT6540" t="s">
        <v>6505</v>
      </c>
      <c r="BC6540">
        <v>24</v>
      </c>
    </row>
    <row r="6541" spans="1:62" x14ac:dyDescent="0.25">
      <c r="A6541" t="s">
        <v>6506</v>
      </c>
      <c r="N6541" t="s">
        <v>6507</v>
      </c>
      <c r="AK6541" t="s">
        <v>6508</v>
      </c>
      <c r="AO6541" t="s">
        <v>2324</v>
      </c>
      <c r="AT6541" t="s">
        <v>6162</v>
      </c>
      <c r="BC6541">
        <v>0</v>
      </c>
    </row>
    <row r="6542" spans="1:62" x14ac:dyDescent="0.25">
      <c r="N6542" t="s">
        <v>6509</v>
      </c>
      <c r="AK6542" t="s">
        <v>6510</v>
      </c>
      <c r="AO6542" t="s">
        <v>2324</v>
      </c>
      <c r="AT6542" t="s">
        <v>6218</v>
      </c>
      <c r="BC6542">
        <v>3</v>
      </c>
    </row>
    <row r="6543" spans="1:62" x14ac:dyDescent="0.25">
      <c r="N6543" t="s">
        <v>6511</v>
      </c>
      <c r="AK6543">
        <v>62</v>
      </c>
      <c r="AO6543" t="s">
        <v>2324</v>
      </c>
      <c r="AT6543" t="s">
        <v>6162</v>
      </c>
      <c r="BC6543">
        <v>0</v>
      </c>
    </row>
    <row r="6545" spans="1:71" x14ac:dyDescent="0.25">
      <c r="A6545" t="s">
        <v>6512</v>
      </c>
      <c r="N6545" t="s">
        <v>6513</v>
      </c>
      <c r="AK6545">
        <v>2</v>
      </c>
      <c r="AO6545" t="s">
        <v>2324</v>
      </c>
      <c r="AT6545" t="s">
        <v>6162</v>
      </c>
      <c r="BC6545">
        <v>0</v>
      </c>
      <c r="BJ6545" t="s">
        <v>6514</v>
      </c>
    </row>
    <row r="6546" spans="1:71" x14ac:dyDescent="0.25">
      <c r="A6546" t="s">
        <v>6515</v>
      </c>
      <c r="N6546" t="s">
        <v>6516</v>
      </c>
      <c r="AK6546" t="s">
        <v>2324</v>
      </c>
      <c r="AO6546">
        <v>5</v>
      </c>
      <c r="AT6546" t="s">
        <v>6162</v>
      </c>
      <c r="BC6546">
        <v>0</v>
      </c>
      <c r="BJ6546" t="s">
        <v>6517</v>
      </c>
    </row>
    <row r="6547" spans="1:71" x14ac:dyDescent="0.25">
      <c r="A6547" t="s">
        <v>5421</v>
      </c>
    </row>
    <row r="6548" spans="1:71" x14ac:dyDescent="0.25">
      <c r="A6548" t="s">
        <v>6148</v>
      </c>
    </row>
    <row r="6549" spans="1:71" x14ac:dyDescent="0.25">
      <c r="AQ6549" t="s">
        <v>6151</v>
      </c>
      <c r="BA6549" t="s">
        <v>6152</v>
      </c>
    </row>
    <row r="6550" spans="1:71" x14ac:dyDescent="0.25">
      <c r="V6550" t="s">
        <v>6153</v>
      </c>
      <c r="AQ6550" t="s">
        <v>6154</v>
      </c>
      <c r="AX6550" t="s">
        <v>6155</v>
      </c>
      <c r="BA6550" t="s">
        <v>6156</v>
      </c>
      <c r="BJ6550" t="s">
        <v>6157</v>
      </c>
      <c r="BS6550" t="s">
        <v>6158</v>
      </c>
    </row>
    <row r="6551" spans="1:71" x14ac:dyDescent="0.25">
      <c r="I6551" t="s">
        <v>6518</v>
      </c>
      <c r="V6551" t="s">
        <v>6519</v>
      </c>
      <c r="AQ6551" t="s">
        <v>2324</v>
      </c>
      <c r="AX6551" t="s">
        <v>5035</v>
      </c>
      <c r="BA6551" t="s">
        <v>6162</v>
      </c>
      <c r="BJ6551">
        <v>0</v>
      </c>
      <c r="BS6551" t="s">
        <v>6520</v>
      </c>
    </row>
    <row r="6552" spans="1:71" x14ac:dyDescent="0.25">
      <c r="V6552" t="s">
        <v>6372</v>
      </c>
      <c r="AQ6552" t="s">
        <v>2324</v>
      </c>
      <c r="AX6552" t="s">
        <v>6365</v>
      </c>
      <c r="BA6552" t="s">
        <v>6374</v>
      </c>
      <c r="BJ6552">
        <v>22</v>
      </c>
    </row>
    <row r="6553" spans="1:71" x14ac:dyDescent="0.25">
      <c r="V6553" t="s">
        <v>6521</v>
      </c>
      <c r="AQ6553" t="s">
        <v>2324</v>
      </c>
      <c r="AX6553" t="s">
        <v>6377</v>
      </c>
      <c r="BA6553" t="s">
        <v>6374</v>
      </c>
      <c r="BJ6553">
        <v>6</v>
      </c>
    </row>
    <row r="6554" spans="1:71" x14ac:dyDescent="0.25">
      <c r="I6554" t="s">
        <v>6522</v>
      </c>
      <c r="V6554" t="s">
        <v>6523</v>
      </c>
      <c r="AQ6554" t="s">
        <v>2324</v>
      </c>
      <c r="AX6554" t="s">
        <v>5056</v>
      </c>
      <c r="BA6554" t="s">
        <v>6162</v>
      </c>
      <c r="BJ6554">
        <v>1</v>
      </c>
      <c r="BS6554" t="s">
        <v>6524</v>
      </c>
    </row>
    <row r="6555" spans="1:71" x14ac:dyDescent="0.25">
      <c r="I6555" t="s">
        <v>6525</v>
      </c>
      <c r="V6555" t="s">
        <v>6526</v>
      </c>
      <c r="AQ6555" t="s">
        <v>6202</v>
      </c>
      <c r="AX6555" t="s">
        <v>2324</v>
      </c>
      <c r="BA6555" t="s">
        <v>6162</v>
      </c>
      <c r="BJ6555">
        <v>0</v>
      </c>
      <c r="BS6555" t="s">
        <v>6527</v>
      </c>
    </row>
    <row r="6556" spans="1:71" x14ac:dyDescent="0.25">
      <c r="V6556" t="s">
        <v>6528</v>
      </c>
      <c r="AQ6556" t="s">
        <v>2761</v>
      </c>
      <c r="AX6556" t="s">
        <v>2324</v>
      </c>
      <c r="BA6556" t="s">
        <v>6162</v>
      </c>
      <c r="BJ6556">
        <v>0</v>
      </c>
    </row>
    <row r="6557" spans="1:71" x14ac:dyDescent="0.25">
      <c r="V6557" t="s">
        <v>6529</v>
      </c>
      <c r="AQ6557" t="s">
        <v>2236</v>
      </c>
      <c r="AX6557" t="s">
        <v>2324</v>
      </c>
      <c r="BA6557" t="s">
        <v>6162</v>
      </c>
      <c r="BJ6557">
        <v>0</v>
      </c>
      <c r="BS6557" t="s">
        <v>6530</v>
      </c>
    </row>
    <row r="6558" spans="1:71" x14ac:dyDescent="0.25">
      <c r="V6558" t="s">
        <v>6531</v>
      </c>
      <c r="AQ6558" t="s">
        <v>6532</v>
      </c>
      <c r="AX6558" t="s">
        <v>2324</v>
      </c>
      <c r="BA6558" t="s">
        <v>6533</v>
      </c>
      <c r="BJ6558">
        <v>20</v>
      </c>
      <c r="BS6558" t="s">
        <v>6534</v>
      </c>
    </row>
    <row r="6559" spans="1:71" x14ac:dyDescent="0.25">
      <c r="V6559" t="s">
        <v>6535</v>
      </c>
      <c r="AQ6559" t="s">
        <v>6536</v>
      </c>
      <c r="AX6559" t="s">
        <v>2324</v>
      </c>
      <c r="BA6559" t="s">
        <v>6537</v>
      </c>
      <c r="BJ6559">
        <v>2</v>
      </c>
      <c r="BS6559" t="s">
        <v>6538</v>
      </c>
    </row>
    <row r="6560" spans="1:71" x14ac:dyDescent="0.25">
      <c r="V6560" t="s">
        <v>6539</v>
      </c>
      <c r="AQ6560" t="s">
        <v>6540</v>
      </c>
      <c r="AX6560" t="s">
        <v>2324</v>
      </c>
      <c r="BA6560" t="s">
        <v>6541</v>
      </c>
      <c r="BJ6560">
        <v>0</v>
      </c>
      <c r="BS6560" t="s">
        <v>6542</v>
      </c>
    </row>
    <row r="6561" spans="1:90" x14ac:dyDescent="0.25">
      <c r="V6561" t="s">
        <v>6543</v>
      </c>
      <c r="AQ6561" t="s">
        <v>6544</v>
      </c>
      <c r="AX6561" t="s">
        <v>2324</v>
      </c>
      <c r="BA6561" t="s">
        <v>6162</v>
      </c>
      <c r="BJ6561">
        <v>1</v>
      </c>
    </row>
    <row r="6562" spans="1:90" x14ac:dyDescent="0.25">
      <c r="V6562" t="s">
        <v>6545</v>
      </c>
      <c r="AQ6562" t="s">
        <v>6546</v>
      </c>
      <c r="AX6562" t="s">
        <v>2324</v>
      </c>
      <c r="BA6562" t="s">
        <v>6218</v>
      </c>
      <c r="BJ6562">
        <v>0</v>
      </c>
    </row>
    <row r="6563" spans="1:90" x14ac:dyDescent="0.25">
      <c r="V6563" t="s">
        <v>6547</v>
      </c>
      <c r="AQ6563" t="s">
        <v>6548</v>
      </c>
      <c r="AX6563" t="s">
        <v>2324</v>
      </c>
      <c r="BA6563" t="s">
        <v>6218</v>
      </c>
      <c r="BJ6563">
        <v>0</v>
      </c>
    </row>
    <row r="6564" spans="1:90" x14ac:dyDescent="0.25">
      <c r="V6564" t="s">
        <v>6549</v>
      </c>
      <c r="AQ6564" t="s">
        <v>6550</v>
      </c>
      <c r="AX6564" t="s">
        <v>2324</v>
      </c>
      <c r="BA6564" t="s">
        <v>6439</v>
      </c>
      <c r="BJ6564">
        <v>0</v>
      </c>
      <c r="BS6564" t="s">
        <v>6551</v>
      </c>
    </row>
    <row r="6565" spans="1:90" x14ac:dyDescent="0.25">
      <c r="V6565" t="s">
        <v>6552</v>
      </c>
      <c r="AQ6565" t="s">
        <v>6553</v>
      </c>
      <c r="AX6565" t="s">
        <v>2324</v>
      </c>
      <c r="BA6565" t="s">
        <v>6218</v>
      </c>
      <c r="BJ6565">
        <v>0</v>
      </c>
      <c r="BS6565" t="s">
        <v>6551</v>
      </c>
    </row>
    <row r="6566" spans="1:90" x14ac:dyDescent="0.25">
      <c r="V6566" t="s">
        <v>6554</v>
      </c>
      <c r="AQ6566" t="s">
        <v>6555</v>
      </c>
      <c r="AX6566" t="s">
        <v>2324</v>
      </c>
      <c r="BA6566" t="s">
        <v>6162</v>
      </c>
      <c r="BJ6566">
        <v>0</v>
      </c>
      <c r="BS6566" t="s">
        <v>6556</v>
      </c>
    </row>
    <row r="6567" spans="1:90" x14ac:dyDescent="0.25">
      <c r="V6567" t="s">
        <v>6557</v>
      </c>
      <c r="AQ6567" t="s">
        <v>6558</v>
      </c>
      <c r="AX6567" t="s">
        <v>2324</v>
      </c>
      <c r="BA6567" t="s">
        <v>6541</v>
      </c>
      <c r="BJ6567">
        <v>0</v>
      </c>
      <c r="BS6567" t="s">
        <v>6559</v>
      </c>
    </row>
    <row r="6568" spans="1:90" x14ac:dyDescent="0.25">
      <c r="I6568" t="s">
        <v>6560</v>
      </c>
      <c r="V6568" t="s">
        <v>6561</v>
      </c>
      <c r="AQ6568" t="s">
        <v>6562</v>
      </c>
      <c r="AX6568" t="s">
        <v>2324</v>
      </c>
      <c r="BA6568" t="s">
        <v>6162</v>
      </c>
      <c r="BJ6568">
        <v>0</v>
      </c>
      <c r="BS6568" t="s">
        <v>6563</v>
      </c>
    </row>
    <row r="6569" spans="1:90" x14ac:dyDescent="0.25">
      <c r="BS6569" t="s">
        <v>6564</v>
      </c>
    </row>
    <row r="6571" spans="1:90" x14ac:dyDescent="0.25">
      <c r="V6571" t="s">
        <v>6565</v>
      </c>
      <c r="AQ6571" t="s">
        <v>6566</v>
      </c>
      <c r="AX6571" t="s">
        <v>2324</v>
      </c>
      <c r="BA6571" t="s">
        <v>6162</v>
      </c>
      <c r="BJ6571">
        <v>0</v>
      </c>
      <c r="BS6571" t="s">
        <v>6567</v>
      </c>
    </row>
    <row r="6572" spans="1:90" x14ac:dyDescent="0.25">
      <c r="A6572" t="s">
        <v>5424</v>
      </c>
    </row>
    <row r="6573" spans="1:90" x14ac:dyDescent="0.25">
      <c r="CL6573" t="s">
        <v>6148</v>
      </c>
    </row>
    <row r="6574" spans="1:90" x14ac:dyDescent="0.25">
      <c r="AK6574" t="s">
        <v>6151</v>
      </c>
      <c r="AT6574" t="s">
        <v>6152</v>
      </c>
    </row>
    <row r="6575" spans="1:90" x14ac:dyDescent="0.25">
      <c r="L6575" t="s">
        <v>6153</v>
      </c>
      <c r="AK6575" t="s">
        <v>6154</v>
      </c>
      <c r="AO6575" t="s">
        <v>6155</v>
      </c>
      <c r="AT6575" t="s">
        <v>6156</v>
      </c>
      <c r="BL6575" t="s">
        <v>6158</v>
      </c>
    </row>
    <row r="6576" spans="1:90" x14ac:dyDescent="0.25">
      <c r="A6576" t="s">
        <v>6568</v>
      </c>
      <c r="L6576" t="s">
        <v>6569</v>
      </c>
      <c r="AK6576" t="s">
        <v>6570</v>
      </c>
      <c r="AO6576" t="s">
        <v>2324</v>
      </c>
      <c r="AT6576" t="s">
        <v>6571</v>
      </c>
      <c r="BC6576">
        <v>0</v>
      </c>
    </row>
    <row r="6577" spans="1:55" x14ac:dyDescent="0.25">
      <c r="L6577" t="s">
        <v>6572</v>
      </c>
      <c r="AK6577" t="s">
        <v>6573</v>
      </c>
      <c r="AO6577" t="s">
        <v>2324</v>
      </c>
      <c r="AT6577" t="s">
        <v>6571</v>
      </c>
      <c r="BC6577">
        <v>2</v>
      </c>
    </row>
    <row r="6578" spans="1:55" x14ac:dyDescent="0.25">
      <c r="L6578" t="s">
        <v>6574</v>
      </c>
      <c r="AK6578" t="s">
        <v>6575</v>
      </c>
      <c r="AO6578" t="s">
        <v>2324</v>
      </c>
      <c r="AT6578" t="s">
        <v>6571</v>
      </c>
      <c r="BC6578">
        <v>3</v>
      </c>
    </row>
    <row r="6579" spans="1:55" x14ac:dyDescent="0.25">
      <c r="L6579" t="s">
        <v>6576</v>
      </c>
      <c r="AK6579" t="s">
        <v>6577</v>
      </c>
      <c r="AO6579" t="s">
        <v>2324</v>
      </c>
      <c r="AT6579" t="s">
        <v>6571</v>
      </c>
      <c r="BC6579">
        <v>1</v>
      </c>
    </row>
    <row r="6580" spans="1:55" x14ac:dyDescent="0.25">
      <c r="A6580" t="s">
        <v>6578</v>
      </c>
      <c r="L6580" t="s">
        <v>6579</v>
      </c>
      <c r="AK6580">
        <v>680</v>
      </c>
      <c r="AO6580" t="s">
        <v>2324</v>
      </c>
      <c r="AT6580" t="s">
        <v>6207</v>
      </c>
      <c r="BC6580">
        <v>0</v>
      </c>
    </row>
    <row r="6581" spans="1:55" x14ac:dyDescent="0.25">
      <c r="L6581" t="s">
        <v>6580</v>
      </c>
      <c r="AK6581">
        <v>681</v>
      </c>
      <c r="AO6581" t="s">
        <v>2324</v>
      </c>
      <c r="AT6581" t="s">
        <v>6218</v>
      </c>
      <c r="BC6581">
        <v>0</v>
      </c>
    </row>
    <row r="6582" spans="1:55" x14ac:dyDescent="0.25">
      <c r="L6582" t="s">
        <v>6581</v>
      </c>
      <c r="AK6582">
        <v>682</v>
      </c>
      <c r="AO6582" t="s">
        <v>2324</v>
      </c>
      <c r="AT6582" t="s">
        <v>6218</v>
      </c>
      <c r="BC6582">
        <v>0</v>
      </c>
    </row>
    <row r="6583" spans="1:55" x14ac:dyDescent="0.25">
      <c r="L6583" t="s">
        <v>6582</v>
      </c>
      <c r="AK6583">
        <v>683</v>
      </c>
      <c r="AO6583" t="s">
        <v>2324</v>
      </c>
      <c r="AT6583" t="s">
        <v>6218</v>
      </c>
      <c r="BC6583">
        <v>0</v>
      </c>
    </row>
    <row r="6584" spans="1:55" x14ac:dyDescent="0.25">
      <c r="L6584" t="s">
        <v>6583</v>
      </c>
      <c r="AK6584">
        <v>684</v>
      </c>
      <c r="AO6584" t="s">
        <v>2324</v>
      </c>
      <c r="AT6584" t="s">
        <v>6218</v>
      </c>
      <c r="BC6584">
        <v>0</v>
      </c>
    </row>
    <row r="6585" spans="1:55" x14ac:dyDescent="0.25">
      <c r="L6585" t="s">
        <v>6584</v>
      </c>
      <c r="AK6585">
        <v>685</v>
      </c>
      <c r="AO6585" t="s">
        <v>2324</v>
      </c>
      <c r="AT6585" t="s">
        <v>6585</v>
      </c>
      <c r="BC6585">
        <v>65</v>
      </c>
    </row>
    <row r="6586" spans="1:55" x14ac:dyDescent="0.25">
      <c r="L6586" t="s">
        <v>6586</v>
      </c>
      <c r="AK6586">
        <v>689</v>
      </c>
      <c r="AO6586" t="s">
        <v>2324</v>
      </c>
      <c r="AT6586" t="s">
        <v>6537</v>
      </c>
      <c r="BC6586">
        <v>5</v>
      </c>
    </row>
    <row r="6587" spans="1:55" x14ac:dyDescent="0.25">
      <c r="L6587" t="s">
        <v>6587</v>
      </c>
      <c r="AK6587">
        <v>686</v>
      </c>
      <c r="AO6587" t="s">
        <v>2324</v>
      </c>
      <c r="AT6587" t="s">
        <v>6588</v>
      </c>
      <c r="BC6587">
        <v>55</v>
      </c>
    </row>
    <row r="6588" spans="1:55" x14ac:dyDescent="0.25">
      <c r="L6588" t="s">
        <v>6589</v>
      </c>
      <c r="AK6588" t="s">
        <v>6590</v>
      </c>
      <c r="AO6588" t="s">
        <v>2324</v>
      </c>
      <c r="AT6588" t="s">
        <v>6537</v>
      </c>
      <c r="BC6588">
        <v>3</v>
      </c>
    </row>
    <row r="6589" spans="1:55" x14ac:dyDescent="0.25">
      <c r="L6589" t="s">
        <v>6591</v>
      </c>
      <c r="AK6589">
        <v>687</v>
      </c>
      <c r="AO6589" t="s">
        <v>2324</v>
      </c>
      <c r="AT6589" t="s">
        <v>6588</v>
      </c>
      <c r="BC6589">
        <v>55</v>
      </c>
    </row>
    <row r="6590" spans="1:55" x14ac:dyDescent="0.25">
      <c r="L6590" t="s">
        <v>6592</v>
      </c>
      <c r="AK6590" t="s">
        <v>6593</v>
      </c>
      <c r="AO6590" t="s">
        <v>2324</v>
      </c>
      <c r="AT6590" t="s">
        <v>6537</v>
      </c>
      <c r="BC6590">
        <v>3</v>
      </c>
    </row>
    <row r="6591" spans="1:55" x14ac:dyDescent="0.25">
      <c r="L6591" t="s">
        <v>6594</v>
      </c>
      <c r="AK6591">
        <v>688</v>
      </c>
      <c r="AO6591" t="s">
        <v>2324</v>
      </c>
      <c r="AT6591" t="s">
        <v>6595</v>
      </c>
      <c r="BC6591">
        <v>20</v>
      </c>
    </row>
    <row r="6592" spans="1:55" x14ac:dyDescent="0.25">
      <c r="L6592" t="s">
        <v>6596</v>
      </c>
      <c r="AK6592" t="s">
        <v>6597</v>
      </c>
      <c r="AO6592" t="s">
        <v>2324</v>
      </c>
      <c r="AT6592" t="s">
        <v>6537</v>
      </c>
      <c r="BC6592">
        <v>1</v>
      </c>
    </row>
    <row r="6593" spans="1:75" x14ac:dyDescent="0.25">
      <c r="A6593" t="s">
        <v>5483</v>
      </c>
    </row>
    <row r="6594" spans="1:75" x14ac:dyDescent="0.25">
      <c r="A6594" t="s">
        <v>6148</v>
      </c>
    </row>
    <row r="6595" spans="1:75" x14ac:dyDescent="0.25">
      <c r="AX6595" t="s">
        <v>6151</v>
      </c>
      <c r="BE6595" t="s">
        <v>6152</v>
      </c>
    </row>
    <row r="6596" spans="1:75" x14ac:dyDescent="0.25">
      <c r="V6596" t="s">
        <v>6153</v>
      </c>
      <c r="AX6596" t="s">
        <v>6154</v>
      </c>
      <c r="BA6596" t="s">
        <v>6155</v>
      </c>
      <c r="BE6596" t="s">
        <v>6156</v>
      </c>
      <c r="BO6596" t="s">
        <v>6157</v>
      </c>
      <c r="BW6596" t="s">
        <v>6158</v>
      </c>
    </row>
    <row r="6597" spans="1:75" x14ac:dyDescent="0.25">
      <c r="I6597" t="s">
        <v>6598</v>
      </c>
      <c r="V6597" t="s">
        <v>6599</v>
      </c>
      <c r="AX6597" t="s">
        <v>2324</v>
      </c>
      <c r="BA6597" t="s">
        <v>6314</v>
      </c>
      <c r="BE6597" t="s">
        <v>6162</v>
      </c>
      <c r="BO6597">
        <v>0</v>
      </c>
    </row>
    <row r="6598" spans="1:75" x14ac:dyDescent="0.25">
      <c r="V6598" t="s">
        <v>6600</v>
      </c>
      <c r="AX6598" t="s">
        <v>2324</v>
      </c>
      <c r="BA6598">
        <v>14</v>
      </c>
      <c r="BE6598" t="s">
        <v>6601</v>
      </c>
      <c r="BO6598">
        <v>0</v>
      </c>
    </row>
    <row r="6599" spans="1:75" x14ac:dyDescent="0.25">
      <c r="V6599" t="s">
        <v>6602</v>
      </c>
      <c r="AX6599" t="s">
        <v>2324</v>
      </c>
      <c r="BA6599">
        <v>15</v>
      </c>
      <c r="BE6599" t="s">
        <v>6601</v>
      </c>
      <c r="BO6599">
        <v>0</v>
      </c>
    </row>
    <row r="6600" spans="1:75" x14ac:dyDescent="0.25">
      <c r="V6600" t="s">
        <v>6603</v>
      </c>
      <c r="AX6600" t="s">
        <v>2324</v>
      </c>
      <c r="BA6600">
        <v>16</v>
      </c>
      <c r="BE6600" t="s">
        <v>6604</v>
      </c>
      <c r="BO6600">
        <v>0</v>
      </c>
    </row>
    <row r="6601" spans="1:75" x14ac:dyDescent="0.25">
      <c r="V6601" t="s">
        <v>6605</v>
      </c>
      <c r="AX6601" t="s">
        <v>2324</v>
      </c>
      <c r="BA6601">
        <v>17</v>
      </c>
      <c r="BE6601" t="s">
        <v>6370</v>
      </c>
      <c r="BO6601">
        <v>0</v>
      </c>
    </row>
    <row r="6602" spans="1:75" x14ac:dyDescent="0.25">
      <c r="V6602" t="s">
        <v>6606</v>
      </c>
      <c r="AX6602" t="s">
        <v>2324</v>
      </c>
      <c r="BA6602">
        <v>18</v>
      </c>
      <c r="BE6602" t="s">
        <v>6604</v>
      </c>
      <c r="BO6602">
        <v>0</v>
      </c>
    </row>
    <row r="6603" spans="1:75" x14ac:dyDescent="0.25">
      <c r="V6603" t="s">
        <v>6607</v>
      </c>
      <c r="AX6603" t="s">
        <v>2324</v>
      </c>
      <c r="BA6603">
        <v>19</v>
      </c>
      <c r="BE6603" t="s">
        <v>6370</v>
      </c>
      <c r="BO6603">
        <v>0</v>
      </c>
    </row>
    <row r="6604" spans="1:75" x14ac:dyDescent="0.25">
      <c r="V6604" t="s">
        <v>6608</v>
      </c>
      <c r="AX6604" t="s">
        <v>2324</v>
      </c>
      <c r="BA6604" t="s">
        <v>6306</v>
      </c>
      <c r="BE6604" t="s">
        <v>6498</v>
      </c>
      <c r="BO6604">
        <v>0</v>
      </c>
    </row>
    <row r="6606" spans="1:75" x14ac:dyDescent="0.25">
      <c r="I6606" t="s">
        <v>6609</v>
      </c>
    </row>
    <row r="6607" spans="1:75" x14ac:dyDescent="0.25">
      <c r="I6607" t="s">
        <v>5486</v>
      </c>
    </row>
    <row r="6608" spans="1:75" x14ac:dyDescent="0.25">
      <c r="AQ6608" t="s">
        <v>6610</v>
      </c>
    </row>
    <row r="6610" spans="1:53" x14ac:dyDescent="0.25">
      <c r="AT6610" t="s">
        <v>6611</v>
      </c>
    </row>
    <row r="6611" spans="1:53" x14ac:dyDescent="0.25">
      <c r="BA6611" t="s">
        <v>6612</v>
      </c>
    </row>
    <row r="6614" spans="1:53" x14ac:dyDescent="0.25">
      <c r="AF6614" t="s">
        <v>6613</v>
      </c>
    </row>
    <row r="6615" spans="1:53" x14ac:dyDescent="0.25">
      <c r="X6615" t="s">
        <v>6614</v>
      </c>
    </row>
    <row r="6617" spans="1:53" x14ac:dyDescent="0.25">
      <c r="X6617" t="s">
        <v>6615</v>
      </c>
    </row>
    <row r="6618" spans="1:53" x14ac:dyDescent="0.25">
      <c r="X6618" t="s">
        <v>6616</v>
      </c>
    </row>
    <row r="6622" spans="1:53" x14ac:dyDescent="0.25">
      <c r="A6622" t="s">
        <v>6617</v>
      </c>
    </row>
    <row r="6624" spans="1:53" x14ac:dyDescent="0.25">
      <c r="A6624" t="s">
        <v>6618</v>
      </c>
    </row>
    <row r="6626" spans="1:12" x14ac:dyDescent="0.25">
      <c r="A6626" t="s">
        <v>6619</v>
      </c>
    </row>
    <row r="6629" spans="1:12" x14ac:dyDescent="0.25">
      <c r="A6629" t="s">
        <v>6620</v>
      </c>
    </row>
    <row r="6630" spans="1:12" x14ac:dyDescent="0.25">
      <c r="A6630" t="s">
        <v>6621</v>
      </c>
    </row>
    <row r="6631" spans="1:12" x14ac:dyDescent="0.25">
      <c r="A6631" t="s">
        <v>6622</v>
      </c>
    </row>
    <row r="6632" spans="1:12" x14ac:dyDescent="0.25">
      <c r="A6632" t="s">
        <v>6623</v>
      </c>
    </row>
    <row r="6634" spans="1:12" x14ac:dyDescent="0.25">
      <c r="L6634" t="s">
        <v>6624</v>
      </c>
    </row>
    <row r="6635" spans="1:12" x14ac:dyDescent="0.25">
      <c r="A6635" t="s">
        <v>6625</v>
      </c>
    </row>
    <row r="6636" spans="1:12" x14ac:dyDescent="0.25">
      <c r="A6636" t="s">
        <v>6626</v>
      </c>
    </row>
    <row r="6637" spans="1:12" x14ac:dyDescent="0.25">
      <c r="A6637" t="s">
        <v>6622</v>
      </c>
    </row>
    <row r="6638" spans="1:12" x14ac:dyDescent="0.25">
      <c r="A6638" t="s">
        <v>6627</v>
      </c>
    </row>
    <row r="6639" spans="1:12" x14ac:dyDescent="0.25">
      <c r="A6639" t="s">
        <v>6624</v>
      </c>
    </row>
    <row r="6643" spans="1:72" x14ac:dyDescent="0.25">
      <c r="A6643" t="s">
        <v>5499</v>
      </c>
    </row>
    <row r="6645" spans="1:72" x14ac:dyDescent="0.25">
      <c r="A6645" t="s">
        <v>6017</v>
      </c>
    </row>
    <row r="6646" spans="1:72" x14ac:dyDescent="0.25">
      <c r="I6646" t="s">
        <v>6628</v>
      </c>
    </row>
    <row r="6648" spans="1:72" x14ac:dyDescent="0.25">
      <c r="I6648" t="s">
        <v>6629</v>
      </c>
    </row>
    <row r="6650" spans="1:72" x14ac:dyDescent="0.25">
      <c r="I6650" t="s">
        <v>6630</v>
      </c>
      <c r="P6650" t="s">
        <v>6631</v>
      </c>
      <c r="BT6650" t="s">
        <v>6632</v>
      </c>
    </row>
    <row r="6651" spans="1:72" x14ac:dyDescent="0.25">
      <c r="I6651" t="s">
        <v>6633</v>
      </c>
      <c r="P6651" t="s">
        <v>6634</v>
      </c>
      <c r="BT6651" t="s">
        <v>6635</v>
      </c>
    </row>
    <row r="6652" spans="1:72" x14ac:dyDescent="0.25">
      <c r="I6652" t="s">
        <v>4401</v>
      </c>
      <c r="P6652" t="s">
        <v>6636</v>
      </c>
      <c r="AK6652" t="s">
        <v>6637</v>
      </c>
      <c r="BT6652" t="s">
        <v>6638</v>
      </c>
    </row>
    <row r="6653" spans="1:72" x14ac:dyDescent="0.25">
      <c r="I6653" t="s">
        <v>5264</v>
      </c>
      <c r="P6653" t="s">
        <v>6639</v>
      </c>
      <c r="AK6653" t="s">
        <v>6640</v>
      </c>
      <c r="BT6653" t="s">
        <v>6641</v>
      </c>
    </row>
    <row r="6654" spans="1:72" x14ac:dyDescent="0.25">
      <c r="I6654" t="s">
        <v>5478</v>
      </c>
      <c r="P6654" t="s">
        <v>6642</v>
      </c>
      <c r="AK6654" t="s">
        <v>6643</v>
      </c>
      <c r="BT6654" t="s">
        <v>6644</v>
      </c>
    </row>
    <row r="6655" spans="1:72" x14ac:dyDescent="0.25">
      <c r="I6655" t="s">
        <v>5194</v>
      </c>
      <c r="P6655" t="s">
        <v>6645</v>
      </c>
      <c r="AK6655" t="s">
        <v>6646</v>
      </c>
      <c r="BT6655" t="s">
        <v>6647</v>
      </c>
    </row>
    <row r="6656" spans="1:72" x14ac:dyDescent="0.25">
      <c r="I6656" t="s">
        <v>5541</v>
      </c>
      <c r="P6656" t="s">
        <v>6648</v>
      </c>
      <c r="AK6656" t="s">
        <v>6646</v>
      </c>
      <c r="BT6656" t="s">
        <v>6649</v>
      </c>
    </row>
    <row r="6657" spans="1:72" x14ac:dyDescent="0.25">
      <c r="I6657" t="s">
        <v>3043</v>
      </c>
      <c r="P6657" t="s">
        <v>6634</v>
      </c>
    </row>
    <row r="6658" spans="1:72" x14ac:dyDescent="0.25">
      <c r="I6658" t="s">
        <v>5268</v>
      </c>
      <c r="P6658" t="s">
        <v>6650</v>
      </c>
      <c r="AK6658" t="s">
        <v>6651</v>
      </c>
      <c r="BT6658" t="s">
        <v>6652</v>
      </c>
    </row>
    <row r="6659" spans="1:72" x14ac:dyDescent="0.25">
      <c r="I6659" t="s">
        <v>5057</v>
      </c>
      <c r="P6659" t="s">
        <v>6653</v>
      </c>
      <c r="AK6659" t="s">
        <v>6646</v>
      </c>
      <c r="BT6659" t="s">
        <v>6654</v>
      </c>
    </row>
    <row r="6660" spans="1:72" x14ac:dyDescent="0.25">
      <c r="I6660" t="s">
        <v>5035</v>
      </c>
      <c r="P6660" t="s">
        <v>6655</v>
      </c>
      <c r="AK6660" t="s">
        <v>6646</v>
      </c>
      <c r="BT6660" t="s">
        <v>6656</v>
      </c>
    </row>
    <row r="6661" spans="1:72" x14ac:dyDescent="0.25">
      <c r="I6661" t="s">
        <v>4911</v>
      </c>
      <c r="P6661" t="s">
        <v>6657</v>
      </c>
      <c r="AK6661" t="s">
        <v>6658</v>
      </c>
      <c r="BT6661" t="s">
        <v>6659</v>
      </c>
    </row>
    <row r="6662" spans="1:72" x14ac:dyDescent="0.25">
      <c r="I6662" t="s">
        <v>6660</v>
      </c>
      <c r="P6662" t="s">
        <v>6661</v>
      </c>
      <c r="AK6662" t="s">
        <v>6658</v>
      </c>
      <c r="BT6662" t="s">
        <v>6662</v>
      </c>
    </row>
    <row r="6663" spans="1:72" x14ac:dyDescent="0.25">
      <c r="I6663" t="s">
        <v>5644</v>
      </c>
      <c r="P6663" t="s">
        <v>6663</v>
      </c>
      <c r="AK6663" t="s">
        <v>6658</v>
      </c>
      <c r="BT6663" t="s">
        <v>6664</v>
      </c>
    </row>
    <row r="6664" spans="1:72" x14ac:dyDescent="0.25">
      <c r="I6664" t="s">
        <v>6665</v>
      </c>
      <c r="P6664" t="s">
        <v>6666</v>
      </c>
      <c r="AK6664" t="s">
        <v>6658</v>
      </c>
      <c r="BT6664" t="s">
        <v>6667</v>
      </c>
    </row>
    <row r="6665" spans="1:72" x14ac:dyDescent="0.25">
      <c r="I6665" t="s">
        <v>6668</v>
      </c>
      <c r="P6665" t="s">
        <v>6634</v>
      </c>
    </row>
    <row r="6666" spans="1:72" x14ac:dyDescent="0.25">
      <c r="I6666" t="s">
        <v>6669</v>
      </c>
      <c r="P6666" t="s">
        <v>6670</v>
      </c>
      <c r="AK6666" t="s">
        <v>6671</v>
      </c>
      <c r="BT6666" t="s">
        <v>6672</v>
      </c>
    </row>
    <row r="6668" spans="1:72" x14ac:dyDescent="0.25">
      <c r="A6668" t="s">
        <v>5502</v>
      </c>
    </row>
    <row r="6669" spans="1:72" x14ac:dyDescent="0.25">
      <c r="A6669" t="s">
        <v>6673</v>
      </c>
    </row>
    <row r="6671" spans="1:72" x14ac:dyDescent="0.25">
      <c r="A6671" t="s">
        <v>6674</v>
      </c>
      <c r="AX6671" t="s">
        <v>6675</v>
      </c>
    </row>
    <row r="6673" spans="1:37" x14ac:dyDescent="0.25">
      <c r="A6673" t="s">
        <v>6676</v>
      </c>
      <c r="K6673" t="s">
        <v>6677</v>
      </c>
      <c r="AK6673" t="s">
        <v>6678</v>
      </c>
    </row>
    <row r="6674" spans="1:37" x14ac:dyDescent="0.25">
      <c r="D6674">
        <v>0</v>
      </c>
      <c r="K6674" t="s">
        <v>6679</v>
      </c>
      <c r="AK6674" t="s">
        <v>4918</v>
      </c>
    </row>
    <row r="6675" spans="1:37" x14ac:dyDescent="0.25">
      <c r="D6675">
        <v>1</v>
      </c>
      <c r="K6675" t="s">
        <v>6680</v>
      </c>
      <c r="AK6675" t="s">
        <v>4918</v>
      </c>
    </row>
    <row r="6676" spans="1:37" x14ac:dyDescent="0.25">
      <c r="D6676">
        <v>2</v>
      </c>
      <c r="K6676" t="s">
        <v>6681</v>
      </c>
      <c r="AK6676" t="s">
        <v>4918</v>
      </c>
    </row>
    <row r="6677" spans="1:37" x14ac:dyDescent="0.25">
      <c r="D6677">
        <v>3</v>
      </c>
      <c r="K6677" t="s">
        <v>6682</v>
      </c>
      <c r="AK6677" t="s">
        <v>4918</v>
      </c>
    </row>
    <row r="6678" spans="1:37" x14ac:dyDescent="0.25">
      <c r="D6678">
        <v>4</v>
      </c>
      <c r="K6678" t="s">
        <v>6683</v>
      </c>
      <c r="AK6678" t="s">
        <v>4918</v>
      </c>
    </row>
    <row r="6679" spans="1:37" x14ac:dyDescent="0.25">
      <c r="D6679">
        <v>6</v>
      </c>
      <c r="K6679" t="s">
        <v>6684</v>
      </c>
      <c r="AK6679" t="s">
        <v>4918</v>
      </c>
    </row>
    <row r="6680" spans="1:37" x14ac:dyDescent="0.25">
      <c r="D6680">
        <v>7</v>
      </c>
      <c r="K6680" t="s">
        <v>6685</v>
      </c>
      <c r="AK6680" t="s">
        <v>4918</v>
      </c>
    </row>
    <row r="6681" spans="1:37" x14ac:dyDescent="0.25">
      <c r="D6681">
        <v>8</v>
      </c>
      <c r="K6681" t="s">
        <v>6686</v>
      </c>
      <c r="AK6681" t="s">
        <v>4918</v>
      </c>
    </row>
    <row r="6682" spans="1:37" x14ac:dyDescent="0.25">
      <c r="D6682">
        <v>9</v>
      </c>
      <c r="K6682" t="s">
        <v>6687</v>
      </c>
      <c r="AK6682" t="s">
        <v>4918</v>
      </c>
    </row>
    <row r="6683" spans="1:37" x14ac:dyDescent="0.25">
      <c r="K6683" t="s">
        <v>6688</v>
      </c>
      <c r="AK6683" t="s">
        <v>4918</v>
      </c>
    </row>
    <row r="6684" spans="1:37" x14ac:dyDescent="0.25">
      <c r="K6684" t="s">
        <v>6689</v>
      </c>
      <c r="AK6684" t="s">
        <v>6690</v>
      </c>
    </row>
    <row r="6685" spans="1:37" x14ac:dyDescent="0.25">
      <c r="K6685" t="s">
        <v>6691</v>
      </c>
      <c r="AK6685" t="s">
        <v>6692</v>
      </c>
    </row>
    <row r="6686" spans="1:37" x14ac:dyDescent="0.25">
      <c r="K6686" t="s">
        <v>6693</v>
      </c>
      <c r="AK6686" t="s">
        <v>2324</v>
      </c>
    </row>
    <row r="6687" spans="1:37" x14ac:dyDescent="0.25">
      <c r="A6687" t="s">
        <v>6284</v>
      </c>
    </row>
    <row r="6688" spans="1:37" x14ac:dyDescent="0.25">
      <c r="A6688" t="s">
        <v>6285</v>
      </c>
    </row>
    <row r="6692" spans="1:37" x14ac:dyDescent="0.25">
      <c r="A6692" t="s">
        <v>6694</v>
      </c>
      <c r="K6692" t="s">
        <v>6677</v>
      </c>
      <c r="AK6692" t="s">
        <v>6678</v>
      </c>
    </row>
    <row r="6693" spans="1:37" x14ac:dyDescent="0.25">
      <c r="D6693">
        <v>60</v>
      </c>
      <c r="K6693" t="s">
        <v>6695</v>
      </c>
      <c r="AK6693" t="s">
        <v>4918</v>
      </c>
    </row>
    <row r="6694" spans="1:37" x14ac:dyDescent="0.25">
      <c r="D6694">
        <v>61</v>
      </c>
      <c r="K6694" t="s">
        <v>6696</v>
      </c>
      <c r="AK6694" t="s">
        <v>4918</v>
      </c>
    </row>
    <row r="6695" spans="1:37" x14ac:dyDescent="0.25">
      <c r="D6695">
        <v>62</v>
      </c>
      <c r="K6695" t="s">
        <v>6697</v>
      </c>
      <c r="AK6695" t="s">
        <v>4918</v>
      </c>
    </row>
    <row r="6696" spans="1:37" x14ac:dyDescent="0.25">
      <c r="D6696">
        <v>63</v>
      </c>
      <c r="K6696" t="s">
        <v>6698</v>
      </c>
      <c r="AK6696" t="s">
        <v>4918</v>
      </c>
    </row>
    <row r="6697" spans="1:37" x14ac:dyDescent="0.25">
      <c r="D6697">
        <v>65</v>
      </c>
      <c r="K6697" t="s">
        <v>6699</v>
      </c>
      <c r="AK6697" t="s">
        <v>4918</v>
      </c>
    </row>
    <row r="6698" spans="1:37" x14ac:dyDescent="0.25">
      <c r="K6698" t="s">
        <v>6700</v>
      </c>
      <c r="AK6698" t="s">
        <v>4911</v>
      </c>
    </row>
    <row r="6699" spans="1:37" x14ac:dyDescent="0.25">
      <c r="K6699" t="s">
        <v>6701</v>
      </c>
      <c r="AK6699" t="s">
        <v>4918</v>
      </c>
    </row>
    <row r="6700" spans="1:37" x14ac:dyDescent="0.25">
      <c r="D6700">
        <v>70</v>
      </c>
      <c r="K6700" t="s">
        <v>6702</v>
      </c>
      <c r="AK6700" t="s">
        <v>6703</v>
      </c>
    </row>
    <row r="6701" spans="1:37" x14ac:dyDescent="0.25">
      <c r="D6701">
        <v>72</v>
      </c>
      <c r="K6701" t="s">
        <v>6704</v>
      </c>
      <c r="AK6701" t="s">
        <v>6705</v>
      </c>
    </row>
    <row r="6702" spans="1:37" x14ac:dyDescent="0.25">
      <c r="D6702">
        <v>73</v>
      </c>
      <c r="K6702" t="s">
        <v>6706</v>
      </c>
      <c r="AK6702" t="s">
        <v>6705</v>
      </c>
    </row>
    <row r="6703" spans="1:37" x14ac:dyDescent="0.25">
      <c r="D6703">
        <v>74</v>
      </c>
      <c r="K6703" t="s">
        <v>6707</v>
      </c>
      <c r="AK6703" t="s">
        <v>6708</v>
      </c>
    </row>
    <row r="6704" spans="1:37" x14ac:dyDescent="0.25">
      <c r="K6704" t="s">
        <v>6709</v>
      </c>
      <c r="AK6704" t="s">
        <v>6710</v>
      </c>
    </row>
    <row r="6705" spans="1:37" x14ac:dyDescent="0.25">
      <c r="A6705" t="s">
        <v>6288</v>
      </c>
    </row>
    <row r="6706" spans="1:37" x14ac:dyDescent="0.25">
      <c r="A6706" t="s">
        <v>6289</v>
      </c>
    </row>
    <row r="6707" spans="1:37" x14ac:dyDescent="0.25">
      <c r="A6707" t="s">
        <v>6711</v>
      </c>
    </row>
    <row r="6709" spans="1:37" x14ac:dyDescent="0.25">
      <c r="P6709" t="s">
        <v>6292</v>
      </c>
    </row>
    <row r="6710" spans="1:37" x14ac:dyDescent="0.25">
      <c r="A6710" t="s">
        <v>6676</v>
      </c>
      <c r="K6710" t="s">
        <v>6677</v>
      </c>
      <c r="AK6710" t="s">
        <v>6678</v>
      </c>
    </row>
    <row r="6711" spans="1:37" x14ac:dyDescent="0.25">
      <c r="K6711" t="s">
        <v>6712</v>
      </c>
      <c r="AK6711" t="s">
        <v>6713</v>
      </c>
    </row>
    <row r="6712" spans="1:37" x14ac:dyDescent="0.25">
      <c r="K6712" t="s">
        <v>6714</v>
      </c>
      <c r="AK6712" t="s">
        <v>6713</v>
      </c>
    </row>
    <row r="6713" spans="1:37" x14ac:dyDescent="0.25">
      <c r="K6713" t="s">
        <v>6715</v>
      </c>
      <c r="AK6713" t="s">
        <v>6713</v>
      </c>
    </row>
    <row r="6714" spans="1:37" x14ac:dyDescent="0.25">
      <c r="K6714" t="s">
        <v>6716</v>
      </c>
      <c r="AK6714" t="s">
        <v>6713</v>
      </c>
    </row>
    <row r="6715" spans="1:37" x14ac:dyDescent="0.25">
      <c r="K6715" t="s">
        <v>6717</v>
      </c>
      <c r="AK6715" t="s">
        <v>6713</v>
      </c>
    </row>
    <row r="6716" spans="1:37" x14ac:dyDescent="0.25">
      <c r="K6716" t="s">
        <v>6718</v>
      </c>
      <c r="AK6716" t="s">
        <v>6713</v>
      </c>
    </row>
    <row r="6717" spans="1:37" x14ac:dyDescent="0.25">
      <c r="K6717" t="s">
        <v>6719</v>
      </c>
      <c r="AK6717" t="s">
        <v>6713</v>
      </c>
    </row>
    <row r="6718" spans="1:37" x14ac:dyDescent="0.25">
      <c r="K6718" t="s">
        <v>6720</v>
      </c>
      <c r="AK6718" t="s">
        <v>6713</v>
      </c>
    </row>
    <row r="6719" spans="1:37" x14ac:dyDescent="0.25">
      <c r="A6719" t="s">
        <v>6289</v>
      </c>
    </row>
    <row r="6720" spans="1:37" x14ac:dyDescent="0.25">
      <c r="A6720" t="s">
        <v>6721</v>
      </c>
      <c r="K6720" t="s">
        <v>6722</v>
      </c>
      <c r="U6720" t="s">
        <v>6723</v>
      </c>
    </row>
    <row r="6721" spans="1:75" x14ac:dyDescent="0.25">
      <c r="A6721" t="s">
        <v>6724</v>
      </c>
      <c r="K6721" t="s">
        <v>6725</v>
      </c>
      <c r="U6721" t="s">
        <v>6726</v>
      </c>
    </row>
    <row r="6722" spans="1:75" x14ac:dyDescent="0.25">
      <c r="A6722" t="s">
        <v>6727</v>
      </c>
    </row>
    <row r="6724" spans="1:75" x14ac:dyDescent="0.25">
      <c r="A6724" t="s">
        <v>745</v>
      </c>
      <c r="P6724" t="s">
        <v>6292</v>
      </c>
    </row>
    <row r="6726" spans="1:75" x14ac:dyDescent="0.25">
      <c r="A6726" t="s">
        <v>6289</v>
      </c>
    </row>
    <row r="6727" spans="1:75" x14ac:dyDescent="0.25">
      <c r="A6727" t="s">
        <v>6728</v>
      </c>
    </row>
    <row r="6728" spans="1:75" x14ac:dyDescent="0.25">
      <c r="A6728" t="s">
        <v>6729</v>
      </c>
    </row>
    <row r="6730" spans="1:75" x14ac:dyDescent="0.25">
      <c r="A6730" t="s">
        <v>6730</v>
      </c>
    </row>
    <row r="6731" spans="1:75" x14ac:dyDescent="0.25">
      <c r="A6731" t="s">
        <v>6731</v>
      </c>
    </row>
    <row r="6732" spans="1:75" x14ac:dyDescent="0.25">
      <c r="A6732" t="s">
        <v>6732</v>
      </c>
    </row>
    <row r="6733" spans="1:75" x14ac:dyDescent="0.25">
      <c r="A6733" t="s">
        <v>6733</v>
      </c>
      <c r="J6733" t="s">
        <v>6734</v>
      </c>
      <c r="U6733" t="s">
        <v>6735</v>
      </c>
      <c r="AB6733" t="s">
        <v>6736</v>
      </c>
      <c r="AM6733" t="s">
        <v>6737</v>
      </c>
      <c r="AU6733" t="s">
        <v>6738</v>
      </c>
      <c r="BG6733" t="s">
        <v>6739</v>
      </c>
      <c r="BQ6733" t="s">
        <v>6740</v>
      </c>
      <c r="BW6733" t="s">
        <v>6741</v>
      </c>
    </row>
    <row r="6741" spans="1:75" x14ac:dyDescent="0.25">
      <c r="B6741" t="s">
        <v>6742</v>
      </c>
    </row>
    <row r="6743" spans="1:75" x14ac:dyDescent="0.25">
      <c r="P6743" t="s">
        <v>6743</v>
      </c>
    </row>
    <row r="6746" spans="1:75" x14ac:dyDescent="0.25">
      <c r="A6746" t="s">
        <v>6744</v>
      </c>
      <c r="K6746" t="s">
        <v>6745</v>
      </c>
      <c r="AE6746" t="s">
        <v>6746</v>
      </c>
      <c r="AO6746" t="s">
        <v>6747</v>
      </c>
      <c r="AQ6746" t="s">
        <v>6748</v>
      </c>
      <c r="BW6746" t="s">
        <v>6749</v>
      </c>
    </row>
    <row r="6749" spans="1:75" x14ac:dyDescent="0.25">
      <c r="L6749" t="s">
        <v>6741</v>
      </c>
    </row>
    <row r="6755" spans="1:90" x14ac:dyDescent="0.25">
      <c r="C6755" t="s">
        <v>6750</v>
      </c>
    </row>
    <row r="6757" spans="1:90" x14ac:dyDescent="0.25">
      <c r="A6757" t="s">
        <v>6751</v>
      </c>
    </row>
    <row r="6758" spans="1:90" x14ac:dyDescent="0.25">
      <c r="A6758" t="s">
        <v>6752</v>
      </c>
      <c r="Y6758" t="s">
        <v>6753</v>
      </c>
      <c r="AQ6758" t="s">
        <v>6754</v>
      </c>
    </row>
    <row r="6759" spans="1:90" x14ac:dyDescent="0.25">
      <c r="A6759" t="s">
        <v>6755</v>
      </c>
      <c r="G6759" t="s">
        <v>6756</v>
      </c>
      <c r="Y6759" t="s">
        <v>6757</v>
      </c>
      <c r="AM6759" t="s">
        <v>6758</v>
      </c>
      <c r="AX6759" t="s">
        <v>6759</v>
      </c>
      <c r="BM6759" t="s">
        <v>6760</v>
      </c>
    </row>
    <row r="6760" spans="1:90" x14ac:dyDescent="0.25">
      <c r="A6760" t="s">
        <v>6761</v>
      </c>
    </row>
    <row r="6761" spans="1:90" x14ac:dyDescent="0.25">
      <c r="A6761" t="s">
        <v>6762</v>
      </c>
    </row>
    <row r="6764" spans="1:90" x14ac:dyDescent="0.25">
      <c r="CL6764" t="s">
        <v>6763</v>
      </c>
    </row>
    <row r="6765" spans="1:90" x14ac:dyDescent="0.25">
      <c r="A6765" t="s">
        <v>6764</v>
      </c>
    </row>
    <row r="6769" spans="1:50" x14ac:dyDescent="0.25">
      <c r="A6769" t="s">
        <v>6765</v>
      </c>
    </row>
    <row r="6773" spans="1:50" x14ac:dyDescent="0.25">
      <c r="A6773" t="s">
        <v>5559</v>
      </c>
    </row>
    <row r="6774" spans="1:50" x14ac:dyDescent="0.25">
      <c r="A6774" t="s">
        <v>6766</v>
      </c>
    </row>
    <row r="6776" spans="1:50" x14ac:dyDescent="0.25">
      <c r="A6776" t="s">
        <v>6767</v>
      </c>
      <c r="AX6776" t="s">
        <v>6768</v>
      </c>
    </row>
    <row r="6777" spans="1:50" x14ac:dyDescent="0.25">
      <c r="A6777" t="s">
        <v>6769</v>
      </c>
      <c r="I6777" t="s">
        <v>6770</v>
      </c>
      <c r="X6777" t="s">
        <v>6771</v>
      </c>
    </row>
    <row r="6778" spans="1:50" x14ac:dyDescent="0.25">
      <c r="I6778" t="s">
        <v>6772</v>
      </c>
      <c r="Q6778" t="s">
        <v>6773</v>
      </c>
      <c r="X6778" t="s">
        <v>6772</v>
      </c>
      <c r="AH6778" t="s">
        <v>6773</v>
      </c>
    </row>
    <row r="6779" spans="1:50" x14ac:dyDescent="0.25">
      <c r="A6779" t="s">
        <v>6774</v>
      </c>
      <c r="I6779" t="s">
        <v>6775</v>
      </c>
      <c r="Q6779" t="s">
        <v>6776</v>
      </c>
      <c r="X6779" t="s">
        <v>2324</v>
      </c>
      <c r="AH6779" t="s">
        <v>2324</v>
      </c>
    </row>
    <row r="6780" spans="1:50" x14ac:dyDescent="0.25">
      <c r="A6780" t="s">
        <v>6777</v>
      </c>
      <c r="I6780" t="s">
        <v>2324</v>
      </c>
      <c r="Q6780" t="s">
        <v>2324</v>
      </c>
      <c r="X6780" t="s">
        <v>6776</v>
      </c>
      <c r="AH6780" t="s">
        <v>6775</v>
      </c>
    </row>
    <row r="6781" spans="1:50" x14ac:dyDescent="0.25">
      <c r="A6781" t="s">
        <v>6769</v>
      </c>
    </row>
    <row r="6782" spans="1:50" x14ac:dyDescent="0.25">
      <c r="A6782">
        <v>1</v>
      </c>
    </row>
    <row r="6783" spans="1:50" x14ac:dyDescent="0.25">
      <c r="A6783">
        <v>2</v>
      </c>
    </row>
    <row r="6784" spans="1:50" x14ac:dyDescent="0.25">
      <c r="A6784">
        <v>3</v>
      </c>
    </row>
    <row r="6785" spans="1:46" x14ac:dyDescent="0.25">
      <c r="A6785">
        <v>4</v>
      </c>
    </row>
    <row r="6786" spans="1:46" x14ac:dyDescent="0.25">
      <c r="A6786">
        <v>5</v>
      </c>
    </row>
    <row r="6787" spans="1:46" x14ac:dyDescent="0.25">
      <c r="A6787">
        <v>6</v>
      </c>
    </row>
    <row r="6788" spans="1:46" x14ac:dyDescent="0.25">
      <c r="A6788">
        <v>7</v>
      </c>
    </row>
    <row r="6789" spans="1:46" x14ac:dyDescent="0.25">
      <c r="A6789">
        <v>8</v>
      </c>
    </row>
    <row r="6790" spans="1:46" x14ac:dyDescent="0.25">
      <c r="A6790">
        <v>9</v>
      </c>
    </row>
    <row r="6791" spans="1:46" x14ac:dyDescent="0.25">
      <c r="A6791">
        <v>10</v>
      </c>
    </row>
    <row r="6792" spans="1:46" x14ac:dyDescent="0.25">
      <c r="A6792" t="s">
        <v>6778</v>
      </c>
    </row>
    <row r="6793" spans="1:46" x14ac:dyDescent="0.25">
      <c r="A6793" t="s">
        <v>6779</v>
      </c>
      <c r="Z6793" t="s">
        <v>6780</v>
      </c>
      <c r="AH6793" t="s">
        <v>6781</v>
      </c>
      <c r="AK6793" t="s">
        <v>6782</v>
      </c>
      <c r="AT6793" t="s">
        <v>6783</v>
      </c>
    </row>
    <row r="6795" spans="1:46" x14ac:dyDescent="0.25">
      <c r="A6795" t="s">
        <v>6784</v>
      </c>
    </row>
    <row r="6796" spans="1:46" x14ac:dyDescent="0.25">
      <c r="A6796" t="s">
        <v>6785</v>
      </c>
    </row>
    <row r="6797" spans="1:46" x14ac:dyDescent="0.25">
      <c r="A6797" t="s">
        <v>6786</v>
      </c>
      <c r="L6797" t="s">
        <v>6787</v>
      </c>
    </row>
    <row r="6798" spans="1:46" x14ac:dyDescent="0.25">
      <c r="A6798" t="s">
        <v>6788</v>
      </c>
      <c r="L6798" t="s">
        <v>6789</v>
      </c>
    </row>
    <row r="6799" spans="1:46" x14ac:dyDescent="0.25">
      <c r="A6799" t="s">
        <v>6790</v>
      </c>
      <c r="L6799" t="s">
        <v>6791</v>
      </c>
    </row>
    <row r="6800" spans="1:46" x14ac:dyDescent="0.25">
      <c r="A6800" t="s">
        <v>6792</v>
      </c>
      <c r="L6800" t="s">
        <v>6793</v>
      </c>
    </row>
    <row r="6801" spans="1:12" x14ac:dyDescent="0.25">
      <c r="A6801" t="s">
        <v>6794</v>
      </c>
      <c r="L6801" t="s">
        <v>6795</v>
      </c>
    </row>
    <row r="6802" spans="1:12" x14ac:dyDescent="0.25">
      <c r="A6802" t="s">
        <v>6796</v>
      </c>
      <c r="L6802" t="s">
        <v>6797</v>
      </c>
    </row>
    <row r="6803" spans="1:12" x14ac:dyDescent="0.25">
      <c r="A6803" t="s">
        <v>6798</v>
      </c>
      <c r="L6803" t="s">
        <v>6799</v>
      </c>
    </row>
    <row r="6804" spans="1:12" x14ac:dyDescent="0.25">
      <c r="A6804" t="s">
        <v>6800</v>
      </c>
      <c r="L6804" t="s">
        <v>6801</v>
      </c>
    </row>
    <row r="6805" spans="1:12" x14ac:dyDescent="0.25">
      <c r="A6805" t="s">
        <v>6802</v>
      </c>
    </row>
    <row r="6806" spans="1:12" x14ac:dyDescent="0.25">
      <c r="A6806" t="s">
        <v>6803</v>
      </c>
      <c r="E6806" t="s">
        <v>6769</v>
      </c>
      <c r="L6806" t="s">
        <v>6804</v>
      </c>
    </row>
    <row r="6807" spans="1:12" x14ac:dyDescent="0.25">
      <c r="A6807">
        <v>0</v>
      </c>
      <c r="E6807" t="s">
        <v>6805</v>
      </c>
      <c r="L6807" t="s">
        <v>6806</v>
      </c>
    </row>
    <row r="6808" spans="1:12" x14ac:dyDescent="0.25">
      <c r="E6808" t="s">
        <v>6807</v>
      </c>
      <c r="L6808" t="s">
        <v>6634</v>
      </c>
    </row>
    <row r="6809" spans="1:12" x14ac:dyDescent="0.25">
      <c r="A6809">
        <v>1</v>
      </c>
      <c r="E6809" t="s">
        <v>6805</v>
      </c>
      <c r="L6809" t="s">
        <v>6808</v>
      </c>
    </row>
    <row r="6810" spans="1:12" x14ac:dyDescent="0.25">
      <c r="E6810" t="s">
        <v>6807</v>
      </c>
      <c r="L6810" t="s">
        <v>6634</v>
      </c>
    </row>
    <row r="6811" spans="1:12" x14ac:dyDescent="0.25">
      <c r="A6811">
        <v>2</v>
      </c>
      <c r="E6811" t="s">
        <v>6805</v>
      </c>
      <c r="L6811" t="s">
        <v>6809</v>
      </c>
    </row>
    <row r="6812" spans="1:12" x14ac:dyDescent="0.25">
      <c r="E6812" t="s">
        <v>6807</v>
      </c>
      <c r="L6812" t="s">
        <v>6634</v>
      </c>
    </row>
    <row r="6813" spans="1:12" x14ac:dyDescent="0.25">
      <c r="A6813">
        <v>3</v>
      </c>
      <c r="E6813" t="s">
        <v>6805</v>
      </c>
      <c r="L6813" t="s">
        <v>6810</v>
      </c>
    </row>
    <row r="6814" spans="1:12" x14ac:dyDescent="0.25">
      <c r="E6814" t="s">
        <v>6807</v>
      </c>
      <c r="L6814" t="s">
        <v>6811</v>
      </c>
    </row>
    <row r="6815" spans="1:12" x14ac:dyDescent="0.25">
      <c r="A6815">
        <v>4</v>
      </c>
      <c r="E6815" t="s">
        <v>6805</v>
      </c>
      <c r="L6815" t="s">
        <v>6812</v>
      </c>
    </row>
    <row r="6816" spans="1:12" x14ac:dyDescent="0.25">
      <c r="E6816" t="s">
        <v>6807</v>
      </c>
      <c r="L6816" t="s">
        <v>6813</v>
      </c>
    </row>
    <row r="6817" spans="1:90" x14ac:dyDescent="0.25">
      <c r="A6817" t="s">
        <v>6814</v>
      </c>
      <c r="K6817" t="s">
        <v>6815</v>
      </c>
      <c r="U6817" t="s">
        <v>6816</v>
      </c>
    </row>
    <row r="6818" spans="1:90" x14ac:dyDescent="0.25">
      <c r="A6818">
        <v>0</v>
      </c>
      <c r="K6818">
        <v>0</v>
      </c>
      <c r="U6818" t="s">
        <v>6817</v>
      </c>
    </row>
    <row r="6819" spans="1:90" x14ac:dyDescent="0.25">
      <c r="A6819">
        <v>1</v>
      </c>
      <c r="K6819">
        <v>0</v>
      </c>
      <c r="U6819" t="s">
        <v>6818</v>
      </c>
    </row>
    <row r="6820" spans="1:90" x14ac:dyDescent="0.25">
      <c r="A6820">
        <v>0</v>
      </c>
      <c r="K6820">
        <v>1</v>
      </c>
      <c r="U6820" t="s">
        <v>6819</v>
      </c>
    </row>
    <row r="6821" spans="1:90" x14ac:dyDescent="0.25">
      <c r="A6821">
        <v>1</v>
      </c>
      <c r="K6821">
        <v>1</v>
      </c>
      <c r="U6821" t="s">
        <v>6820</v>
      </c>
    </row>
    <row r="6822" spans="1:90" x14ac:dyDescent="0.25">
      <c r="A6822" t="s">
        <v>6821</v>
      </c>
    </row>
    <row r="6824" spans="1:90" x14ac:dyDescent="0.25">
      <c r="CL6824" t="s">
        <v>6822</v>
      </c>
    </row>
    <row r="6825" spans="1:90" x14ac:dyDescent="0.25">
      <c r="A6825" t="s">
        <v>6823</v>
      </c>
    </row>
    <row r="6827" spans="1:90" x14ac:dyDescent="0.25">
      <c r="A6827" t="s">
        <v>6824</v>
      </c>
    </row>
    <row r="6829" spans="1:90" x14ac:dyDescent="0.25">
      <c r="A6829" t="s">
        <v>6825</v>
      </c>
    </row>
    <row r="6831" spans="1:90" x14ac:dyDescent="0.25">
      <c r="A6831" t="s">
        <v>6826</v>
      </c>
    </row>
    <row r="6832" spans="1:90" x14ac:dyDescent="0.25">
      <c r="AU6832" t="s">
        <v>6157</v>
      </c>
    </row>
    <row r="6833" spans="3:60" x14ac:dyDescent="0.25">
      <c r="AU6833" t="s">
        <v>6827</v>
      </c>
      <c r="BH6833" t="s">
        <v>6828</v>
      </c>
    </row>
    <row r="6834" spans="3:60" x14ac:dyDescent="0.25">
      <c r="AU6834" t="s">
        <v>6829</v>
      </c>
      <c r="BH6834" t="s">
        <v>6830</v>
      </c>
    </row>
    <row r="6835" spans="3:60" x14ac:dyDescent="0.25">
      <c r="AU6835" t="s">
        <v>6831</v>
      </c>
      <c r="BH6835" t="s">
        <v>6832</v>
      </c>
    </row>
    <row r="6836" spans="3:60" x14ac:dyDescent="0.25">
      <c r="C6836" t="s">
        <v>6833</v>
      </c>
    </row>
    <row r="6837" spans="3:60" x14ac:dyDescent="0.25">
      <c r="R6837" t="s">
        <v>6834</v>
      </c>
    </row>
    <row r="6838" spans="3:60" x14ac:dyDescent="0.25">
      <c r="AU6838" t="s">
        <v>6835</v>
      </c>
      <c r="BH6838" t="s">
        <v>6836</v>
      </c>
    </row>
    <row r="6840" spans="3:60" x14ac:dyDescent="0.25">
      <c r="C6840" t="s">
        <v>6837</v>
      </c>
    </row>
    <row r="6841" spans="3:60" x14ac:dyDescent="0.25">
      <c r="Z6841" t="s">
        <v>6838</v>
      </c>
    </row>
    <row r="6843" spans="3:60" x14ac:dyDescent="0.25">
      <c r="AU6843" t="s">
        <v>6839</v>
      </c>
    </row>
    <row r="6844" spans="3:60" x14ac:dyDescent="0.25">
      <c r="AF6844" t="s">
        <v>6840</v>
      </c>
    </row>
    <row r="6845" spans="3:60" x14ac:dyDescent="0.25">
      <c r="AU6845">
        <v>0</v>
      </c>
    </row>
    <row r="6846" spans="3:60" x14ac:dyDescent="0.25">
      <c r="R6846">
        <v>3</v>
      </c>
    </row>
    <row r="6847" spans="3:60" x14ac:dyDescent="0.25">
      <c r="C6847" t="s">
        <v>6837</v>
      </c>
    </row>
    <row r="6848" spans="3:60" x14ac:dyDescent="0.25">
      <c r="Z6848" t="s">
        <v>6841</v>
      </c>
      <c r="AU6848">
        <v>1</v>
      </c>
    </row>
    <row r="6849" spans="1:47" x14ac:dyDescent="0.25">
      <c r="R6849">
        <v>2</v>
      </c>
    </row>
    <row r="6850" spans="1:47" x14ac:dyDescent="0.25">
      <c r="AF6850" t="s">
        <v>6842</v>
      </c>
    </row>
    <row r="6851" spans="1:47" x14ac:dyDescent="0.25">
      <c r="R6851">
        <v>1</v>
      </c>
    </row>
    <row r="6852" spans="1:47" x14ac:dyDescent="0.25">
      <c r="AU6852">
        <v>2</v>
      </c>
    </row>
    <row r="6855" spans="1:47" x14ac:dyDescent="0.25">
      <c r="AU6855">
        <v>3</v>
      </c>
    </row>
    <row r="6858" spans="1:47" x14ac:dyDescent="0.25">
      <c r="AU6858">
        <v>4</v>
      </c>
    </row>
    <row r="6859" spans="1:47" x14ac:dyDescent="0.25">
      <c r="AU6859">
        <v>5</v>
      </c>
    </row>
    <row r="6860" spans="1:47" x14ac:dyDescent="0.25">
      <c r="AU6860">
        <v>6</v>
      </c>
    </row>
    <row r="6861" spans="1:47" x14ac:dyDescent="0.25">
      <c r="A6861" t="s">
        <v>6843</v>
      </c>
    </row>
    <row r="6862" spans="1:47" x14ac:dyDescent="0.25">
      <c r="AU6862">
        <v>7</v>
      </c>
    </row>
    <row r="6863" spans="1:47" x14ac:dyDescent="0.25">
      <c r="AU6863">
        <v>8</v>
      </c>
    </row>
    <row r="6864" spans="1:47" x14ac:dyDescent="0.25">
      <c r="A6864" t="s">
        <v>6844</v>
      </c>
      <c r="AU6864">
        <v>9</v>
      </c>
    </row>
    <row r="6866" spans="1:47" x14ac:dyDescent="0.25">
      <c r="AU6866" t="s">
        <v>6845</v>
      </c>
    </row>
    <row r="6868" spans="1:47" x14ac:dyDescent="0.25">
      <c r="A6868" t="s">
        <v>6846</v>
      </c>
    </row>
    <row r="6870" spans="1:47" x14ac:dyDescent="0.25">
      <c r="A6870" t="s">
        <v>6847</v>
      </c>
    </row>
    <row r="6872" spans="1:47" x14ac:dyDescent="0.25">
      <c r="A6872" t="s">
        <v>6848</v>
      </c>
    </row>
    <row r="6873" spans="1:47" x14ac:dyDescent="0.25">
      <c r="A6873" t="s">
        <v>6849</v>
      </c>
    </row>
    <row r="6874" spans="1:47" x14ac:dyDescent="0.25">
      <c r="E6874" t="s">
        <v>6660</v>
      </c>
    </row>
    <row r="6876" spans="1:47" x14ac:dyDescent="0.25">
      <c r="A6876" t="s">
        <v>6850</v>
      </c>
    </row>
    <row r="6877" spans="1:47" x14ac:dyDescent="0.25">
      <c r="A6877" t="s">
        <v>6851</v>
      </c>
    </row>
    <row r="6878" spans="1:47" x14ac:dyDescent="0.25">
      <c r="K6878" t="s">
        <v>6852</v>
      </c>
    </row>
    <row r="6879" spans="1:47" x14ac:dyDescent="0.25">
      <c r="A6879" t="s">
        <v>6853</v>
      </c>
      <c r="I6879" t="s">
        <v>4911</v>
      </c>
      <c r="J6879" t="s">
        <v>6660</v>
      </c>
      <c r="L6879" t="s">
        <v>6854</v>
      </c>
      <c r="AC6879" t="s">
        <v>6855</v>
      </c>
    </row>
    <row r="6880" spans="1:47" x14ac:dyDescent="0.25">
      <c r="A6880" t="s">
        <v>6856</v>
      </c>
      <c r="K6880">
        <v>1</v>
      </c>
      <c r="L6880" t="s">
        <v>6857</v>
      </c>
    </row>
    <row r="6881" spans="1:73" x14ac:dyDescent="0.25">
      <c r="K6881">
        <v>2</v>
      </c>
      <c r="L6881" t="s">
        <v>6858</v>
      </c>
    </row>
    <row r="6882" spans="1:73" x14ac:dyDescent="0.25">
      <c r="K6882">
        <v>3</v>
      </c>
      <c r="L6882" t="s">
        <v>6859</v>
      </c>
    </row>
    <row r="6883" spans="1:73" x14ac:dyDescent="0.25">
      <c r="K6883">
        <v>4</v>
      </c>
    </row>
    <row r="6884" spans="1:73" x14ac:dyDescent="0.25">
      <c r="A6884" t="s">
        <v>6860</v>
      </c>
    </row>
    <row r="6885" spans="1:73" x14ac:dyDescent="0.25">
      <c r="A6885" t="s">
        <v>6861</v>
      </c>
      <c r="N6885" t="s">
        <v>6804</v>
      </c>
      <c r="AQ6885" t="s">
        <v>6862</v>
      </c>
    </row>
    <row r="6886" spans="1:73" x14ac:dyDescent="0.25">
      <c r="A6886">
        <v>681</v>
      </c>
      <c r="N6886" t="s">
        <v>6863</v>
      </c>
      <c r="AQ6886" t="s">
        <v>6864</v>
      </c>
      <c r="BG6886" t="s">
        <v>6865</v>
      </c>
      <c r="BL6886" t="s">
        <v>6866</v>
      </c>
      <c r="BU6886" t="s">
        <v>6867</v>
      </c>
    </row>
    <row r="6887" spans="1:73" x14ac:dyDescent="0.25">
      <c r="A6887">
        <v>682</v>
      </c>
      <c r="N6887" t="s">
        <v>6868</v>
      </c>
      <c r="AQ6887" t="s">
        <v>6864</v>
      </c>
      <c r="BG6887" t="s">
        <v>6865</v>
      </c>
      <c r="BL6887" t="s">
        <v>6866</v>
      </c>
      <c r="BU6887" t="s">
        <v>6867</v>
      </c>
    </row>
    <row r="6888" spans="1:73" x14ac:dyDescent="0.25">
      <c r="A6888">
        <v>683</v>
      </c>
      <c r="N6888" t="s">
        <v>6869</v>
      </c>
      <c r="AQ6888" t="s">
        <v>6864</v>
      </c>
      <c r="BG6888" t="s">
        <v>6865</v>
      </c>
      <c r="BL6888" t="s">
        <v>6866</v>
      </c>
      <c r="BU6888" t="s">
        <v>6867</v>
      </c>
    </row>
    <row r="6889" spans="1:73" x14ac:dyDescent="0.25">
      <c r="A6889">
        <v>684</v>
      </c>
      <c r="N6889" t="s">
        <v>6870</v>
      </c>
      <c r="AQ6889" t="s">
        <v>6864</v>
      </c>
      <c r="BG6889" t="s">
        <v>6865</v>
      </c>
      <c r="BL6889" t="s">
        <v>6866</v>
      </c>
      <c r="BU6889" t="s">
        <v>6867</v>
      </c>
    </row>
    <row r="6890" spans="1:73" x14ac:dyDescent="0.25">
      <c r="A6890" t="s">
        <v>6871</v>
      </c>
    </row>
    <row r="6891" spans="1:73" x14ac:dyDescent="0.25">
      <c r="A6891" t="s">
        <v>6872</v>
      </c>
    </row>
    <row r="6892" spans="1:73" x14ac:dyDescent="0.25">
      <c r="A6892" t="s">
        <v>6861</v>
      </c>
      <c r="J6892" t="s">
        <v>6804</v>
      </c>
      <c r="AQ6892" t="s">
        <v>6873</v>
      </c>
    </row>
    <row r="6893" spans="1:73" x14ac:dyDescent="0.25">
      <c r="A6893">
        <v>685</v>
      </c>
      <c r="J6893" t="s">
        <v>6874</v>
      </c>
      <c r="AQ6893" t="s">
        <v>6875</v>
      </c>
    </row>
    <row r="6894" spans="1:73" x14ac:dyDescent="0.25">
      <c r="A6894">
        <v>689</v>
      </c>
      <c r="J6894" t="s">
        <v>6876</v>
      </c>
      <c r="AQ6894" t="s">
        <v>6877</v>
      </c>
    </row>
    <row r="6895" spans="1:73" x14ac:dyDescent="0.25">
      <c r="A6895">
        <v>686</v>
      </c>
      <c r="J6895" t="s">
        <v>6878</v>
      </c>
      <c r="AQ6895" t="s">
        <v>6879</v>
      </c>
    </row>
    <row r="6896" spans="1:73" x14ac:dyDescent="0.25">
      <c r="A6896" t="s">
        <v>6590</v>
      </c>
      <c r="J6896" t="s">
        <v>6880</v>
      </c>
      <c r="AQ6896" t="s">
        <v>6881</v>
      </c>
    </row>
    <row r="6897" spans="1:71" x14ac:dyDescent="0.25">
      <c r="A6897">
        <v>687</v>
      </c>
      <c r="J6897" t="s">
        <v>6882</v>
      </c>
      <c r="AQ6897" t="s">
        <v>6879</v>
      </c>
    </row>
    <row r="6898" spans="1:71" x14ac:dyDescent="0.25">
      <c r="A6898" t="s">
        <v>6593</v>
      </c>
      <c r="J6898" t="s">
        <v>6883</v>
      </c>
      <c r="AQ6898" t="s">
        <v>6881</v>
      </c>
    </row>
    <row r="6899" spans="1:71" x14ac:dyDescent="0.25">
      <c r="A6899">
        <v>688</v>
      </c>
      <c r="J6899" t="s">
        <v>6884</v>
      </c>
      <c r="AQ6899" t="s">
        <v>6885</v>
      </c>
    </row>
    <row r="6900" spans="1:71" x14ac:dyDescent="0.25">
      <c r="A6900" t="s">
        <v>6597</v>
      </c>
      <c r="J6900" t="s">
        <v>6886</v>
      </c>
      <c r="AQ6900" t="s">
        <v>6887</v>
      </c>
    </row>
    <row r="6901" spans="1:71" x14ac:dyDescent="0.25">
      <c r="A6901" t="s">
        <v>6888</v>
      </c>
    </row>
    <row r="6903" spans="1:71" x14ac:dyDescent="0.25">
      <c r="A6903" t="s">
        <v>6889</v>
      </c>
    </row>
    <row r="6904" spans="1:71" x14ac:dyDescent="0.25">
      <c r="A6904" t="s">
        <v>6890</v>
      </c>
      <c r="N6904" t="s">
        <v>6633</v>
      </c>
      <c r="V6904" t="s">
        <v>4401</v>
      </c>
      <c r="AK6904">
        <v>2</v>
      </c>
      <c r="BB6904">
        <v>3</v>
      </c>
      <c r="BS6904" t="s">
        <v>5194</v>
      </c>
    </row>
    <row r="6905" spans="1:71" x14ac:dyDescent="0.25">
      <c r="A6905" t="s">
        <v>6891</v>
      </c>
      <c r="V6905" t="s">
        <v>6892</v>
      </c>
      <c r="AK6905" t="s">
        <v>6893</v>
      </c>
      <c r="BS6905" t="s">
        <v>6893</v>
      </c>
    </row>
    <row r="6906" spans="1:71" x14ac:dyDescent="0.25">
      <c r="A6906" t="s">
        <v>6894</v>
      </c>
      <c r="N6906" t="s">
        <v>6634</v>
      </c>
      <c r="V6906" t="s">
        <v>6895</v>
      </c>
      <c r="AK6906" t="s">
        <v>6634</v>
      </c>
      <c r="BS6906" t="s">
        <v>6896</v>
      </c>
    </row>
    <row r="6907" spans="1:71" x14ac:dyDescent="0.25">
      <c r="A6907" t="s">
        <v>6897</v>
      </c>
      <c r="AK6907" t="s">
        <v>6634</v>
      </c>
      <c r="BS6907" t="s">
        <v>6634</v>
      </c>
    </row>
    <row r="6908" spans="1:71" x14ac:dyDescent="0.25">
      <c r="A6908" t="s">
        <v>6898</v>
      </c>
      <c r="Z6908" t="s">
        <v>6899</v>
      </c>
      <c r="AO6908" t="s">
        <v>6900</v>
      </c>
    </row>
    <row r="6909" spans="1:71" x14ac:dyDescent="0.25">
      <c r="A6909" t="s">
        <v>6901</v>
      </c>
      <c r="N6909" t="s">
        <v>6902</v>
      </c>
      <c r="V6909" t="s">
        <v>6903</v>
      </c>
      <c r="X6909" t="s">
        <v>6904</v>
      </c>
      <c r="AE6909" t="s">
        <v>6902</v>
      </c>
      <c r="AK6909" t="s">
        <v>6905</v>
      </c>
      <c r="AQ6909" t="s">
        <v>6906</v>
      </c>
      <c r="BJ6909" t="s">
        <v>6907</v>
      </c>
    </row>
    <row r="6910" spans="1:71" x14ac:dyDescent="0.25">
      <c r="A6910" t="s">
        <v>6908</v>
      </c>
    </row>
    <row r="6911" spans="1:71" x14ac:dyDescent="0.25">
      <c r="N6911" t="s">
        <v>4401</v>
      </c>
      <c r="O6911" t="s">
        <v>6909</v>
      </c>
      <c r="AB6911" t="s">
        <v>6855</v>
      </c>
    </row>
    <row r="6912" spans="1:71" x14ac:dyDescent="0.25">
      <c r="N6912" t="s">
        <v>5264</v>
      </c>
      <c r="O6912" t="s">
        <v>6859</v>
      </c>
    </row>
    <row r="6913" spans="1:46" x14ac:dyDescent="0.25">
      <c r="N6913" t="s">
        <v>6910</v>
      </c>
    </row>
    <row r="6915" spans="1:46" x14ac:dyDescent="0.25">
      <c r="A6915" t="s">
        <v>6911</v>
      </c>
      <c r="AF6915" t="s">
        <v>6912</v>
      </c>
      <c r="AT6915" t="s">
        <v>6913</v>
      </c>
    </row>
    <row r="6916" spans="1:46" x14ac:dyDescent="0.25">
      <c r="A6916" t="s">
        <v>6914</v>
      </c>
      <c r="N6916" t="s">
        <v>6915</v>
      </c>
      <c r="Z6916" t="s">
        <v>6915</v>
      </c>
      <c r="AQ6916" t="s">
        <v>6916</v>
      </c>
    </row>
    <row r="6917" spans="1:46" x14ac:dyDescent="0.25">
      <c r="A6917" t="s">
        <v>6908</v>
      </c>
    </row>
    <row r="6918" spans="1:46" x14ac:dyDescent="0.25">
      <c r="N6918" t="s">
        <v>6917</v>
      </c>
      <c r="O6918" t="s">
        <v>6918</v>
      </c>
      <c r="AB6918" t="s">
        <v>6855</v>
      </c>
    </row>
    <row r="6919" spans="1:46" x14ac:dyDescent="0.25">
      <c r="N6919" t="s">
        <v>6910</v>
      </c>
      <c r="O6919" t="s">
        <v>6859</v>
      </c>
    </row>
    <row r="6921" spans="1:46" x14ac:dyDescent="0.25">
      <c r="A6921" t="s">
        <v>6908</v>
      </c>
      <c r="O6921" t="s">
        <v>6919</v>
      </c>
    </row>
    <row r="6922" spans="1:46" x14ac:dyDescent="0.25">
      <c r="N6922" t="s">
        <v>6917</v>
      </c>
      <c r="O6922" t="s">
        <v>6920</v>
      </c>
      <c r="AB6922" t="s">
        <v>6855</v>
      </c>
    </row>
    <row r="6923" spans="1:46" x14ac:dyDescent="0.25">
      <c r="N6923" t="s">
        <v>6910</v>
      </c>
      <c r="O6923" t="s">
        <v>6859</v>
      </c>
    </row>
    <row r="6925" spans="1:46" x14ac:dyDescent="0.25">
      <c r="A6925" t="s">
        <v>6921</v>
      </c>
    </row>
    <row r="6927" spans="1:46" x14ac:dyDescent="0.25">
      <c r="A6927" t="s">
        <v>6922</v>
      </c>
    </row>
    <row r="6930" spans="1:71" x14ac:dyDescent="0.25">
      <c r="A6930" t="s">
        <v>6923</v>
      </c>
    </row>
    <row r="6931" spans="1:71" x14ac:dyDescent="0.25">
      <c r="A6931" t="s">
        <v>6861</v>
      </c>
      <c r="J6931" t="s">
        <v>6924</v>
      </c>
      <c r="AP6931" t="s">
        <v>6925</v>
      </c>
      <c r="BS6931" t="s">
        <v>6926</v>
      </c>
    </row>
    <row r="6932" spans="1:71" x14ac:dyDescent="0.25">
      <c r="A6932">
        <v>11</v>
      </c>
      <c r="J6932" t="s">
        <v>6927</v>
      </c>
      <c r="AP6932" t="s">
        <v>6928</v>
      </c>
      <c r="AX6932" t="s">
        <v>6929</v>
      </c>
      <c r="BS6932" t="s">
        <v>6219</v>
      </c>
    </row>
    <row r="6933" spans="1:71" x14ac:dyDescent="0.25">
      <c r="A6933" t="s">
        <v>6179</v>
      </c>
      <c r="J6933" t="s">
        <v>6930</v>
      </c>
      <c r="AP6933" t="s">
        <v>6931</v>
      </c>
      <c r="AX6933" t="s">
        <v>6932</v>
      </c>
      <c r="BS6933" t="s">
        <v>6931</v>
      </c>
    </row>
    <row r="6934" spans="1:71" x14ac:dyDescent="0.25">
      <c r="A6934" t="s">
        <v>6184</v>
      </c>
      <c r="J6934" t="s">
        <v>6933</v>
      </c>
      <c r="AP6934" t="s">
        <v>6934</v>
      </c>
      <c r="AX6934" t="s">
        <v>6935</v>
      </c>
      <c r="BS6934" t="s">
        <v>6934</v>
      </c>
    </row>
    <row r="6935" spans="1:71" x14ac:dyDescent="0.25">
      <c r="A6935" t="s">
        <v>6445</v>
      </c>
      <c r="J6935" t="s">
        <v>6936</v>
      </c>
      <c r="AP6935" t="s">
        <v>6937</v>
      </c>
      <c r="AX6935" t="s">
        <v>6938</v>
      </c>
      <c r="BS6935" t="s">
        <v>6219</v>
      </c>
    </row>
    <row r="6936" spans="1:71" x14ac:dyDescent="0.25">
      <c r="A6936" t="s">
        <v>6939</v>
      </c>
    </row>
    <row r="6939" spans="1:71" x14ac:dyDescent="0.25">
      <c r="A6939" t="s">
        <v>6940</v>
      </c>
    </row>
    <row r="6940" spans="1:71" x14ac:dyDescent="0.25">
      <c r="A6940" t="s">
        <v>6941</v>
      </c>
    </row>
    <row r="6942" spans="1:71" x14ac:dyDescent="0.25">
      <c r="A6942" t="s">
        <v>6942</v>
      </c>
      <c r="AU6942" t="s">
        <v>6943</v>
      </c>
    </row>
    <row r="6943" spans="1:71" x14ac:dyDescent="0.25">
      <c r="A6943" t="s">
        <v>6944</v>
      </c>
    </row>
    <row r="6946" spans="1:65" x14ac:dyDescent="0.25">
      <c r="A6946" t="s">
        <v>6945</v>
      </c>
      <c r="Z6946" t="s">
        <v>6946</v>
      </c>
      <c r="AT6946" t="s">
        <v>6947</v>
      </c>
      <c r="BM6946" t="s">
        <v>6948</v>
      </c>
    </row>
    <row r="6948" spans="1:65" x14ac:dyDescent="0.25">
      <c r="G6948" t="s">
        <v>4911</v>
      </c>
      <c r="J6948" t="s">
        <v>6660</v>
      </c>
    </row>
    <row r="6949" spans="1:65" x14ac:dyDescent="0.25">
      <c r="J6949" t="s">
        <v>6949</v>
      </c>
    </row>
    <row r="6950" spans="1:65" x14ac:dyDescent="0.25">
      <c r="G6950" t="s">
        <v>4911</v>
      </c>
    </row>
    <row r="6954" spans="1:65" x14ac:dyDescent="0.25">
      <c r="C6954" t="s">
        <v>4911</v>
      </c>
      <c r="E6954" t="s">
        <v>6660</v>
      </c>
    </row>
    <row r="6955" spans="1:65" x14ac:dyDescent="0.25">
      <c r="A6955" t="s">
        <v>6950</v>
      </c>
      <c r="AX6955" t="s">
        <v>6951</v>
      </c>
      <c r="BE6955" t="s">
        <v>6952</v>
      </c>
    </row>
    <row r="6956" spans="1:65" x14ac:dyDescent="0.25">
      <c r="A6956" t="s">
        <v>6953</v>
      </c>
    </row>
    <row r="6957" spans="1:65" x14ac:dyDescent="0.25">
      <c r="A6957" t="s">
        <v>6954</v>
      </c>
    </row>
    <row r="6959" spans="1:65" x14ac:dyDescent="0.25">
      <c r="A6959" t="s">
        <v>6955</v>
      </c>
    </row>
    <row r="6960" spans="1:65" x14ac:dyDescent="0.25">
      <c r="A6960" t="s">
        <v>6956</v>
      </c>
    </row>
    <row r="6961" spans="1:12" x14ac:dyDescent="0.25">
      <c r="A6961" t="s">
        <v>6957</v>
      </c>
    </row>
    <row r="6964" spans="1:12" x14ac:dyDescent="0.25">
      <c r="A6964" t="s">
        <v>6958</v>
      </c>
    </row>
    <row r="6965" spans="1:12" x14ac:dyDescent="0.25">
      <c r="A6965" t="s">
        <v>6959</v>
      </c>
    </row>
    <row r="6966" spans="1:12" x14ac:dyDescent="0.25">
      <c r="A6966" t="s">
        <v>6960</v>
      </c>
    </row>
    <row r="6967" spans="1:12" x14ac:dyDescent="0.25">
      <c r="A6967" t="s">
        <v>6961</v>
      </c>
    </row>
    <row r="6969" spans="1:12" x14ac:dyDescent="0.25">
      <c r="L6969" t="s">
        <v>6962</v>
      </c>
    </row>
    <row r="6970" spans="1:12" x14ac:dyDescent="0.25">
      <c r="A6970" t="s">
        <v>6963</v>
      </c>
    </row>
    <row r="6973" spans="1:12" x14ac:dyDescent="0.25">
      <c r="A6973" t="s">
        <v>6960</v>
      </c>
    </row>
    <row r="6974" spans="1:12" x14ac:dyDescent="0.25">
      <c r="A6974" t="s">
        <v>6964</v>
      </c>
    </row>
    <row r="6975" spans="1:12" x14ac:dyDescent="0.25">
      <c r="A6975" t="s">
        <v>6965</v>
      </c>
    </row>
    <row r="6978" spans="1:19" x14ac:dyDescent="0.25">
      <c r="L6978" t="s">
        <v>6962</v>
      </c>
    </row>
    <row r="6979" spans="1:19" x14ac:dyDescent="0.25">
      <c r="A6979" t="s">
        <v>6966</v>
      </c>
    </row>
    <row r="6980" spans="1:19" x14ac:dyDescent="0.25">
      <c r="A6980" t="s">
        <v>6967</v>
      </c>
    </row>
    <row r="6983" spans="1:19" x14ac:dyDescent="0.25">
      <c r="A6983" t="s">
        <v>6965</v>
      </c>
    </row>
    <row r="6985" spans="1:19" x14ac:dyDescent="0.25">
      <c r="A6985" t="s">
        <v>6968</v>
      </c>
    </row>
    <row r="6986" spans="1:19" x14ac:dyDescent="0.25">
      <c r="A6986" t="s">
        <v>6969</v>
      </c>
    </row>
    <row r="6988" spans="1:19" x14ac:dyDescent="0.25">
      <c r="L6988" t="s">
        <v>6962</v>
      </c>
    </row>
    <row r="6989" spans="1:19" x14ac:dyDescent="0.25">
      <c r="A6989" t="s">
        <v>6970</v>
      </c>
    </row>
    <row r="6990" spans="1:19" x14ac:dyDescent="0.25">
      <c r="A6990" t="s">
        <v>6971</v>
      </c>
    </row>
    <row r="6991" spans="1:19" x14ac:dyDescent="0.25">
      <c r="A6991" t="s">
        <v>6972</v>
      </c>
      <c r="G6991" t="s">
        <v>6973</v>
      </c>
      <c r="I6991" t="s">
        <v>6668</v>
      </c>
      <c r="J6991" t="s">
        <v>6974</v>
      </c>
      <c r="R6991" t="s">
        <v>6975</v>
      </c>
    </row>
    <row r="6992" spans="1:19" x14ac:dyDescent="0.25">
      <c r="A6992" t="s">
        <v>6976</v>
      </c>
      <c r="F6992" t="s">
        <v>6977</v>
      </c>
      <c r="I6992" t="s">
        <v>6978</v>
      </c>
      <c r="J6992" t="s">
        <v>6979</v>
      </c>
      <c r="N6992" t="s">
        <v>6980</v>
      </c>
      <c r="S6992" t="s">
        <v>6981</v>
      </c>
    </row>
    <row r="6993" spans="1:19" x14ac:dyDescent="0.25">
      <c r="A6993" t="s">
        <v>5247</v>
      </c>
      <c r="F6993" t="s">
        <v>6982</v>
      </c>
      <c r="I6993" t="s">
        <v>6982</v>
      </c>
      <c r="J6993" t="s">
        <v>6982</v>
      </c>
      <c r="N6993" t="s">
        <v>6983</v>
      </c>
      <c r="S6993" t="s">
        <v>6984</v>
      </c>
    </row>
    <row r="6994" spans="1:19" x14ac:dyDescent="0.25">
      <c r="A6994" t="s">
        <v>5247</v>
      </c>
      <c r="F6994" t="s">
        <v>6982</v>
      </c>
      <c r="I6994" t="s">
        <v>6982</v>
      </c>
      <c r="J6994" t="s">
        <v>6982</v>
      </c>
      <c r="N6994" t="s">
        <v>6983</v>
      </c>
      <c r="S6994" t="s">
        <v>6984</v>
      </c>
    </row>
    <row r="6995" spans="1:19" x14ac:dyDescent="0.25">
      <c r="A6995" t="s">
        <v>5247</v>
      </c>
      <c r="F6995" t="s">
        <v>6982</v>
      </c>
      <c r="I6995" t="s">
        <v>6982</v>
      </c>
      <c r="J6995" t="s">
        <v>6982</v>
      </c>
      <c r="N6995" t="s">
        <v>6983</v>
      </c>
      <c r="S6995" t="s">
        <v>6984</v>
      </c>
    </row>
    <row r="6996" spans="1:19" x14ac:dyDescent="0.25">
      <c r="A6996" t="s">
        <v>6985</v>
      </c>
      <c r="J6996" t="s">
        <v>6986</v>
      </c>
    </row>
    <row r="6997" spans="1:19" x14ac:dyDescent="0.25">
      <c r="A6997" t="s">
        <v>6987</v>
      </c>
      <c r="J6997" t="s">
        <v>6962</v>
      </c>
    </row>
    <row r="6998" spans="1:19" x14ac:dyDescent="0.25">
      <c r="A6998" t="s">
        <v>6988</v>
      </c>
    </row>
    <row r="6999" spans="1:19" x14ac:dyDescent="0.25">
      <c r="A6999" t="s">
        <v>6971</v>
      </c>
    </row>
    <row r="7000" spans="1:19" x14ac:dyDescent="0.25">
      <c r="A7000" t="s">
        <v>6972</v>
      </c>
      <c r="G7000" t="s">
        <v>6973</v>
      </c>
      <c r="I7000" t="s">
        <v>6989</v>
      </c>
      <c r="N7000" t="s">
        <v>6990</v>
      </c>
      <c r="R7000" t="s">
        <v>6991</v>
      </c>
    </row>
    <row r="7001" spans="1:19" x14ac:dyDescent="0.25">
      <c r="A7001" t="s">
        <v>6976</v>
      </c>
      <c r="F7001" t="s">
        <v>6977</v>
      </c>
      <c r="I7001" t="s">
        <v>6978</v>
      </c>
      <c r="J7001" t="s">
        <v>6979</v>
      </c>
      <c r="N7001" t="s">
        <v>6980</v>
      </c>
      <c r="R7001" t="s">
        <v>6981</v>
      </c>
    </row>
    <row r="7002" spans="1:19" x14ac:dyDescent="0.25">
      <c r="A7002" t="s">
        <v>6992</v>
      </c>
      <c r="F7002">
        <v>55</v>
      </c>
      <c r="I7002" t="s">
        <v>6993</v>
      </c>
      <c r="J7002" t="s">
        <v>6994</v>
      </c>
      <c r="N7002" t="s">
        <v>6995</v>
      </c>
      <c r="R7002" t="s">
        <v>6996</v>
      </c>
    </row>
    <row r="7003" spans="1:19" x14ac:dyDescent="0.25">
      <c r="A7003" t="s">
        <v>6997</v>
      </c>
      <c r="F7003">
        <v>25</v>
      </c>
      <c r="I7003" t="s">
        <v>6994</v>
      </c>
      <c r="J7003" t="s">
        <v>6994</v>
      </c>
      <c r="N7003" t="s">
        <v>6998</v>
      </c>
      <c r="R7003" t="s">
        <v>6999</v>
      </c>
    </row>
    <row r="7004" spans="1:19" x14ac:dyDescent="0.25">
      <c r="A7004" t="s">
        <v>6979</v>
      </c>
      <c r="F7004" t="s">
        <v>6994</v>
      </c>
      <c r="I7004" t="s">
        <v>6994</v>
      </c>
      <c r="J7004" t="s">
        <v>2236</v>
      </c>
      <c r="N7004" t="s">
        <v>7000</v>
      </c>
      <c r="R7004" t="s">
        <v>7001</v>
      </c>
    </row>
    <row r="7005" spans="1:19" x14ac:dyDescent="0.25">
      <c r="A7005" t="s">
        <v>7002</v>
      </c>
      <c r="J7005" t="s">
        <v>6986</v>
      </c>
    </row>
    <row r="7009" spans="1:90" x14ac:dyDescent="0.25">
      <c r="A7009" t="s">
        <v>7003</v>
      </c>
    </row>
    <row r="7010" spans="1:90" x14ac:dyDescent="0.25">
      <c r="A7010" t="s">
        <v>7004</v>
      </c>
      <c r="CL7010" t="s">
        <v>6954</v>
      </c>
    </row>
    <row r="7011" spans="1:90" x14ac:dyDescent="0.25">
      <c r="A7011" t="s">
        <v>7005</v>
      </c>
    </row>
    <row r="7012" spans="1:90" x14ac:dyDescent="0.25">
      <c r="BJ7012" t="s">
        <v>6968</v>
      </c>
    </row>
    <row r="7013" spans="1:90" x14ac:dyDescent="0.25">
      <c r="BJ7013" t="s">
        <v>7006</v>
      </c>
    </row>
    <row r="7015" spans="1:90" x14ac:dyDescent="0.25">
      <c r="BJ7015" t="s">
        <v>7007</v>
      </c>
    </row>
    <row r="7017" spans="1:90" x14ac:dyDescent="0.25">
      <c r="A7017" t="s">
        <v>7008</v>
      </c>
    </row>
    <row r="7019" spans="1:90" x14ac:dyDescent="0.25">
      <c r="A7019" t="s">
        <v>6954</v>
      </c>
    </row>
    <row r="7020" spans="1:90" x14ac:dyDescent="0.25">
      <c r="J7020" t="s">
        <v>7009</v>
      </c>
    </row>
    <row r="7022" spans="1:90" x14ac:dyDescent="0.25">
      <c r="J7022" t="s">
        <v>7010</v>
      </c>
    </row>
    <row r="7024" spans="1:90" x14ac:dyDescent="0.25">
      <c r="J7024" t="s">
        <v>7011</v>
      </c>
    </row>
    <row r="7025" spans="10:76" x14ac:dyDescent="0.25">
      <c r="AK7025" t="s">
        <v>6971</v>
      </c>
      <c r="BJ7025" t="s">
        <v>6971</v>
      </c>
    </row>
    <row r="7027" spans="10:76" x14ac:dyDescent="0.25">
      <c r="AK7027" t="s">
        <v>6972</v>
      </c>
      <c r="AM7027" t="s">
        <v>7012</v>
      </c>
      <c r="AO7027" t="s">
        <v>6973</v>
      </c>
      <c r="AQ7027" t="s">
        <v>7013</v>
      </c>
      <c r="BA7027" t="s">
        <v>6991</v>
      </c>
      <c r="BJ7027" t="s">
        <v>7014</v>
      </c>
      <c r="BM7027" t="s">
        <v>7015</v>
      </c>
      <c r="BP7027" t="s">
        <v>7016</v>
      </c>
      <c r="BQ7027" t="s">
        <v>7017</v>
      </c>
      <c r="BW7027" t="s">
        <v>6991</v>
      </c>
    </row>
    <row r="7028" spans="10:76" x14ac:dyDescent="0.25">
      <c r="AK7028" t="s">
        <v>7018</v>
      </c>
      <c r="AM7028" t="s">
        <v>7019</v>
      </c>
      <c r="AQ7028" t="s">
        <v>7020</v>
      </c>
      <c r="AT7028" t="s">
        <v>7021</v>
      </c>
      <c r="AX7028" t="s">
        <v>7022</v>
      </c>
      <c r="BJ7028" t="s">
        <v>6976</v>
      </c>
      <c r="BL7028" t="s">
        <v>6977</v>
      </c>
      <c r="BO7028" t="s">
        <v>6978</v>
      </c>
      <c r="BQ7028" t="s">
        <v>6979</v>
      </c>
      <c r="BT7028" t="s">
        <v>6980</v>
      </c>
      <c r="BX7028" t="s">
        <v>6981</v>
      </c>
    </row>
    <row r="7029" spans="10:76" x14ac:dyDescent="0.25">
      <c r="BJ7029" t="s">
        <v>6992</v>
      </c>
      <c r="BL7029">
        <v>55</v>
      </c>
      <c r="BO7029">
        <v>45</v>
      </c>
      <c r="BQ7029" t="s">
        <v>6982</v>
      </c>
      <c r="BT7029" t="s">
        <v>7023</v>
      </c>
      <c r="BX7029" t="s">
        <v>7024</v>
      </c>
    </row>
    <row r="7030" spans="10:76" x14ac:dyDescent="0.25">
      <c r="AK7030" t="s">
        <v>5247</v>
      </c>
      <c r="AM7030" t="s">
        <v>6982</v>
      </c>
      <c r="AQ7030" t="s">
        <v>5247</v>
      </c>
      <c r="AT7030" t="s">
        <v>6982</v>
      </c>
      <c r="AX7030" t="s">
        <v>6983</v>
      </c>
      <c r="BJ7030" t="s">
        <v>5247</v>
      </c>
      <c r="BL7030" t="s">
        <v>6982</v>
      </c>
      <c r="BO7030" t="s">
        <v>5247</v>
      </c>
      <c r="BQ7030" t="s">
        <v>6982</v>
      </c>
      <c r="BT7030" t="s">
        <v>6983</v>
      </c>
      <c r="BX7030" t="s">
        <v>6984</v>
      </c>
    </row>
    <row r="7031" spans="10:76" x14ac:dyDescent="0.25">
      <c r="AK7031" t="s">
        <v>5247</v>
      </c>
      <c r="AM7031" t="s">
        <v>6982</v>
      </c>
      <c r="AQ7031" t="s">
        <v>5247</v>
      </c>
      <c r="AT7031" t="s">
        <v>6982</v>
      </c>
      <c r="AX7031" t="s">
        <v>6983</v>
      </c>
      <c r="BJ7031" t="s">
        <v>5247</v>
      </c>
      <c r="BL7031" t="s">
        <v>6982</v>
      </c>
      <c r="BO7031" t="s">
        <v>5247</v>
      </c>
      <c r="BQ7031" t="s">
        <v>6982</v>
      </c>
      <c r="BT7031" t="s">
        <v>6983</v>
      </c>
      <c r="BX7031" t="s">
        <v>6984</v>
      </c>
    </row>
    <row r="7032" spans="10:76" x14ac:dyDescent="0.25">
      <c r="AK7032" t="s">
        <v>6985</v>
      </c>
      <c r="AT7032" t="s">
        <v>6986</v>
      </c>
      <c r="BJ7032" t="s">
        <v>6985</v>
      </c>
      <c r="BQ7032" t="s">
        <v>6986</v>
      </c>
    </row>
    <row r="7033" spans="10:76" x14ac:dyDescent="0.25">
      <c r="AK7033" t="s">
        <v>6987</v>
      </c>
      <c r="AT7033" t="s">
        <v>6962</v>
      </c>
      <c r="BJ7033" t="s">
        <v>6987</v>
      </c>
      <c r="BQ7033" t="s">
        <v>6962</v>
      </c>
    </row>
    <row r="7035" spans="10:76" x14ac:dyDescent="0.25">
      <c r="J7035" t="s">
        <v>7025</v>
      </c>
    </row>
    <row r="7036" spans="10:76" x14ac:dyDescent="0.25">
      <c r="AK7036" t="s">
        <v>6971</v>
      </c>
      <c r="BJ7036" t="s">
        <v>6971</v>
      </c>
    </row>
    <row r="7038" spans="10:76" x14ac:dyDescent="0.25">
      <c r="AK7038" t="s">
        <v>6972</v>
      </c>
      <c r="AM7038" t="s">
        <v>7012</v>
      </c>
      <c r="AO7038" t="s">
        <v>6973</v>
      </c>
      <c r="AQ7038" t="s">
        <v>7013</v>
      </c>
      <c r="BA7038" t="s">
        <v>6991</v>
      </c>
      <c r="BJ7038" t="s">
        <v>7014</v>
      </c>
      <c r="BM7038" t="s">
        <v>7015</v>
      </c>
      <c r="BP7038" t="s">
        <v>7016</v>
      </c>
      <c r="BQ7038" t="s">
        <v>7017</v>
      </c>
      <c r="BW7038" t="s">
        <v>6991</v>
      </c>
    </row>
    <row r="7039" spans="10:76" x14ac:dyDescent="0.25">
      <c r="AK7039" t="s">
        <v>7018</v>
      </c>
      <c r="AM7039" t="s">
        <v>7019</v>
      </c>
      <c r="AQ7039" t="s">
        <v>7020</v>
      </c>
      <c r="AT7039" t="s">
        <v>7021</v>
      </c>
      <c r="AX7039" t="s">
        <v>7022</v>
      </c>
      <c r="BJ7039" t="s">
        <v>6976</v>
      </c>
      <c r="BL7039" t="s">
        <v>6977</v>
      </c>
      <c r="BO7039" t="s">
        <v>6978</v>
      </c>
      <c r="BQ7039" t="s">
        <v>6979</v>
      </c>
      <c r="BT7039" t="s">
        <v>6980</v>
      </c>
      <c r="BX7039" t="s">
        <v>6981</v>
      </c>
    </row>
    <row r="7040" spans="10:76" x14ac:dyDescent="0.25">
      <c r="BJ7040" t="s">
        <v>6992</v>
      </c>
      <c r="BL7040">
        <v>55</v>
      </c>
      <c r="BO7040">
        <v>45</v>
      </c>
      <c r="BQ7040" t="s">
        <v>6982</v>
      </c>
      <c r="BT7040" t="s">
        <v>7026</v>
      </c>
      <c r="BX7040" t="s">
        <v>7024</v>
      </c>
    </row>
    <row r="7041" spans="10:81" x14ac:dyDescent="0.25">
      <c r="CC7041" t="s">
        <v>7027</v>
      </c>
    </row>
    <row r="7042" spans="10:81" x14ac:dyDescent="0.25">
      <c r="AK7042" t="s">
        <v>5247</v>
      </c>
      <c r="AM7042" t="s">
        <v>6982</v>
      </c>
      <c r="AQ7042" t="s">
        <v>5247</v>
      </c>
      <c r="AT7042" t="s">
        <v>6982</v>
      </c>
      <c r="AX7042" t="s">
        <v>6983</v>
      </c>
      <c r="BJ7042" t="s">
        <v>5247</v>
      </c>
      <c r="BL7042" t="s">
        <v>6982</v>
      </c>
      <c r="BO7042" t="s">
        <v>5247</v>
      </c>
      <c r="BQ7042" t="s">
        <v>6982</v>
      </c>
      <c r="BT7042" t="s">
        <v>6983</v>
      </c>
      <c r="BX7042" t="s">
        <v>6984</v>
      </c>
    </row>
    <row r="7043" spans="10:81" x14ac:dyDescent="0.25">
      <c r="AK7043" t="s">
        <v>5247</v>
      </c>
      <c r="AM7043" t="s">
        <v>6982</v>
      </c>
      <c r="AQ7043" t="s">
        <v>5247</v>
      </c>
      <c r="AT7043" t="s">
        <v>6982</v>
      </c>
      <c r="AX7043" t="s">
        <v>6983</v>
      </c>
      <c r="BJ7043" t="s">
        <v>5247</v>
      </c>
      <c r="BL7043" t="s">
        <v>6982</v>
      </c>
      <c r="BO7043" t="s">
        <v>5247</v>
      </c>
      <c r="BQ7043" t="s">
        <v>6982</v>
      </c>
      <c r="BT7043" t="s">
        <v>6983</v>
      </c>
      <c r="BX7043" t="s">
        <v>6984</v>
      </c>
    </row>
    <row r="7044" spans="10:81" x14ac:dyDescent="0.25">
      <c r="AK7044" t="s">
        <v>6985</v>
      </c>
      <c r="AT7044" t="s">
        <v>6986</v>
      </c>
      <c r="BJ7044" t="s">
        <v>6985</v>
      </c>
      <c r="BQ7044" t="s">
        <v>6986</v>
      </c>
    </row>
    <row r="7045" spans="10:81" x14ac:dyDescent="0.25">
      <c r="AK7045" t="s">
        <v>6987</v>
      </c>
      <c r="AT7045" t="s">
        <v>6962</v>
      </c>
      <c r="BJ7045" t="s">
        <v>6987</v>
      </c>
      <c r="BQ7045" t="s">
        <v>6962</v>
      </c>
    </row>
    <row r="7047" spans="10:81" x14ac:dyDescent="0.25">
      <c r="J7047" t="s">
        <v>7028</v>
      </c>
    </row>
    <row r="7048" spans="10:81" x14ac:dyDescent="0.25">
      <c r="AK7048" t="s">
        <v>6971</v>
      </c>
    </row>
    <row r="7050" spans="10:81" x14ac:dyDescent="0.25">
      <c r="AK7050" t="s">
        <v>6972</v>
      </c>
      <c r="AM7050" t="s">
        <v>7029</v>
      </c>
    </row>
    <row r="7051" spans="10:81" x14ac:dyDescent="0.25">
      <c r="AK7051" t="s">
        <v>6976</v>
      </c>
      <c r="AM7051" t="s">
        <v>6977</v>
      </c>
      <c r="AQ7051" t="s">
        <v>6978</v>
      </c>
      <c r="AT7051" t="s">
        <v>6979</v>
      </c>
      <c r="AX7051" t="s">
        <v>6980</v>
      </c>
    </row>
    <row r="7052" spans="10:81" x14ac:dyDescent="0.25">
      <c r="AK7052" t="s">
        <v>6992</v>
      </c>
      <c r="AM7052">
        <v>55</v>
      </c>
      <c r="AQ7052" t="s">
        <v>6993</v>
      </c>
      <c r="AT7052" t="s">
        <v>6982</v>
      </c>
      <c r="AX7052" t="s">
        <v>7030</v>
      </c>
    </row>
    <row r="7053" spans="10:81" x14ac:dyDescent="0.25">
      <c r="AK7053" t="s">
        <v>6992</v>
      </c>
      <c r="AM7053">
        <v>55</v>
      </c>
      <c r="AQ7053" t="s">
        <v>6993</v>
      </c>
      <c r="AT7053" t="s">
        <v>6982</v>
      </c>
      <c r="AX7053" t="s">
        <v>7023</v>
      </c>
    </row>
    <row r="7054" spans="10:81" x14ac:dyDescent="0.25">
      <c r="AK7054" t="s">
        <v>5247</v>
      </c>
      <c r="AM7054" t="s">
        <v>6982</v>
      </c>
      <c r="AQ7054" t="s">
        <v>5247</v>
      </c>
      <c r="AT7054" t="s">
        <v>6982</v>
      </c>
      <c r="AX7054" t="s">
        <v>6983</v>
      </c>
    </row>
    <row r="7055" spans="10:81" x14ac:dyDescent="0.25">
      <c r="AK7055" t="s">
        <v>6986</v>
      </c>
    </row>
    <row r="7056" spans="10:81" x14ac:dyDescent="0.25">
      <c r="AM7056" t="s">
        <v>6987</v>
      </c>
      <c r="AX7056" t="s">
        <v>6962</v>
      </c>
    </row>
    <row r="7058" spans="1:90" x14ac:dyDescent="0.25">
      <c r="J7058" t="s">
        <v>7031</v>
      </c>
    </row>
    <row r="7059" spans="1:90" x14ac:dyDescent="0.25">
      <c r="AK7059" t="s">
        <v>6971</v>
      </c>
    </row>
    <row r="7061" spans="1:90" x14ac:dyDescent="0.25">
      <c r="AK7061" t="s">
        <v>6972</v>
      </c>
      <c r="AM7061" t="s">
        <v>7029</v>
      </c>
    </row>
    <row r="7062" spans="1:90" x14ac:dyDescent="0.25">
      <c r="AK7062" t="s">
        <v>7018</v>
      </c>
      <c r="AM7062" t="s">
        <v>7019</v>
      </c>
      <c r="AQ7062" t="s">
        <v>7020</v>
      </c>
      <c r="AT7062" t="s">
        <v>7021</v>
      </c>
      <c r="AX7062" t="s">
        <v>7022</v>
      </c>
    </row>
    <row r="7063" spans="1:90" x14ac:dyDescent="0.25">
      <c r="BE7063" t="s">
        <v>7027</v>
      </c>
    </row>
    <row r="7065" spans="1:90" x14ac:dyDescent="0.25">
      <c r="AK7065" t="s">
        <v>6992</v>
      </c>
      <c r="AM7065">
        <v>55</v>
      </c>
      <c r="AQ7065" t="s">
        <v>6993</v>
      </c>
      <c r="AT7065" t="s">
        <v>6982</v>
      </c>
      <c r="AX7065" t="s">
        <v>7026</v>
      </c>
    </row>
    <row r="7066" spans="1:90" x14ac:dyDescent="0.25">
      <c r="AK7066" t="s">
        <v>5247</v>
      </c>
      <c r="AM7066" t="s">
        <v>6982</v>
      </c>
      <c r="AQ7066" t="s">
        <v>5247</v>
      </c>
      <c r="AT7066" t="s">
        <v>6982</v>
      </c>
      <c r="AX7066" t="s">
        <v>6983</v>
      </c>
    </row>
    <row r="7067" spans="1:90" x14ac:dyDescent="0.25">
      <c r="AK7067" t="s">
        <v>6986</v>
      </c>
    </row>
    <row r="7068" spans="1:90" x14ac:dyDescent="0.25">
      <c r="AM7068" t="s">
        <v>6987</v>
      </c>
      <c r="AX7068" t="s">
        <v>6962</v>
      </c>
    </row>
    <row r="7069" spans="1:90" x14ac:dyDescent="0.25">
      <c r="A7069" t="s">
        <v>7032</v>
      </c>
    </row>
    <row r="7070" spans="1:90" x14ac:dyDescent="0.25">
      <c r="CL7070" t="s">
        <v>7033</v>
      </c>
    </row>
    <row r="7071" spans="1:90" x14ac:dyDescent="0.25">
      <c r="A7071" t="s">
        <v>7034</v>
      </c>
    </row>
    <row r="7073" spans="1:75" x14ac:dyDescent="0.25">
      <c r="A7073" t="s">
        <v>7035</v>
      </c>
    </row>
    <row r="7075" spans="1:75" x14ac:dyDescent="0.25">
      <c r="A7075" t="s">
        <v>7036</v>
      </c>
    </row>
    <row r="7077" spans="1:75" x14ac:dyDescent="0.25">
      <c r="A7077" t="s">
        <v>7037</v>
      </c>
    </row>
    <row r="7079" spans="1:75" x14ac:dyDescent="0.25">
      <c r="A7079" t="s">
        <v>7038</v>
      </c>
    </row>
    <row r="7080" spans="1:75" x14ac:dyDescent="0.25">
      <c r="A7080" t="s">
        <v>7039</v>
      </c>
      <c r="J7080" t="s">
        <v>7040</v>
      </c>
    </row>
    <row r="7082" spans="1:75" x14ac:dyDescent="0.25">
      <c r="J7082" t="s">
        <v>7041</v>
      </c>
    </row>
    <row r="7084" spans="1:75" x14ac:dyDescent="0.25">
      <c r="J7084" t="s">
        <v>7042</v>
      </c>
      <c r="R7084" t="s">
        <v>7043</v>
      </c>
      <c r="AX7084" t="s">
        <v>7042</v>
      </c>
      <c r="BE7084" t="s">
        <v>7043</v>
      </c>
    </row>
    <row r="7085" spans="1:75" x14ac:dyDescent="0.25">
      <c r="R7085" t="s">
        <v>7044</v>
      </c>
      <c r="AB7085" t="s">
        <v>7045</v>
      </c>
      <c r="AJ7085" t="s">
        <v>7046</v>
      </c>
      <c r="BE7085" t="s">
        <v>7044</v>
      </c>
      <c r="BO7085" t="s">
        <v>7045</v>
      </c>
      <c r="BW7085" t="s">
        <v>7046</v>
      </c>
    </row>
    <row r="7086" spans="1:75" x14ac:dyDescent="0.25">
      <c r="J7086" t="s">
        <v>5252</v>
      </c>
      <c r="R7086">
        <v>55.42</v>
      </c>
      <c r="AB7086" t="s">
        <v>7047</v>
      </c>
      <c r="AJ7086">
        <v>60.04</v>
      </c>
      <c r="AX7086" t="s">
        <v>6633</v>
      </c>
      <c r="BE7086">
        <v>150.5</v>
      </c>
      <c r="BO7086">
        <v>161.30000000000001</v>
      </c>
      <c r="BW7086">
        <v>172.7</v>
      </c>
    </row>
    <row r="7087" spans="1:75" x14ac:dyDescent="0.25">
      <c r="J7087" t="s">
        <v>6633</v>
      </c>
      <c r="R7087">
        <v>32.33</v>
      </c>
      <c r="AB7087" t="s">
        <v>7048</v>
      </c>
      <c r="AJ7087">
        <v>35.299999999999997</v>
      </c>
      <c r="AX7087" t="s">
        <v>5272</v>
      </c>
      <c r="BE7087">
        <v>92.76</v>
      </c>
      <c r="BO7087">
        <v>99.05</v>
      </c>
      <c r="BW7087">
        <v>105.6</v>
      </c>
    </row>
    <row r="7088" spans="1:75" x14ac:dyDescent="0.25">
      <c r="J7088" t="s">
        <v>5272</v>
      </c>
      <c r="R7088">
        <v>19.63</v>
      </c>
      <c r="AB7088" t="s">
        <v>7049</v>
      </c>
      <c r="AJ7088">
        <v>21.09</v>
      </c>
      <c r="AX7088" t="s">
        <v>3756</v>
      </c>
      <c r="BE7088">
        <v>58.61</v>
      </c>
      <c r="BO7088">
        <v>62.36</v>
      </c>
      <c r="BW7088">
        <v>66.260000000000005</v>
      </c>
    </row>
    <row r="7089" spans="10:75" x14ac:dyDescent="0.25">
      <c r="J7089" t="s">
        <v>3756</v>
      </c>
      <c r="R7089">
        <v>12.23</v>
      </c>
      <c r="AB7089" t="s">
        <v>7050</v>
      </c>
      <c r="AJ7089">
        <v>12.95</v>
      </c>
      <c r="AX7089" t="s">
        <v>7051</v>
      </c>
      <c r="BE7089">
        <v>47.01</v>
      </c>
      <c r="BO7089">
        <v>49.93</v>
      </c>
      <c r="BW7089">
        <v>52.97</v>
      </c>
    </row>
    <row r="7090" spans="10:75" x14ac:dyDescent="0.25">
      <c r="J7090" t="s">
        <v>7051</v>
      </c>
      <c r="R7090">
        <v>9.75</v>
      </c>
      <c r="AB7090" t="s">
        <v>5272</v>
      </c>
      <c r="AJ7090">
        <v>10.25</v>
      </c>
      <c r="AX7090" t="s">
        <v>5240</v>
      </c>
      <c r="BE7090">
        <v>37.93</v>
      </c>
      <c r="BO7090">
        <v>40.22</v>
      </c>
      <c r="BW7090">
        <v>42.59</v>
      </c>
    </row>
    <row r="7091" spans="10:75" x14ac:dyDescent="0.25">
      <c r="J7091" t="s">
        <v>5240</v>
      </c>
      <c r="R7091">
        <v>7.7640000000000002</v>
      </c>
      <c r="AB7091" t="s">
        <v>7052</v>
      </c>
      <c r="AJ7091">
        <v>8.218</v>
      </c>
      <c r="AX7091" t="s">
        <v>3760</v>
      </c>
      <c r="BE7091">
        <v>25.12</v>
      </c>
      <c r="BO7091">
        <v>26.55</v>
      </c>
      <c r="BW7091">
        <v>28.03</v>
      </c>
    </row>
    <row r="7092" spans="10:75" x14ac:dyDescent="0.25">
      <c r="J7092" t="s">
        <v>3760</v>
      </c>
      <c r="R7092">
        <v>5.0129999999999999</v>
      </c>
      <c r="AB7092" t="s">
        <v>7053</v>
      </c>
      <c r="AJ7092">
        <v>5.375</v>
      </c>
      <c r="AX7092" t="s">
        <v>7054</v>
      </c>
      <c r="BE7092">
        <v>17</v>
      </c>
      <c r="BO7092">
        <v>17.920000000000002</v>
      </c>
      <c r="BW7092">
        <v>18.86</v>
      </c>
    </row>
    <row r="7093" spans="10:75" x14ac:dyDescent="0.25">
      <c r="J7093" t="s">
        <v>7054</v>
      </c>
      <c r="R7093">
        <v>3.3119999999999998</v>
      </c>
      <c r="AB7093" t="s">
        <v>7055</v>
      </c>
      <c r="AJ7093">
        <v>3.5939999999999999</v>
      </c>
      <c r="AX7093" t="s">
        <v>5426</v>
      </c>
      <c r="BE7093">
        <v>11.74</v>
      </c>
      <c r="BO7093">
        <v>12.34</v>
      </c>
      <c r="BW7093">
        <v>12.95</v>
      </c>
    </row>
    <row r="7094" spans="10:75" x14ac:dyDescent="0.25">
      <c r="J7094" t="s">
        <v>5426</v>
      </c>
      <c r="R7094">
        <v>2.2360000000000002</v>
      </c>
      <c r="AB7094" t="s">
        <v>7056</v>
      </c>
      <c r="AJ7094">
        <v>2.4540000000000002</v>
      </c>
      <c r="AX7094" t="s">
        <v>7057</v>
      </c>
      <c r="BE7094">
        <v>8.2690000000000001</v>
      </c>
      <c r="BO7094">
        <v>8.6679999999999993</v>
      </c>
      <c r="BW7094">
        <v>9.0739999999999998</v>
      </c>
    </row>
    <row r="7095" spans="10:75" x14ac:dyDescent="0.25">
      <c r="J7095" t="s">
        <v>7057</v>
      </c>
      <c r="R7095">
        <v>1.54</v>
      </c>
      <c r="AB7095" t="s">
        <v>7058</v>
      </c>
      <c r="AJ7095">
        <v>1.7090000000000001</v>
      </c>
      <c r="AX7095" t="s">
        <v>7059</v>
      </c>
      <c r="BE7095">
        <v>5.9249999999999998</v>
      </c>
      <c r="BO7095">
        <v>6.1950000000000003</v>
      </c>
      <c r="BW7095">
        <v>6.47</v>
      </c>
    </row>
    <row r="7096" spans="10:75" x14ac:dyDescent="0.25">
      <c r="J7096" t="s">
        <v>7059</v>
      </c>
      <c r="R7096">
        <v>1.0820000000000001</v>
      </c>
      <c r="AB7096" t="s">
        <v>7060</v>
      </c>
      <c r="AJ7096">
        <v>1.2130000000000001</v>
      </c>
      <c r="AX7096" t="s">
        <v>7061</v>
      </c>
      <c r="BE7096">
        <v>4.3209999999999997</v>
      </c>
      <c r="BO7096">
        <v>4.5069999999999997</v>
      </c>
      <c r="BW7096">
        <v>4.6959999999999997</v>
      </c>
    </row>
    <row r="7097" spans="10:75" x14ac:dyDescent="0.25">
      <c r="J7097" t="s">
        <v>7061</v>
      </c>
      <c r="R7097">
        <v>0.77400000000000002</v>
      </c>
      <c r="AB7097" t="s">
        <v>7062</v>
      </c>
      <c r="AJ7097">
        <v>0.87609999999999999</v>
      </c>
      <c r="AX7097" t="s">
        <v>7063</v>
      </c>
      <c r="BE7097">
        <v>3.2050000000000001</v>
      </c>
      <c r="BO7097">
        <v>3.3359999999999999</v>
      </c>
      <c r="BW7097">
        <v>3.468</v>
      </c>
    </row>
    <row r="7098" spans="10:75" x14ac:dyDescent="0.25">
      <c r="J7098" t="s">
        <v>7063</v>
      </c>
      <c r="R7098">
        <v>0.56340000000000001</v>
      </c>
      <c r="AB7098" t="s">
        <v>7064</v>
      </c>
      <c r="AJ7098">
        <v>0.64339999999999997</v>
      </c>
    </row>
    <row r="7100" spans="10:75" x14ac:dyDescent="0.25">
      <c r="AK7100" t="s">
        <v>7065</v>
      </c>
    </row>
    <row r="7101" spans="10:75" x14ac:dyDescent="0.25">
      <c r="AF7101" t="s">
        <v>7066</v>
      </c>
    </row>
    <row r="7102" spans="10:75" x14ac:dyDescent="0.25">
      <c r="AF7102" t="s">
        <v>7066</v>
      </c>
    </row>
    <row r="7103" spans="10:75" x14ac:dyDescent="0.25">
      <c r="AF7103" t="s">
        <v>7066</v>
      </c>
    </row>
    <row r="7104" spans="10:75" x14ac:dyDescent="0.25">
      <c r="AF7104" t="s">
        <v>7066</v>
      </c>
    </row>
    <row r="7105" spans="32:39" x14ac:dyDescent="0.25">
      <c r="AF7105" t="s">
        <v>7066</v>
      </c>
    </row>
    <row r="7106" spans="32:39" x14ac:dyDescent="0.25">
      <c r="AF7106" t="s">
        <v>7066</v>
      </c>
    </row>
    <row r="7107" spans="32:39" x14ac:dyDescent="0.25">
      <c r="AF7107" t="s">
        <v>7066</v>
      </c>
    </row>
    <row r="7108" spans="32:39" x14ac:dyDescent="0.25">
      <c r="AF7108" t="s">
        <v>7066</v>
      </c>
    </row>
    <row r="7109" spans="32:39" x14ac:dyDescent="0.25">
      <c r="AF7109" t="s">
        <v>7066</v>
      </c>
    </row>
    <row r="7110" spans="32:39" x14ac:dyDescent="0.25">
      <c r="AF7110" t="s">
        <v>7066</v>
      </c>
    </row>
    <row r="7111" spans="32:39" x14ac:dyDescent="0.25">
      <c r="AF7111" t="s">
        <v>7066</v>
      </c>
    </row>
    <row r="7112" spans="32:39" x14ac:dyDescent="0.25">
      <c r="AF7112" t="s">
        <v>7066</v>
      </c>
    </row>
    <row r="7113" spans="32:39" x14ac:dyDescent="0.25">
      <c r="AF7113" t="s">
        <v>7067</v>
      </c>
    </row>
    <row r="7114" spans="32:39" x14ac:dyDescent="0.25">
      <c r="AF7114" t="s">
        <v>7067</v>
      </c>
    </row>
    <row r="7115" spans="32:39" x14ac:dyDescent="0.25">
      <c r="AF7115" t="s">
        <v>7067</v>
      </c>
    </row>
    <row r="7116" spans="32:39" x14ac:dyDescent="0.25">
      <c r="AF7116" t="s">
        <v>7068</v>
      </c>
      <c r="AM7116" t="s">
        <v>7069</v>
      </c>
    </row>
    <row r="7117" spans="32:39" x14ac:dyDescent="0.25">
      <c r="AF7117" t="s">
        <v>7067</v>
      </c>
    </row>
    <row r="7118" spans="32:39" x14ac:dyDescent="0.25">
      <c r="AF7118" t="s">
        <v>7070</v>
      </c>
    </row>
    <row r="7119" spans="32:39" x14ac:dyDescent="0.25">
      <c r="AF7119" t="s">
        <v>7071</v>
      </c>
    </row>
    <row r="7120" spans="32:39" x14ac:dyDescent="0.25">
      <c r="AF7120" t="s">
        <v>7072</v>
      </c>
    </row>
    <row r="7121" spans="1:96" x14ac:dyDescent="0.25">
      <c r="AF7121" t="s">
        <v>7073</v>
      </c>
    </row>
    <row r="7123" spans="1:96" x14ac:dyDescent="0.25">
      <c r="A7123" t="s">
        <v>7074</v>
      </c>
    </row>
    <row r="7124" spans="1:96" x14ac:dyDescent="0.25">
      <c r="A7124" t="s">
        <v>7075</v>
      </c>
    </row>
    <row r="7126" spans="1:96" x14ac:dyDescent="0.25">
      <c r="AM7126" t="s">
        <v>7076</v>
      </c>
    </row>
    <row r="7127" spans="1:96" x14ac:dyDescent="0.25">
      <c r="A7127" t="s">
        <v>7077</v>
      </c>
      <c r="AB7127" t="s">
        <v>7078</v>
      </c>
      <c r="AK7127">
        <v>108</v>
      </c>
      <c r="AM7127">
        <v>125</v>
      </c>
      <c r="AQ7127" t="s">
        <v>7079</v>
      </c>
    </row>
    <row r="7128" spans="1:96" x14ac:dyDescent="0.25">
      <c r="A7128" t="s">
        <v>7080</v>
      </c>
      <c r="AE7128">
        <v>100</v>
      </c>
      <c r="AH7128" t="s">
        <v>7081</v>
      </c>
      <c r="AM7128" t="s">
        <v>7082</v>
      </c>
      <c r="BX7128" t="s">
        <v>7083</v>
      </c>
      <c r="CR7128" t="s">
        <v>7084</v>
      </c>
    </row>
    <row r="7129" spans="1:96" x14ac:dyDescent="0.25">
      <c r="AJ7129" t="s">
        <v>7085</v>
      </c>
    </row>
    <row r="7130" spans="1:96" x14ac:dyDescent="0.25">
      <c r="A7130" t="s">
        <v>7086</v>
      </c>
    </row>
    <row r="7131" spans="1:96" x14ac:dyDescent="0.25">
      <c r="BT7131" t="s">
        <v>7087</v>
      </c>
    </row>
    <row r="7132" spans="1:96" x14ac:dyDescent="0.25">
      <c r="BT7132" t="s">
        <v>7088</v>
      </c>
      <c r="CC7132" t="s">
        <v>7089</v>
      </c>
    </row>
    <row r="7133" spans="1:96" x14ac:dyDescent="0.25">
      <c r="A7133">
        <v>291</v>
      </c>
      <c r="AI7133" t="s">
        <v>7090</v>
      </c>
      <c r="AM7133">
        <v>351</v>
      </c>
    </row>
    <row r="7134" spans="1:96" x14ac:dyDescent="0.25">
      <c r="CR7134" t="s">
        <v>7091</v>
      </c>
    </row>
    <row r="7135" spans="1:96" x14ac:dyDescent="0.25">
      <c r="V7135" t="s">
        <v>7092</v>
      </c>
    </row>
    <row r="7138" spans="1:73" x14ac:dyDescent="0.25">
      <c r="A7138" t="s">
        <v>7092</v>
      </c>
    </row>
    <row r="7139" spans="1:73" x14ac:dyDescent="0.25">
      <c r="S7139" t="s">
        <v>7093</v>
      </c>
    </row>
    <row r="7140" spans="1:73" x14ac:dyDescent="0.25">
      <c r="A7140">
        <v>1</v>
      </c>
    </row>
    <row r="7141" spans="1:73" x14ac:dyDescent="0.25">
      <c r="A7141">
        <v>2</v>
      </c>
      <c r="S7141" t="s">
        <v>7094</v>
      </c>
    </row>
    <row r="7142" spans="1:73" x14ac:dyDescent="0.25">
      <c r="A7142" t="s">
        <v>7095</v>
      </c>
      <c r="S7142" t="s">
        <v>7096</v>
      </c>
      <c r="Z7142" t="s">
        <v>7097</v>
      </c>
      <c r="AF7142" t="s">
        <v>7079</v>
      </c>
    </row>
    <row r="7143" spans="1:73" x14ac:dyDescent="0.25">
      <c r="A7143" t="s">
        <v>7080</v>
      </c>
      <c r="R7143" t="s">
        <v>7098</v>
      </c>
      <c r="AE7143" t="s">
        <v>7099</v>
      </c>
      <c r="AJ7143" t="s">
        <v>7100</v>
      </c>
      <c r="BH7143" t="s">
        <v>7101</v>
      </c>
      <c r="BU7143" t="s">
        <v>7102</v>
      </c>
    </row>
    <row r="7144" spans="1:73" x14ac:dyDescent="0.25">
      <c r="A7144">
        <v>109</v>
      </c>
    </row>
    <row r="7145" spans="1:73" x14ac:dyDescent="0.25">
      <c r="A7145">
        <v>195</v>
      </c>
      <c r="V7145" t="s">
        <v>7103</v>
      </c>
      <c r="AB7145" t="s">
        <v>7104</v>
      </c>
      <c r="AX7145" t="s">
        <v>7105</v>
      </c>
      <c r="BQ7145" t="s">
        <v>7106</v>
      </c>
    </row>
    <row r="7146" spans="1:73" x14ac:dyDescent="0.25">
      <c r="A7146" t="s">
        <v>7107</v>
      </c>
    </row>
    <row r="7147" spans="1:73" x14ac:dyDescent="0.25">
      <c r="A7147" t="s">
        <v>7108</v>
      </c>
    </row>
    <row r="7150" spans="1:73" x14ac:dyDescent="0.25">
      <c r="A7150" t="s">
        <v>7109</v>
      </c>
    </row>
    <row r="7152" spans="1:73" x14ac:dyDescent="0.25">
      <c r="A7152" t="s">
        <v>7110</v>
      </c>
    </row>
    <row r="7153" spans="1:90" x14ac:dyDescent="0.25">
      <c r="A7153" t="s">
        <v>7111</v>
      </c>
      <c r="X7153" t="s">
        <v>7112</v>
      </c>
      <c r="Z7153">
        <v>150</v>
      </c>
      <c r="AE7153">
        <v>150</v>
      </c>
      <c r="AH7153" t="s">
        <v>7113</v>
      </c>
      <c r="AT7153" t="s">
        <v>7114</v>
      </c>
      <c r="BQ7153" t="s">
        <v>7115</v>
      </c>
    </row>
    <row r="7154" spans="1:90" x14ac:dyDescent="0.25">
      <c r="A7154" t="s">
        <v>7116</v>
      </c>
      <c r="S7154" t="s">
        <v>7117</v>
      </c>
      <c r="BH7154">
        <v>443</v>
      </c>
    </row>
    <row r="7155" spans="1:90" x14ac:dyDescent="0.25">
      <c r="A7155" t="s">
        <v>7118</v>
      </c>
    </row>
    <row r="7156" spans="1:90" x14ac:dyDescent="0.25">
      <c r="A7156" t="s">
        <v>7091</v>
      </c>
    </row>
    <row r="7159" spans="1:90" x14ac:dyDescent="0.25">
      <c r="A7159" t="s">
        <v>7119</v>
      </c>
      <c r="CL7159" t="s">
        <v>7092</v>
      </c>
    </row>
    <row r="7165" spans="1:90" x14ac:dyDescent="0.25">
      <c r="A7165" t="s">
        <v>7120</v>
      </c>
    </row>
    <row r="7166" spans="1:90" x14ac:dyDescent="0.25">
      <c r="A7166">
        <v>235</v>
      </c>
      <c r="N7166" t="s">
        <v>7121</v>
      </c>
    </row>
    <row r="7167" spans="1:90" x14ac:dyDescent="0.25">
      <c r="BP7167" t="s">
        <v>7076</v>
      </c>
    </row>
    <row r="7169" spans="1:76" x14ac:dyDescent="0.25">
      <c r="BJ7169" t="s">
        <v>7122</v>
      </c>
    </row>
    <row r="7176" spans="1:76" x14ac:dyDescent="0.25">
      <c r="AJ7176" t="s">
        <v>7123</v>
      </c>
    </row>
    <row r="7178" spans="1:76" x14ac:dyDescent="0.25">
      <c r="AH7178" t="s">
        <v>7124</v>
      </c>
    </row>
    <row r="7179" spans="1:76" x14ac:dyDescent="0.25">
      <c r="A7179" t="s">
        <v>7125</v>
      </c>
      <c r="V7179" t="s">
        <v>7126</v>
      </c>
      <c r="AF7179" t="s">
        <v>7127</v>
      </c>
      <c r="AX7179" t="s">
        <v>7091</v>
      </c>
    </row>
    <row r="7180" spans="1:76" x14ac:dyDescent="0.25">
      <c r="BX7180" t="s">
        <v>5941</v>
      </c>
    </row>
    <row r="7181" spans="1:76" x14ac:dyDescent="0.25">
      <c r="P7181" t="s">
        <v>7128</v>
      </c>
      <c r="AB7181" t="s">
        <v>4911</v>
      </c>
    </row>
    <row r="7182" spans="1:76" x14ac:dyDescent="0.25">
      <c r="P7182" t="s">
        <v>7129</v>
      </c>
      <c r="AB7182" t="s">
        <v>7089</v>
      </c>
    </row>
    <row r="7183" spans="1:76" x14ac:dyDescent="0.25">
      <c r="P7183" t="s">
        <v>7130</v>
      </c>
      <c r="AB7183" t="s">
        <v>7131</v>
      </c>
    </row>
    <row r="7187" spans="1:84" x14ac:dyDescent="0.25">
      <c r="A7187" t="s">
        <v>7092</v>
      </c>
      <c r="J7187" t="s">
        <v>7132</v>
      </c>
    </row>
    <row r="7188" spans="1:84" x14ac:dyDescent="0.25">
      <c r="K7188" t="s">
        <v>7091</v>
      </c>
      <c r="Q7188">
        <v>670</v>
      </c>
      <c r="S7188" t="s">
        <v>7133</v>
      </c>
    </row>
    <row r="7189" spans="1:84" x14ac:dyDescent="0.25">
      <c r="BS7189" t="s">
        <v>7134</v>
      </c>
    </row>
    <row r="7190" spans="1:84" x14ac:dyDescent="0.25">
      <c r="AO7190" t="s">
        <v>7135</v>
      </c>
    </row>
    <row r="7192" spans="1:84" x14ac:dyDescent="0.25">
      <c r="BW7192" t="s">
        <v>7128</v>
      </c>
      <c r="CF7192" t="s">
        <v>7136</v>
      </c>
    </row>
    <row r="7193" spans="1:84" x14ac:dyDescent="0.25">
      <c r="BW7193" t="s">
        <v>7137</v>
      </c>
      <c r="CF7193" t="s">
        <v>7138</v>
      </c>
    </row>
    <row r="7195" spans="1:84" x14ac:dyDescent="0.25">
      <c r="BW7195" t="s">
        <v>7139</v>
      </c>
      <c r="CF7195" t="s">
        <v>7140</v>
      </c>
    </row>
    <row r="7198" spans="1:84" x14ac:dyDescent="0.25">
      <c r="AQ7198" t="s">
        <v>7141</v>
      </c>
      <c r="BW7198" t="s">
        <v>7142</v>
      </c>
    </row>
    <row r="7200" spans="1:84" x14ac:dyDescent="0.25">
      <c r="BJ7200" t="s">
        <v>7143</v>
      </c>
    </row>
    <row r="7203" spans="1:90" x14ac:dyDescent="0.25">
      <c r="J7203" t="s">
        <v>5999</v>
      </c>
    </row>
    <row r="7206" spans="1:90" x14ac:dyDescent="0.25">
      <c r="A7206" t="s">
        <v>7144</v>
      </c>
      <c r="CL7206" t="s">
        <v>7145</v>
      </c>
    </row>
    <row r="7208" spans="1:90" x14ac:dyDescent="0.25">
      <c r="A7208" t="s">
        <v>7146</v>
      </c>
      <c r="AE7208" t="s">
        <v>7147</v>
      </c>
      <c r="BE7208" t="s">
        <v>7148</v>
      </c>
    </row>
    <row r="7209" spans="1:90" x14ac:dyDescent="0.25">
      <c r="A7209" t="s">
        <v>7149</v>
      </c>
      <c r="AE7209" t="s">
        <v>7150</v>
      </c>
      <c r="BE7209" t="s">
        <v>7151</v>
      </c>
    </row>
    <row r="7210" spans="1:90" x14ac:dyDescent="0.25">
      <c r="AE7210" t="s">
        <v>7152</v>
      </c>
      <c r="BE7210" t="s">
        <v>7153</v>
      </c>
    </row>
    <row r="7211" spans="1:90" x14ac:dyDescent="0.25">
      <c r="AE7211" t="s">
        <v>7154</v>
      </c>
      <c r="BE7211" t="s">
        <v>7155</v>
      </c>
    </row>
    <row r="7212" spans="1:90" x14ac:dyDescent="0.25">
      <c r="AE7212" t="s">
        <v>7156</v>
      </c>
      <c r="BE7212" t="s">
        <v>7157</v>
      </c>
    </row>
    <row r="7213" spans="1:90" x14ac:dyDescent="0.25">
      <c r="AE7213" t="s">
        <v>7158</v>
      </c>
      <c r="BE7213" t="s">
        <v>7159</v>
      </c>
    </row>
    <row r="7214" spans="1:90" x14ac:dyDescent="0.25">
      <c r="A7214" t="s">
        <v>7160</v>
      </c>
      <c r="AE7214" t="s">
        <v>7161</v>
      </c>
      <c r="BE7214" t="s">
        <v>7162</v>
      </c>
    </row>
    <row r="7215" spans="1:90" x14ac:dyDescent="0.25">
      <c r="AE7215" t="s">
        <v>7163</v>
      </c>
      <c r="BE7215" t="s">
        <v>7164</v>
      </c>
    </row>
    <row r="7216" spans="1:90" x14ac:dyDescent="0.25">
      <c r="A7216" t="s">
        <v>7165</v>
      </c>
      <c r="AE7216" t="s">
        <v>7166</v>
      </c>
      <c r="BE7216" t="s">
        <v>7167</v>
      </c>
    </row>
    <row r="7217" spans="1:62" x14ac:dyDescent="0.25">
      <c r="AE7217" t="s">
        <v>7168</v>
      </c>
      <c r="BE7217" t="s">
        <v>7169</v>
      </c>
    </row>
    <row r="7218" spans="1:62" x14ac:dyDescent="0.25">
      <c r="AE7218" t="s">
        <v>7170</v>
      </c>
      <c r="BE7218" t="s">
        <v>7171</v>
      </c>
    </row>
    <row r="7219" spans="1:62" x14ac:dyDescent="0.25">
      <c r="AE7219" t="s">
        <v>7172</v>
      </c>
      <c r="BE7219" t="s">
        <v>7173</v>
      </c>
    </row>
    <row r="7220" spans="1:62" x14ac:dyDescent="0.25">
      <c r="AE7220" t="s">
        <v>7174</v>
      </c>
      <c r="BE7220" t="s">
        <v>7175</v>
      </c>
    </row>
    <row r="7221" spans="1:62" x14ac:dyDescent="0.25">
      <c r="A7221" t="s">
        <v>7176</v>
      </c>
      <c r="AE7221" t="s">
        <v>7177</v>
      </c>
      <c r="BE7221" t="s">
        <v>7178</v>
      </c>
    </row>
    <row r="7222" spans="1:62" x14ac:dyDescent="0.25">
      <c r="AE7222" t="s">
        <v>7179</v>
      </c>
      <c r="BE7222" t="s">
        <v>7180</v>
      </c>
    </row>
    <row r="7223" spans="1:62" x14ac:dyDescent="0.25">
      <c r="AE7223" t="s">
        <v>7181</v>
      </c>
      <c r="BE7223" t="s">
        <v>7182</v>
      </c>
    </row>
    <row r="7225" spans="1:62" x14ac:dyDescent="0.25">
      <c r="A7225" t="s">
        <v>7183</v>
      </c>
    </row>
    <row r="7226" spans="1:62" x14ac:dyDescent="0.25">
      <c r="A7226" t="s">
        <v>7145</v>
      </c>
    </row>
    <row r="7227" spans="1:62" x14ac:dyDescent="0.25">
      <c r="J7227" t="s">
        <v>7184</v>
      </c>
    </row>
    <row r="7229" spans="1:62" x14ac:dyDescent="0.25">
      <c r="J7229" t="s">
        <v>7185</v>
      </c>
      <c r="R7229" t="s">
        <v>7186</v>
      </c>
      <c r="BJ7229" t="s">
        <v>7187</v>
      </c>
    </row>
    <row r="7230" spans="1:62" x14ac:dyDescent="0.25">
      <c r="R7230" t="s">
        <v>7188</v>
      </c>
      <c r="AS7230" t="s">
        <v>7189</v>
      </c>
      <c r="BA7230" t="s">
        <v>7190</v>
      </c>
    </row>
    <row r="7231" spans="1:62" x14ac:dyDescent="0.25">
      <c r="J7231" t="s">
        <v>7191</v>
      </c>
      <c r="R7231" t="s">
        <v>7192</v>
      </c>
      <c r="AS7231" t="s">
        <v>7193</v>
      </c>
      <c r="BA7231" t="s">
        <v>7194</v>
      </c>
      <c r="BJ7231" t="s">
        <v>7195</v>
      </c>
    </row>
    <row r="7232" spans="1:62" x14ac:dyDescent="0.25">
      <c r="R7232" t="s">
        <v>7196</v>
      </c>
    </row>
    <row r="7233" spans="1:90" x14ac:dyDescent="0.25">
      <c r="R7233" t="s">
        <v>7197</v>
      </c>
    </row>
    <row r="7234" spans="1:90" x14ac:dyDescent="0.25">
      <c r="R7234" t="s">
        <v>7198</v>
      </c>
      <c r="BJ7234" t="s">
        <v>7199</v>
      </c>
    </row>
    <row r="7235" spans="1:90" x14ac:dyDescent="0.25">
      <c r="J7235" t="s">
        <v>7200</v>
      </c>
      <c r="R7235" t="s">
        <v>7201</v>
      </c>
      <c r="AS7235" t="s">
        <v>7193</v>
      </c>
      <c r="BA7235" t="s">
        <v>7202</v>
      </c>
      <c r="BJ7235" t="s">
        <v>7203</v>
      </c>
    </row>
    <row r="7236" spans="1:90" x14ac:dyDescent="0.25">
      <c r="J7236" t="s">
        <v>7204</v>
      </c>
      <c r="R7236" t="s">
        <v>7205</v>
      </c>
      <c r="AS7236" t="s">
        <v>7206</v>
      </c>
      <c r="BA7236" t="s">
        <v>7202</v>
      </c>
      <c r="BJ7236" t="s">
        <v>7207</v>
      </c>
    </row>
    <row r="7237" spans="1:90" x14ac:dyDescent="0.25">
      <c r="J7237" t="s">
        <v>7208</v>
      </c>
      <c r="R7237" t="s">
        <v>7209</v>
      </c>
      <c r="AS7237" t="s">
        <v>7202</v>
      </c>
      <c r="BA7237" t="s">
        <v>7194</v>
      </c>
      <c r="BJ7237" t="s">
        <v>7210</v>
      </c>
    </row>
    <row r="7238" spans="1:90" x14ac:dyDescent="0.25">
      <c r="J7238" t="s">
        <v>7211</v>
      </c>
      <c r="R7238" t="s">
        <v>7212</v>
      </c>
      <c r="AS7238" t="s">
        <v>7202</v>
      </c>
      <c r="BA7238" t="s">
        <v>7202</v>
      </c>
      <c r="BJ7238" t="s">
        <v>7213</v>
      </c>
    </row>
    <row r="7239" spans="1:90" x14ac:dyDescent="0.25">
      <c r="J7239" t="s">
        <v>7214</v>
      </c>
      <c r="R7239" t="s">
        <v>7215</v>
      </c>
      <c r="AS7239" t="s">
        <v>7202</v>
      </c>
      <c r="BA7239" t="s">
        <v>7194</v>
      </c>
      <c r="BJ7239" t="s">
        <v>7216</v>
      </c>
    </row>
    <row r="7241" spans="1:90" x14ac:dyDescent="0.25">
      <c r="J7241" t="s">
        <v>7217</v>
      </c>
      <c r="R7241" t="s">
        <v>7218</v>
      </c>
      <c r="AS7241" t="s">
        <v>7202</v>
      </c>
      <c r="BA7241" t="s">
        <v>7194</v>
      </c>
      <c r="BJ7241" t="s">
        <v>7219</v>
      </c>
    </row>
    <row r="7242" spans="1:90" x14ac:dyDescent="0.25">
      <c r="A7242" t="s">
        <v>7220</v>
      </c>
    </row>
    <row r="7243" spans="1:90" x14ac:dyDescent="0.25">
      <c r="CL7243" t="s">
        <v>7145</v>
      </c>
    </row>
    <row r="7244" spans="1:90" x14ac:dyDescent="0.25">
      <c r="A7244" t="s">
        <v>7185</v>
      </c>
      <c r="J7244" t="s">
        <v>7186</v>
      </c>
    </row>
    <row r="7245" spans="1:90" x14ac:dyDescent="0.25">
      <c r="J7245" t="s">
        <v>7188</v>
      </c>
      <c r="AK7245" t="s">
        <v>7189</v>
      </c>
      <c r="AT7245" t="s">
        <v>7190</v>
      </c>
    </row>
    <row r="7246" spans="1:90" x14ac:dyDescent="0.25">
      <c r="A7246" t="s">
        <v>7221</v>
      </c>
      <c r="J7246" t="s">
        <v>7222</v>
      </c>
      <c r="AK7246" t="s">
        <v>7202</v>
      </c>
      <c r="AT7246" t="s">
        <v>7194</v>
      </c>
    </row>
    <row r="7247" spans="1:90" x14ac:dyDescent="0.25">
      <c r="A7247" t="s">
        <v>7223</v>
      </c>
      <c r="J7247" t="s">
        <v>7224</v>
      </c>
      <c r="AK7247" t="s">
        <v>7193</v>
      </c>
      <c r="AT7247" t="s">
        <v>7194</v>
      </c>
    </row>
    <row r="7249" spans="1:62" x14ac:dyDescent="0.25">
      <c r="A7249" t="s">
        <v>7225</v>
      </c>
      <c r="J7249" t="s">
        <v>7226</v>
      </c>
      <c r="AK7249" t="s">
        <v>7202</v>
      </c>
      <c r="AT7249" t="s">
        <v>7194</v>
      </c>
    </row>
    <row r="7250" spans="1:62" x14ac:dyDescent="0.25">
      <c r="A7250" t="s">
        <v>7227</v>
      </c>
      <c r="J7250" t="s">
        <v>7228</v>
      </c>
      <c r="AK7250" t="s">
        <v>7229</v>
      </c>
      <c r="AT7250" t="s">
        <v>7194</v>
      </c>
    </row>
    <row r="7251" spans="1:62" x14ac:dyDescent="0.25">
      <c r="A7251" t="s">
        <v>7230</v>
      </c>
      <c r="J7251" t="s">
        <v>7231</v>
      </c>
      <c r="AK7251" t="s">
        <v>7202</v>
      </c>
      <c r="AT7251" t="s">
        <v>7202</v>
      </c>
    </row>
    <row r="7252" spans="1:62" x14ac:dyDescent="0.25">
      <c r="A7252" t="s">
        <v>7232</v>
      </c>
      <c r="J7252" t="s">
        <v>7233</v>
      </c>
      <c r="AK7252" t="s">
        <v>7193</v>
      </c>
      <c r="AT7252" t="s">
        <v>7194</v>
      </c>
    </row>
    <row r="7253" spans="1:62" x14ac:dyDescent="0.25">
      <c r="A7253" t="s">
        <v>7234</v>
      </c>
      <c r="J7253" t="s">
        <v>7233</v>
      </c>
      <c r="AK7253" t="s">
        <v>7193</v>
      </c>
      <c r="AT7253" t="s">
        <v>7194</v>
      </c>
    </row>
    <row r="7254" spans="1:62" x14ac:dyDescent="0.25">
      <c r="A7254" t="s">
        <v>7235</v>
      </c>
      <c r="J7254" t="s">
        <v>7236</v>
      </c>
      <c r="AK7254" t="s">
        <v>7194</v>
      </c>
      <c r="AT7254" t="s">
        <v>7202</v>
      </c>
    </row>
    <row r="7256" spans="1:62" x14ac:dyDescent="0.25">
      <c r="A7256" t="s">
        <v>7237</v>
      </c>
      <c r="J7256" t="s">
        <v>7238</v>
      </c>
      <c r="AK7256" t="s">
        <v>7202</v>
      </c>
      <c r="AT7256" t="s">
        <v>7202</v>
      </c>
    </row>
    <row r="7257" spans="1:62" x14ac:dyDescent="0.25">
      <c r="A7257" t="s">
        <v>7239</v>
      </c>
      <c r="J7257" t="s">
        <v>7240</v>
      </c>
      <c r="AK7257" t="s">
        <v>7194</v>
      </c>
      <c r="AT7257" t="s">
        <v>7202</v>
      </c>
    </row>
    <row r="7258" spans="1:62" x14ac:dyDescent="0.25">
      <c r="A7258" t="s">
        <v>7241</v>
      </c>
    </row>
    <row r="7259" spans="1:62" x14ac:dyDescent="0.25">
      <c r="A7259" t="s">
        <v>7145</v>
      </c>
    </row>
    <row r="7260" spans="1:62" x14ac:dyDescent="0.25">
      <c r="J7260" t="s">
        <v>7185</v>
      </c>
      <c r="R7260" t="s">
        <v>7186</v>
      </c>
      <c r="BJ7260" t="s">
        <v>7187</v>
      </c>
    </row>
    <row r="7261" spans="1:62" x14ac:dyDescent="0.25">
      <c r="R7261" t="s">
        <v>7188</v>
      </c>
      <c r="AS7261" t="s">
        <v>7189</v>
      </c>
      <c r="BA7261" t="s">
        <v>7190</v>
      </c>
    </row>
    <row r="7262" spans="1:62" x14ac:dyDescent="0.25">
      <c r="J7262" t="s">
        <v>7242</v>
      </c>
      <c r="R7262" t="s">
        <v>7243</v>
      </c>
      <c r="AS7262" t="s">
        <v>7194</v>
      </c>
      <c r="BA7262" t="s">
        <v>7194</v>
      </c>
      <c r="BJ7262" t="s">
        <v>7244</v>
      </c>
    </row>
    <row r="7263" spans="1:62" x14ac:dyDescent="0.25">
      <c r="J7263" t="s">
        <v>7245</v>
      </c>
      <c r="R7263" t="s">
        <v>7246</v>
      </c>
      <c r="AS7263" t="s">
        <v>7194</v>
      </c>
      <c r="BA7263" t="s">
        <v>7202</v>
      </c>
      <c r="BJ7263" t="s">
        <v>7247</v>
      </c>
    </row>
    <row r="7264" spans="1:62" x14ac:dyDescent="0.25">
      <c r="J7264" t="s">
        <v>7248</v>
      </c>
      <c r="R7264" t="s">
        <v>7249</v>
      </c>
      <c r="AS7264" t="s">
        <v>7202</v>
      </c>
      <c r="BA7264" t="s">
        <v>7202</v>
      </c>
      <c r="BJ7264" t="s">
        <v>7250</v>
      </c>
    </row>
    <row r="7265" spans="10:90" x14ac:dyDescent="0.25">
      <c r="J7265" t="s">
        <v>7251</v>
      </c>
      <c r="R7265" t="s">
        <v>7252</v>
      </c>
      <c r="AS7265" t="s">
        <v>7202</v>
      </c>
      <c r="BA7265" t="s">
        <v>7194</v>
      </c>
      <c r="BJ7265" t="s">
        <v>7253</v>
      </c>
    </row>
    <row r="7266" spans="10:90" x14ac:dyDescent="0.25">
      <c r="J7266" t="s">
        <v>7254</v>
      </c>
      <c r="R7266" t="s">
        <v>7255</v>
      </c>
      <c r="AS7266" t="s">
        <v>7202</v>
      </c>
      <c r="BA7266" t="s">
        <v>7194</v>
      </c>
      <c r="BJ7266" t="s">
        <v>7256</v>
      </c>
    </row>
    <row r="7267" spans="10:90" x14ac:dyDescent="0.25">
      <c r="J7267" t="s">
        <v>7257</v>
      </c>
      <c r="R7267" t="s">
        <v>7258</v>
      </c>
      <c r="AS7267" t="s">
        <v>7202</v>
      </c>
      <c r="BA7267" t="s">
        <v>7194</v>
      </c>
      <c r="BJ7267" t="s">
        <v>7259</v>
      </c>
    </row>
    <row r="7268" spans="10:90" x14ac:dyDescent="0.25">
      <c r="J7268" t="s">
        <v>7260</v>
      </c>
      <c r="R7268" t="s">
        <v>7261</v>
      </c>
      <c r="AS7268" t="s">
        <v>7202</v>
      </c>
      <c r="BA7268" t="s">
        <v>7194</v>
      </c>
      <c r="BJ7268" t="s">
        <v>7262</v>
      </c>
    </row>
    <row r="7269" spans="10:90" x14ac:dyDescent="0.25">
      <c r="J7269" t="s">
        <v>7263</v>
      </c>
      <c r="R7269" t="s">
        <v>7264</v>
      </c>
      <c r="AS7269" t="s">
        <v>7202</v>
      </c>
      <c r="BA7269" t="s">
        <v>7202</v>
      </c>
      <c r="BJ7269" t="s">
        <v>7265</v>
      </c>
    </row>
    <row r="7270" spans="10:90" x14ac:dyDescent="0.25">
      <c r="J7270" t="s">
        <v>7266</v>
      </c>
      <c r="R7270" t="s">
        <v>7267</v>
      </c>
      <c r="AS7270" t="s">
        <v>7193</v>
      </c>
      <c r="BA7270" t="s">
        <v>7202</v>
      </c>
      <c r="BJ7270" t="s">
        <v>7268</v>
      </c>
    </row>
    <row r="7271" spans="10:90" x14ac:dyDescent="0.25">
      <c r="J7271" t="s">
        <v>7269</v>
      </c>
      <c r="R7271" t="s">
        <v>7270</v>
      </c>
      <c r="AS7271" t="s">
        <v>7202</v>
      </c>
      <c r="BA7271" t="s">
        <v>7194</v>
      </c>
      <c r="BJ7271" t="s">
        <v>7271</v>
      </c>
    </row>
    <row r="7272" spans="10:90" x14ac:dyDescent="0.25">
      <c r="J7272" t="s">
        <v>7272</v>
      </c>
      <c r="R7272" t="s">
        <v>7273</v>
      </c>
      <c r="AS7272" t="s">
        <v>7202</v>
      </c>
      <c r="BA7272" t="s">
        <v>7194</v>
      </c>
      <c r="BJ7272" t="s">
        <v>7274</v>
      </c>
    </row>
    <row r="7273" spans="10:90" x14ac:dyDescent="0.25">
      <c r="J7273" t="s">
        <v>7275</v>
      </c>
      <c r="R7273" t="s">
        <v>7276</v>
      </c>
      <c r="AS7273" t="s">
        <v>7206</v>
      </c>
      <c r="BA7273" t="s">
        <v>7202</v>
      </c>
      <c r="BJ7273" t="s">
        <v>7277</v>
      </c>
    </row>
    <row r="7274" spans="10:90" x14ac:dyDescent="0.25">
      <c r="J7274" t="s">
        <v>7278</v>
      </c>
      <c r="R7274" t="s">
        <v>7279</v>
      </c>
      <c r="AS7274" t="s">
        <v>7202</v>
      </c>
      <c r="BA7274" t="s">
        <v>7194</v>
      </c>
      <c r="BJ7274" t="s">
        <v>7280</v>
      </c>
    </row>
    <row r="7275" spans="10:90" x14ac:dyDescent="0.25">
      <c r="J7275" t="s">
        <v>7281</v>
      </c>
      <c r="R7275" t="s">
        <v>7282</v>
      </c>
      <c r="AS7275" t="s">
        <v>7193</v>
      </c>
      <c r="BA7275" t="s">
        <v>7202</v>
      </c>
      <c r="BJ7275" t="s">
        <v>7283</v>
      </c>
    </row>
    <row r="7276" spans="10:90" x14ac:dyDescent="0.25">
      <c r="J7276" t="s">
        <v>7284</v>
      </c>
      <c r="R7276" t="s">
        <v>7285</v>
      </c>
      <c r="AS7276" t="s">
        <v>7193</v>
      </c>
      <c r="BA7276" t="s">
        <v>7202</v>
      </c>
      <c r="BJ7276" t="s">
        <v>7286</v>
      </c>
    </row>
    <row r="7278" spans="10:90" x14ac:dyDescent="0.25">
      <c r="J7278" t="s">
        <v>7287</v>
      </c>
      <c r="R7278" t="s">
        <v>7288</v>
      </c>
      <c r="AS7278" t="s">
        <v>7193</v>
      </c>
      <c r="BA7278" t="s">
        <v>7194</v>
      </c>
      <c r="BJ7278" t="s">
        <v>7289</v>
      </c>
    </row>
    <row r="7280" spans="10:90" x14ac:dyDescent="0.25">
      <c r="CL7280" t="s">
        <v>7145</v>
      </c>
    </row>
    <row r="7281" spans="1:46" x14ac:dyDescent="0.25">
      <c r="A7281" t="s">
        <v>7185</v>
      </c>
      <c r="J7281" t="s">
        <v>7186</v>
      </c>
    </row>
    <row r="7282" spans="1:46" x14ac:dyDescent="0.25">
      <c r="J7282" t="s">
        <v>7188</v>
      </c>
      <c r="AK7282" t="s">
        <v>7189</v>
      </c>
      <c r="AT7282" t="s">
        <v>7190</v>
      </c>
    </row>
    <row r="7283" spans="1:46" x14ac:dyDescent="0.25">
      <c r="A7283" t="s">
        <v>7290</v>
      </c>
      <c r="J7283" t="s">
        <v>7291</v>
      </c>
      <c r="AK7283" t="s">
        <v>7193</v>
      </c>
      <c r="AT7283" t="s">
        <v>7194</v>
      </c>
    </row>
    <row r="7284" spans="1:46" x14ac:dyDescent="0.25">
      <c r="A7284" t="s">
        <v>7292</v>
      </c>
      <c r="J7284" t="s">
        <v>7293</v>
      </c>
      <c r="AK7284" t="s">
        <v>7202</v>
      </c>
      <c r="AT7284" t="s">
        <v>7202</v>
      </c>
    </row>
    <row r="7285" spans="1:46" x14ac:dyDescent="0.25">
      <c r="A7285" t="s">
        <v>7294</v>
      </c>
      <c r="J7285" t="s">
        <v>7295</v>
      </c>
      <c r="AK7285" t="s">
        <v>7202</v>
      </c>
      <c r="AT7285" t="s">
        <v>7194</v>
      </c>
    </row>
    <row r="7286" spans="1:46" x14ac:dyDescent="0.25">
      <c r="A7286" t="s">
        <v>7296</v>
      </c>
      <c r="J7286" t="s">
        <v>7297</v>
      </c>
      <c r="AK7286" t="s">
        <v>7194</v>
      </c>
      <c r="AT7286" t="s">
        <v>7194</v>
      </c>
    </row>
    <row r="7287" spans="1:46" x14ac:dyDescent="0.25">
      <c r="A7287" t="s">
        <v>7298</v>
      </c>
      <c r="J7287" t="s">
        <v>7299</v>
      </c>
      <c r="AK7287" t="s">
        <v>7194</v>
      </c>
      <c r="AT7287" t="s">
        <v>7194</v>
      </c>
    </row>
    <row r="7288" spans="1:46" x14ac:dyDescent="0.25">
      <c r="A7288" t="s">
        <v>7300</v>
      </c>
      <c r="J7288" t="s">
        <v>7301</v>
      </c>
      <c r="AK7288" t="s">
        <v>7202</v>
      </c>
      <c r="AT7288" t="s">
        <v>7194</v>
      </c>
    </row>
    <row r="7289" spans="1:46" x14ac:dyDescent="0.25">
      <c r="A7289" t="s">
        <v>7302</v>
      </c>
      <c r="J7289" t="s">
        <v>7303</v>
      </c>
      <c r="AK7289" t="s">
        <v>7193</v>
      </c>
      <c r="AT7289">
        <v>0</v>
      </c>
    </row>
    <row r="7290" spans="1:46" x14ac:dyDescent="0.25">
      <c r="A7290" t="s">
        <v>7304</v>
      </c>
      <c r="J7290" t="s">
        <v>7305</v>
      </c>
      <c r="AK7290" t="s">
        <v>7193</v>
      </c>
      <c r="AT7290" t="s">
        <v>7194</v>
      </c>
    </row>
    <row r="7291" spans="1:46" x14ac:dyDescent="0.25">
      <c r="J7291" t="s">
        <v>7306</v>
      </c>
    </row>
    <row r="7292" spans="1:46" x14ac:dyDescent="0.25">
      <c r="A7292" t="s">
        <v>7307</v>
      </c>
      <c r="J7292" t="s">
        <v>7308</v>
      </c>
      <c r="AK7292" t="s">
        <v>7202</v>
      </c>
      <c r="AT7292" t="s">
        <v>7194</v>
      </c>
    </row>
    <row r="7293" spans="1:46" x14ac:dyDescent="0.25">
      <c r="A7293" t="s">
        <v>7309</v>
      </c>
      <c r="J7293" t="s">
        <v>7310</v>
      </c>
      <c r="AK7293" t="s">
        <v>7202</v>
      </c>
      <c r="AT7293" t="s">
        <v>7194</v>
      </c>
    </row>
    <row r="7295" spans="1:46" x14ac:dyDescent="0.25">
      <c r="A7295" t="s">
        <v>7311</v>
      </c>
      <c r="J7295" t="s">
        <v>7312</v>
      </c>
      <c r="AK7295" t="s">
        <v>7202</v>
      </c>
      <c r="AT7295" t="s">
        <v>7194</v>
      </c>
    </row>
    <row r="7296" spans="1:46" x14ac:dyDescent="0.25">
      <c r="A7296" t="s">
        <v>7313</v>
      </c>
    </row>
    <row r="7297" spans="1:62" x14ac:dyDescent="0.25">
      <c r="A7297" t="s">
        <v>7145</v>
      </c>
    </row>
    <row r="7298" spans="1:62" x14ac:dyDescent="0.25">
      <c r="J7298" t="s">
        <v>7185</v>
      </c>
      <c r="R7298" t="s">
        <v>7186</v>
      </c>
      <c r="BJ7298" t="s">
        <v>7187</v>
      </c>
    </row>
    <row r="7299" spans="1:62" x14ac:dyDescent="0.25">
      <c r="R7299" t="s">
        <v>7188</v>
      </c>
      <c r="AS7299" t="s">
        <v>7189</v>
      </c>
      <c r="BA7299" t="s">
        <v>7190</v>
      </c>
    </row>
    <row r="7300" spans="1:62" x14ac:dyDescent="0.25">
      <c r="J7300" t="s">
        <v>7314</v>
      </c>
      <c r="R7300" t="s">
        <v>7315</v>
      </c>
      <c r="AS7300" t="s">
        <v>7202</v>
      </c>
      <c r="BA7300" t="s">
        <v>7194</v>
      </c>
      <c r="BJ7300" t="s">
        <v>7316</v>
      </c>
    </row>
    <row r="7301" spans="1:62" x14ac:dyDescent="0.25">
      <c r="J7301" t="s">
        <v>7317</v>
      </c>
      <c r="R7301" t="s">
        <v>7318</v>
      </c>
      <c r="AS7301" t="s">
        <v>7194</v>
      </c>
      <c r="BA7301" t="s">
        <v>7194</v>
      </c>
      <c r="BJ7301" t="s">
        <v>7319</v>
      </c>
    </row>
    <row r="7302" spans="1:62" x14ac:dyDescent="0.25">
      <c r="J7302" t="s">
        <v>7320</v>
      </c>
      <c r="R7302" t="s">
        <v>7321</v>
      </c>
      <c r="AS7302" t="s">
        <v>7194</v>
      </c>
      <c r="BA7302" t="s">
        <v>7194</v>
      </c>
      <c r="BJ7302" t="s">
        <v>7322</v>
      </c>
    </row>
    <row r="7303" spans="1:62" x14ac:dyDescent="0.25">
      <c r="J7303" t="s">
        <v>7323</v>
      </c>
      <c r="R7303" t="s">
        <v>7324</v>
      </c>
      <c r="AS7303" t="s">
        <v>7194</v>
      </c>
      <c r="BA7303" t="s">
        <v>7194</v>
      </c>
      <c r="BJ7303" t="s">
        <v>7325</v>
      </c>
    </row>
    <row r="7304" spans="1:62" x14ac:dyDescent="0.25">
      <c r="J7304" t="s">
        <v>7326</v>
      </c>
      <c r="R7304" t="s">
        <v>7327</v>
      </c>
      <c r="AS7304" t="s">
        <v>7194</v>
      </c>
      <c r="BA7304" t="s">
        <v>7194</v>
      </c>
      <c r="BJ7304" t="s">
        <v>7328</v>
      </c>
    </row>
    <row r="7305" spans="1:62" x14ac:dyDescent="0.25">
      <c r="J7305" t="s">
        <v>7329</v>
      </c>
      <c r="R7305" t="s">
        <v>7330</v>
      </c>
      <c r="AS7305" t="s">
        <v>7194</v>
      </c>
      <c r="BA7305" t="s">
        <v>7194</v>
      </c>
      <c r="BJ7305" t="s">
        <v>7331</v>
      </c>
    </row>
    <row r="7306" spans="1:62" x14ac:dyDescent="0.25">
      <c r="J7306" t="s">
        <v>7332</v>
      </c>
      <c r="R7306" t="s">
        <v>7333</v>
      </c>
      <c r="AS7306" t="s">
        <v>7202</v>
      </c>
      <c r="BA7306" t="s">
        <v>7194</v>
      </c>
      <c r="BJ7306" t="s">
        <v>7334</v>
      </c>
    </row>
    <row r="7307" spans="1:62" x14ac:dyDescent="0.25">
      <c r="J7307" t="s">
        <v>7335</v>
      </c>
      <c r="R7307" t="s">
        <v>7218</v>
      </c>
      <c r="AS7307" t="s">
        <v>7194</v>
      </c>
      <c r="BA7307" t="s">
        <v>7194</v>
      </c>
      <c r="BJ7307" t="s">
        <v>7336</v>
      </c>
    </row>
    <row r="7308" spans="1:62" x14ac:dyDescent="0.25">
      <c r="J7308" t="s">
        <v>7337</v>
      </c>
      <c r="R7308" t="s">
        <v>7338</v>
      </c>
      <c r="AS7308" t="s">
        <v>7194</v>
      </c>
      <c r="BA7308" t="s">
        <v>7194</v>
      </c>
      <c r="BJ7308" t="s">
        <v>7339</v>
      </c>
    </row>
    <row r="7309" spans="1:62" x14ac:dyDescent="0.25">
      <c r="J7309" t="s">
        <v>7340</v>
      </c>
      <c r="R7309" t="s">
        <v>7341</v>
      </c>
      <c r="AS7309" t="s">
        <v>7194</v>
      </c>
      <c r="BA7309" t="s">
        <v>7194</v>
      </c>
      <c r="BJ7309" t="s">
        <v>7342</v>
      </c>
    </row>
    <row r="7310" spans="1:62" x14ac:dyDescent="0.25">
      <c r="J7310" t="s">
        <v>7343</v>
      </c>
      <c r="R7310" t="s">
        <v>7344</v>
      </c>
      <c r="AS7310" t="s">
        <v>7202</v>
      </c>
      <c r="BA7310" t="s">
        <v>7194</v>
      </c>
      <c r="BJ7310" t="s">
        <v>7345</v>
      </c>
    </row>
    <row r="7311" spans="1:62" x14ac:dyDescent="0.25">
      <c r="J7311" t="s">
        <v>7346</v>
      </c>
      <c r="R7311" t="s">
        <v>7347</v>
      </c>
      <c r="AS7311" t="s">
        <v>7202</v>
      </c>
      <c r="BA7311" t="s">
        <v>7194</v>
      </c>
      <c r="BJ7311" t="s">
        <v>7348</v>
      </c>
    </row>
    <row r="7312" spans="1:62" x14ac:dyDescent="0.25">
      <c r="J7312" t="s">
        <v>7349</v>
      </c>
      <c r="R7312" t="s">
        <v>7350</v>
      </c>
      <c r="AS7312" t="s">
        <v>7202</v>
      </c>
      <c r="BA7312" t="s">
        <v>7194</v>
      </c>
    </row>
    <row r="7313" spans="1:90" x14ac:dyDescent="0.25">
      <c r="J7313" t="s">
        <v>7351</v>
      </c>
      <c r="R7313" t="s">
        <v>7352</v>
      </c>
      <c r="AS7313" t="s">
        <v>7202</v>
      </c>
      <c r="BA7313" t="s">
        <v>7194</v>
      </c>
      <c r="BJ7313" t="s">
        <v>7353</v>
      </c>
    </row>
    <row r="7315" spans="1:90" x14ac:dyDescent="0.25">
      <c r="J7315" t="s">
        <v>7354</v>
      </c>
      <c r="R7315" t="s">
        <v>7355</v>
      </c>
      <c r="AS7315" t="s">
        <v>7202</v>
      </c>
      <c r="BA7315" t="s">
        <v>7194</v>
      </c>
      <c r="BJ7315" t="s">
        <v>7356</v>
      </c>
    </row>
    <row r="7316" spans="1:90" x14ac:dyDescent="0.25">
      <c r="A7316" t="s">
        <v>7357</v>
      </c>
    </row>
    <row r="7317" spans="1:90" x14ac:dyDescent="0.25">
      <c r="CL7317" t="s">
        <v>7145</v>
      </c>
    </row>
    <row r="7318" spans="1:90" x14ac:dyDescent="0.25">
      <c r="A7318" t="s">
        <v>7185</v>
      </c>
      <c r="J7318" t="s">
        <v>7186</v>
      </c>
    </row>
    <row r="7319" spans="1:90" x14ac:dyDescent="0.25">
      <c r="J7319" t="s">
        <v>7188</v>
      </c>
      <c r="AK7319" t="s">
        <v>7189</v>
      </c>
      <c r="AT7319" t="s">
        <v>7190</v>
      </c>
    </row>
    <row r="7320" spans="1:90" x14ac:dyDescent="0.25">
      <c r="A7320" t="s">
        <v>7358</v>
      </c>
      <c r="J7320" t="s">
        <v>7359</v>
      </c>
      <c r="AK7320" t="s">
        <v>7202</v>
      </c>
      <c r="AT7320" t="s">
        <v>7194</v>
      </c>
    </row>
    <row r="7321" spans="1:90" x14ac:dyDescent="0.25">
      <c r="A7321" t="s">
        <v>7360</v>
      </c>
      <c r="J7321" t="s">
        <v>7361</v>
      </c>
      <c r="AK7321" t="s">
        <v>7202</v>
      </c>
      <c r="AT7321" t="s">
        <v>7194</v>
      </c>
    </row>
    <row r="7322" spans="1:90" x14ac:dyDescent="0.25">
      <c r="A7322" t="s">
        <v>7362</v>
      </c>
      <c r="J7322" t="s">
        <v>7363</v>
      </c>
      <c r="AK7322" t="s">
        <v>7202</v>
      </c>
      <c r="AT7322" t="s">
        <v>7194</v>
      </c>
    </row>
    <row r="7323" spans="1:90" x14ac:dyDescent="0.25">
      <c r="A7323" t="s">
        <v>7364</v>
      </c>
      <c r="J7323" t="s">
        <v>7365</v>
      </c>
      <c r="AK7323" t="s">
        <v>7202</v>
      </c>
      <c r="AT7323" t="s">
        <v>7194</v>
      </c>
    </row>
    <row r="7324" spans="1:90" x14ac:dyDescent="0.25">
      <c r="A7324" t="s">
        <v>7366</v>
      </c>
      <c r="J7324" t="s">
        <v>7367</v>
      </c>
      <c r="AK7324" t="s">
        <v>7202</v>
      </c>
      <c r="AT7324" t="s">
        <v>7194</v>
      </c>
    </row>
    <row r="7325" spans="1:90" x14ac:dyDescent="0.25">
      <c r="A7325" t="s">
        <v>7368</v>
      </c>
      <c r="J7325" t="s">
        <v>7369</v>
      </c>
      <c r="AK7325" t="s">
        <v>7202</v>
      </c>
      <c r="AT7325" t="s">
        <v>7194</v>
      </c>
    </row>
    <row r="7326" spans="1:90" x14ac:dyDescent="0.25">
      <c r="A7326" t="s">
        <v>7370</v>
      </c>
      <c r="J7326" t="s">
        <v>7371</v>
      </c>
      <c r="AK7326" t="s">
        <v>7194</v>
      </c>
      <c r="AT7326" t="s">
        <v>7202</v>
      </c>
    </row>
    <row r="7328" spans="1:90" x14ac:dyDescent="0.25">
      <c r="A7328" t="s">
        <v>7372</v>
      </c>
    </row>
    <row r="7329" spans="1:90" x14ac:dyDescent="0.25">
      <c r="A7329" t="s">
        <v>7145</v>
      </c>
    </row>
    <row r="7330" spans="1:90" x14ac:dyDescent="0.25">
      <c r="J7330" t="s">
        <v>7373</v>
      </c>
    </row>
    <row r="7332" spans="1:90" x14ac:dyDescent="0.25">
      <c r="J7332" t="s">
        <v>7185</v>
      </c>
      <c r="X7332" t="s">
        <v>7186</v>
      </c>
      <c r="BM7332" t="s">
        <v>7187</v>
      </c>
    </row>
    <row r="7333" spans="1:90" x14ac:dyDescent="0.25">
      <c r="X7333" t="s">
        <v>7188</v>
      </c>
      <c r="AQ7333" t="s">
        <v>7189</v>
      </c>
    </row>
    <row r="7334" spans="1:90" x14ac:dyDescent="0.25">
      <c r="J7334" t="s">
        <v>7374</v>
      </c>
      <c r="X7334" t="s">
        <v>7375</v>
      </c>
      <c r="AQ7334" t="s">
        <v>7376</v>
      </c>
      <c r="BM7334" t="s">
        <v>7377</v>
      </c>
    </row>
    <row r="7335" spans="1:90" x14ac:dyDescent="0.25">
      <c r="J7335" t="s">
        <v>7378</v>
      </c>
      <c r="X7335" t="s">
        <v>7379</v>
      </c>
      <c r="AQ7335" t="s">
        <v>7380</v>
      </c>
      <c r="BM7335" t="s">
        <v>7381</v>
      </c>
    </row>
    <row r="7336" spans="1:90" x14ac:dyDescent="0.25">
      <c r="J7336" t="s">
        <v>7382</v>
      </c>
      <c r="X7336" t="s">
        <v>7383</v>
      </c>
      <c r="AQ7336" t="s">
        <v>7380</v>
      </c>
      <c r="BM7336" t="s">
        <v>7384</v>
      </c>
    </row>
    <row r="7337" spans="1:90" x14ac:dyDescent="0.25">
      <c r="J7337" t="s">
        <v>7385</v>
      </c>
      <c r="X7337" t="s">
        <v>7386</v>
      </c>
      <c r="AQ7337" t="s">
        <v>7387</v>
      </c>
      <c r="BM7337" t="s">
        <v>7388</v>
      </c>
    </row>
    <row r="7339" spans="1:90" x14ac:dyDescent="0.25">
      <c r="A7339" t="s">
        <v>7389</v>
      </c>
    </row>
    <row r="7340" spans="1:90" x14ac:dyDescent="0.25">
      <c r="A7340" t="s">
        <v>7390</v>
      </c>
      <c r="CL7340" t="s">
        <v>7391</v>
      </c>
    </row>
    <row r="7341" spans="1:90" x14ac:dyDescent="0.25">
      <c r="A7341" t="s">
        <v>7392</v>
      </c>
    </row>
    <row r="7342" spans="1:90" x14ac:dyDescent="0.25">
      <c r="A7342" t="s">
        <v>7393</v>
      </c>
    </row>
    <row r="7344" spans="1:90" x14ac:dyDescent="0.25">
      <c r="V7344" t="s">
        <v>7394</v>
      </c>
    </row>
    <row r="7346" spans="1:62" x14ac:dyDescent="0.25">
      <c r="V7346" t="s">
        <v>7395</v>
      </c>
      <c r="AF7346" t="s">
        <v>7396</v>
      </c>
    </row>
    <row r="7347" spans="1:62" x14ac:dyDescent="0.25">
      <c r="BJ7347" t="s">
        <v>7397</v>
      </c>
    </row>
    <row r="7351" spans="1:62" x14ac:dyDescent="0.25">
      <c r="A7351" t="s">
        <v>7398</v>
      </c>
    </row>
    <row r="7353" spans="1:62" x14ac:dyDescent="0.25">
      <c r="A7353" t="s">
        <v>7399</v>
      </c>
    </row>
    <row r="7355" spans="1:62" x14ac:dyDescent="0.25">
      <c r="F7355" t="s">
        <v>7400</v>
      </c>
      <c r="AH7355" t="s">
        <v>7401</v>
      </c>
    </row>
    <row r="7356" spans="1:62" x14ac:dyDescent="0.25">
      <c r="F7356" t="s">
        <v>7402</v>
      </c>
      <c r="AH7356" t="s">
        <v>7403</v>
      </c>
    </row>
    <row r="7357" spans="1:62" x14ac:dyDescent="0.25">
      <c r="F7357" t="s">
        <v>7404</v>
      </c>
      <c r="AH7357" t="s">
        <v>7405</v>
      </c>
    </row>
    <row r="7358" spans="1:62" x14ac:dyDescent="0.25">
      <c r="F7358" t="s">
        <v>7406</v>
      </c>
      <c r="AH7358" t="s">
        <v>7407</v>
      </c>
    </row>
    <row r="7359" spans="1:62" x14ac:dyDescent="0.25">
      <c r="F7359" t="s">
        <v>7408</v>
      </c>
      <c r="AH7359" t="s">
        <v>7409</v>
      </c>
    </row>
    <row r="7360" spans="1:62" x14ac:dyDescent="0.25">
      <c r="F7360" t="s">
        <v>7410</v>
      </c>
      <c r="AH7360" t="s">
        <v>7411</v>
      </c>
    </row>
    <row r="7361" spans="1:53" x14ac:dyDescent="0.25">
      <c r="F7361" t="s">
        <v>7412</v>
      </c>
      <c r="AH7361" t="s">
        <v>7413</v>
      </c>
    </row>
    <row r="7363" spans="1:53" x14ac:dyDescent="0.25">
      <c r="A7363" t="s">
        <v>7414</v>
      </c>
    </row>
    <row r="7365" spans="1:53" x14ac:dyDescent="0.25">
      <c r="F7365" t="s">
        <v>7415</v>
      </c>
      <c r="L7365" t="s">
        <v>7416</v>
      </c>
      <c r="AM7365" t="s">
        <v>7417</v>
      </c>
      <c r="BA7365" t="s">
        <v>6632</v>
      </c>
    </row>
    <row r="7366" spans="1:53" x14ac:dyDescent="0.25">
      <c r="F7366">
        <v>1</v>
      </c>
      <c r="L7366" t="s">
        <v>7418</v>
      </c>
      <c r="AM7366">
        <v>1</v>
      </c>
    </row>
    <row r="7367" spans="1:53" x14ac:dyDescent="0.25">
      <c r="F7367">
        <v>2</v>
      </c>
      <c r="L7367" t="s">
        <v>7419</v>
      </c>
      <c r="AM7367">
        <v>1</v>
      </c>
    </row>
    <row r="7368" spans="1:53" x14ac:dyDescent="0.25">
      <c r="F7368">
        <v>3</v>
      </c>
      <c r="L7368" t="s">
        <v>7420</v>
      </c>
      <c r="AM7368">
        <v>1</v>
      </c>
      <c r="BA7368" t="s">
        <v>7421</v>
      </c>
    </row>
    <row r="7369" spans="1:53" x14ac:dyDescent="0.25">
      <c r="F7369">
        <v>4</v>
      </c>
      <c r="L7369" t="s">
        <v>7422</v>
      </c>
    </row>
    <row r="7371" spans="1:53" x14ac:dyDescent="0.25">
      <c r="A7371" t="s">
        <v>7423</v>
      </c>
    </row>
    <row r="7373" spans="1:53" x14ac:dyDescent="0.25">
      <c r="F7373" t="s">
        <v>7415</v>
      </c>
      <c r="L7373" t="s">
        <v>7424</v>
      </c>
      <c r="AM7373" t="s">
        <v>7400</v>
      </c>
      <c r="BA7373" t="s">
        <v>7425</v>
      </c>
    </row>
    <row r="7374" spans="1:53" x14ac:dyDescent="0.25">
      <c r="F7374">
        <v>1</v>
      </c>
      <c r="L7374" t="s">
        <v>7426</v>
      </c>
      <c r="AM7374" t="s">
        <v>7427</v>
      </c>
      <c r="BA7374" t="s">
        <v>7428</v>
      </c>
    </row>
    <row r="7375" spans="1:53" x14ac:dyDescent="0.25">
      <c r="AM7375" t="s">
        <v>7429</v>
      </c>
    </row>
    <row r="7376" spans="1:53" x14ac:dyDescent="0.25">
      <c r="AM7376" t="s">
        <v>7430</v>
      </c>
      <c r="BA7376" t="s">
        <v>7431</v>
      </c>
    </row>
    <row r="7377" spans="1:90" x14ac:dyDescent="0.25">
      <c r="AM7377" t="s">
        <v>7432</v>
      </c>
      <c r="BA7377" t="s">
        <v>7433</v>
      </c>
    </row>
    <row r="7378" spans="1:90" x14ac:dyDescent="0.25">
      <c r="F7378">
        <v>2</v>
      </c>
      <c r="L7378" t="s">
        <v>7434</v>
      </c>
      <c r="AM7378" t="s">
        <v>7427</v>
      </c>
      <c r="BA7378" t="s">
        <v>7435</v>
      </c>
    </row>
    <row r="7379" spans="1:90" x14ac:dyDescent="0.25">
      <c r="AM7379" t="s">
        <v>7429</v>
      </c>
      <c r="BA7379" t="s">
        <v>7436</v>
      </c>
    </row>
    <row r="7380" spans="1:90" x14ac:dyDescent="0.25">
      <c r="AM7380" t="s">
        <v>7430</v>
      </c>
      <c r="BA7380" t="s">
        <v>7437</v>
      </c>
    </row>
    <row r="7381" spans="1:90" x14ac:dyDescent="0.25">
      <c r="AM7381" t="s">
        <v>7432</v>
      </c>
      <c r="BA7381" t="s">
        <v>7438</v>
      </c>
    </row>
    <row r="7382" spans="1:90" x14ac:dyDescent="0.25">
      <c r="A7382" t="s">
        <v>7439</v>
      </c>
    </row>
    <row r="7383" spans="1:90" x14ac:dyDescent="0.25">
      <c r="A7383" t="s">
        <v>7440</v>
      </c>
      <c r="J7383" t="s">
        <v>7441</v>
      </c>
      <c r="Z7383" t="s">
        <v>7442</v>
      </c>
    </row>
    <row r="7384" spans="1:90" x14ac:dyDescent="0.25">
      <c r="J7384" t="s">
        <v>7443</v>
      </c>
    </row>
    <row r="7385" spans="1:90" x14ac:dyDescent="0.25">
      <c r="AY7385" t="s">
        <v>7444</v>
      </c>
      <c r="BJ7385" t="s">
        <v>7445</v>
      </c>
    </row>
    <row r="7386" spans="1:90" x14ac:dyDescent="0.25">
      <c r="AI7386" t="s">
        <v>7446</v>
      </c>
    </row>
    <row r="7387" spans="1:90" x14ac:dyDescent="0.25">
      <c r="Y7387" t="s">
        <v>7447</v>
      </c>
      <c r="AE7387" t="s">
        <v>7448</v>
      </c>
      <c r="AS7387" t="s">
        <v>7449</v>
      </c>
    </row>
    <row r="7388" spans="1:90" x14ac:dyDescent="0.25">
      <c r="J7388" t="s">
        <v>7450</v>
      </c>
    </row>
    <row r="7391" spans="1:90" x14ac:dyDescent="0.25">
      <c r="A7391" t="s">
        <v>7451</v>
      </c>
      <c r="CL7391" t="s">
        <v>7440</v>
      </c>
    </row>
    <row r="7393" spans="1:69" x14ac:dyDescent="0.25">
      <c r="A7393" t="s">
        <v>7452</v>
      </c>
    </row>
    <row r="7394" spans="1:69" x14ac:dyDescent="0.25">
      <c r="A7394" t="s">
        <v>7453</v>
      </c>
    </row>
    <row r="7396" spans="1:69" x14ac:dyDescent="0.25">
      <c r="A7396" t="s">
        <v>7454</v>
      </c>
    </row>
    <row r="7397" spans="1:69" x14ac:dyDescent="0.25">
      <c r="BQ7397" t="s">
        <v>7455</v>
      </c>
    </row>
    <row r="7398" spans="1:69" x14ac:dyDescent="0.25">
      <c r="A7398" t="s">
        <v>7456</v>
      </c>
      <c r="AC7398" t="s">
        <v>7457</v>
      </c>
      <c r="AT7398" t="s">
        <v>7458</v>
      </c>
      <c r="BA7398" t="s">
        <v>7459</v>
      </c>
    </row>
    <row r="7400" spans="1:69" x14ac:dyDescent="0.25">
      <c r="BP7400" t="s">
        <v>7460</v>
      </c>
    </row>
    <row r="7401" spans="1:69" x14ac:dyDescent="0.25">
      <c r="BL7401" t="s">
        <v>7461</v>
      </c>
    </row>
    <row r="7402" spans="1:69" x14ac:dyDescent="0.25">
      <c r="A7402" t="s">
        <v>7462</v>
      </c>
    </row>
    <row r="7404" spans="1:69" x14ac:dyDescent="0.25">
      <c r="A7404" t="s">
        <v>7463</v>
      </c>
      <c r="J7404" t="s">
        <v>7464</v>
      </c>
    </row>
    <row r="7406" spans="1:69" x14ac:dyDescent="0.25">
      <c r="J7406" t="s">
        <v>7465</v>
      </c>
    </row>
    <row r="7408" spans="1:69" x14ac:dyDescent="0.25">
      <c r="A7408" t="s">
        <v>7466</v>
      </c>
    </row>
    <row r="7410" spans="1:46" x14ac:dyDescent="0.25">
      <c r="A7410" t="s">
        <v>7467</v>
      </c>
    </row>
    <row r="7411" spans="1:46" x14ac:dyDescent="0.25">
      <c r="A7411" t="s">
        <v>7468</v>
      </c>
      <c r="N7411" t="s">
        <v>7469</v>
      </c>
      <c r="AT7411" t="s">
        <v>7470</v>
      </c>
    </row>
    <row r="7412" spans="1:46" x14ac:dyDescent="0.25">
      <c r="A7412" t="s">
        <v>7471</v>
      </c>
      <c r="N7412" t="s">
        <v>7472</v>
      </c>
      <c r="AT7412">
        <v>0.3</v>
      </c>
    </row>
    <row r="7413" spans="1:46" x14ac:dyDescent="0.25">
      <c r="A7413" t="s">
        <v>7473</v>
      </c>
      <c r="N7413" t="s">
        <v>7474</v>
      </c>
      <c r="AT7413">
        <v>0.3</v>
      </c>
    </row>
    <row r="7414" spans="1:46" x14ac:dyDescent="0.25">
      <c r="A7414" t="s">
        <v>7475</v>
      </c>
      <c r="N7414" t="s">
        <v>7476</v>
      </c>
      <c r="AT7414">
        <v>0.3</v>
      </c>
    </row>
    <row r="7415" spans="1:46" x14ac:dyDescent="0.25">
      <c r="A7415" t="s">
        <v>7477</v>
      </c>
      <c r="N7415" t="s">
        <v>7478</v>
      </c>
      <c r="AT7415">
        <v>0.3</v>
      </c>
    </row>
    <row r="7416" spans="1:46" x14ac:dyDescent="0.25">
      <c r="A7416" t="s">
        <v>7479</v>
      </c>
      <c r="N7416" t="s">
        <v>7480</v>
      </c>
      <c r="AT7416">
        <v>0.3</v>
      </c>
    </row>
    <row r="7417" spans="1:46" x14ac:dyDescent="0.25">
      <c r="A7417" t="s">
        <v>7481</v>
      </c>
      <c r="N7417" t="s">
        <v>7482</v>
      </c>
      <c r="AT7417">
        <v>0.2</v>
      </c>
    </row>
    <row r="7418" spans="1:46" x14ac:dyDescent="0.25">
      <c r="A7418" t="s">
        <v>7483</v>
      </c>
      <c r="N7418" t="s">
        <v>7484</v>
      </c>
      <c r="AT7418">
        <v>0.25</v>
      </c>
    </row>
    <row r="7419" spans="1:46" x14ac:dyDescent="0.25">
      <c r="A7419" t="s">
        <v>7485</v>
      </c>
      <c r="N7419" t="s">
        <v>7486</v>
      </c>
      <c r="AT7419">
        <v>0.35</v>
      </c>
    </row>
    <row r="7420" spans="1:46" x14ac:dyDescent="0.25">
      <c r="A7420" t="s">
        <v>7487</v>
      </c>
      <c r="N7420" t="s">
        <v>7488</v>
      </c>
      <c r="AT7420">
        <v>0.35</v>
      </c>
    </row>
    <row r="7421" spans="1:46" x14ac:dyDescent="0.25">
      <c r="A7421" t="s">
        <v>7489</v>
      </c>
      <c r="N7421" t="s">
        <v>7490</v>
      </c>
      <c r="AT7421">
        <v>0.25</v>
      </c>
    </row>
    <row r="7422" spans="1:46" x14ac:dyDescent="0.25">
      <c r="A7422" t="s">
        <v>7491</v>
      </c>
      <c r="N7422" t="s">
        <v>7492</v>
      </c>
      <c r="AT7422">
        <v>0.3</v>
      </c>
    </row>
    <row r="7423" spans="1:46" x14ac:dyDescent="0.25">
      <c r="A7423" t="s">
        <v>7493</v>
      </c>
      <c r="N7423" t="s">
        <v>7494</v>
      </c>
      <c r="AT7423">
        <v>0.15</v>
      </c>
    </row>
    <row r="7424" spans="1:46" x14ac:dyDescent="0.25">
      <c r="A7424" t="s">
        <v>7495</v>
      </c>
      <c r="N7424" t="s">
        <v>7496</v>
      </c>
      <c r="AT7424">
        <v>0.38</v>
      </c>
    </row>
    <row r="7425" spans="1:46" x14ac:dyDescent="0.25">
      <c r="A7425" t="s">
        <v>7497</v>
      </c>
      <c r="N7425" t="s">
        <v>7498</v>
      </c>
      <c r="AT7425">
        <v>0.38</v>
      </c>
    </row>
    <row r="7426" spans="1:46" x14ac:dyDescent="0.25">
      <c r="A7426" t="s">
        <v>7499</v>
      </c>
      <c r="N7426" t="s">
        <v>7500</v>
      </c>
      <c r="AT7426">
        <v>0.38</v>
      </c>
    </row>
    <row r="7427" spans="1:46" x14ac:dyDescent="0.25">
      <c r="A7427" t="s">
        <v>7501</v>
      </c>
      <c r="N7427" t="s">
        <v>7502</v>
      </c>
      <c r="AT7427">
        <v>0.3</v>
      </c>
    </row>
    <row r="7428" spans="1:46" x14ac:dyDescent="0.25">
      <c r="A7428" t="s">
        <v>7503</v>
      </c>
      <c r="N7428" t="s">
        <v>7504</v>
      </c>
      <c r="AT7428">
        <v>0.3</v>
      </c>
    </row>
    <row r="7429" spans="1:46" x14ac:dyDescent="0.25">
      <c r="A7429" t="s">
        <v>7505</v>
      </c>
      <c r="N7429" t="s">
        <v>1654</v>
      </c>
      <c r="AT7429">
        <v>0.3</v>
      </c>
    </row>
    <row r="7430" spans="1:46" x14ac:dyDescent="0.25">
      <c r="A7430" t="s">
        <v>7506</v>
      </c>
      <c r="N7430" t="s">
        <v>7507</v>
      </c>
      <c r="AT7430">
        <v>0.3</v>
      </c>
    </row>
    <row r="7431" spans="1:46" x14ac:dyDescent="0.25">
      <c r="A7431" t="s">
        <v>7508</v>
      </c>
      <c r="N7431" t="s">
        <v>7509</v>
      </c>
      <c r="AT7431">
        <v>0.3</v>
      </c>
    </row>
    <row r="7432" spans="1:46" x14ac:dyDescent="0.25">
      <c r="A7432" t="s">
        <v>7510</v>
      </c>
      <c r="N7432" t="s">
        <v>7511</v>
      </c>
      <c r="AT7432">
        <v>0.3</v>
      </c>
    </row>
    <row r="7433" spans="1:46" x14ac:dyDescent="0.25">
      <c r="A7433" t="s">
        <v>7512</v>
      </c>
      <c r="N7433" t="s">
        <v>7513</v>
      </c>
      <c r="AT7433">
        <v>0.45</v>
      </c>
    </row>
    <row r="7434" spans="1:46" x14ac:dyDescent="0.25">
      <c r="A7434" t="s">
        <v>7514</v>
      </c>
      <c r="N7434" t="s">
        <v>7515</v>
      </c>
      <c r="AT7434">
        <v>0.47</v>
      </c>
    </row>
    <row r="7435" spans="1:46" x14ac:dyDescent="0.25">
      <c r="A7435" t="s">
        <v>7516</v>
      </c>
      <c r="N7435" t="s">
        <v>7517</v>
      </c>
      <c r="AT7435">
        <v>0.48</v>
      </c>
    </row>
    <row r="7436" spans="1:46" x14ac:dyDescent="0.25">
      <c r="A7436" t="s">
        <v>7518</v>
      </c>
      <c r="N7436" t="s">
        <v>7519</v>
      </c>
      <c r="AT7436">
        <v>0.46</v>
      </c>
    </row>
    <row r="7437" spans="1:46" x14ac:dyDescent="0.25">
      <c r="A7437" t="s">
        <v>7520</v>
      </c>
      <c r="N7437" t="s">
        <v>7521</v>
      </c>
      <c r="AT7437">
        <v>0.52</v>
      </c>
    </row>
    <row r="7438" spans="1:46" x14ac:dyDescent="0.25">
      <c r="A7438" t="s">
        <v>7522</v>
      </c>
      <c r="N7438" t="s">
        <v>7523</v>
      </c>
      <c r="AT7438">
        <v>0.52</v>
      </c>
    </row>
    <row r="7439" spans="1:46" x14ac:dyDescent="0.25">
      <c r="A7439" t="s">
        <v>7524</v>
      </c>
      <c r="N7439" t="s">
        <v>7525</v>
      </c>
      <c r="AT7439">
        <v>0.3</v>
      </c>
    </row>
    <row r="7440" spans="1:46" x14ac:dyDescent="0.25">
      <c r="A7440" t="s">
        <v>7526</v>
      </c>
      <c r="N7440" t="s">
        <v>7527</v>
      </c>
      <c r="AT7440">
        <v>0.3</v>
      </c>
    </row>
    <row r="7441" spans="1:62" x14ac:dyDescent="0.25">
      <c r="A7441" t="s">
        <v>7528</v>
      </c>
      <c r="N7441" t="s">
        <v>7529</v>
      </c>
      <c r="AT7441">
        <v>0.46</v>
      </c>
    </row>
    <row r="7442" spans="1:62" x14ac:dyDescent="0.25">
      <c r="A7442" t="s">
        <v>7530</v>
      </c>
      <c r="N7442" t="s">
        <v>7531</v>
      </c>
      <c r="AT7442">
        <v>0.45</v>
      </c>
    </row>
    <row r="7443" spans="1:62" x14ac:dyDescent="0.25">
      <c r="A7443" t="s">
        <v>7532</v>
      </c>
      <c r="N7443" t="s">
        <v>7533</v>
      </c>
      <c r="AT7443">
        <v>0.47</v>
      </c>
    </row>
    <row r="7444" spans="1:62" x14ac:dyDescent="0.25">
      <c r="A7444" t="s">
        <v>7534</v>
      </c>
      <c r="N7444" t="s">
        <v>7535</v>
      </c>
      <c r="AT7444">
        <v>0.52</v>
      </c>
    </row>
    <row r="7445" spans="1:62" x14ac:dyDescent="0.25">
      <c r="A7445" t="s">
        <v>7536</v>
      </c>
      <c r="N7445" t="s">
        <v>7537</v>
      </c>
      <c r="AT7445">
        <v>0.47</v>
      </c>
    </row>
    <row r="7446" spans="1:62" x14ac:dyDescent="0.25">
      <c r="A7446" t="s">
        <v>7538</v>
      </c>
      <c r="N7446" t="s">
        <v>7539</v>
      </c>
      <c r="AT7446">
        <v>0.4</v>
      </c>
    </row>
    <row r="7447" spans="1:62" x14ac:dyDescent="0.25">
      <c r="A7447" t="s">
        <v>7540</v>
      </c>
      <c r="N7447" t="s">
        <v>7541</v>
      </c>
      <c r="AT7447">
        <v>0.45</v>
      </c>
    </row>
    <row r="7448" spans="1:62" x14ac:dyDescent="0.25">
      <c r="A7448" t="s">
        <v>7542</v>
      </c>
      <c r="N7448" t="s">
        <v>7543</v>
      </c>
      <c r="AT7448">
        <v>0.3</v>
      </c>
    </row>
    <row r="7449" spans="1:62" x14ac:dyDescent="0.25">
      <c r="A7449" t="s">
        <v>7544</v>
      </c>
    </row>
    <row r="7450" spans="1:62" x14ac:dyDescent="0.25">
      <c r="A7450" t="s">
        <v>7545</v>
      </c>
    </row>
    <row r="7451" spans="1:62" x14ac:dyDescent="0.25">
      <c r="A7451" t="s">
        <v>7546</v>
      </c>
      <c r="AE7451" t="s">
        <v>7547</v>
      </c>
      <c r="AO7451" t="s">
        <v>7548</v>
      </c>
      <c r="AY7451" t="s">
        <v>7549</v>
      </c>
      <c r="BJ7451" t="s">
        <v>7550</v>
      </c>
    </row>
    <row r="7452" spans="1:62" x14ac:dyDescent="0.25">
      <c r="A7452" t="s">
        <v>7551</v>
      </c>
      <c r="BJ7452" t="s">
        <v>7552</v>
      </c>
    </row>
    <row r="7453" spans="1:62" x14ac:dyDescent="0.25">
      <c r="A7453" t="s">
        <v>7553</v>
      </c>
      <c r="AE7453" t="s">
        <v>7554</v>
      </c>
      <c r="AY7453">
        <v>65</v>
      </c>
      <c r="BJ7453">
        <v>676</v>
      </c>
    </row>
    <row r="7454" spans="1:62" x14ac:dyDescent="0.25">
      <c r="A7454" t="s">
        <v>7555</v>
      </c>
      <c r="AE7454" t="s">
        <v>7556</v>
      </c>
      <c r="AY7454">
        <v>90</v>
      </c>
      <c r="BJ7454">
        <v>700</v>
      </c>
    </row>
    <row r="7455" spans="1:62" x14ac:dyDescent="0.25">
      <c r="A7455" t="s">
        <v>7557</v>
      </c>
      <c r="AE7455" t="s">
        <v>7558</v>
      </c>
      <c r="AY7455">
        <v>140</v>
      </c>
      <c r="BJ7455" t="s">
        <v>7559</v>
      </c>
    </row>
    <row r="7456" spans="1:62" x14ac:dyDescent="0.25">
      <c r="A7456" t="s">
        <v>7560</v>
      </c>
      <c r="AE7456" t="s">
        <v>7561</v>
      </c>
      <c r="AY7456">
        <v>200</v>
      </c>
      <c r="BJ7456" t="s">
        <v>7562</v>
      </c>
    </row>
    <row r="7457" spans="1:62" x14ac:dyDescent="0.25">
      <c r="A7457" t="s">
        <v>7563</v>
      </c>
      <c r="BJ7457" t="s">
        <v>7552</v>
      </c>
    </row>
    <row r="7458" spans="1:62" x14ac:dyDescent="0.25">
      <c r="A7458" t="s">
        <v>7564</v>
      </c>
      <c r="AE7458" t="s">
        <v>7554</v>
      </c>
      <c r="AY7458">
        <v>65</v>
      </c>
      <c r="BJ7458">
        <v>903</v>
      </c>
    </row>
    <row r="7459" spans="1:62" x14ac:dyDescent="0.25">
      <c r="A7459" t="s">
        <v>7565</v>
      </c>
      <c r="AE7459" t="s">
        <v>7556</v>
      </c>
      <c r="AY7459">
        <v>90</v>
      </c>
      <c r="BJ7459">
        <v>939</v>
      </c>
    </row>
    <row r="7460" spans="1:62" x14ac:dyDescent="0.25">
      <c r="A7460" t="s">
        <v>7566</v>
      </c>
      <c r="AE7460" t="s">
        <v>7558</v>
      </c>
      <c r="AY7460">
        <v>140</v>
      </c>
      <c r="BJ7460" t="s">
        <v>7567</v>
      </c>
    </row>
    <row r="7461" spans="1:62" x14ac:dyDescent="0.25">
      <c r="A7461" t="s">
        <v>7568</v>
      </c>
      <c r="AE7461" t="s">
        <v>7561</v>
      </c>
      <c r="AY7461">
        <v>200</v>
      </c>
      <c r="BJ7461" t="s">
        <v>7569</v>
      </c>
    </row>
    <row r="7462" spans="1:62" x14ac:dyDescent="0.25">
      <c r="A7462" t="s">
        <v>7570</v>
      </c>
    </row>
    <row r="7463" spans="1:62" x14ac:dyDescent="0.25">
      <c r="A7463" t="s">
        <v>7571</v>
      </c>
      <c r="AE7463" t="s">
        <v>7554</v>
      </c>
      <c r="AY7463">
        <v>65</v>
      </c>
      <c r="BJ7463" t="s">
        <v>7572</v>
      </c>
    </row>
    <row r="7464" spans="1:62" x14ac:dyDescent="0.25">
      <c r="A7464" t="s">
        <v>7573</v>
      </c>
      <c r="AE7464" t="s">
        <v>7556</v>
      </c>
      <c r="AY7464">
        <v>90</v>
      </c>
      <c r="BJ7464" t="s">
        <v>7574</v>
      </c>
    </row>
    <row r="7465" spans="1:62" x14ac:dyDescent="0.25">
      <c r="A7465" t="s">
        <v>7575</v>
      </c>
      <c r="AE7465" t="s">
        <v>7558</v>
      </c>
      <c r="AY7465">
        <v>140</v>
      </c>
      <c r="BJ7465" t="s">
        <v>7576</v>
      </c>
    </row>
    <row r="7466" spans="1:62" x14ac:dyDescent="0.25">
      <c r="A7466" t="s">
        <v>7577</v>
      </c>
      <c r="AE7466" t="s">
        <v>7561</v>
      </c>
      <c r="AY7466">
        <v>200</v>
      </c>
      <c r="BJ7466" t="s">
        <v>7578</v>
      </c>
    </row>
    <row r="7467" spans="1:62" x14ac:dyDescent="0.25">
      <c r="A7467" t="s">
        <v>7579</v>
      </c>
    </row>
    <row r="7468" spans="1:62" x14ac:dyDescent="0.25">
      <c r="A7468" t="s">
        <v>7580</v>
      </c>
      <c r="AE7468" t="s">
        <v>7581</v>
      </c>
      <c r="AY7468">
        <v>65</v>
      </c>
      <c r="BJ7468" t="s">
        <v>7582</v>
      </c>
    </row>
    <row r="7469" spans="1:62" x14ac:dyDescent="0.25">
      <c r="A7469" t="s">
        <v>7583</v>
      </c>
      <c r="AE7469" t="s">
        <v>7584</v>
      </c>
      <c r="AY7469">
        <v>90</v>
      </c>
      <c r="BJ7469" t="s">
        <v>7585</v>
      </c>
    </row>
    <row r="7470" spans="1:62" x14ac:dyDescent="0.25">
      <c r="A7470" t="s">
        <v>7586</v>
      </c>
    </row>
    <row r="7471" spans="1:62" x14ac:dyDescent="0.25">
      <c r="A7471" t="s">
        <v>7587</v>
      </c>
      <c r="AE7471" t="s">
        <v>7581</v>
      </c>
      <c r="AY7471">
        <v>65</v>
      </c>
      <c r="BJ7471" t="s">
        <v>3630</v>
      </c>
    </row>
    <row r="7472" spans="1:62" x14ac:dyDescent="0.25">
      <c r="A7472" t="s">
        <v>7588</v>
      </c>
      <c r="AE7472" t="s">
        <v>7584</v>
      </c>
      <c r="AY7472">
        <v>90</v>
      </c>
      <c r="BJ7472" t="s">
        <v>7589</v>
      </c>
    </row>
    <row r="7473" spans="1:62" x14ac:dyDescent="0.25">
      <c r="A7473" t="s">
        <v>7590</v>
      </c>
      <c r="AE7473" t="s">
        <v>7558</v>
      </c>
      <c r="AY7473">
        <v>140</v>
      </c>
      <c r="BJ7473" t="s">
        <v>7591</v>
      </c>
    </row>
    <row r="7474" spans="1:62" x14ac:dyDescent="0.25">
      <c r="A7474" t="s">
        <v>7592</v>
      </c>
      <c r="AE7474" t="s">
        <v>7561</v>
      </c>
      <c r="AY7474">
        <v>200</v>
      </c>
      <c r="BJ7474" t="s">
        <v>7593</v>
      </c>
    </row>
    <row r="7475" spans="1:62" x14ac:dyDescent="0.25">
      <c r="A7475" t="s">
        <v>7594</v>
      </c>
    </row>
    <row r="7476" spans="1:62" x14ac:dyDescent="0.25">
      <c r="A7476" t="s">
        <v>7595</v>
      </c>
      <c r="AE7476" t="s">
        <v>7581</v>
      </c>
      <c r="AY7476">
        <v>65</v>
      </c>
      <c r="BJ7476" t="s">
        <v>7596</v>
      </c>
    </row>
    <row r="7477" spans="1:62" x14ac:dyDescent="0.25">
      <c r="A7477" t="s">
        <v>7597</v>
      </c>
      <c r="AE7477" t="s">
        <v>7584</v>
      </c>
      <c r="AY7477">
        <v>90</v>
      </c>
      <c r="BJ7477" t="s">
        <v>7598</v>
      </c>
    </row>
    <row r="7478" spans="1:62" x14ac:dyDescent="0.25">
      <c r="A7478" t="s">
        <v>7599</v>
      </c>
      <c r="AE7478" t="s">
        <v>7558</v>
      </c>
      <c r="AY7478">
        <v>140</v>
      </c>
      <c r="BJ7478" t="s">
        <v>7600</v>
      </c>
    </row>
    <row r="7479" spans="1:62" x14ac:dyDescent="0.25">
      <c r="A7479" t="s">
        <v>7601</v>
      </c>
      <c r="AE7479" t="s">
        <v>7561</v>
      </c>
      <c r="AY7479">
        <v>200</v>
      </c>
      <c r="BJ7479" t="s">
        <v>7602</v>
      </c>
    </row>
    <row r="7480" spans="1:62" x14ac:dyDescent="0.25">
      <c r="A7480" t="s">
        <v>7603</v>
      </c>
    </row>
    <row r="7481" spans="1:62" x14ac:dyDescent="0.25">
      <c r="A7481" t="s">
        <v>7604</v>
      </c>
      <c r="AE7481" t="s">
        <v>7581</v>
      </c>
      <c r="AY7481">
        <v>65</v>
      </c>
      <c r="BJ7481" t="s">
        <v>7596</v>
      </c>
    </row>
    <row r="7482" spans="1:62" x14ac:dyDescent="0.25">
      <c r="A7482" t="s">
        <v>7605</v>
      </c>
      <c r="AE7482" t="s">
        <v>7584</v>
      </c>
      <c r="AY7482">
        <v>90</v>
      </c>
      <c r="BJ7482" t="s">
        <v>7598</v>
      </c>
    </row>
    <row r="7483" spans="1:62" x14ac:dyDescent="0.25">
      <c r="A7483" t="s">
        <v>7606</v>
      </c>
      <c r="AE7483" t="s">
        <v>7558</v>
      </c>
      <c r="AY7483">
        <v>140</v>
      </c>
      <c r="BJ7483" t="s">
        <v>7600</v>
      </c>
    </row>
    <row r="7484" spans="1:62" x14ac:dyDescent="0.25">
      <c r="A7484" t="s">
        <v>7607</v>
      </c>
      <c r="AE7484" t="s">
        <v>7561</v>
      </c>
      <c r="AY7484">
        <v>200</v>
      </c>
      <c r="BJ7484" t="s">
        <v>7602</v>
      </c>
    </row>
    <row r="7485" spans="1:62" x14ac:dyDescent="0.25">
      <c r="A7485" t="s">
        <v>7608</v>
      </c>
      <c r="BJ7485" t="s">
        <v>7552</v>
      </c>
    </row>
    <row r="7486" spans="1:62" x14ac:dyDescent="0.25">
      <c r="A7486" t="s">
        <v>7609</v>
      </c>
      <c r="AE7486" t="s">
        <v>7581</v>
      </c>
      <c r="AY7486">
        <v>65</v>
      </c>
      <c r="BJ7486" t="s">
        <v>7610</v>
      </c>
    </row>
    <row r="7487" spans="1:62" x14ac:dyDescent="0.25">
      <c r="A7487" t="s">
        <v>7611</v>
      </c>
      <c r="AE7487" t="s">
        <v>7584</v>
      </c>
      <c r="AY7487">
        <v>90</v>
      </c>
      <c r="BJ7487" t="s">
        <v>1279</v>
      </c>
    </row>
    <row r="7488" spans="1:62" x14ac:dyDescent="0.25">
      <c r="A7488" t="s">
        <v>7612</v>
      </c>
      <c r="BJ7488" t="s">
        <v>7552</v>
      </c>
    </row>
    <row r="7489" spans="1:64" x14ac:dyDescent="0.25">
      <c r="A7489" t="s">
        <v>7613</v>
      </c>
      <c r="AE7489" t="s">
        <v>7614</v>
      </c>
      <c r="AY7489">
        <v>65</v>
      </c>
      <c r="BJ7489" t="s">
        <v>7615</v>
      </c>
    </row>
    <row r="7490" spans="1:64" x14ac:dyDescent="0.25">
      <c r="A7490" t="s">
        <v>7616</v>
      </c>
      <c r="AE7490" t="s">
        <v>7617</v>
      </c>
      <c r="AY7490">
        <v>90</v>
      </c>
      <c r="BJ7490" t="s">
        <v>7618</v>
      </c>
    </row>
    <row r="7491" spans="1:64" x14ac:dyDescent="0.25">
      <c r="A7491" t="s">
        <v>7619</v>
      </c>
    </row>
    <row r="7492" spans="1:64" x14ac:dyDescent="0.25">
      <c r="A7492" t="s">
        <v>7620</v>
      </c>
      <c r="AE7492" t="s">
        <v>7614</v>
      </c>
      <c r="AY7492">
        <v>65</v>
      </c>
      <c r="BJ7492" t="s">
        <v>7621</v>
      </c>
    </row>
    <row r="7493" spans="1:64" x14ac:dyDescent="0.25">
      <c r="A7493" t="s">
        <v>7622</v>
      </c>
      <c r="AE7493" t="s">
        <v>7617</v>
      </c>
      <c r="AY7493">
        <v>90</v>
      </c>
      <c r="BJ7493" t="s">
        <v>7623</v>
      </c>
    </row>
    <row r="7494" spans="1:64" x14ac:dyDescent="0.25">
      <c r="A7494" t="s">
        <v>7624</v>
      </c>
      <c r="BJ7494" t="s">
        <v>7552</v>
      </c>
    </row>
    <row r="7495" spans="1:64" x14ac:dyDescent="0.25">
      <c r="A7495" t="s">
        <v>7625</v>
      </c>
      <c r="AE7495" t="s">
        <v>7614</v>
      </c>
      <c r="AY7495">
        <v>65</v>
      </c>
      <c r="BJ7495" t="s">
        <v>3974</v>
      </c>
    </row>
    <row r="7496" spans="1:64" x14ac:dyDescent="0.25">
      <c r="A7496" t="s">
        <v>7626</v>
      </c>
      <c r="AE7496" t="s">
        <v>7617</v>
      </c>
      <c r="AY7496">
        <v>90</v>
      </c>
      <c r="BJ7496" t="s">
        <v>7627</v>
      </c>
    </row>
    <row r="7497" spans="1:64" x14ac:dyDescent="0.25">
      <c r="A7497" t="s">
        <v>7628</v>
      </c>
    </row>
    <row r="7498" spans="1:64" x14ac:dyDescent="0.25">
      <c r="A7498" t="s">
        <v>7629</v>
      </c>
      <c r="AE7498" t="s">
        <v>7630</v>
      </c>
      <c r="AY7498">
        <v>65</v>
      </c>
      <c r="BJ7498" t="s">
        <v>7631</v>
      </c>
    </row>
    <row r="7499" spans="1:64" x14ac:dyDescent="0.25">
      <c r="A7499" t="s">
        <v>7632</v>
      </c>
      <c r="AE7499" t="s">
        <v>7633</v>
      </c>
      <c r="AY7499">
        <v>90</v>
      </c>
      <c r="BJ7499" t="s">
        <v>7634</v>
      </c>
    </row>
    <row r="7500" spans="1:64" x14ac:dyDescent="0.25">
      <c r="A7500" t="s">
        <v>7635</v>
      </c>
    </row>
    <row r="7501" spans="1:64" x14ac:dyDescent="0.25">
      <c r="A7501" t="s">
        <v>7546</v>
      </c>
      <c r="X7501" t="s">
        <v>7547</v>
      </c>
      <c r="AK7501" t="s">
        <v>7548</v>
      </c>
      <c r="BA7501" t="s">
        <v>7549</v>
      </c>
      <c r="BL7501" t="s">
        <v>7550</v>
      </c>
    </row>
    <row r="7502" spans="1:64" x14ac:dyDescent="0.25">
      <c r="A7502" t="s">
        <v>7636</v>
      </c>
      <c r="AX7502" t="s">
        <v>7637</v>
      </c>
    </row>
    <row r="7503" spans="1:64" x14ac:dyDescent="0.25">
      <c r="A7503" t="s">
        <v>7638</v>
      </c>
      <c r="X7503" t="s">
        <v>7639</v>
      </c>
      <c r="BA7503">
        <v>65</v>
      </c>
      <c r="BL7503">
        <v>359</v>
      </c>
    </row>
    <row r="7504" spans="1:64" x14ac:dyDescent="0.25">
      <c r="A7504" t="s">
        <v>7640</v>
      </c>
      <c r="X7504" t="s">
        <v>7641</v>
      </c>
      <c r="BA7504">
        <v>90</v>
      </c>
      <c r="BL7504">
        <v>374</v>
      </c>
    </row>
    <row r="7505" spans="1:64" x14ac:dyDescent="0.25">
      <c r="A7505" t="s">
        <v>7642</v>
      </c>
      <c r="X7505" t="s">
        <v>7643</v>
      </c>
      <c r="BA7505">
        <v>140</v>
      </c>
      <c r="BL7505">
        <v>426</v>
      </c>
    </row>
    <row r="7506" spans="1:64" x14ac:dyDescent="0.25">
      <c r="A7506" t="s">
        <v>7644</v>
      </c>
      <c r="X7506" t="s">
        <v>7645</v>
      </c>
      <c r="BA7506">
        <v>200</v>
      </c>
      <c r="BL7506">
        <v>462</v>
      </c>
    </row>
    <row r="7507" spans="1:64" x14ac:dyDescent="0.25">
      <c r="A7507" t="s">
        <v>7646</v>
      </c>
      <c r="X7507" t="s">
        <v>7647</v>
      </c>
      <c r="BA7507">
        <v>260</v>
      </c>
      <c r="BL7507">
        <v>1022</v>
      </c>
    </row>
    <row r="7508" spans="1:64" x14ac:dyDescent="0.25">
      <c r="A7508" t="s">
        <v>7648</v>
      </c>
      <c r="X7508" t="s">
        <v>7649</v>
      </c>
      <c r="BA7508">
        <v>310</v>
      </c>
      <c r="BL7508">
        <v>1103</v>
      </c>
    </row>
    <row r="7509" spans="1:64" x14ac:dyDescent="0.25">
      <c r="A7509" t="s">
        <v>7650</v>
      </c>
      <c r="AX7509" t="s">
        <v>7651</v>
      </c>
    </row>
    <row r="7510" spans="1:64" x14ac:dyDescent="0.25">
      <c r="A7510" t="s">
        <v>7652</v>
      </c>
      <c r="X7510" t="s">
        <v>7653</v>
      </c>
      <c r="BA7510">
        <v>65</v>
      </c>
      <c r="BL7510">
        <v>649</v>
      </c>
    </row>
    <row r="7511" spans="1:64" x14ac:dyDescent="0.25">
      <c r="A7511" t="s">
        <v>7654</v>
      </c>
      <c r="X7511" t="s">
        <v>7655</v>
      </c>
      <c r="BA7511">
        <v>90</v>
      </c>
      <c r="BL7511">
        <v>702</v>
      </c>
    </row>
    <row r="7512" spans="1:64" x14ac:dyDescent="0.25">
      <c r="A7512" t="s">
        <v>7656</v>
      </c>
      <c r="X7512" t="s">
        <v>7657</v>
      </c>
      <c r="BA7512">
        <v>140</v>
      </c>
      <c r="BL7512">
        <v>735</v>
      </c>
    </row>
    <row r="7513" spans="1:64" x14ac:dyDescent="0.25">
      <c r="A7513" t="s">
        <v>7658</v>
      </c>
      <c r="BL7513">
        <v>187</v>
      </c>
    </row>
    <row r="7514" spans="1:64" x14ac:dyDescent="0.25">
      <c r="A7514" t="s">
        <v>7659</v>
      </c>
      <c r="X7514" t="s">
        <v>7660</v>
      </c>
      <c r="BA7514">
        <v>200</v>
      </c>
      <c r="BL7514">
        <v>841</v>
      </c>
    </row>
    <row r="7515" spans="1:64" x14ac:dyDescent="0.25">
      <c r="A7515" t="s">
        <v>7661</v>
      </c>
      <c r="X7515" t="s">
        <v>7647</v>
      </c>
      <c r="BA7515">
        <v>260</v>
      </c>
      <c r="BL7515">
        <v>973</v>
      </c>
    </row>
    <row r="7516" spans="1:64" x14ac:dyDescent="0.25">
      <c r="A7516" t="s">
        <v>7662</v>
      </c>
      <c r="X7516" t="s">
        <v>7649</v>
      </c>
      <c r="BA7516">
        <v>310</v>
      </c>
      <c r="BL7516">
        <v>1152</v>
      </c>
    </row>
    <row r="7517" spans="1:64" x14ac:dyDescent="0.25">
      <c r="A7517" t="s">
        <v>7663</v>
      </c>
      <c r="X7517" t="s">
        <v>7664</v>
      </c>
      <c r="BA7517">
        <v>370</v>
      </c>
      <c r="BL7517">
        <v>1258</v>
      </c>
    </row>
    <row r="7518" spans="1:64" x14ac:dyDescent="0.25">
      <c r="A7518" t="s">
        <v>7665</v>
      </c>
      <c r="X7518" t="s">
        <v>7666</v>
      </c>
      <c r="BA7518">
        <v>430</v>
      </c>
      <c r="BL7518">
        <v>1326</v>
      </c>
    </row>
    <row r="7519" spans="1:64" x14ac:dyDescent="0.25">
      <c r="A7519" t="s">
        <v>7667</v>
      </c>
      <c r="X7519" t="s">
        <v>7668</v>
      </c>
      <c r="BA7519">
        <v>540</v>
      </c>
      <c r="BL7519">
        <v>1582</v>
      </c>
    </row>
    <row r="7520" spans="1:64" x14ac:dyDescent="0.25">
      <c r="A7520" t="s">
        <v>7669</v>
      </c>
      <c r="BL7520">
        <v>215</v>
      </c>
    </row>
    <row r="7521" spans="1:64" x14ac:dyDescent="0.25">
      <c r="A7521" t="s">
        <v>7670</v>
      </c>
      <c r="BL7521">
        <v>239</v>
      </c>
    </row>
    <row r="7522" spans="1:64" x14ac:dyDescent="0.25">
      <c r="A7522" t="s">
        <v>7671</v>
      </c>
      <c r="BL7522">
        <v>569</v>
      </c>
    </row>
    <row r="7523" spans="1:64" x14ac:dyDescent="0.25">
      <c r="A7523" t="s">
        <v>7672</v>
      </c>
      <c r="AX7523" t="s">
        <v>7673</v>
      </c>
    </row>
    <row r="7524" spans="1:64" x14ac:dyDescent="0.25">
      <c r="A7524" t="s">
        <v>7674</v>
      </c>
      <c r="X7524" t="s">
        <v>7649</v>
      </c>
      <c r="BA7524">
        <v>310</v>
      </c>
      <c r="BL7524">
        <v>1327</v>
      </c>
    </row>
    <row r="7525" spans="1:64" x14ac:dyDescent="0.25">
      <c r="A7525" t="s">
        <v>7675</v>
      </c>
      <c r="X7525" t="s">
        <v>7666</v>
      </c>
      <c r="BA7525">
        <v>430</v>
      </c>
      <c r="BL7525">
        <v>1552</v>
      </c>
    </row>
    <row r="7526" spans="1:64" x14ac:dyDescent="0.25">
      <c r="A7526" t="s">
        <v>7676</v>
      </c>
      <c r="AX7526" t="s">
        <v>7637</v>
      </c>
    </row>
    <row r="7527" spans="1:64" x14ac:dyDescent="0.25">
      <c r="A7527" t="s">
        <v>7677</v>
      </c>
      <c r="X7527" t="s">
        <v>7639</v>
      </c>
      <c r="BA7527">
        <v>65</v>
      </c>
      <c r="BL7527">
        <v>730</v>
      </c>
    </row>
    <row r="7528" spans="1:64" x14ac:dyDescent="0.25">
      <c r="A7528" t="s">
        <v>7678</v>
      </c>
      <c r="X7528" t="s">
        <v>7641</v>
      </c>
      <c r="BA7528">
        <v>90</v>
      </c>
      <c r="BL7528">
        <v>784</v>
      </c>
    </row>
    <row r="7529" spans="1:64" x14ac:dyDescent="0.25">
      <c r="A7529" t="s">
        <v>7679</v>
      </c>
      <c r="X7529" t="s">
        <v>7643</v>
      </c>
      <c r="BA7529">
        <v>140</v>
      </c>
      <c r="BL7529">
        <v>905</v>
      </c>
    </row>
    <row r="7530" spans="1:64" x14ac:dyDescent="0.25">
      <c r="A7530" t="s">
        <v>7680</v>
      </c>
      <c r="AX7530" t="s">
        <v>7637</v>
      </c>
    </row>
    <row r="7531" spans="1:64" x14ac:dyDescent="0.25">
      <c r="A7531" t="s">
        <v>7681</v>
      </c>
      <c r="X7531" t="s">
        <v>7682</v>
      </c>
      <c r="BA7531">
        <v>140</v>
      </c>
      <c r="BL7531">
        <v>925</v>
      </c>
    </row>
    <row r="7532" spans="1:64" x14ac:dyDescent="0.25">
      <c r="A7532" t="s">
        <v>7683</v>
      </c>
      <c r="X7532" t="s">
        <v>7684</v>
      </c>
      <c r="BA7532">
        <v>200</v>
      </c>
      <c r="BL7532">
        <v>961</v>
      </c>
    </row>
    <row r="7533" spans="1:64" x14ac:dyDescent="0.25">
      <c r="A7533" t="s">
        <v>7685</v>
      </c>
      <c r="X7533" t="s">
        <v>7686</v>
      </c>
      <c r="BA7533">
        <v>260</v>
      </c>
      <c r="BL7533" t="s">
        <v>3617</v>
      </c>
    </row>
    <row r="7534" spans="1:64" x14ac:dyDescent="0.25">
      <c r="A7534" t="s">
        <v>7687</v>
      </c>
      <c r="X7534" t="s">
        <v>7649</v>
      </c>
      <c r="BA7534">
        <v>310</v>
      </c>
      <c r="BL7534" t="s">
        <v>7688</v>
      </c>
    </row>
    <row r="7535" spans="1:64" x14ac:dyDescent="0.25">
      <c r="A7535" t="s">
        <v>7689</v>
      </c>
      <c r="X7535" t="s">
        <v>7664</v>
      </c>
      <c r="BA7535">
        <v>370</v>
      </c>
      <c r="BL7535" t="s">
        <v>4122</v>
      </c>
    </row>
    <row r="7536" spans="1:64" x14ac:dyDescent="0.25">
      <c r="A7536" t="s">
        <v>7690</v>
      </c>
      <c r="X7536" t="s">
        <v>7666</v>
      </c>
      <c r="BA7536">
        <v>430</v>
      </c>
      <c r="BL7536" t="s">
        <v>7691</v>
      </c>
    </row>
    <row r="7537" spans="1:64" x14ac:dyDescent="0.25">
      <c r="A7537" t="s">
        <v>7692</v>
      </c>
      <c r="X7537" t="s">
        <v>7668</v>
      </c>
      <c r="BA7537">
        <v>540</v>
      </c>
      <c r="BL7537" t="s">
        <v>3631</v>
      </c>
    </row>
    <row r="7538" spans="1:64" x14ac:dyDescent="0.25">
      <c r="A7538" t="s">
        <v>7693</v>
      </c>
      <c r="AX7538" t="s">
        <v>7673</v>
      </c>
    </row>
    <row r="7539" spans="1:64" x14ac:dyDescent="0.25">
      <c r="A7539" t="s">
        <v>7694</v>
      </c>
      <c r="X7539" t="s">
        <v>7639</v>
      </c>
      <c r="BA7539">
        <v>65</v>
      </c>
      <c r="BL7539">
        <v>741</v>
      </c>
    </row>
    <row r="7540" spans="1:64" x14ac:dyDescent="0.25">
      <c r="A7540" t="s">
        <v>7695</v>
      </c>
      <c r="X7540" t="s">
        <v>7641</v>
      </c>
      <c r="BA7540">
        <v>90</v>
      </c>
      <c r="BL7540">
        <v>806</v>
      </c>
    </row>
    <row r="7541" spans="1:64" x14ac:dyDescent="0.25">
      <c r="A7541" t="s">
        <v>7696</v>
      </c>
      <c r="X7541" t="s">
        <v>7643</v>
      </c>
      <c r="BA7541">
        <v>140</v>
      </c>
      <c r="BL7541">
        <v>908</v>
      </c>
    </row>
    <row r="7542" spans="1:64" x14ac:dyDescent="0.25">
      <c r="A7542" t="s">
        <v>7697</v>
      </c>
      <c r="X7542" t="s">
        <v>7698</v>
      </c>
      <c r="BA7542">
        <v>200</v>
      </c>
      <c r="BL7542">
        <v>956</v>
      </c>
    </row>
    <row r="7543" spans="1:64" x14ac:dyDescent="0.25">
      <c r="A7543" t="s">
        <v>7699</v>
      </c>
      <c r="AX7543" t="s">
        <v>7700</v>
      </c>
    </row>
    <row r="7544" spans="1:64" x14ac:dyDescent="0.25">
      <c r="A7544" t="s">
        <v>7701</v>
      </c>
      <c r="X7544" t="s">
        <v>7702</v>
      </c>
      <c r="BA7544">
        <v>140</v>
      </c>
      <c r="BL7544">
        <v>865</v>
      </c>
    </row>
    <row r="7545" spans="1:64" x14ac:dyDescent="0.25">
      <c r="A7545" t="s">
        <v>7703</v>
      </c>
      <c r="X7545" t="s">
        <v>7704</v>
      </c>
      <c r="BA7545">
        <v>200</v>
      </c>
      <c r="BL7545">
        <v>880</v>
      </c>
    </row>
    <row r="7546" spans="1:64" x14ac:dyDescent="0.25">
      <c r="A7546" t="s">
        <v>7705</v>
      </c>
      <c r="X7546" t="s">
        <v>7647</v>
      </c>
      <c r="BA7546">
        <v>260</v>
      </c>
      <c r="BL7546" t="s">
        <v>7706</v>
      </c>
    </row>
    <row r="7547" spans="1:64" x14ac:dyDescent="0.25">
      <c r="A7547" t="s">
        <v>7707</v>
      </c>
      <c r="X7547" t="s">
        <v>7649</v>
      </c>
      <c r="BA7547">
        <v>310</v>
      </c>
      <c r="BL7547" t="s">
        <v>7708</v>
      </c>
    </row>
    <row r="7548" spans="1:64" x14ac:dyDescent="0.25">
      <c r="A7548" t="s">
        <v>7709</v>
      </c>
      <c r="X7548" t="s">
        <v>7664</v>
      </c>
      <c r="BA7548">
        <v>370</v>
      </c>
      <c r="BL7548" t="s">
        <v>7710</v>
      </c>
    </row>
    <row r="7549" spans="1:64" x14ac:dyDescent="0.25">
      <c r="A7549" t="s">
        <v>7711</v>
      </c>
      <c r="X7549" t="s">
        <v>7666</v>
      </c>
      <c r="BA7549">
        <v>430</v>
      </c>
      <c r="BL7549" t="s">
        <v>7712</v>
      </c>
    </row>
    <row r="7550" spans="1:64" x14ac:dyDescent="0.25">
      <c r="A7550" t="s">
        <v>7713</v>
      </c>
      <c r="X7550" t="s">
        <v>7668</v>
      </c>
      <c r="BA7550">
        <v>540</v>
      </c>
      <c r="BL7550" t="s">
        <v>7714</v>
      </c>
    </row>
    <row r="7551" spans="1:64" x14ac:dyDescent="0.25">
      <c r="A7551" t="s">
        <v>7715</v>
      </c>
    </row>
    <row r="7553" spans="1:64" x14ac:dyDescent="0.25">
      <c r="A7553" t="s">
        <v>7716</v>
      </c>
    </row>
    <row r="7554" spans="1:64" x14ac:dyDescent="0.25">
      <c r="A7554" t="s">
        <v>7717</v>
      </c>
      <c r="X7554" t="s">
        <v>7718</v>
      </c>
    </row>
    <row r="7555" spans="1:64" x14ac:dyDescent="0.25">
      <c r="A7555" t="s">
        <v>7719</v>
      </c>
      <c r="X7555" t="s">
        <v>7720</v>
      </c>
      <c r="BL7555" t="s">
        <v>7721</v>
      </c>
    </row>
    <row r="7556" spans="1:64" x14ac:dyDescent="0.25">
      <c r="A7556" t="s">
        <v>7722</v>
      </c>
      <c r="X7556" t="s">
        <v>7723</v>
      </c>
      <c r="BL7556" t="s">
        <v>7724</v>
      </c>
    </row>
    <row r="7557" spans="1:64" x14ac:dyDescent="0.25">
      <c r="A7557" t="s">
        <v>7725</v>
      </c>
      <c r="X7557" t="s">
        <v>7726</v>
      </c>
      <c r="BL7557" t="s">
        <v>7727</v>
      </c>
    </row>
    <row r="7558" spans="1:64" x14ac:dyDescent="0.25">
      <c r="A7558" t="s">
        <v>7728</v>
      </c>
      <c r="X7558" t="s">
        <v>7729</v>
      </c>
      <c r="BL7558" t="s">
        <v>7730</v>
      </c>
    </row>
    <row r="7559" spans="1:64" x14ac:dyDescent="0.25">
      <c r="A7559" t="s">
        <v>7731</v>
      </c>
    </row>
    <row r="7560" spans="1:64" x14ac:dyDescent="0.25">
      <c r="A7560" t="s">
        <v>7732</v>
      </c>
      <c r="X7560" t="s">
        <v>7729</v>
      </c>
      <c r="BL7560" t="s">
        <v>7733</v>
      </c>
    </row>
    <row r="7561" spans="1:64" x14ac:dyDescent="0.25">
      <c r="A7561" t="s">
        <v>7734</v>
      </c>
    </row>
    <row r="7562" spans="1:64" x14ac:dyDescent="0.25">
      <c r="A7562" t="s">
        <v>7546</v>
      </c>
      <c r="X7562" t="s">
        <v>7547</v>
      </c>
      <c r="AK7562" t="s">
        <v>7548</v>
      </c>
      <c r="BJ7562" t="s">
        <v>7550</v>
      </c>
    </row>
    <row r="7563" spans="1:64" x14ac:dyDescent="0.25">
      <c r="A7563" t="s">
        <v>7735</v>
      </c>
    </row>
    <row r="7564" spans="1:64" x14ac:dyDescent="0.25">
      <c r="A7564" t="s">
        <v>7736</v>
      </c>
      <c r="X7564" t="s">
        <v>7737</v>
      </c>
      <c r="BJ7564" t="s">
        <v>7738</v>
      </c>
    </row>
    <row r="7565" spans="1:64" x14ac:dyDescent="0.25">
      <c r="A7565" t="s">
        <v>7739</v>
      </c>
      <c r="X7565" t="s">
        <v>7740</v>
      </c>
      <c r="BJ7565" t="s">
        <v>7741</v>
      </c>
    </row>
    <row r="7566" spans="1:64" x14ac:dyDescent="0.25">
      <c r="A7566" t="s">
        <v>7742</v>
      </c>
      <c r="X7566" t="s">
        <v>7743</v>
      </c>
      <c r="BJ7566" t="s">
        <v>7744</v>
      </c>
    </row>
    <row r="7567" spans="1:64" x14ac:dyDescent="0.25">
      <c r="A7567" t="s">
        <v>7745</v>
      </c>
      <c r="X7567" t="s">
        <v>7746</v>
      </c>
      <c r="BJ7567" t="s">
        <v>7747</v>
      </c>
    </row>
    <row r="7568" spans="1:64" x14ac:dyDescent="0.25">
      <c r="A7568" t="s">
        <v>7748</v>
      </c>
      <c r="X7568" t="s">
        <v>7749</v>
      </c>
      <c r="BJ7568" t="s">
        <v>7750</v>
      </c>
    </row>
    <row r="7569" spans="1:62" x14ac:dyDescent="0.25">
      <c r="A7569" t="s">
        <v>7751</v>
      </c>
      <c r="X7569" t="s">
        <v>7752</v>
      </c>
      <c r="BJ7569" t="s">
        <v>7753</v>
      </c>
    </row>
    <row r="7570" spans="1:62" x14ac:dyDescent="0.25">
      <c r="A7570" t="s">
        <v>7754</v>
      </c>
      <c r="X7570" t="s">
        <v>7755</v>
      </c>
      <c r="BJ7570" t="s">
        <v>7756</v>
      </c>
    </row>
    <row r="7571" spans="1:62" x14ac:dyDescent="0.25">
      <c r="A7571" t="s">
        <v>7757</v>
      </c>
      <c r="X7571" t="s">
        <v>7758</v>
      </c>
      <c r="BJ7571" t="s">
        <v>7759</v>
      </c>
    </row>
    <row r="7573" spans="1:62" x14ac:dyDescent="0.25">
      <c r="A7573" t="s">
        <v>7760</v>
      </c>
      <c r="X7573" t="s">
        <v>7547</v>
      </c>
      <c r="AK7573" t="s">
        <v>7548</v>
      </c>
      <c r="BJ7573" t="s">
        <v>7550</v>
      </c>
    </row>
    <row r="7574" spans="1:62" x14ac:dyDescent="0.25">
      <c r="A7574" t="s">
        <v>7761</v>
      </c>
    </row>
    <row r="7575" spans="1:62" x14ac:dyDescent="0.25">
      <c r="A7575" t="s">
        <v>7762</v>
      </c>
      <c r="X7575" t="s">
        <v>7758</v>
      </c>
      <c r="BJ7575" t="s">
        <v>7763</v>
      </c>
    </row>
    <row r="7576" spans="1:62" x14ac:dyDescent="0.25">
      <c r="A7576" t="s">
        <v>7764</v>
      </c>
      <c r="X7576" t="s">
        <v>7765</v>
      </c>
      <c r="BJ7576" t="s">
        <v>7766</v>
      </c>
    </row>
    <row r="7577" spans="1:62" x14ac:dyDescent="0.25">
      <c r="A7577" t="s">
        <v>7767</v>
      </c>
      <c r="X7577" t="s">
        <v>7768</v>
      </c>
      <c r="BJ7577" t="s">
        <v>7769</v>
      </c>
    </row>
    <row r="7578" spans="1:62" x14ac:dyDescent="0.25">
      <c r="A7578" t="s">
        <v>7770</v>
      </c>
    </row>
    <row r="7579" spans="1:62" x14ac:dyDescent="0.25">
      <c r="A7579" t="s">
        <v>7771</v>
      </c>
      <c r="X7579" t="s">
        <v>7772</v>
      </c>
      <c r="BJ7579" t="s">
        <v>7773</v>
      </c>
    </row>
    <row r="7580" spans="1:62" x14ac:dyDescent="0.25">
      <c r="A7580" t="s">
        <v>7774</v>
      </c>
      <c r="X7580" t="s">
        <v>7765</v>
      </c>
      <c r="BJ7580" t="s">
        <v>7775</v>
      </c>
    </row>
    <row r="7581" spans="1:62" x14ac:dyDescent="0.25">
      <c r="A7581" t="s">
        <v>7776</v>
      </c>
      <c r="X7581" t="s">
        <v>7768</v>
      </c>
      <c r="BJ7581" t="s">
        <v>7777</v>
      </c>
    </row>
    <row r="7582" spans="1:62" x14ac:dyDescent="0.25">
      <c r="A7582" t="s">
        <v>7778</v>
      </c>
    </row>
    <row r="7583" spans="1:62" x14ac:dyDescent="0.25">
      <c r="A7583" t="s">
        <v>7779</v>
      </c>
      <c r="X7583" t="s">
        <v>7547</v>
      </c>
      <c r="AK7583" t="s">
        <v>7548</v>
      </c>
      <c r="AX7583" t="s">
        <v>7549</v>
      </c>
      <c r="BJ7583" t="s">
        <v>7780</v>
      </c>
    </row>
    <row r="7584" spans="1:62" x14ac:dyDescent="0.25">
      <c r="A7584" t="s">
        <v>7781</v>
      </c>
    </row>
    <row r="7585" spans="1:62" x14ac:dyDescent="0.25">
      <c r="A7585" t="s">
        <v>7782</v>
      </c>
      <c r="X7585" t="s">
        <v>7783</v>
      </c>
      <c r="AX7585" t="s">
        <v>5241</v>
      </c>
      <c r="BJ7585">
        <v>285</v>
      </c>
    </row>
    <row r="7586" spans="1:62" x14ac:dyDescent="0.25">
      <c r="A7586" t="s">
        <v>7784</v>
      </c>
      <c r="X7586" t="s">
        <v>7785</v>
      </c>
      <c r="AX7586" t="s">
        <v>7054</v>
      </c>
      <c r="BJ7586">
        <v>305</v>
      </c>
    </row>
    <row r="7587" spans="1:62" x14ac:dyDescent="0.25">
      <c r="A7587" t="s">
        <v>7786</v>
      </c>
      <c r="X7587" t="s">
        <v>7639</v>
      </c>
      <c r="AX7587" t="s">
        <v>2236</v>
      </c>
      <c r="BJ7587">
        <v>370</v>
      </c>
    </row>
    <row r="7588" spans="1:62" x14ac:dyDescent="0.25">
      <c r="A7588" t="s">
        <v>7787</v>
      </c>
      <c r="X7588" t="s">
        <v>7641</v>
      </c>
      <c r="AX7588" t="s">
        <v>7061</v>
      </c>
      <c r="BJ7588">
        <v>384</v>
      </c>
    </row>
    <row r="7589" spans="1:62" x14ac:dyDescent="0.25">
      <c r="A7589" t="s">
        <v>7788</v>
      </c>
      <c r="X7589" t="s">
        <v>7789</v>
      </c>
      <c r="AX7589" t="s">
        <v>7790</v>
      </c>
      <c r="BJ7589">
        <v>400</v>
      </c>
    </row>
    <row r="7590" spans="1:62" x14ac:dyDescent="0.25">
      <c r="A7590" t="s">
        <v>7791</v>
      </c>
      <c r="X7590" t="s">
        <v>7643</v>
      </c>
      <c r="AX7590" t="s">
        <v>2168</v>
      </c>
      <c r="BJ7590">
        <v>459</v>
      </c>
    </row>
    <row r="7591" spans="1:62" x14ac:dyDescent="0.25">
      <c r="A7591" t="s">
        <v>7792</v>
      </c>
      <c r="X7591" t="s">
        <v>7645</v>
      </c>
      <c r="AX7591" t="s">
        <v>7793</v>
      </c>
      <c r="BJ7591">
        <v>476</v>
      </c>
    </row>
    <row r="7592" spans="1:62" x14ac:dyDescent="0.25">
      <c r="A7592" t="s">
        <v>7794</v>
      </c>
    </row>
    <row r="7593" spans="1:62" x14ac:dyDescent="0.25">
      <c r="A7593" t="s">
        <v>7795</v>
      </c>
      <c r="X7593" t="s">
        <v>7783</v>
      </c>
      <c r="AX7593" t="s">
        <v>5241</v>
      </c>
      <c r="BJ7593">
        <v>323</v>
      </c>
    </row>
    <row r="7594" spans="1:62" x14ac:dyDescent="0.25">
      <c r="A7594" t="s">
        <v>7796</v>
      </c>
      <c r="X7594" t="s">
        <v>7785</v>
      </c>
      <c r="AX7594" t="s">
        <v>7054</v>
      </c>
      <c r="BJ7594">
        <v>335</v>
      </c>
    </row>
    <row r="7595" spans="1:62" x14ac:dyDescent="0.25">
      <c r="A7595" t="s">
        <v>7638</v>
      </c>
      <c r="X7595" t="s">
        <v>7639</v>
      </c>
      <c r="AX7595" t="s">
        <v>2236</v>
      </c>
      <c r="BJ7595">
        <v>359</v>
      </c>
    </row>
    <row r="7596" spans="1:62" x14ac:dyDescent="0.25">
      <c r="A7596" t="s">
        <v>7640</v>
      </c>
      <c r="X7596" t="s">
        <v>7641</v>
      </c>
      <c r="AX7596" t="s">
        <v>7061</v>
      </c>
      <c r="BJ7596">
        <v>374</v>
      </c>
    </row>
    <row r="7597" spans="1:62" x14ac:dyDescent="0.25">
      <c r="A7597" t="s">
        <v>7797</v>
      </c>
      <c r="X7597" t="s">
        <v>7789</v>
      </c>
      <c r="AX7597" t="s">
        <v>7790</v>
      </c>
      <c r="BJ7597">
        <v>403</v>
      </c>
    </row>
    <row r="7598" spans="1:62" x14ac:dyDescent="0.25">
      <c r="A7598" t="s">
        <v>7642</v>
      </c>
      <c r="X7598" t="s">
        <v>7643</v>
      </c>
      <c r="AX7598" t="s">
        <v>2168</v>
      </c>
      <c r="BJ7598">
        <v>426</v>
      </c>
    </row>
    <row r="7599" spans="1:62" x14ac:dyDescent="0.25">
      <c r="A7599" t="s">
        <v>7644</v>
      </c>
      <c r="X7599" t="s">
        <v>7645</v>
      </c>
      <c r="AX7599" t="s">
        <v>7793</v>
      </c>
      <c r="BJ7599">
        <v>462</v>
      </c>
    </row>
    <row r="7600" spans="1:62" x14ac:dyDescent="0.25">
      <c r="A7600" t="s">
        <v>7798</v>
      </c>
    </row>
    <row r="7601" spans="1:62" x14ac:dyDescent="0.25">
      <c r="A7601" t="s">
        <v>7799</v>
      </c>
      <c r="X7601" t="s">
        <v>7639</v>
      </c>
      <c r="AX7601" t="s">
        <v>2236</v>
      </c>
      <c r="BJ7601">
        <v>468</v>
      </c>
    </row>
    <row r="7602" spans="1:62" x14ac:dyDescent="0.25">
      <c r="A7602" t="s">
        <v>7800</v>
      </c>
      <c r="X7602" t="s">
        <v>7641</v>
      </c>
      <c r="AX7602" t="s">
        <v>7061</v>
      </c>
      <c r="BJ7602">
        <v>481</v>
      </c>
    </row>
    <row r="7603" spans="1:62" x14ac:dyDescent="0.25">
      <c r="A7603" t="s">
        <v>7801</v>
      </c>
    </row>
    <row r="7604" spans="1:62" x14ac:dyDescent="0.25">
      <c r="A7604" t="s">
        <v>7802</v>
      </c>
      <c r="X7604" t="s">
        <v>7785</v>
      </c>
      <c r="AX7604" t="s">
        <v>7054</v>
      </c>
      <c r="BJ7604">
        <v>405</v>
      </c>
    </row>
    <row r="7605" spans="1:62" x14ac:dyDescent="0.25">
      <c r="A7605" t="s">
        <v>7803</v>
      </c>
      <c r="X7605" t="s">
        <v>7639</v>
      </c>
      <c r="AX7605" t="s">
        <v>2236</v>
      </c>
      <c r="BJ7605">
        <v>462</v>
      </c>
    </row>
    <row r="7606" spans="1:62" x14ac:dyDescent="0.25">
      <c r="A7606" t="s">
        <v>7804</v>
      </c>
      <c r="X7606" t="s">
        <v>7641</v>
      </c>
      <c r="AX7606" t="s">
        <v>7061</v>
      </c>
      <c r="BJ7606">
        <v>474</v>
      </c>
    </row>
    <row r="7607" spans="1:62" x14ac:dyDescent="0.25">
      <c r="A7607" t="s">
        <v>7805</v>
      </c>
      <c r="X7607" t="s">
        <v>7643</v>
      </c>
      <c r="AX7607" t="s">
        <v>2168</v>
      </c>
      <c r="BJ7607">
        <v>597</v>
      </c>
    </row>
    <row r="7608" spans="1:62" x14ac:dyDescent="0.25">
      <c r="A7608" t="s">
        <v>7806</v>
      </c>
      <c r="X7608" t="s">
        <v>7645</v>
      </c>
      <c r="AX7608" t="s">
        <v>7793</v>
      </c>
      <c r="BJ7608">
        <v>666</v>
      </c>
    </row>
    <row r="7609" spans="1:62" x14ac:dyDescent="0.25">
      <c r="A7609" t="s">
        <v>7807</v>
      </c>
    </row>
    <row r="7610" spans="1:62" x14ac:dyDescent="0.25">
      <c r="A7610" t="s">
        <v>7808</v>
      </c>
      <c r="X7610" t="s">
        <v>7785</v>
      </c>
      <c r="AX7610" t="s">
        <v>7054</v>
      </c>
      <c r="BJ7610">
        <v>463</v>
      </c>
    </row>
    <row r="7611" spans="1:62" x14ac:dyDescent="0.25">
      <c r="A7611" t="s">
        <v>7809</v>
      </c>
      <c r="X7611" t="s">
        <v>7639</v>
      </c>
      <c r="AX7611" t="s">
        <v>2236</v>
      </c>
      <c r="BJ7611">
        <v>519</v>
      </c>
    </row>
    <row r="7612" spans="1:62" x14ac:dyDescent="0.25">
      <c r="A7612" t="s">
        <v>7810</v>
      </c>
      <c r="X7612" t="s">
        <v>7641</v>
      </c>
      <c r="AX7612" t="s">
        <v>7061</v>
      </c>
      <c r="BJ7612">
        <v>604</v>
      </c>
    </row>
    <row r="7613" spans="1:62" x14ac:dyDescent="0.25">
      <c r="A7613" t="s">
        <v>7811</v>
      </c>
      <c r="X7613" t="s">
        <v>7643</v>
      </c>
      <c r="AX7613" t="s">
        <v>2168</v>
      </c>
      <c r="BJ7613">
        <v>752</v>
      </c>
    </row>
    <row r="7614" spans="1:62" x14ac:dyDescent="0.25">
      <c r="A7614" t="s">
        <v>7812</v>
      </c>
      <c r="X7614" t="s">
        <v>7813</v>
      </c>
      <c r="AX7614" t="s">
        <v>7793</v>
      </c>
      <c r="BJ7614">
        <v>866</v>
      </c>
    </row>
    <row r="7615" spans="1:62" x14ac:dyDescent="0.25">
      <c r="A7615" t="s">
        <v>7814</v>
      </c>
    </row>
    <row r="7616" spans="1:62" x14ac:dyDescent="0.25">
      <c r="A7616" t="s">
        <v>7815</v>
      </c>
      <c r="X7616" t="s">
        <v>7639</v>
      </c>
      <c r="AX7616" t="s">
        <v>2236</v>
      </c>
      <c r="BJ7616">
        <v>519</v>
      </c>
    </row>
    <row r="7617" spans="1:67" x14ac:dyDescent="0.25">
      <c r="A7617" t="s">
        <v>7816</v>
      </c>
      <c r="X7617" t="s">
        <v>7641</v>
      </c>
      <c r="AX7617" t="s">
        <v>7061</v>
      </c>
      <c r="BJ7617">
        <v>604</v>
      </c>
    </row>
    <row r="7618" spans="1:67" x14ac:dyDescent="0.25">
      <c r="A7618" t="s">
        <v>7817</v>
      </c>
      <c r="X7618" t="s">
        <v>7643</v>
      </c>
      <c r="AX7618" t="s">
        <v>2168</v>
      </c>
      <c r="BJ7618">
        <v>752</v>
      </c>
    </row>
    <row r="7619" spans="1:67" x14ac:dyDescent="0.25">
      <c r="A7619" t="s">
        <v>7818</v>
      </c>
      <c r="X7619" t="s">
        <v>7813</v>
      </c>
      <c r="AX7619" t="s">
        <v>7793</v>
      </c>
      <c r="BJ7619">
        <v>866</v>
      </c>
    </row>
    <row r="7620" spans="1:67" x14ac:dyDescent="0.25">
      <c r="A7620" t="s">
        <v>7819</v>
      </c>
      <c r="BJ7620" t="s">
        <v>7552</v>
      </c>
    </row>
    <row r="7621" spans="1:67" x14ac:dyDescent="0.25">
      <c r="A7621" t="s">
        <v>7820</v>
      </c>
      <c r="X7621" t="s">
        <v>7639</v>
      </c>
      <c r="AX7621" t="s">
        <v>2236</v>
      </c>
      <c r="BJ7621">
        <v>535</v>
      </c>
    </row>
    <row r="7622" spans="1:67" x14ac:dyDescent="0.25">
      <c r="A7622" t="s">
        <v>7821</v>
      </c>
      <c r="X7622" t="s">
        <v>7641</v>
      </c>
      <c r="AX7622" t="s">
        <v>7061</v>
      </c>
      <c r="BJ7622">
        <v>622</v>
      </c>
    </row>
    <row r="7623" spans="1:67" x14ac:dyDescent="0.25">
      <c r="A7623" t="s">
        <v>7822</v>
      </c>
    </row>
    <row r="7624" spans="1:67" x14ac:dyDescent="0.25">
      <c r="A7624" t="s">
        <v>7823</v>
      </c>
    </row>
    <row r="7625" spans="1:67" x14ac:dyDescent="0.25">
      <c r="A7625" t="s">
        <v>7824</v>
      </c>
      <c r="Z7625" t="s">
        <v>7639</v>
      </c>
      <c r="BC7625">
        <v>65</v>
      </c>
      <c r="BO7625">
        <v>513</v>
      </c>
    </row>
    <row r="7626" spans="1:67" x14ac:dyDescent="0.25">
      <c r="A7626" t="s">
        <v>7825</v>
      </c>
      <c r="Z7626" t="s">
        <v>7641</v>
      </c>
      <c r="BC7626">
        <v>90</v>
      </c>
      <c r="BO7626">
        <v>548</v>
      </c>
    </row>
    <row r="7627" spans="1:67" x14ac:dyDescent="0.25">
      <c r="A7627" t="s">
        <v>7826</v>
      </c>
    </row>
    <row r="7628" spans="1:67" x14ac:dyDescent="0.25">
      <c r="A7628" t="s">
        <v>7827</v>
      </c>
      <c r="Z7628" t="s">
        <v>7639</v>
      </c>
      <c r="BC7628">
        <v>65</v>
      </c>
      <c r="BO7628">
        <v>600</v>
      </c>
    </row>
    <row r="7629" spans="1:67" x14ac:dyDescent="0.25">
      <c r="A7629" t="s">
        <v>7828</v>
      </c>
      <c r="Z7629" t="s">
        <v>7641</v>
      </c>
      <c r="BC7629">
        <v>90</v>
      </c>
      <c r="BO7629">
        <v>641</v>
      </c>
    </row>
    <row r="7630" spans="1:67" x14ac:dyDescent="0.25">
      <c r="A7630" t="s">
        <v>7829</v>
      </c>
    </row>
    <row r="7631" spans="1:67" x14ac:dyDescent="0.25">
      <c r="A7631" t="s">
        <v>7830</v>
      </c>
      <c r="Z7631" t="s">
        <v>7639</v>
      </c>
      <c r="BC7631">
        <v>65</v>
      </c>
      <c r="BO7631" t="s">
        <v>7831</v>
      </c>
    </row>
    <row r="7632" spans="1:67" x14ac:dyDescent="0.25">
      <c r="A7632" t="s">
        <v>7832</v>
      </c>
      <c r="Z7632" t="s">
        <v>7641</v>
      </c>
      <c r="BC7632">
        <v>90</v>
      </c>
      <c r="BO7632" t="s">
        <v>7559</v>
      </c>
    </row>
    <row r="7633" spans="1:67" x14ac:dyDescent="0.25">
      <c r="A7633" t="s">
        <v>7833</v>
      </c>
    </row>
    <row r="7634" spans="1:67" x14ac:dyDescent="0.25">
      <c r="A7634" t="s">
        <v>7834</v>
      </c>
      <c r="Z7634" t="s">
        <v>7639</v>
      </c>
      <c r="BC7634">
        <v>65</v>
      </c>
      <c r="BO7634">
        <v>590</v>
      </c>
    </row>
    <row r="7635" spans="1:67" x14ac:dyDescent="0.25">
      <c r="A7635" t="s">
        <v>7835</v>
      </c>
      <c r="Z7635" t="s">
        <v>7641</v>
      </c>
      <c r="BC7635">
        <v>90</v>
      </c>
      <c r="BO7635">
        <v>657</v>
      </c>
    </row>
    <row r="7636" spans="1:67" x14ac:dyDescent="0.25">
      <c r="A7636" t="s">
        <v>7836</v>
      </c>
      <c r="BO7636">
        <v>165</v>
      </c>
    </row>
    <row r="7637" spans="1:67" x14ac:dyDescent="0.25">
      <c r="A7637" t="s">
        <v>7837</v>
      </c>
      <c r="BO7637">
        <v>212</v>
      </c>
    </row>
    <row r="7638" spans="1:67" x14ac:dyDescent="0.25">
      <c r="A7638" t="s">
        <v>7838</v>
      </c>
    </row>
    <row r="7639" spans="1:67" x14ac:dyDescent="0.25">
      <c r="A7639" t="s">
        <v>7839</v>
      </c>
      <c r="Z7639" t="s">
        <v>7783</v>
      </c>
      <c r="BC7639">
        <v>35</v>
      </c>
      <c r="BO7639">
        <v>579</v>
      </c>
    </row>
    <row r="7640" spans="1:67" x14ac:dyDescent="0.25">
      <c r="A7640" t="s">
        <v>7840</v>
      </c>
      <c r="Z7640" t="s">
        <v>7785</v>
      </c>
      <c r="BC7640">
        <v>50</v>
      </c>
      <c r="BO7640">
        <v>614</v>
      </c>
    </row>
    <row r="7641" spans="1:67" x14ac:dyDescent="0.25">
      <c r="A7641" t="s">
        <v>7658</v>
      </c>
      <c r="BO7641">
        <v>187</v>
      </c>
    </row>
    <row r="7642" spans="1:67" x14ac:dyDescent="0.25">
      <c r="A7642" t="s">
        <v>7838</v>
      </c>
    </row>
    <row r="7643" spans="1:67" x14ac:dyDescent="0.25">
      <c r="A7643" t="s">
        <v>7652</v>
      </c>
      <c r="Z7643" t="s">
        <v>7653</v>
      </c>
      <c r="BC7643">
        <v>65</v>
      </c>
      <c r="BO7643">
        <v>649</v>
      </c>
    </row>
    <row r="7644" spans="1:67" x14ac:dyDescent="0.25">
      <c r="A7644" t="s">
        <v>7654</v>
      </c>
      <c r="Z7644" t="s">
        <v>7655</v>
      </c>
      <c r="BC7644">
        <v>90</v>
      </c>
      <c r="BO7644">
        <v>702</v>
      </c>
    </row>
    <row r="7645" spans="1:67" x14ac:dyDescent="0.25">
      <c r="A7645" t="s">
        <v>7656</v>
      </c>
      <c r="Z7645" t="s">
        <v>7657</v>
      </c>
      <c r="BC7645">
        <v>140</v>
      </c>
      <c r="BO7645">
        <v>735</v>
      </c>
    </row>
    <row r="7646" spans="1:67" x14ac:dyDescent="0.25">
      <c r="A7646" t="s">
        <v>7658</v>
      </c>
      <c r="BO7646">
        <v>187</v>
      </c>
    </row>
    <row r="7647" spans="1:67" x14ac:dyDescent="0.25">
      <c r="A7647" t="s">
        <v>7659</v>
      </c>
      <c r="Z7647" t="s">
        <v>7660</v>
      </c>
      <c r="BC7647">
        <v>200</v>
      </c>
      <c r="BO7647">
        <v>841</v>
      </c>
    </row>
    <row r="7648" spans="1:67" x14ac:dyDescent="0.25">
      <c r="A7648" t="s">
        <v>7669</v>
      </c>
      <c r="BO7648">
        <v>215</v>
      </c>
    </row>
    <row r="7649" spans="1:67" x14ac:dyDescent="0.25">
      <c r="A7649" t="s">
        <v>7670</v>
      </c>
      <c r="BO7649">
        <v>239</v>
      </c>
    </row>
    <row r="7650" spans="1:67" x14ac:dyDescent="0.25">
      <c r="A7650" t="s">
        <v>7671</v>
      </c>
      <c r="BO7650">
        <v>569</v>
      </c>
    </row>
    <row r="7651" spans="1:67" x14ac:dyDescent="0.25">
      <c r="A7651" t="s">
        <v>7841</v>
      </c>
    </row>
    <row r="7652" spans="1:67" x14ac:dyDescent="0.25">
      <c r="A7652" t="s">
        <v>7701</v>
      </c>
      <c r="Z7652" t="s">
        <v>7702</v>
      </c>
      <c r="BC7652">
        <v>140</v>
      </c>
      <c r="BO7652">
        <v>865</v>
      </c>
    </row>
    <row r="7653" spans="1:67" x14ac:dyDescent="0.25">
      <c r="A7653" t="s">
        <v>7703</v>
      </c>
      <c r="Z7653" t="s">
        <v>7704</v>
      </c>
      <c r="BC7653">
        <v>200</v>
      </c>
      <c r="BO7653">
        <v>880</v>
      </c>
    </row>
    <row r="7654" spans="1:67" x14ac:dyDescent="0.25">
      <c r="A7654" t="s">
        <v>7842</v>
      </c>
    </row>
    <row r="7655" spans="1:67" x14ac:dyDescent="0.25">
      <c r="A7655" t="s">
        <v>7694</v>
      </c>
      <c r="Z7655" t="s">
        <v>7639</v>
      </c>
      <c r="BC7655">
        <v>65</v>
      </c>
      <c r="BO7655">
        <v>741</v>
      </c>
    </row>
    <row r="7656" spans="1:67" x14ac:dyDescent="0.25">
      <c r="A7656" t="s">
        <v>7695</v>
      </c>
      <c r="Z7656" t="s">
        <v>7641</v>
      </c>
      <c r="BC7656">
        <v>90</v>
      </c>
      <c r="BO7656">
        <v>806</v>
      </c>
    </row>
    <row r="7657" spans="1:67" x14ac:dyDescent="0.25">
      <c r="A7657" t="s">
        <v>7696</v>
      </c>
      <c r="Z7657" t="s">
        <v>7643</v>
      </c>
      <c r="BC7657">
        <v>140</v>
      </c>
      <c r="BO7657">
        <v>908</v>
      </c>
    </row>
    <row r="7658" spans="1:67" x14ac:dyDescent="0.25">
      <c r="A7658" t="s">
        <v>7697</v>
      </c>
      <c r="Z7658" t="s">
        <v>7698</v>
      </c>
      <c r="BC7658">
        <v>200</v>
      </c>
      <c r="BO7658">
        <v>956</v>
      </c>
    </row>
    <row r="7659" spans="1:67" x14ac:dyDescent="0.25">
      <c r="A7659" t="s">
        <v>7843</v>
      </c>
    </row>
    <row r="7660" spans="1:67" x14ac:dyDescent="0.25">
      <c r="A7660" t="s">
        <v>7760</v>
      </c>
      <c r="Z7660" t="s">
        <v>7547</v>
      </c>
      <c r="AO7660" t="s">
        <v>7548</v>
      </c>
      <c r="BO7660" t="s">
        <v>7550</v>
      </c>
    </row>
    <row r="7661" spans="1:67" x14ac:dyDescent="0.25">
      <c r="A7661" t="s">
        <v>7844</v>
      </c>
    </row>
    <row r="7662" spans="1:67" x14ac:dyDescent="0.25">
      <c r="A7662" t="s">
        <v>7845</v>
      </c>
      <c r="Z7662" t="s">
        <v>7846</v>
      </c>
      <c r="BC7662">
        <v>580</v>
      </c>
      <c r="BO7662" t="s">
        <v>7847</v>
      </c>
    </row>
    <row r="7663" spans="1:67" x14ac:dyDescent="0.25">
      <c r="A7663" t="s">
        <v>7848</v>
      </c>
      <c r="Z7663" t="s">
        <v>7849</v>
      </c>
      <c r="BC7663">
        <v>650</v>
      </c>
      <c r="BO7663" t="s">
        <v>7850</v>
      </c>
    </row>
    <row r="7664" spans="1:67" x14ac:dyDescent="0.25">
      <c r="A7664" t="s">
        <v>7851</v>
      </c>
    </row>
    <row r="7665" spans="1:67" x14ac:dyDescent="0.25">
      <c r="A7665" t="s">
        <v>7852</v>
      </c>
      <c r="Z7665" t="s">
        <v>7666</v>
      </c>
      <c r="BC7665">
        <v>430</v>
      </c>
      <c r="BO7665" t="s">
        <v>7853</v>
      </c>
    </row>
    <row r="7666" spans="1:67" x14ac:dyDescent="0.25">
      <c r="A7666" t="s">
        <v>7854</v>
      </c>
    </row>
    <row r="7667" spans="1:67" x14ac:dyDescent="0.25">
      <c r="A7667" t="s">
        <v>7855</v>
      </c>
      <c r="Z7667" t="s">
        <v>7856</v>
      </c>
      <c r="BO7667" t="s">
        <v>7857</v>
      </c>
    </row>
    <row r="7668" spans="1:67" x14ac:dyDescent="0.25">
      <c r="A7668" t="s">
        <v>7858</v>
      </c>
    </row>
    <row r="7669" spans="1:67" x14ac:dyDescent="0.25">
      <c r="A7669" t="s">
        <v>7859</v>
      </c>
      <c r="Z7669" t="s">
        <v>7856</v>
      </c>
      <c r="BO7669" t="s">
        <v>7860</v>
      </c>
    </row>
    <row r="7670" spans="1:67" x14ac:dyDescent="0.25">
      <c r="A7670" t="s">
        <v>7861</v>
      </c>
      <c r="Z7670" t="s">
        <v>7862</v>
      </c>
      <c r="BO7670" t="s">
        <v>7863</v>
      </c>
    </row>
    <row r="7671" spans="1:67" x14ac:dyDescent="0.25">
      <c r="A7671" t="s">
        <v>7864</v>
      </c>
      <c r="Z7671" t="s">
        <v>7865</v>
      </c>
      <c r="BO7671" t="s">
        <v>7866</v>
      </c>
    </row>
    <row r="7672" spans="1:67" x14ac:dyDescent="0.25">
      <c r="A7672" t="s">
        <v>7715</v>
      </c>
    </row>
    <row r="7673" spans="1:67" x14ac:dyDescent="0.25">
      <c r="A7673" t="s">
        <v>1740</v>
      </c>
    </row>
    <row r="7674" spans="1:67" x14ac:dyDescent="0.25">
      <c r="A7674" t="s">
        <v>7867</v>
      </c>
    </row>
    <row r="7675" spans="1:67" x14ac:dyDescent="0.25">
      <c r="A7675" t="s">
        <v>7868</v>
      </c>
      <c r="AB7675" t="s">
        <v>7869</v>
      </c>
    </row>
    <row r="7676" spans="1:67" x14ac:dyDescent="0.25">
      <c r="A7676" t="s">
        <v>573</v>
      </c>
      <c r="S7676" t="s">
        <v>7870</v>
      </c>
    </row>
    <row r="7677" spans="1:67" x14ac:dyDescent="0.25">
      <c r="A7677" t="s">
        <v>7871</v>
      </c>
    </row>
    <row r="7678" spans="1:67" x14ac:dyDescent="0.25">
      <c r="A7678" t="s">
        <v>7872</v>
      </c>
      <c r="S7678" t="s">
        <v>7873</v>
      </c>
      <c r="BC7678">
        <v>1600</v>
      </c>
    </row>
    <row r="7679" spans="1:67" x14ac:dyDescent="0.25">
      <c r="A7679" t="s">
        <v>7874</v>
      </c>
      <c r="S7679" t="s">
        <v>7875</v>
      </c>
      <c r="BC7679">
        <v>1650</v>
      </c>
    </row>
    <row r="7680" spans="1:67" x14ac:dyDescent="0.25">
      <c r="A7680" t="s">
        <v>7876</v>
      </c>
      <c r="S7680" t="s">
        <v>7877</v>
      </c>
      <c r="BC7680">
        <v>1678</v>
      </c>
    </row>
    <row r="7681" spans="1:55" x14ac:dyDescent="0.25">
      <c r="A7681" t="s">
        <v>7878</v>
      </c>
      <c r="S7681" t="s">
        <v>7879</v>
      </c>
      <c r="BC7681">
        <v>1904</v>
      </c>
    </row>
    <row r="7682" spans="1:55" x14ac:dyDescent="0.25">
      <c r="A7682" t="s">
        <v>7880</v>
      </c>
      <c r="S7682" t="s">
        <v>7881</v>
      </c>
      <c r="BC7682">
        <v>2294</v>
      </c>
    </row>
    <row r="7683" spans="1:55" x14ac:dyDescent="0.25">
      <c r="A7683" t="s">
        <v>7882</v>
      </c>
      <c r="S7683" t="s">
        <v>7883</v>
      </c>
      <c r="BC7683">
        <v>2911</v>
      </c>
    </row>
    <row r="7684" spans="1:55" x14ac:dyDescent="0.25">
      <c r="A7684" t="s">
        <v>7884</v>
      </c>
      <c r="S7684" t="s">
        <v>7885</v>
      </c>
      <c r="BC7684">
        <v>3014</v>
      </c>
    </row>
    <row r="7685" spans="1:55" x14ac:dyDescent="0.25">
      <c r="A7685" t="s">
        <v>7886</v>
      </c>
      <c r="S7685" t="s">
        <v>7887</v>
      </c>
      <c r="BC7685">
        <v>5166</v>
      </c>
    </row>
    <row r="7686" spans="1:55" x14ac:dyDescent="0.25">
      <c r="A7686" t="s">
        <v>7888</v>
      </c>
      <c r="S7686" t="s">
        <v>7889</v>
      </c>
      <c r="BC7686">
        <v>5531</v>
      </c>
    </row>
    <row r="7687" spans="1:55" x14ac:dyDescent="0.25">
      <c r="A7687" t="s">
        <v>7890</v>
      </c>
    </row>
    <row r="7688" spans="1:55" x14ac:dyDescent="0.25">
      <c r="A7688" t="s">
        <v>7891</v>
      </c>
      <c r="S7688" t="s">
        <v>7881</v>
      </c>
      <c r="BC7688">
        <v>3020</v>
      </c>
    </row>
    <row r="7689" spans="1:55" x14ac:dyDescent="0.25">
      <c r="A7689" t="s">
        <v>7892</v>
      </c>
      <c r="S7689" t="s">
        <v>7883</v>
      </c>
      <c r="BC7689">
        <v>3416</v>
      </c>
    </row>
    <row r="7690" spans="1:55" x14ac:dyDescent="0.25">
      <c r="A7690" t="s">
        <v>7893</v>
      </c>
      <c r="S7690" t="s">
        <v>7885</v>
      </c>
      <c r="BC7690">
        <v>3542</v>
      </c>
    </row>
    <row r="7691" spans="1:55" x14ac:dyDescent="0.25">
      <c r="A7691" t="s">
        <v>7894</v>
      </c>
    </row>
    <row r="7692" spans="1:55" x14ac:dyDescent="0.25">
      <c r="A7692" t="s">
        <v>7895</v>
      </c>
      <c r="S7692" t="s">
        <v>7881</v>
      </c>
      <c r="BC7692">
        <v>3578</v>
      </c>
    </row>
    <row r="7693" spans="1:55" x14ac:dyDescent="0.25">
      <c r="A7693" t="s">
        <v>7896</v>
      </c>
      <c r="S7693" t="s">
        <v>7883</v>
      </c>
      <c r="BC7693">
        <v>3936</v>
      </c>
    </row>
    <row r="7694" spans="1:55" x14ac:dyDescent="0.25">
      <c r="A7694" t="s">
        <v>7897</v>
      </c>
      <c r="S7694" t="s">
        <v>7885</v>
      </c>
      <c r="BC7694">
        <v>4062</v>
      </c>
    </row>
    <row r="7695" spans="1:55" x14ac:dyDescent="0.25">
      <c r="A7695" t="s">
        <v>7898</v>
      </c>
    </row>
    <row r="7696" spans="1:55" x14ac:dyDescent="0.25">
      <c r="A7696" t="s">
        <v>573</v>
      </c>
    </row>
    <row r="7697" spans="1:55" x14ac:dyDescent="0.25">
      <c r="A7697" t="s">
        <v>7899</v>
      </c>
    </row>
    <row r="7698" spans="1:55" x14ac:dyDescent="0.25">
      <c r="A7698" t="s">
        <v>7900</v>
      </c>
      <c r="BC7698">
        <v>95</v>
      </c>
    </row>
    <row r="7699" spans="1:55" x14ac:dyDescent="0.25">
      <c r="A7699" t="s">
        <v>7901</v>
      </c>
    </row>
    <row r="7700" spans="1:55" x14ac:dyDescent="0.25">
      <c r="A7700" t="s">
        <v>7902</v>
      </c>
      <c r="BC7700">
        <v>282</v>
      </c>
    </row>
    <row r="7701" spans="1:55" x14ac:dyDescent="0.25">
      <c r="A7701" t="s">
        <v>7903</v>
      </c>
      <c r="BC7701">
        <v>306</v>
      </c>
    </row>
    <row r="7702" spans="1:55" x14ac:dyDescent="0.25">
      <c r="A7702" t="s">
        <v>7904</v>
      </c>
      <c r="BC7702">
        <v>330</v>
      </c>
    </row>
    <row r="7703" spans="1:55" x14ac:dyDescent="0.25">
      <c r="A7703" t="s">
        <v>7905</v>
      </c>
      <c r="BC7703">
        <v>660</v>
      </c>
    </row>
    <row r="7704" spans="1:55" x14ac:dyDescent="0.25">
      <c r="A7704" t="s">
        <v>7906</v>
      </c>
    </row>
    <row r="7705" spans="1:55" x14ac:dyDescent="0.25">
      <c r="A7705" t="s">
        <v>573</v>
      </c>
    </row>
    <row r="7706" spans="1:55" x14ac:dyDescent="0.25">
      <c r="A7706" t="s">
        <v>7907</v>
      </c>
    </row>
    <row r="7707" spans="1:55" x14ac:dyDescent="0.25">
      <c r="A7707" t="s">
        <v>7908</v>
      </c>
      <c r="S7707" t="s">
        <v>7909</v>
      </c>
      <c r="BC7707">
        <v>312</v>
      </c>
    </row>
    <row r="7708" spans="1:55" x14ac:dyDescent="0.25">
      <c r="A7708" t="s">
        <v>7910</v>
      </c>
      <c r="S7708" t="s">
        <v>7911</v>
      </c>
      <c r="BC7708">
        <v>384</v>
      </c>
    </row>
    <row r="7709" spans="1:55" x14ac:dyDescent="0.25">
      <c r="A7709" t="s">
        <v>7912</v>
      </c>
      <c r="S7709" t="s">
        <v>7913</v>
      </c>
      <c r="BC7709">
        <v>505</v>
      </c>
    </row>
    <row r="7710" spans="1:55" x14ac:dyDescent="0.25">
      <c r="A7710" t="s">
        <v>7914</v>
      </c>
    </row>
    <row r="7711" spans="1:55" x14ac:dyDescent="0.25">
      <c r="A7711" t="s">
        <v>7915</v>
      </c>
      <c r="S7711" t="s">
        <v>7916</v>
      </c>
      <c r="BC7711">
        <v>166</v>
      </c>
    </row>
    <row r="7712" spans="1:55" x14ac:dyDescent="0.25">
      <c r="A7712" t="s">
        <v>7917</v>
      </c>
      <c r="S7712" t="s">
        <v>7918</v>
      </c>
      <c r="BC7712">
        <v>238</v>
      </c>
    </row>
    <row r="7713" spans="1:62" x14ac:dyDescent="0.25">
      <c r="A7713" t="s">
        <v>7919</v>
      </c>
    </row>
    <row r="7714" spans="1:62" x14ac:dyDescent="0.25">
      <c r="A7714" t="s">
        <v>573</v>
      </c>
    </row>
    <row r="7715" spans="1:62" x14ac:dyDescent="0.25">
      <c r="A7715" t="s">
        <v>7920</v>
      </c>
    </row>
    <row r="7716" spans="1:62" x14ac:dyDescent="0.25">
      <c r="A7716" t="s">
        <v>7921</v>
      </c>
      <c r="S7716" t="s">
        <v>7922</v>
      </c>
      <c r="BC7716">
        <v>150</v>
      </c>
    </row>
    <row r="7717" spans="1:62" x14ac:dyDescent="0.25">
      <c r="A7717" t="s">
        <v>7923</v>
      </c>
      <c r="S7717" t="s">
        <v>7924</v>
      </c>
      <c r="BC7717">
        <v>156</v>
      </c>
    </row>
    <row r="7718" spans="1:62" x14ac:dyDescent="0.25">
      <c r="A7718" t="s">
        <v>7925</v>
      </c>
      <c r="S7718" t="s">
        <v>7926</v>
      </c>
      <c r="BC7718">
        <v>194</v>
      </c>
    </row>
    <row r="7721" spans="1:62" x14ac:dyDescent="0.25">
      <c r="A7721" t="s">
        <v>7868</v>
      </c>
      <c r="AF7721" t="s">
        <v>7869</v>
      </c>
    </row>
    <row r="7722" spans="1:62" x14ac:dyDescent="0.25">
      <c r="A7722" t="s">
        <v>7927</v>
      </c>
    </row>
    <row r="7723" spans="1:62" x14ac:dyDescent="0.25">
      <c r="A7723" t="s">
        <v>573</v>
      </c>
      <c r="AJ7723" t="s">
        <v>7548</v>
      </c>
      <c r="BJ7723" t="s">
        <v>7928</v>
      </c>
    </row>
    <row r="7724" spans="1:62" x14ac:dyDescent="0.25">
      <c r="A7724" t="s">
        <v>7929</v>
      </c>
    </row>
    <row r="7725" spans="1:62" x14ac:dyDescent="0.25">
      <c r="A7725" t="s">
        <v>7930</v>
      </c>
      <c r="BJ7725">
        <v>89</v>
      </c>
    </row>
    <row r="7726" spans="1:62" x14ac:dyDescent="0.25">
      <c r="A7726" t="s">
        <v>7931</v>
      </c>
    </row>
    <row r="7727" spans="1:62" x14ac:dyDescent="0.25">
      <c r="A7727" t="s">
        <v>7900</v>
      </c>
      <c r="BJ7727">
        <v>95</v>
      </c>
    </row>
    <row r="7728" spans="1:62" x14ac:dyDescent="0.25">
      <c r="A7728" t="s">
        <v>7932</v>
      </c>
      <c r="BJ7728">
        <v>187</v>
      </c>
    </row>
    <row r="7729" spans="1:62" x14ac:dyDescent="0.25">
      <c r="A7729" t="s">
        <v>7933</v>
      </c>
    </row>
    <row r="7730" spans="1:62" x14ac:dyDescent="0.25">
      <c r="A7730" t="s">
        <v>7934</v>
      </c>
      <c r="BJ7730">
        <v>142</v>
      </c>
    </row>
    <row r="7731" spans="1:62" x14ac:dyDescent="0.25">
      <c r="A7731" t="s">
        <v>7935</v>
      </c>
      <c r="V7731" t="s">
        <v>7936</v>
      </c>
      <c r="BJ7731">
        <v>88</v>
      </c>
    </row>
    <row r="7732" spans="1:62" x14ac:dyDescent="0.25">
      <c r="A7732" t="s">
        <v>7937</v>
      </c>
    </row>
    <row r="7733" spans="1:62" x14ac:dyDescent="0.25">
      <c r="A7733" t="s">
        <v>7938</v>
      </c>
      <c r="V7733" t="s">
        <v>7939</v>
      </c>
      <c r="BJ7733">
        <v>602</v>
      </c>
    </row>
    <row r="7734" spans="1:62" x14ac:dyDescent="0.25">
      <c r="A7734" t="s">
        <v>7940</v>
      </c>
      <c r="V7734" t="s">
        <v>7941</v>
      </c>
      <c r="BJ7734">
        <v>964</v>
      </c>
    </row>
    <row r="7735" spans="1:62" x14ac:dyDescent="0.25">
      <c r="A7735" t="s">
        <v>7942</v>
      </c>
      <c r="V7735" t="s">
        <v>7943</v>
      </c>
      <c r="BJ7735">
        <v>422</v>
      </c>
    </row>
    <row r="7736" spans="1:62" x14ac:dyDescent="0.25">
      <c r="A7736" t="s">
        <v>7944</v>
      </c>
      <c r="BJ7736">
        <v>380</v>
      </c>
    </row>
    <row r="7737" spans="1:62" x14ac:dyDescent="0.25">
      <c r="A7737" t="s">
        <v>7945</v>
      </c>
      <c r="BJ7737">
        <v>160</v>
      </c>
    </row>
    <row r="7738" spans="1:62" x14ac:dyDescent="0.25">
      <c r="A7738" t="s">
        <v>7946</v>
      </c>
      <c r="V7738" t="s">
        <v>7947</v>
      </c>
      <c r="BJ7738">
        <v>206</v>
      </c>
    </row>
    <row r="7739" spans="1:62" x14ac:dyDescent="0.25">
      <c r="A7739" t="s">
        <v>7948</v>
      </c>
      <c r="V7739" t="s">
        <v>7949</v>
      </c>
      <c r="BJ7739">
        <v>211</v>
      </c>
    </row>
    <row r="7740" spans="1:62" x14ac:dyDescent="0.25">
      <c r="A7740" t="s">
        <v>7950</v>
      </c>
    </row>
    <row r="7741" spans="1:62" x14ac:dyDescent="0.25">
      <c r="A7741" t="s">
        <v>7951</v>
      </c>
      <c r="V7741" t="s">
        <v>7952</v>
      </c>
      <c r="BJ7741">
        <v>331</v>
      </c>
    </row>
    <row r="7742" spans="1:62" x14ac:dyDescent="0.25">
      <c r="A7742" t="s">
        <v>7953</v>
      </c>
      <c r="V7742" t="s">
        <v>7954</v>
      </c>
      <c r="BJ7742">
        <v>319</v>
      </c>
    </row>
    <row r="7743" spans="1:62" x14ac:dyDescent="0.25">
      <c r="A7743" t="s">
        <v>7955</v>
      </c>
      <c r="V7743" t="s">
        <v>7956</v>
      </c>
      <c r="BJ7743">
        <v>333</v>
      </c>
    </row>
    <row r="7744" spans="1:62" x14ac:dyDescent="0.25">
      <c r="A7744" t="s">
        <v>7957</v>
      </c>
      <c r="V7744" t="s">
        <v>7958</v>
      </c>
      <c r="BJ7744">
        <v>360</v>
      </c>
    </row>
    <row r="7745" spans="1:62" x14ac:dyDescent="0.25">
      <c r="A7745" t="s">
        <v>7959</v>
      </c>
    </row>
    <row r="7746" spans="1:62" x14ac:dyDescent="0.25">
      <c r="A7746" t="s">
        <v>7960</v>
      </c>
      <c r="BJ7746">
        <v>858</v>
      </c>
    </row>
    <row r="7747" spans="1:62" x14ac:dyDescent="0.25">
      <c r="A7747" t="s">
        <v>7961</v>
      </c>
      <c r="BJ7747">
        <v>156</v>
      </c>
    </row>
    <row r="7748" spans="1:62" x14ac:dyDescent="0.25">
      <c r="A7748" t="s">
        <v>7962</v>
      </c>
      <c r="BJ7748" t="s">
        <v>7963</v>
      </c>
    </row>
    <row r="7749" spans="1:62" x14ac:dyDescent="0.25">
      <c r="A7749" t="s">
        <v>7964</v>
      </c>
      <c r="BJ7749">
        <v>98</v>
      </c>
    </row>
    <row r="7750" spans="1:62" x14ac:dyDescent="0.25">
      <c r="A7750" t="s">
        <v>7965</v>
      </c>
    </row>
    <row r="7751" spans="1:62" x14ac:dyDescent="0.25">
      <c r="A7751" t="s">
        <v>7966</v>
      </c>
      <c r="V7751" t="s">
        <v>7967</v>
      </c>
      <c r="BJ7751">
        <v>552</v>
      </c>
    </row>
    <row r="7752" spans="1:62" x14ac:dyDescent="0.25">
      <c r="A7752" t="s">
        <v>7968</v>
      </c>
      <c r="V7752" t="s">
        <v>7969</v>
      </c>
      <c r="BJ7752">
        <v>552</v>
      </c>
    </row>
    <row r="7753" spans="1:62" x14ac:dyDescent="0.25">
      <c r="A7753" t="s">
        <v>7970</v>
      </c>
      <c r="V7753" t="s">
        <v>7971</v>
      </c>
      <c r="BJ7753">
        <v>698</v>
      </c>
    </row>
    <row r="7754" spans="1:62" x14ac:dyDescent="0.25">
      <c r="A7754" t="s">
        <v>7972</v>
      </c>
      <c r="BJ7754">
        <v>35</v>
      </c>
    </row>
    <row r="7755" spans="1:62" x14ac:dyDescent="0.25">
      <c r="A7755" t="s">
        <v>7973</v>
      </c>
    </row>
    <row r="7756" spans="1:62" x14ac:dyDescent="0.25">
      <c r="A7756" t="s">
        <v>7974</v>
      </c>
      <c r="V7756" t="s">
        <v>7975</v>
      </c>
      <c r="BJ7756">
        <v>132</v>
      </c>
    </row>
    <row r="7757" spans="1:62" x14ac:dyDescent="0.25">
      <c r="A7757" t="s">
        <v>7976</v>
      </c>
      <c r="V7757" t="s">
        <v>7977</v>
      </c>
      <c r="BJ7757">
        <v>160</v>
      </c>
    </row>
    <row r="7758" spans="1:62" x14ac:dyDescent="0.25">
      <c r="A7758" t="s">
        <v>7978</v>
      </c>
    </row>
    <row r="7759" spans="1:62" x14ac:dyDescent="0.25">
      <c r="A7759" t="s">
        <v>7979</v>
      </c>
      <c r="BJ7759">
        <v>603</v>
      </c>
    </row>
    <row r="7760" spans="1:62" x14ac:dyDescent="0.25">
      <c r="A7760" t="s">
        <v>7980</v>
      </c>
    </row>
    <row r="7761" spans="1:62" x14ac:dyDescent="0.25">
      <c r="A7761" t="s">
        <v>7981</v>
      </c>
      <c r="BJ7761">
        <v>132</v>
      </c>
    </row>
    <row r="7762" spans="1:62" x14ac:dyDescent="0.25">
      <c r="A7762" t="s">
        <v>7982</v>
      </c>
      <c r="BJ7762">
        <v>212</v>
      </c>
    </row>
    <row r="7763" spans="1:62" x14ac:dyDescent="0.25">
      <c r="A7763" t="s">
        <v>7983</v>
      </c>
      <c r="BJ7763">
        <v>212</v>
      </c>
    </row>
    <row r="7764" spans="1:62" x14ac:dyDescent="0.25">
      <c r="A7764" t="s">
        <v>7984</v>
      </c>
      <c r="BJ7764">
        <v>185</v>
      </c>
    </row>
    <row r="7765" spans="1:62" x14ac:dyDescent="0.25">
      <c r="A7765" t="s">
        <v>7985</v>
      </c>
      <c r="BJ7765">
        <v>212</v>
      </c>
    </row>
    <row r="7766" spans="1:62" x14ac:dyDescent="0.25">
      <c r="A7766" t="s">
        <v>7986</v>
      </c>
      <c r="BJ7766">
        <v>212</v>
      </c>
    </row>
    <row r="7767" spans="1:62" x14ac:dyDescent="0.25">
      <c r="A7767" t="s">
        <v>7987</v>
      </c>
      <c r="BJ7767">
        <v>303</v>
      </c>
    </row>
    <row r="7768" spans="1:62" x14ac:dyDescent="0.25">
      <c r="A7768" t="s">
        <v>7988</v>
      </c>
    </row>
    <row r="7769" spans="1:62" x14ac:dyDescent="0.25">
      <c r="A7769" t="s">
        <v>7989</v>
      </c>
      <c r="BJ7769">
        <v>706</v>
      </c>
    </row>
    <row r="7770" spans="1:62" x14ac:dyDescent="0.25">
      <c r="A7770" t="s">
        <v>7990</v>
      </c>
    </row>
    <row r="7771" spans="1:62" x14ac:dyDescent="0.25">
      <c r="A7771" t="s">
        <v>7991</v>
      </c>
    </row>
    <row r="7772" spans="1:62" x14ac:dyDescent="0.25">
      <c r="A7772" t="s">
        <v>573</v>
      </c>
      <c r="AJ7772" t="s">
        <v>7548</v>
      </c>
      <c r="BJ7772" t="s">
        <v>7550</v>
      </c>
    </row>
    <row r="7773" spans="1:62" x14ac:dyDescent="0.25">
      <c r="A7773" t="s">
        <v>7992</v>
      </c>
    </row>
    <row r="7774" spans="1:62" x14ac:dyDescent="0.25">
      <c r="A7774" t="s">
        <v>7993</v>
      </c>
      <c r="V7774" t="s">
        <v>7994</v>
      </c>
      <c r="BJ7774" t="s">
        <v>7995</v>
      </c>
    </row>
    <row r="7775" spans="1:62" x14ac:dyDescent="0.25">
      <c r="A7775" t="s">
        <v>7996</v>
      </c>
      <c r="V7775" t="s">
        <v>7997</v>
      </c>
      <c r="BJ7775" t="s">
        <v>7998</v>
      </c>
    </row>
    <row r="7776" spans="1:62" x14ac:dyDescent="0.25">
      <c r="A7776" t="s">
        <v>7999</v>
      </c>
      <c r="V7776" t="s">
        <v>7994</v>
      </c>
      <c r="BJ7776" t="s">
        <v>8000</v>
      </c>
    </row>
    <row r="7777" spans="1:62" x14ac:dyDescent="0.25">
      <c r="A7777" t="s">
        <v>8001</v>
      </c>
      <c r="V7777" t="s">
        <v>7997</v>
      </c>
      <c r="BJ7777" t="s">
        <v>8002</v>
      </c>
    </row>
    <row r="7778" spans="1:62" x14ac:dyDescent="0.25">
      <c r="A7778" t="s">
        <v>8003</v>
      </c>
    </row>
    <row r="7779" spans="1:62" x14ac:dyDescent="0.25">
      <c r="A7779" t="s">
        <v>8004</v>
      </c>
      <c r="V7779" t="s">
        <v>5984</v>
      </c>
      <c r="BJ7779" t="s">
        <v>8005</v>
      </c>
    </row>
    <row r="7780" spans="1:62" x14ac:dyDescent="0.25">
      <c r="A7780" t="s">
        <v>8006</v>
      </c>
      <c r="V7780" t="s">
        <v>8007</v>
      </c>
      <c r="BJ7780" t="s">
        <v>8008</v>
      </c>
    </row>
    <row r="7781" spans="1:62" x14ac:dyDescent="0.25">
      <c r="A7781" t="s">
        <v>8009</v>
      </c>
      <c r="V7781" t="s">
        <v>5985</v>
      </c>
      <c r="BJ7781" t="s">
        <v>8010</v>
      </c>
    </row>
    <row r="7782" spans="1:62" x14ac:dyDescent="0.25">
      <c r="A7782" t="s">
        <v>8011</v>
      </c>
      <c r="V7782" t="s">
        <v>8012</v>
      </c>
      <c r="BJ7782" t="s">
        <v>8013</v>
      </c>
    </row>
    <row r="7783" spans="1:62" x14ac:dyDescent="0.25">
      <c r="A7783" t="s">
        <v>8014</v>
      </c>
      <c r="V7783" t="s">
        <v>8015</v>
      </c>
      <c r="BJ7783" t="s">
        <v>4210</v>
      </c>
    </row>
    <row r="7784" spans="1:62" x14ac:dyDescent="0.25">
      <c r="A7784" t="s">
        <v>573</v>
      </c>
      <c r="AJ7784" t="s">
        <v>7548</v>
      </c>
      <c r="BJ7784" t="s">
        <v>7550</v>
      </c>
    </row>
    <row r="7785" spans="1:62" x14ac:dyDescent="0.25">
      <c r="A7785" t="s">
        <v>7992</v>
      </c>
    </row>
    <row r="7786" spans="1:62" x14ac:dyDescent="0.25">
      <c r="A7786" t="s">
        <v>8016</v>
      </c>
      <c r="V7786" t="s">
        <v>8017</v>
      </c>
      <c r="BJ7786" t="s">
        <v>8018</v>
      </c>
    </row>
    <row r="7787" spans="1:62" x14ac:dyDescent="0.25">
      <c r="A7787" t="s">
        <v>8003</v>
      </c>
    </row>
    <row r="7788" spans="1:62" x14ac:dyDescent="0.25">
      <c r="A7788" t="s">
        <v>8019</v>
      </c>
      <c r="V7788" t="s">
        <v>8020</v>
      </c>
      <c r="BJ7788" t="s">
        <v>8021</v>
      </c>
    </row>
    <row r="7789" spans="1:62" x14ac:dyDescent="0.25">
      <c r="A7789" t="s">
        <v>8022</v>
      </c>
      <c r="V7789" t="s">
        <v>8023</v>
      </c>
      <c r="BJ7789" t="s">
        <v>8024</v>
      </c>
    </row>
    <row r="7790" spans="1:62" x14ac:dyDescent="0.25">
      <c r="A7790" t="s">
        <v>8025</v>
      </c>
      <c r="V7790" t="s">
        <v>8026</v>
      </c>
      <c r="BJ7790" t="s">
        <v>8027</v>
      </c>
    </row>
    <row r="7791" spans="1:62" x14ac:dyDescent="0.25">
      <c r="A7791" t="s">
        <v>8028</v>
      </c>
    </row>
    <row r="7792" spans="1:62" x14ac:dyDescent="0.25">
      <c r="A7792" t="s">
        <v>8029</v>
      </c>
      <c r="V7792" t="s">
        <v>8030</v>
      </c>
      <c r="BJ7792" t="s">
        <v>8031</v>
      </c>
    </row>
    <row r="7793" spans="1:62" x14ac:dyDescent="0.25">
      <c r="A7793" t="s">
        <v>8032</v>
      </c>
    </row>
    <row r="7794" spans="1:62" x14ac:dyDescent="0.25">
      <c r="A7794" t="s">
        <v>8033</v>
      </c>
      <c r="V7794" t="s">
        <v>8020</v>
      </c>
      <c r="BJ7794" t="s">
        <v>8034</v>
      </c>
    </row>
    <row r="7795" spans="1:62" x14ac:dyDescent="0.25">
      <c r="A7795" t="s">
        <v>8035</v>
      </c>
      <c r="V7795" t="s">
        <v>8023</v>
      </c>
      <c r="BJ7795" t="s">
        <v>8036</v>
      </c>
    </row>
    <row r="7796" spans="1:62" x14ac:dyDescent="0.25">
      <c r="A7796" t="s">
        <v>8037</v>
      </c>
      <c r="V7796" t="s">
        <v>8026</v>
      </c>
      <c r="BJ7796" t="s">
        <v>8038</v>
      </c>
    </row>
    <row r="7797" spans="1:62" x14ac:dyDescent="0.25">
      <c r="A7797" t="s">
        <v>8039</v>
      </c>
    </row>
    <row r="7798" spans="1:62" x14ac:dyDescent="0.25">
      <c r="A7798" t="s">
        <v>8040</v>
      </c>
      <c r="V7798" t="s">
        <v>8026</v>
      </c>
      <c r="BJ7798" t="s">
        <v>8041</v>
      </c>
    </row>
    <row r="7799" spans="1:62" x14ac:dyDescent="0.25">
      <c r="A7799" t="s">
        <v>8042</v>
      </c>
      <c r="V7799" t="s">
        <v>8026</v>
      </c>
      <c r="BJ7799" t="s">
        <v>8043</v>
      </c>
    </row>
    <row r="7800" spans="1:62" x14ac:dyDescent="0.25">
      <c r="A7800" t="s">
        <v>573</v>
      </c>
      <c r="AJ7800" t="s">
        <v>7548</v>
      </c>
      <c r="BJ7800" t="s">
        <v>7550</v>
      </c>
    </row>
    <row r="7801" spans="1:62" x14ac:dyDescent="0.25">
      <c r="A7801" t="s">
        <v>8044</v>
      </c>
    </row>
    <row r="7802" spans="1:62" x14ac:dyDescent="0.25">
      <c r="A7802" t="s">
        <v>8045</v>
      </c>
      <c r="V7802" t="s">
        <v>8017</v>
      </c>
      <c r="BJ7802" t="s">
        <v>8046</v>
      </c>
    </row>
    <row r="7803" spans="1:62" x14ac:dyDescent="0.25">
      <c r="A7803" t="s">
        <v>8047</v>
      </c>
      <c r="V7803" t="s">
        <v>8017</v>
      </c>
      <c r="BJ7803" t="s">
        <v>8048</v>
      </c>
    </row>
    <row r="7804" spans="1:62" x14ac:dyDescent="0.25">
      <c r="A7804" t="s">
        <v>8049</v>
      </c>
    </row>
    <row r="7805" spans="1:62" x14ac:dyDescent="0.25">
      <c r="A7805" t="s">
        <v>8050</v>
      </c>
      <c r="V7805" t="s">
        <v>8020</v>
      </c>
      <c r="BJ7805" t="s">
        <v>8051</v>
      </c>
    </row>
    <row r="7806" spans="1:62" x14ac:dyDescent="0.25">
      <c r="A7806" t="s">
        <v>8052</v>
      </c>
      <c r="V7806" t="s">
        <v>8023</v>
      </c>
      <c r="BJ7806" t="s">
        <v>8053</v>
      </c>
    </row>
    <row r="7807" spans="1:62" x14ac:dyDescent="0.25">
      <c r="A7807" t="s">
        <v>8054</v>
      </c>
      <c r="V7807" t="s">
        <v>8026</v>
      </c>
      <c r="BJ7807" t="s">
        <v>3984</v>
      </c>
    </row>
    <row r="7808" spans="1:62" x14ac:dyDescent="0.25">
      <c r="A7808" t="s">
        <v>8055</v>
      </c>
    </row>
    <row r="7809" spans="1:62" x14ac:dyDescent="0.25">
      <c r="A7809" t="s">
        <v>8056</v>
      </c>
      <c r="V7809" t="s">
        <v>8020</v>
      </c>
      <c r="BJ7809" t="s">
        <v>8057</v>
      </c>
    </row>
    <row r="7810" spans="1:62" x14ac:dyDescent="0.25">
      <c r="A7810" t="s">
        <v>8058</v>
      </c>
      <c r="V7810" t="s">
        <v>8023</v>
      </c>
      <c r="BJ7810" t="s">
        <v>8059</v>
      </c>
    </row>
    <row r="7811" spans="1:62" x14ac:dyDescent="0.25">
      <c r="A7811" t="s">
        <v>8060</v>
      </c>
      <c r="V7811" t="s">
        <v>8026</v>
      </c>
      <c r="BJ7811" t="s">
        <v>8061</v>
      </c>
    </row>
    <row r="7812" spans="1:62" x14ac:dyDescent="0.25">
      <c r="A7812" t="s">
        <v>8062</v>
      </c>
    </row>
    <row r="7813" spans="1:62" x14ac:dyDescent="0.25">
      <c r="A7813" t="s">
        <v>8063</v>
      </c>
      <c r="V7813" t="s">
        <v>8007</v>
      </c>
      <c r="BJ7813" t="s">
        <v>8064</v>
      </c>
    </row>
    <row r="7814" spans="1:62" x14ac:dyDescent="0.25">
      <c r="A7814" t="s">
        <v>8065</v>
      </c>
      <c r="V7814" t="s">
        <v>8012</v>
      </c>
      <c r="BJ7814" t="s">
        <v>8066</v>
      </c>
    </row>
    <row r="7815" spans="1:62" x14ac:dyDescent="0.25">
      <c r="A7815" t="s">
        <v>8067</v>
      </c>
      <c r="V7815" t="s">
        <v>8015</v>
      </c>
      <c r="BJ7815" t="s">
        <v>8068</v>
      </c>
    </row>
    <row r="7816" spans="1:62" x14ac:dyDescent="0.25">
      <c r="A7816" t="s">
        <v>8069</v>
      </c>
      <c r="V7816" t="s">
        <v>8020</v>
      </c>
      <c r="BJ7816" t="s">
        <v>8070</v>
      </c>
    </row>
    <row r="7817" spans="1:62" x14ac:dyDescent="0.25">
      <c r="A7817" t="s">
        <v>8071</v>
      </c>
      <c r="V7817" t="s">
        <v>8023</v>
      </c>
      <c r="BJ7817" t="s">
        <v>8072</v>
      </c>
    </row>
    <row r="7818" spans="1:62" x14ac:dyDescent="0.25">
      <c r="A7818" t="s">
        <v>8073</v>
      </c>
      <c r="V7818" t="s">
        <v>8026</v>
      </c>
      <c r="BJ7818" t="s">
        <v>8074</v>
      </c>
    </row>
    <row r="7819" spans="1:62" x14ac:dyDescent="0.25">
      <c r="A7819" t="s">
        <v>8075</v>
      </c>
    </row>
    <row r="7820" spans="1:62" x14ac:dyDescent="0.25">
      <c r="A7820" t="s">
        <v>8076</v>
      </c>
      <c r="V7820" t="s">
        <v>8015</v>
      </c>
      <c r="BJ7820" t="s">
        <v>8077</v>
      </c>
    </row>
    <row r="7821" spans="1:62" x14ac:dyDescent="0.25">
      <c r="A7821" t="s">
        <v>8078</v>
      </c>
      <c r="V7821" t="s">
        <v>8020</v>
      </c>
      <c r="BJ7821" t="s">
        <v>8079</v>
      </c>
    </row>
    <row r="7822" spans="1:62" x14ac:dyDescent="0.25">
      <c r="A7822" t="s">
        <v>8080</v>
      </c>
      <c r="V7822" t="s">
        <v>8023</v>
      </c>
      <c r="BJ7822" t="s">
        <v>8081</v>
      </c>
    </row>
    <row r="7823" spans="1:62" x14ac:dyDescent="0.25">
      <c r="A7823" t="s">
        <v>8082</v>
      </c>
      <c r="V7823" t="s">
        <v>8026</v>
      </c>
      <c r="BJ7823" t="s">
        <v>8083</v>
      </c>
    </row>
    <row r="7825" spans="1:60" x14ac:dyDescent="0.25">
      <c r="A7825" t="s">
        <v>8084</v>
      </c>
    </row>
    <row r="7826" spans="1:60" x14ac:dyDescent="0.25">
      <c r="A7826" t="s">
        <v>573</v>
      </c>
      <c r="AJ7826" t="s">
        <v>7548</v>
      </c>
      <c r="BH7826" t="s">
        <v>7550</v>
      </c>
    </row>
    <row r="7827" spans="1:60" x14ac:dyDescent="0.25">
      <c r="A7827" t="s">
        <v>8085</v>
      </c>
      <c r="BH7827" t="s">
        <v>7552</v>
      </c>
    </row>
    <row r="7828" spans="1:60" x14ac:dyDescent="0.25">
      <c r="A7828" t="s">
        <v>8086</v>
      </c>
      <c r="V7828" t="s">
        <v>8087</v>
      </c>
      <c r="BH7828" t="s">
        <v>7627</v>
      </c>
    </row>
    <row r="7829" spans="1:60" x14ac:dyDescent="0.25">
      <c r="A7829" t="s">
        <v>8088</v>
      </c>
    </row>
    <row r="7830" spans="1:60" x14ac:dyDescent="0.25">
      <c r="A7830" t="s">
        <v>8089</v>
      </c>
      <c r="V7830" t="s">
        <v>8015</v>
      </c>
      <c r="BH7830" t="s">
        <v>8090</v>
      </c>
    </row>
    <row r="7831" spans="1:60" x14ac:dyDescent="0.25">
      <c r="A7831" t="s">
        <v>8091</v>
      </c>
      <c r="V7831" t="s">
        <v>8020</v>
      </c>
      <c r="BH7831" t="s">
        <v>8092</v>
      </c>
    </row>
    <row r="7832" spans="1:60" x14ac:dyDescent="0.25">
      <c r="A7832" t="s">
        <v>8093</v>
      </c>
      <c r="V7832" t="s">
        <v>8023</v>
      </c>
      <c r="BH7832" t="s">
        <v>8094</v>
      </c>
    </row>
    <row r="7833" spans="1:60" x14ac:dyDescent="0.25">
      <c r="A7833" t="s">
        <v>8095</v>
      </c>
      <c r="V7833" t="s">
        <v>8026</v>
      </c>
      <c r="BH7833" t="s">
        <v>8096</v>
      </c>
    </row>
    <row r="7834" spans="1:60" x14ac:dyDescent="0.25">
      <c r="A7834" t="s">
        <v>615</v>
      </c>
      <c r="V7834" t="s">
        <v>573</v>
      </c>
      <c r="AJ7834" t="s">
        <v>7548</v>
      </c>
      <c r="BH7834" t="s">
        <v>7550</v>
      </c>
    </row>
    <row r="7835" spans="1:60" x14ac:dyDescent="0.25">
      <c r="A7835" t="s">
        <v>8097</v>
      </c>
    </row>
    <row r="7836" spans="1:60" x14ac:dyDescent="0.25">
      <c r="A7836" t="s">
        <v>8098</v>
      </c>
      <c r="V7836" t="s">
        <v>8099</v>
      </c>
      <c r="BH7836" t="s">
        <v>8100</v>
      </c>
    </row>
    <row r="7837" spans="1:60" x14ac:dyDescent="0.25">
      <c r="A7837" t="s">
        <v>8101</v>
      </c>
      <c r="V7837" t="s">
        <v>8102</v>
      </c>
      <c r="BH7837" t="s">
        <v>8103</v>
      </c>
    </row>
    <row r="7838" spans="1:60" x14ac:dyDescent="0.25">
      <c r="A7838" t="s">
        <v>8104</v>
      </c>
    </row>
    <row r="7839" spans="1:60" x14ac:dyDescent="0.25">
      <c r="A7839" t="s">
        <v>8105</v>
      </c>
      <c r="V7839" t="s">
        <v>8106</v>
      </c>
      <c r="BH7839">
        <v>792</v>
      </c>
    </row>
    <row r="7840" spans="1:60" x14ac:dyDescent="0.25">
      <c r="A7840" t="s">
        <v>8107</v>
      </c>
      <c r="V7840" t="s">
        <v>8108</v>
      </c>
      <c r="BH7840">
        <v>824</v>
      </c>
    </row>
    <row r="7841" spans="1:60" x14ac:dyDescent="0.25">
      <c r="A7841" t="s">
        <v>8109</v>
      </c>
      <c r="V7841" t="s">
        <v>8110</v>
      </c>
      <c r="BH7841">
        <v>897</v>
      </c>
    </row>
    <row r="7842" spans="1:60" x14ac:dyDescent="0.25">
      <c r="A7842" t="s">
        <v>8107</v>
      </c>
      <c r="V7842" t="s">
        <v>8111</v>
      </c>
      <c r="BH7842">
        <v>739</v>
      </c>
    </row>
    <row r="7843" spans="1:60" x14ac:dyDescent="0.25">
      <c r="A7843" t="s">
        <v>8109</v>
      </c>
      <c r="V7843" t="s">
        <v>8112</v>
      </c>
      <c r="BH7843">
        <v>824</v>
      </c>
    </row>
    <row r="7844" spans="1:60" x14ac:dyDescent="0.25">
      <c r="A7844" t="s">
        <v>8113</v>
      </c>
      <c r="V7844" t="s">
        <v>8114</v>
      </c>
      <c r="BH7844" t="s">
        <v>8115</v>
      </c>
    </row>
    <row r="7845" spans="1:60" x14ac:dyDescent="0.25">
      <c r="A7845" t="s">
        <v>8116</v>
      </c>
      <c r="V7845" t="s">
        <v>8117</v>
      </c>
      <c r="BH7845" t="s">
        <v>8118</v>
      </c>
    </row>
    <row r="7846" spans="1:60" x14ac:dyDescent="0.25">
      <c r="A7846" t="s">
        <v>8119</v>
      </c>
      <c r="V7846" t="s">
        <v>8120</v>
      </c>
      <c r="BH7846" t="s">
        <v>8118</v>
      </c>
    </row>
    <row r="7847" spans="1:60" x14ac:dyDescent="0.25">
      <c r="A7847" t="s">
        <v>8121</v>
      </c>
      <c r="V7847" t="s">
        <v>8122</v>
      </c>
      <c r="BH7847" t="s">
        <v>8123</v>
      </c>
    </row>
    <row r="7848" spans="1:60" x14ac:dyDescent="0.25">
      <c r="A7848" t="s">
        <v>8124</v>
      </c>
      <c r="V7848" t="s">
        <v>8125</v>
      </c>
      <c r="BH7848">
        <v>720</v>
      </c>
    </row>
    <row r="7849" spans="1:60" x14ac:dyDescent="0.25">
      <c r="A7849" t="s">
        <v>8126</v>
      </c>
      <c r="V7849" t="s">
        <v>8127</v>
      </c>
      <c r="BH7849">
        <v>259</v>
      </c>
    </row>
    <row r="7850" spans="1:60" x14ac:dyDescent="0.25">
      <c r="A7850" t="s">
        <v>8126</v>
      </c>
      <c r="V7850" t="s">
        <v>8128</v>
      </c>
      <c r="BH7850">
        <v>358</v>
      </c>
    </row>
    <row r="7851" spans="1:60" x14ac:dyDescent="0.25">
      <c r="A7851" t="s">
        <v>8129</v>
      </c>
      <c r="V7851" t="s">
        <v>8130</v>
      </c>
      <c r="BH7851">
        <v>271</v>
      </c>
    </row>
    <row r="7852" spans="1:60" x14ac:dyDescent="0.25">
      <c r="A7852" t="s">
        <v>8131</v>
      </c>
      <c r="V7852" t="s">
        <v>8132</v>
      </c>
      <c r="BH7852">
        <v>179</v>
      </c>
    </row>
    <row r="7853" spans="1:60" x14ac:dyDescent="0.25">
      <c r="A7853" t="s">
        <v>8133</v>
      </c>
      <c r="V7853" t="s">
        <v>8134</v>
      </c>
      <c r="BH7853">
        <v>45</v>
      </c>
    </row>
    <row r="7854" spans="1:60" x14ac:dyDescent="0.25">
      <c r="A7854" t="s">
        <v>8135</v>
      </c>
      <c r="V7854" t="s">
        <v>8136</v>
      </c>
      <c r="BH7854">
        <v>68</v>
      </c>
    </row>
    <row r="7855" spans="1:60" x14ac:dyDescent="0.25">
      <c r="A7855" t="s">
        <v>8137</v>
      </c>
      <c r="V7855" t="s">
        <v>8138</v>
      </c>
      <c r="BH7855">
        <v>42</v>
      </c>
    </row>
    <row r="7856" spans="1:60" x14ac:dyDescent="0.25">
      <c r="A7856" t="s">
        <v>8139</v>
      </c>
      <c r="V7856" t="s">
        <v>8140</v>
      </c>
      <c r="BH7856">
        <v>201</v>
      </c>
    </row>
    <row r="7857" spans="1:67" x14ac:dyDescent="0.25">
      <c r="A7857" t="s">
        <v>8139</v>
      </c>
      <c r="V7857" t="s">
        <v>8141</v>
      </c>
      <c r="BH7857">
        <v>185</v>
      </c>
    </row>
    <row r="7858" spans="1:67" x14ac:dyDescent="0.25">
      <c r="A7858" t="s">
        <v>8142</v>
      </c>
      <c r="V7858" t="s">
        <v>8143</v>
      </c>
      <c r="BH7858">
        <v>282</v>
      </c>
    </row>
    <row r="7859" spans="1:67" x14ac:dyDescent="0.25">
      <c r="A7859" t="s">
        <v>8144</v>
      </c>
      <c r="V7859" t="s">
        <v>7934</v>
      </c>
      <c r="BH7859">
        <v>142</v>
      </c>
    </row>
    <row r="7860" spans="1:67" x14ac:dyDescent="0.25">
      <c r="A7860" t="s">
        <v>8145</v>
      </c>
      <c r="V7860" t="s">
        <v>7935</v>
      </c>
      <c r="BH7860">
        <v>89</v>
      </c>
    </row>
    <row r="7861" spans="1:67" x14ac:dyDescent="0.25">
      <c r="A7861" t="s">
        <v>8146</v>
      </c>
      <c r="V7861" t="s">
        <v>8147</v>
      </c>
      <c r="BH7861">
        <v>215</v>
      </c>
    </row>
    <row r="7862" spans="1:67" x14ac:dyDescent="0.25">
      <c r="A7862" t="s">
        <v>8148</v>
      </c>
      <c r="V7862" t="s">
        <v>8149</v>
      </c>
      <c r="BH7862">
        <v>49</v>
      </c>
    </row>
    <row r="7863" spans="1:67" x14ac:dyDescent="0.25">
      <c r="A7863" t="s">
        <v>8150</v>
      </c>
      <c r="V7863" t="s">
        <v>7983</v>
      </c>
      <c r="BH7863">
        <v>212</v>
      </c>
    </row>
    <row r="7864" spans="1:67" x14ac:dyDescent="0.25">
      <c r="A7864" t="s">
        <v>8151</v>
      </c>
      <c r="V7864" t="s">
        <v>7985</v>
      </c>
      <c r="BH7864">
        <v>212</v>
      </c>
    </row>
    <row r="7866" spans="1:67" x14ac:dyDescent="0.25">
      <c r="A7866" t="s">
        <v>1740</v>
      </c>
    </row>
    <row r="7867" spans="1:67" x14ac:dyDescent="0.25">
      <c r="A7867" t="s">
        <v>7867</v>
      </c>
    </row>
    <row r="7869" spans="1:67" x14ac:dyDescent="0.25">
      <c r="A7869" t="s">
        <v>8152</v>
      </c>
    </row>
    <row r="7870" spans="1:67" x14ac:dyDescent="0.25">
      <c r="AY7870" t="s">
        <v>8153</v>
      </c>
    </row>
    <row r="7872" spans="1:67" x14ac:dyDescent="0.25">
      <c r="A7872" t="s">
        <v>573</v>
      </c>
      <c r="AC7872" t="s">
        <v>2870</v>
      </c>
      <c r="BO7872" t="s">
        <v>7780</v>
      </c>
    </row>
    <row r="7873" spans="1:67" x14ac:dyDescent="0.25">
      <c r="A7873" t="s">
        <v>8154</v>
      </c>
    </row>
    <row r="7874" spans="1:67" x14ac:dyDescent="0.25">
      <c r="A7874" t="s">
        <v>8155</v>
      </c>
      <c r="AC7874" t="s">
        <v>8156</v>
      </c>
      <c r="BO7874" t="s">
        <v>8157</v>
      </c>
    </row>
    <row r="7875" spans="1:67" x14ac:dyDescent="0.25">
      <c r="A7875" t="s">
        <v>8158</v>
      </c>
      <c r="AC7875" t="s">
        <v>8159</v>
      </c>
      <c r="BO7875" t="s">
        <v>8160</v>
      </c>
    </row>
    <row r="7876" spans="1:67" x14ac:dyDescent="0.25">
      <c r="A7876" t="s">
        <v>8161</v>
      </c>
      <c r="AC7876" t="s">
        <v>8162</v>
      </c>
      <c r="BO7876" t="s">
        <v>8163</v>
      </c>
    </row>
    <row r="7877" spans="1:67" x14ac:dyDescent="0.25">
      <c r="A7877" t="s">
        <v>8164</v>
      </c>
      <c r="AC7877" t="s">
        <v>8165</v>
      </c>
      <c r="BO7877" t="s">
        <v>8166</v>
      </c>
    </row>
    <row r="7878" spans="1:67" x14ac:dyDescent="0.25">
      <c r="A7878" t="s">
        <v>8167</v>
      </c>
      <c r="AC7878" t="s">
        <v>8168</v>
      </c>
      <c r="BO7878" t="s">
        <v>8169</v>
      </c>
    </row>
    <row r="7879" spans="1:67" x14ac:dyDescent="0.25">
      <c r="A7879" t="s">
        <v>8170</v>
      </c>
      <c r="AC7879" t="s">
        <v>8171</v>
      </c>
      <c r="BO7879" t="s">
        <v>8172</v>
      </c>
    </row>
    <row r="7880" spans="1:67" x14ac:dyDescent="0.25">
      <c r="A7880" t="s">
        <v>8173</v>
      </c>
      <c r="AC7880" t="s">
        <v>8174</v>
      </c>
      <c r="BO7880" t="s">
        <v>8175</v>
      </c>
    </row>
    <row r="7881" spans="1:67" x14ac:dyDescent="0.25">
      <c r="A7881" t="s">
        <v>8176</v>
      </c>
      <c r="AC7881" t="s">
        <v>8177</v>
      </c>
      <c r="BO7881" t="s">
        <v>8178</v>
      </c>
    </row>
    <row r="7882" spans="1:67" x14ac:dyDescent="0.25">
      <c r="A7882" t="s">
        <v>8179</v>
      </c>
    </row>
    <row r="7883" spans="1:67" x14ac:dyDescent="0.25">
      <c r="A7883" t="s">
        <v>8180</v>
      </c>
      <c r="BO7883">
        <v>200</v>
      </c>
    </row>
    <row r="7884" spans="1:67" x14ac:dyDescent="0.25">
      <c r="A7884" t="s">
        <v>8181</v>
      </c>
    </row>
    <row r="7885" spans="1:67" x14ac:dyDescent="0.25">
      <c r="A7885" t="s">
        <v>8182</v>
      </c>
    </row>
    <row r="7886" spans="1:67" x14ac:dyDescent="0.25">
      <c r="A7886" t="s">
        <v>8183</v>
      </c>
      <c r="AC7886" t="s">
        <v>8184</v>
      </c>
      <c r="BO7886">
        <v>930</v>
      </c>
    </row>
    <row r="7887" spans="1:67" x14ac:dyDescent="0.25">
      <c r="A7887" t="s">
        <v>8185</v>
      </c>
      <c r="AC7887" t="s">
        <v>8186</v>
      </c>
      <c r="BO7887">
        <v>963</v>
      </c>
    </row>
    <row r="7888" spans="1:67" x14ac:dyDescent="0.25">
      <c r="A7888" t="s">
        <v>8187</v>
      </c>
      <c r="AC7888" t="s">
        <v>8188</v>
      </c>
      <c r="BO7888">
        <v>996</v>
      </c>
    </row>
    <row r="7889" spans="1:67" x14ac:dyDescent="0.25">
      <c r="A7889" t="s">
        <v>8189</v>
      </c>
      <c r="AC7889" t="s">
        <v>8190</v>
      </c>
      <c r="BO7889" t="s">
        <v>8191</v>
      </c>
    </row>
    <row r="7890" spans="1:67" x14ac:dyDescent="0.25">
      <c r="A7890" t="s">
        <v>7658</v>
      </c>
      <c r="BO7890">
        <v>187</v>
      </c>
    </row>
    <row r="7891" spans="1:67" x14ac:dyDescent="0.25">
      <c r="A7891" t="s">
        <v>8192</v>
      </c>
      <c r="AC7891" t="s">
        <v>8193</v>
      </c>
      <c r="BO7891" t="s">
        <v>3712</v>
      </c>
    </row>
    <row r="7892" spans="1:67" x14ac:dyDescent="0.25">
      <c r="A7892" t="s">
        <v>8194</v>
      </c>
      <c r="AC7892" t="s">
        <v>8195</v>
      </c>
      <c r="BO7892" t="s">
        <v>8196</v>
      </c>
    </row>
    <row r="7893" spans="1:67" x14ac:dyDescent="0.25">
      <c r="A7893" t="s">
        <v>8197</v>
      </c>
      <c r="AC7893" t="s">
        <v>2960</v>
      </c>
      <c r="BO7893" t="s">
        <v>8198</v>
      </c>
    </row>
    <row r="7894" spans="1:67" x14ac:dyDescent="0.25">
      <c r="A7894" t="s">
        <v>8199</v>
      </c>
      <c r="AC7894" t="s">
        <v>8200</v>
      </c>
      <c r="BO7894" t="s">
        <v>8201</v>
      </c>
    </row>
    <row r="7895" spans="1:67" x14ac:dyDescent="0.25">
      <c r="A7895" t="s">
        <v>8202</v>
      </c>
      <c r="AC7895" t="s">
        <v>8203</v>
      </c>
      <c r="BO7895" t="s">
        <v>8204</v>
      </c>
    </row>
    <row r="7896" spans="1:67" x14ac:dyDescent="0.25">
      <c r="A7896" t="s">
        <v>8205</v>
      </c>
      <c r="BO7896">
        <v>186</v>
      </c>
    </row>
    <row r="7897" spans="1:67" x14ac:dyDescent="0.25">
      <c r="A7897" t="s">
        <v>8206</v>
      </c>
    </row>
    <row r="7898" spans="1:67" x14ac:dyDescent="0.25">
      <c r="A7898" t="s">
        <v>8207</v>
      </c>
      <c r="AC7898" t="s">
        <v>8208</v>
      </c>
      <c r="BO7898" t="s">
        <v>8209</v>
      </c>
    </row>
    <row r="7899" spans="1:67" x14ac:dyDescent="0.25">
      <c r="A7899" t="s">
        <v>8210</v>
      </c>
      <c r="AC7899" t="s">
        <v>8184</v>
      </c>
      <c r="BO7899" t="s">
        <v>1277</v>
      </c>
    </row>
    <row r="7900" spans="1:67" x14ac:dyDescent="0.25">
      <c r="A7900" t="s">
        <v>8211</v>
      </c>
      <c r="AC7900" t="s">
        <v>8212</v>
      </c>
      <c r="BO7900" t="s">
        <v>8213</v>
      </c>
    </row>
    <row r="7901" spans="1:67" x14ac:dyDescent="0.25">
      <c r="A7901" t="s">
        <v>8214</v>
      </c>
      <c r="AC7901" t="s">
        <v>8188</v>
      </c>
      <c r="BO7901" t="s">
        <v>8215</v>
      </c>
    </row>
    <row r="7902" spans="1:67" x14ac:dyDescent="0.25">
      <c r="A7902" t="s">
        <v>8216</v>
      </c>
      <c r="AC7902" t="s">
        <v>8217</v>
      </c>
      <c r="BO7902" t="s">
        <v>8218</v>
      </c>
    </row>
    <row r="7903" spans="1:67" x14ac:dyDescent="0.25">
      <c r="A7903" t="s">
        <v>8219</v>
      </c>
      <c r="AC7903" t="s">
        <v>8220</v>
      </c>
      <c r="BO7903" t="s">
        <v>8221</v>
      </c>
    </row>
    <row r="7904" spans="1:67" x14ac:dyDescent="0.25">
      <c r="A7904" t="s">
        <v>8222</v>
      </c>
      <c r="AC7904" t="s">
        <v>8223</v>
      </c>
      <c r="BO7904" t="s">
        <v>8224</v>
      </c>
    </row>
    <row r="7906" spans="1:50" x14ac:dyDescent="0.25">
      <c r="A7906" t="s">
        <v>1740</v>
      </c>
    </row>
    <row r="7907" spans="1:50" x14ac:dyDescent="0.25">
      <c r="A7907" t="s">
        <v>7867</v>
      </c>
    </row>
    <row r="7908" spans="1:50" x14ac:dyDescent="0.25">
      <c r="A7908" t="s">
        <v>8225</v>
      </c>
      <c r="AH7908" t="s">
        <v>8226</v>
      </c>
    </row>
    <row r="7909" spans="1:50" x14ac:dyDescent="0.25">
      <c r="A7909" t="s">
        <v>8227</v>
      </c>
    </row>
    <row r="7910" spans="1:50" x14ac:dyDescent="0.25">
      <c r="A7910" t="s">
        <v>573</v>
      </c>
      <c r="V7910" t="s">
        <v>7547</v>
      </c>
      <c r="AH7910" t="s">
        <v>7548</v>
      </c>
      <c r="AX7910" t="s">
        <v>7550</v>
      </c>
    </row>
    <row r="7911" spans="1:50" x14ac:dyDescent="0.25">
      <c r="A7911" t="s">
        <v>8228</v>
      </c>
    </row>
    <row r="7912" spans="1:50" x14ac:dyDescent="0.25">
      <c r="A7912" t="s">
        <v>8229</v>
      </c>
      <c r="V7912" t="s">
        <v>8230</v>
      </c>
      <c r="AX7912" t="s">
        <v>8231</v>
      </c>
    </row>
    <row r="7913" spans="1:50" x14ac:dyDescent="0.25">
      <c r="A7913" t="s">
        <v>8232</v>
      </c>
      <c r="V7913" t="s">
        <v>3639</v>
      </c>
      <c r="AX7913" t="s">
        <v>8233</v>
      </c>
    </row>
    <row r="7914" spans="1:50" x14ac:dyDescent="0.25">
      <c r="A7914" t="s">
        <v>8234</v>
      </c>
      <c r="V7914" t="s">
        <v>8235</v>
      </c>
      <c r="AX7914" t="s">
        <v>8236</v>
      </c>
    </row>
    <row r="7915" spans="1:50" x14ac:dyDescent="0.25">
      <c r="A7915" t="s">
        <v>8237</v>
      </c>
      <c r="V7915" t="s">
        <v>8238</v>
      </c>
      <c r="AX7915" t="s">
        <v>8239</v>
      </c>
    </row>
    <row r="7916" spans="1:50" x14ac:dyDescent="0.25">
      <c r="A7916" t="s">
        <v>8240</v>
      </c>
      <c r="V7916" t="s">
        <v>8241</v>
      </c>
      <c r="AX7916" t="s">
        <v>8242</v>
      </c>
    </row>
    <row r="7917" spans="1:50" x14ac:dyDescent="0.25">
      <c r="A7917" t="s">
        <v>8243</v>
      </c>
      <c r="V7917" t="s">
        <v>8244</v>
      </c>
      <c r="AX7917" t="s">
        <v>8245</v>
      </c>
    </row>
    <row r="7918" spans="1:50" x14ac:dyDescent="0.25">
      <c r="A7918" t="s">
        <v>8246</v>
      </c>
      <c r="V7918" t="s">
        <v>8247</v>
      </c>
      <c r="AX7918" t="s">
        <v>8248</v>
      </c>
    </row>
    <row r="7919" spans="1:50" x14ac:dyDescent="0.25">
      <c r="A7919" t="s">
        <v>8249</v>
      </c>
      <c r="V7919" t="s">
        <v>8250</v>
      </c>
      <c r="AX7919" t="s">
        <v>8251</v>
      </c>
    </row>
    <row r="7920" spans="1:50" x14ac:dyDescent="0.25">
      <c r="A7920" t="s">
        <v>8252</v>
      </c>
      <c r="V7920" t="s">
        <v>8253</v>
      </c>
      <c r="AX7920" t="s">
        <v>8254</v>
      </c>
    </row>
    <row r="7921" spans="1:50" x14ac:dyDescent="0.25">
      <c r="A7921" t="s">
        <v>8255</v>
      </c>
      <c r="V7921" t="s">
        <v>8256</v>
      </c>
      <c r="AX7921" t="s">
        <v>8257</v>
      </c>
    </row>
    <row r="7922" spans="1:50" x14ac:dyDescent="0.25">
      <c r="A7922" t="s">
        <v>8258</v>
      </c>
      <c r="V7922" t="s">
        <v>8259</v>
      </c>
      <c r="AX7922" t="s">
        <v>8260</v>
      </c>
    </row>
    <row r="7923" spans="1:50" x14ac:dyDescent="0.25">
      <c r="A7923" t="s">
        <v>8261</v>
      </c>
      <c r="V7923" t="s">
        <v>8262</v>
      </c>
      <c r="AX7923" t="s">
        <v>8263</v>
      </c>
    </row>
    <row r="7924" spans="1:50" x14ac:dyDescent="0.25">
      <c r="A7924" t="s">
        <v>8264</v>
      </c>
      <c r="V7924" t="s">
        <v>8265</v>
      </c>
      <c r="AX7924" t="s">
        <v>8266</v>
      </c>
    </row>
    <row r="7925" spans="1:50" x14ac:dyDescent="0.25">
      <c r="A7925" t="s">
        <v>8267</v>
      </c>
      <c r="V7925" t="s">
        <v>8268</v>
      </c>
      <c r="AX7925" t="s">
        <v>8269</v>
      </c>
    </row>
    <row r="7926" spans="1:50" x14ac:dyDescent="0.25">
      <c r="A7926" t="s">
        <v>8270</v>
      </c>
      <c r="V7926" t="s">
        <v>8271</v>
      </c>
      <c r="AX7926" t="s">
        <v>8272</v>
      </c>
    </row>
    <row r="7927" spans="1:50" x14ac:dyDescent="0.25">
      <c r="A7927" t="s">
        <v>8273</v>
      </c>
      <c r="V7927" t="s">
        <v>8274</v>
      </c>
      <c r="AX7927" t="s">
        <v>8275</v>
      </c>
    </row>
    <row r="7928" spans="1:50" x14ac:dyDescent="0.25">
      <c r="A7928" t="s">
        <v>8276</v>
      </c>
      <c r="V7928" t="s">
        <v>8277</v>
      </c>
      <c r="AX7928" t="s">
        <v>8278</v>
      </c>
    </row>
    <row r="7929" spans="1:50" x14ac:dyDescent="0.25">
      <c r="A7929" t="s">
        <v>8279</v>
      </c>
      <c r="V7929" t="s">
        <v>8280</v>
      </c>
      <c r="AX7929" t="s">
        <v>8281</v>
      </c>
    </row>
    <row r="7930" spans="1:50" x14ac:dyDescent="0.25">
      <c r="A7930" t="s">
        <v>8282</v>
      </c>
      <c r="V7930" t="s">
        <v>8283</v>
      </c>
      <c r="AX7930" t="s">
        <v>8284</v>
      </c>
    </row>
    <row r="7931" spans="1:50" x14ac:dyDescent="0.25">
      <c r="A7931" t="s">
        <v>8285</v>
      </c>
      <c r="V7931" t="s">
        <v>8286</v>
      </c>
      <c r="AX7931" t="s">
        <v>8287</v>
      </c>
    </row>
    <row r="7932" spans="1:50" x14ac:dyDescent="0.25">
      <c r="A7932" t="s">
        <v>8288</v>
      </c>
      <c r="V7932" t="s">
        <v>8289</v>
      </c>
      <c r="AX7932" t="s">
        <v>8290</v>
      </c>
    </row>
    <row r="7933" spans="1:50" x14ac:dyDescent="0.25">
      <c r="A7933" t="s">
        <v>8291</v>
      </c>
      <c r="V7933" t="s">
        <v>8292</v>
      </c>
      <c r="AX7933" t="s">
        <v>8293</v>
      </c>
    </row>
    <row r="7934" spans="1:50" x14ac:dyDescent="0.25">
      <c r="A7934" t="s">
        <v>8294</v>
      </c>
    </row>
    <row r="7935" spans="1:50" x14ac:dyDescent="0.25">
      <c r="A7935" t="s">
        <v>8295</v>
      </c>
    </row>
    <row r="7936" spans="1:50" x14ac:dyDescent="0.25">
      <c r="A7936" t="s">
        <v>8296</v>
      </c>
    </row>
    <row r="7937" spans="1:51" x14ac:dyDescent="0.25">
      <c r="A7937" t="s">
        <v>8297</v>
      </c>
      <c r="V7937" t="s">
        <v>8230</v>
      </c>
      <c r="AX7937" t="s">
        <v>8298</v>
      </c>
    </row>
    <row r="7938" spans="1:51" x14ac:dyDescent="0.25">
      <c r="A7938" t="s">
        <v>8299</v>
      </c>
      <c r="V7938" t="s">
        <v>3639</v>
      </c>
      <c r="AX7938" t="s">
        <v>8300</v>
      </c>
    </row>
    <row r="7939" spans="1:51" x14ac:dyDescent="0.25">
      <c r="A7939" t="s">
        <v>8301</v>
      </c>
      <c r="V7939" t="s">
        <v>8235</v>
      </c>
      <c r="AX7939" t="s">
        <v>8302</v>
      </c>
    </row>
    <row r="7940" spans="1:51" x14ac:dyDescent="0.25">
      <c r="A7940" t="s">
        <v>8303</v>
      </c>
      <c r="V7940" t="s">
        <v>8238</v>
      </c>
      <c r="AX7940" t="s">
        <v>8304</v>
      </c>
    </row>
    <row r="7941" spans="1:51" x14ac:dyDescent="0.25">
      <c r="A7941" t="s">
        <v>8305</v>
      </c>
      <c r="V7941" t="s">
        <v>8241</v>
      </c>
      <c r="AX7941" t="s">
        <v>8306</v>
      </c>
    </row>
    <row r="7942" spans="1:51" x14ac:dyDescent="0.25">
      <c r="A7942" t="s">
        <v>8307</v>
      </c>
      <c r="V7942" t="s">
        <v>8244</v>
      </c>
      <c r="AX7942" t="s">
        <v>8308</v>
      </c>
    </row>
    <row r="7943" spans="1:51" x14ac:dyDescent="0.25">
      <c r="A7943" t="s">
        <v>8309</v>
      </c>
      <c r="V7943" t="s">
        <v>8247</v>
      </c>
      <c r="AX7943" t="s">
        <v>8310</v>
      </c>
    </row>
    <row r="7944" spans="1:51" x14ac:dyDescent="0.25">
      <c r="A7944" t="s">
        <v>8311</v>
      </c>
    </row>
    <row r="7945" spans="1:51" x14ac:dyDescent="0.25">
      <c r="A7945" t="s">
        <v>573</v>
      </c>
      <c r="V7945" t="s">
        <v>7547</v>
      </c>
      <c r="AI7945" t="s">
        <v>7548</v>
      </c>
      <c r="AY7945" t="s">
        <v>7550</v>
      </c>
    </row>
    <row r="7946" spans="1:51" x14ac:dyDescent="0.25">
      <c r="A7946" t="s">
        <v>8312</v>
      </c>
    </row>
    <row r="7947" spans="1:51" x14ac:dyDescent="0.25">
      <c r="A7947" t="s">
        <v>8313</v>
      </c>
      <c r="V7947" t="s">
        <v>8314</v>
      </c>
      <c r="AY7947" t="s">
        <v>8315</v>
      </c>
    </row>
    <row r="7948" spans="1:51" x14ac:dyDescent="0.25">
      <c r="A7948" t="s">
        <v>8316</v>
      </c>
      <c r="V7948" t="s">
        <v>8317</v>
      </c>
      <c r="AY7948" t="s">
        <v>8318</v>
      </c>
    </row>
    <row r="7949" spans="1:51" x14ac:dyDescent="0.25">
      <c r="A7949" t="s">
        <v>8319</v>
      </c>
      <c r="V7949" t="s">
        <v>8317</v>
      </c>
      <c r="AY7949" t="s">
        <v>8320</v>
      </c>
    </row>
    <row r="7950" spans="1:51" x14ac:dyDescent="0.25">
      <c r="A7950" t="s">
        <v>8321</v>
      </c>
      <c r="V7950" t="s">
        <v>8322</v>
      </c>
      <c r="AY7950" t="s">
        <v>8323</v>
      </c>
    </row>
    <row r="7951" spans="1:51" x14ac:dyDescent="0.25">
      <c r="A7951" t="s">
        <v>8324</v>
      </c>
      <c r="V7951" t="s">
        <v>8314</v>
      </c>
      <c r="AY7951" t="s">
        <v>8320</v>
      </c>
    </row>
    <row r="7952" spans="1:51" x14ac:dyDescent="0.25">
      <c r="A7952" t="s">
        <v>8325</v>
      </c>
      <c r="V7952" t="s">
        <v>8317</v>
      </c>
      <c r="AY7952" t="s">
        <v>8326</v>
      </c>
    </row>
    <row r="7953" spans="1:51" x14ac:dyDescent="0.25">
      <c r="A7953" t="s">
        <v>8327</v>
      </c>
      <c r="V7953" t="s">
        <v>8322</v>
      </c>
      <c r="AY7953" t="s">
        <v>8328</v>
      </c>
    </row>
    <row r="7954" spans="1:51" x14ac:dyDescent="0.25">
      <c r="A7954" t="s">
        <v>8329</v>
      </c>
      <c r="V7954" t="s">
        <v>8330</v>
      </c>
      <c r="AY7954" t="s">
        <v>8331</v>
      </c>
    </row>
    <row r="7955" spans="1:51" x14ac:dyDescent="0.25">
      <c r="A7955" t="s">
        <v>8332</v>
      </c>
      <c r="V7955" t="s">
        <v>8333</v>
      </c>
      <c r="AY7955" t="s">
        <v>8334</v>
      </c>
    </row>
    <row r="7956" spans="1:51" x14ac:dyDescent="0.25">
      <c r="A7956" t="s">
        <v>8335</v>
      </c>
      <c r="V7956" t="s">
        <v>8336</v>
      </c>
      <c r="AY7956" t="s">
        <v>8337</v>
      </c>
    </row>
    <row r="7957" spans="1:51" x14ac:dyDescent="0.25">
      <c r="A7957" t="s">
        <v>8338</v>
      </c>
    </row>
    <row r="7958" spans="1:51" x14ac:dyDescent="0.25">
      <c r="A7958" t="s">
        <v>8339</v>
      </c>
      <c r="V7958" t="s">
        <v>8340</v>
      </c>
      <c r="AY7958" t="s">
        <v>8341</v>
      </c>
    </row>
    <row r="7959" spans="1:51" x14ac:dyDescent="0.25">
      <c r="A7959" t="s">
        <v>8342</v>
      </c>
    </row>
    <row r="7960" spans="1:51" x14ac:dyDescent="0.25">
      <c r="A7960" t="s">
        <v>8312</v>
      </c>
    </row>
    <row r="7961" spans="1:51" x14ac:dyDescent="0.25">
      <c r="A7961" t="s">
        <v>8343</v>
      </c>
      <c r="V7961" t="s">
        <v>8344</v>
      </c>
      <c r="AY7961" t="s">
        <v>8345</v>
      </c>
    </row>
    <row r="7962" spans="1:51" x14ac:dyDescent="0.25">
      <c r="A7962" t="s">
        <v>8346</v>
      </c>
      <c r="V7962" t="s">
        <v>8314</v>
      </c>
      <c r="AY7962" t="s">
        <v>8347</v>
      </c>
    </row>
    <row r="7963" spans="1:51" x14ac:dyDescent="0.25">
      <c r="A7963" t="s">
        <v>8348</v>
      </c>
      <c r="V7963" t="s">
        <v>8317</v>
      </c>
      <c r="AY7963" t="s">
        <v>8349</v>
      </c>
    </row>
    <row r="7964" spans="1:51" x14ac:dyDescent="0.25">
      <c r="A7964" t="s">
        <v>8350</v>
      </c>
      <c r="V7964" t="s">
        <v>8322</v>
      </c>
      <c r="AY7964" t="s">
        <v>8351</v>
      </c>
    </row>
    <row r="7965" spans="1:51" x14ac:dyDescent="0.25">
      <c r="A7965" t="s">
        <v>8352</v>
      </c>
      <c r="V7965" t="s">
        <v>8344</v>
      </c>
      <c r="AY7965" t="s">
        <v>8353</v>
      </c>
    </row>
    <row r="7966" spans="1:51" x14ac:dyDescent="0.25">
      <c r="A7966" t="s">
        <v>8354</v>
      </c>
      <c r="V7966" t="s">
        <v>8314</v>
      </c>
      <c r="AY7966" t="s">
        <v>8355</v>
      </c>
    </row>
    <row r="7967" spans="1:51" x14ac:dyDescent="0.25">
      <c r="A7967" t="s">
        <v>8356</v>
      </c>
      <c r="V7967" t="s">
        <v>8317</v>
      </c>
      <c r="AY7967" t="s">
        <v>8357</v>
      </c>
    </row>
    <row r="7968" spans="1:51" x14ac:dyDescent="0.25">
      <c r="A7968" t="s">
        <v>8358</v>
      </c>
      <c r="V7968" t="s">
        <v>8322</v>
      </c>
      <c r="AY7968" t="s">
        <v>8359</v>
      </c>
    </row>
    <row r="7969" spans="1:51" x14ac:dyDescent="0.25">
      <c r="A7969" t="s">
        <v>8360</v>
      </c>
    </row>
    <row r="7970" spans="1:51" x14ac:dyDescent="0.25">
      <c r="A7970" t="s">
        <v>8361</v>
      </c>
    </row>
    <row r="7971" spans="1:51" x14ac:dyDescent="0.25">
      <c r="A7971" t="s">
        <v>8362</v>
      </c>
      <c r="V7971" t="s">
        <v>8230</v>
      </c>
      <c r="AY7971" t="s">
        <v>8363</v>
      </c>
    </row>
    <row r="7972" spans="1:51" x14ac:dyDescent="0.25">
      <c r="A7972" t="s">
        <v>8364</v>
      </c>
      <c r="V7972" t="s">
        <v>3639</v>
      </c>
      <c r="AY7972" t="s">
        <v>8365</v>
      </c>
    </row>
    <row r="7973" spans="1:51" x14ac:dyDescent="0.25">
      <c r="A7973" t="s">
        <v>8366</v>
      </c>
      <c r="V7973" t="s">
        <v>8235</v>
      </c>
      <c r="AY7973" t="s">
        <v>8367</v>
      </c>
    </row>
    <row r="7974" spans="1:51" x14ac:dyDescent="0.25">
      <c r="A7974" t="s">
        <v>8368</v>
      </c>
      <c r="V7974" t="s">
        <v>8238</v>
      </c>
      <c r="AY7974" t="s">
        <v>8369</v>
      </c>
    </row>
    <row r="7975" spans="1:51" x14ac:dyDescent="0.25">
      <c r="A7975" t="s">
        <v>8370</v>
      </c>
      <c r="V7975" t="s">
        <v>8241</v>
      </c>
      <c r="AY7975" t="s">
        <v>8371</v>
      </c>
    </row>
    <row r="7976" spans="1:51" x14ac:dyDescent="0.25">
      <c r="A7976" t="s">
        <v>8372</v>
      </c>
      <c r="V7976" t="s">
        <v>8244</v>
      </c>
      <c r="AY7976" t="s">
        <v>8373</v>
      </c>
    </row>
    <row r="7977" spans="1:51" x14ac:dyDescent="0.25">
      <c r="A7977" t="s">
        <v>8374</v>
      </c>
      <c r="V7977" t="s">
        <v>8247</v>
      </c>
      <c r="AY7977" t="s">
        <v>8375</v>
      </c>
    </row>
    <row r="7978" spans="1:51" x14ac:dyDescent="0.25">
      <c r="A7978" t="s">
        <v>8376</v>
      </c>
    </row>
    <row r="7979" spans="1:51" x14ac:dyDescent="0.25">
      <c r="A7979" t="s">
        <v>8377</v>
      </c>
    </row>
    <row r="7980" spans="1:51" x14ac:dyDescent="0.25">
      <c r="A7980" t="s">
        <v>8378</v>
      </c>
      <c r="V7980" t="s">
        <v>8379</v>
      </c>
      <c r="AY7980" t="s">
        <v>8380</v>
      </c>
    </row>
    <row r="7981" spans="1:51" x14ac:dyDescent="0.25">
      <c r="A7981" t="s">
        <v>8381</v>
      </c>
      <c r="V7981" t="s">
        <v>8382</v>
      </c>
      <c r="AY7981" t="s">
        <v>8383</v>
      </c>
    </row>
    <row r="7982" spans="1:51" x14ac:dyDescent="0.25">
      <c r="A7982" t="s">
        <v>8384</v>
      </c>
      <c r="V7982" t="s">
        <v>8385</v>
      </c>
      <c r="AY7982" t="s">
        <v>8386</v>
      </c>
    </row>
    <row r="7983" spans="1:51" x14ac:dyDescent="0.25">
      <c r="A7983" t="s">
        <v>8387</v>
      </c>
      <c r="V7983" t="s">
        <v>8388</v>
      </c>
      <c r="AY7983" t="s">
        <v>8389</v>
      </c>
    </row>
    <row r="7984" spans="1:51" x14ac:dyDescent="0.25">
      <c r="A7984" t="s">
        <v>8390</v>
      </c>
      <c r="V7984" t="s">
        <v>8385</v>
      </c>
      <c r="AY7984" t="s">
        <v>8386</v>
      </c>
    </row>
    <row r="7985" spans="1:51" x14ac:dyDescent="0.25">
      <c r="A7985" t="s">
        <v>8391</v>
      </c>
      <c r="V7985" t="s">
        <v>8388</v>
      </c>
      <c r="AY7985" t="s">
        <v>8389</v>
      </c>
    </row>
    <row r="7986" spans="1:51" x14ac:dyDescent="0.25">
      <c r="A7986" t="s">
        <v>8392</v>
      </c>
    </row>
    <row r="7987" spans="1:51" x14ac:dyDescent="0.25">
      <c r="A7987" t="s">
        <v>8393</v>
      </c>
      <c r="AY7987" t="s">
        <v>8394</v>
      </c>
    </row>
    <row r="7988" spans="1:51" x14ac:dyDescent="0.25">
      <c r="A7988" t="s">
        <v>8395</v>
      </c>
      <c r="AY7988" t="s">
        <v>7860</v>
      </c>
    </row>
    <row r="7989" spans="1:51" x14ac:dyDescent="0.25">
      <c r="A7989" t="s">
        <v>8396</v>
      </c>
      <c r="AY7989" t="s">
        <v>8397</v>
      </c>
    </row>
    <row r="7990" spans="1:51" x14ac:dyDescent="0.25">
      <c r="A7990" t="s">
        <v>8398</v>
      </c>
    </row>
    <row r="7991" spans="1:51" x14ac:dyDescent="0.25">
      <c r="A7991" t="s">
        <v>8399</v>
      </c>
      <c r="AY7991" t="s">
        <v>8400</v>
      </c>
    </row>
    <row r="7992" spans="1:51" x14ac:dyDescent="0.25">
      <c r="A7992" t="s">
        <v>8401</v>
      </c>
      <c r="AY7992" t="s">
        <v>8402</v>
      </c>
    </row>
    <row r="7993" spans="1:51" x14ac:dyDescent="0.25">
      <c r="A7993" t="s">
        <v>8403</v>
      </c>
      <c r="AY7993" t="s">
        <v>8404</v>
      </c>
    </row>
    <row r="7994" spans="1:51" x14ac:dyDescent="0.25">
      <c r="A7994" t="s">
        <v>8405</v>
      </c>
    </row>
    <row r="7995" spans="1:51" x14ac:dyDescent="0.25">
      <c r="A7995" t="s">
        <v>8406</v>
      </c>
      <c r="V7995" t="s">
        <v>8407</v>
      </c>
      <c r="AY7995" t="s">
        <v>8408</v>
      </c>
    </row>
    <row r="7996" spans="1:51" x14ac:dyDescent="0.25">
      <c r="A7996" t="s">
        <v>8409</v>
      </c>
      <c r="AY7996" t="s">
        <v>8410</v>
      </c>
    </row>
    <row r="7997" spans="1:51" x14ac:dyDescent="0.25">
      <c r="A7997" t="s">
        <v>8411</v>
      </c>
    </row>
    <row r="7998" spans="1:51" x14ac:dyDescent="0.25">
      <c r="A7998" t="s">
        <v>573</v>
      </c>
      <c r="R7998" t="s">
        <v>8412</v>
      </c>
      <c r="AB7998" t="s">
        <v>7548</v>
      </c>
      <c r="AK7998" t="s">
        <v>8413</v>
      </c>
      <c r="AT7998" t="s">
        <v>7550</v>
      </c>
    </row>
    <row r="7999" spans="1:51" x14ac:dyDescent="0.25">
      <c r="A7999" t="s">
        <v>8414</v>
      </c>
    </row>
    <row r="8000" spans="1:51" x14ac:dyDescent="0.25">
      <c r="A8000" t="s">
        <v>8415</v>
      </c>
      <c r="R8000" t="s">
        <v>8416</v>
      </c>
      <c r="AK8000">
        <v>35</v>
      </c>
      <c r="AT8000">
        <v>732</v>
      </c>
    </row>
    <row r="8001" spans="1:46" x14ac:dyDescent="0.25">
      <c r="A8001" t="s">
        <v>8417</v>
      </c>
      <c r="R8001" t="s">
        <v>8418</v>
      </c>
      <c r="AK8001">
        <v>50</v>
      </c>
      <c r="AT8001">
        <v>764</v>
      </c>
    </row>
    <row r="8002" spans="1:46" x14ac:dyDescent="0.25">
      <c r="A8002" t="s">
        <v>8419</v>
      </c>
      <c r="R8002" t="s">
        <v>8420</v>
      </c>
      <c r="AK8002">
        <v>65</v>
      </c>
      <c r="AT8002">
        <v>786</v>
      </c>
    </row>
    <row r="8003" spans="1:46" x14ac:dyDescent="0.25">
      <c r="A8003" t="s">
        <v>8421</v>
      </c>
      <c r="R8003" t="s">
        <v>8422</v>
      </c>
      <c r="AK8003">
        <v>90</v>
      </c>
      <c r="AT8003">
        <v>808</v>
      </c>
    </row>
    <row r="8004" spans="1:46" x14ac:dyDescent="0.25">
      <c r="A8004" t="s">
        <v>8423</v>
      </c>
      <c r="R8004" t="s">
        <v>8424</v>
      </c>
      <c r="AK8004">
        <v>110</v>
      </c>
      <c r="AT8004" t="s">
        <v>8425</v>
      </c>
    </row>
    <row r="8005" spans="1:46" x14ac:dyDescent="0.25">
      <c r="A8005" t="s">
        <v>8426</v>
      </c>
      <c r="R8005" t="s">
        <v>8427</v>
      </c>
      <c r="AK8005">
        <v>140</v>
      </c>
      <c r="AT8005" t="s">
        <v>3898</v>
      </c>
    </row>
    <row r="8006" spans="1:46" x14ac:dyDescent="0.25">
      <c r="A8006" t="s">
        <v>8428</v>
      </c>
      <c r="R8006" t="s">
        <v>8429</v>
      </c>
      <c r="AK8006">
        <v>200</v>
      </c>
      <c r="AT8006" t="s">
        <v>8430</v>
      </c>
    </row>
    <row r="8007" spans="1:46" x14ac:dyDescent="0.25">
      <c r="A8007" t="s">
        <v>8431</v>
      </c>
      <c r="R8007" t="s">
        <v>8432</v>
      </c>
      <c r="AK8007">
        <v>250</v>
      </c>
      <c r="AT8007" t="s">
        <v>8433</v>
      </c>
    </row>
    <row r="8008" spans="1:46" x14ac:dyDescent="0.25">
      <c r="A8008" t="s">
        <v>8434</v>
      </c>
      <c r="R8008" t="s">
        <v>8435</v>
      </c>
      <c r="AK8008">
        <v>310</v>
      </c>
      <c r="AT8008" t="s">
        <v>8436</v>
      </c>
    </row>
    <row r="8009" spans="1:46" x14ac:dyDescent="0.25">
      <c r="A8009" t="s">
        <v>8437</v>
      </c>
    </row>
    <row r="8010" spans="1:46" x14ac:dyDescent="0.25">
      <c r="A8010" t="s">
        <v>8438</v>
      </c>
      <c r="R8010" t="s">
        <v>8418</v>
      </c>
      <c r="AK8010">
        <v>50</v>
      </c>
      <c r="AT8010" t="s">
        <v>8439</v>
      </c>
    </row>
    <row r="8011" spans="1:46" x14ac:dyDescent="0.25">
      <c r="A8011" t="s">
        <v>8440</v>
      </c>
      <c r="R8011" t="s">
        <v>8420</v>
      </c>
      <c r="AK8011">
        <v>65</v>
      </c>
      <c r="AT8011" t="s">
        <v>8441</v>
      </c>
    </row>
    <row r="8012" spans="1:46" x14ac:dyDescent="0.25">
      <c r="A8012" t="s">
        <v>8442</v>
      </c>
      <c r="R8012" t="s">
        <v>8422</v>
      </c>
      <c r="AK8012">
        <v>90</v>
      </c>
      <c r="AT8012" t="s">
        <v>8443</v>
      </c>
    </row>
    <row r="8013" spans="1:46" x14ac:dyDescent="0.25">
      <c r="A8013" t="s">
        <v>8444</v>
      </c>
    </row>
    <row r="8014" spans="1:46" x14ac:dyDescent="0.25">
      <c r="A8014" t="s">
        <v>8445</v>
      </c>
      <c r="R8014" t="s">
        <v>8416</v>
      </c>
      <c r="AK8014">
        <v>35</v>
      </c>
      <c r="AT8014">
        <v>873</v>
      </c>
    </row>
    <row r="8015" spans="1:46" x14ac:dyDescent="0.25">
      <c r="A8015" t="s">
        <v>8446</v>
      </c>
      <c r="R8015" t="s">
        <v>8418</v>
      </c>
      <c r="AK8015">
        <v>50</v>
      </c>
      <c r="AT8015">
        <v>914</v>
      </c>
    </row>
    <row r="8016" spans="1:46" x14ac:dyDescent="0.25">
      <c r="A8016" t="s">
        <v>8447</v>
      </c>
      <c r="R8016" t="s">
        <v>8420</v>
      </c>
      <c r="AK8016">
        <v>65</v>
      </c>
      <c r="AT8016">
        <v>950</v>
      </c>
    </row>
    <row r="8017" spans="1:46" x14ac:dyDescent="0.25">
      <c r="A8017" t="s">
        <v>8448</v>
      </c>
      <c r="R8017" t="s">
        <v>8422</v>
      </c>
      <c r="AK8017">
        <v>90</v>
      </c>
      <c r="AT8017">
        <v>988</v>
      </c>
    </row>
    <row r="8018" spans="1:46" x14ac:dyDescent="0.25">
      <c r="A8018" t="s">
        <v>8449</v>
      </c>
      <c r="R8018" t="s">
        <v>8424</v>
      </c>
      <c r="AK8018">
        <v>110</v>
      </c>
      <c r="AT8018" t="s">
        <v>3249</v>
      </c>
    </row>
    <row r="8019" spans="1:46" x14ac:dyDescent="0.25">
      <c r="A8019" t="s">
        <v>8450</v>
      </c>
      <c r="R8019" t="s">
        <v>8427</v>
      </c>
      <c r="AK8019">
        <v>140</v>
      </c>
      <c r="AT8019" t="s">
        <v>4346</v>
      </c>
    </row>
    <row r="8020" spans="1:46" x14ac:dyDescent="0.25">
      <c r="A8020" t="s">
        <v>8451</v>
      </c>
      <c r="R8020" t="s">
        <v>8429</v>
      </c>
      <c r="AK8020">
        <v>200</v>
      </c>
      <c r="AT8020" t="s">
        <v>3613</v>
      </c>
    </row>
    <row r="8021" spans="1:46" x14ac:dyDescent="0.25">
      <c r="A8021" t="s">
        <v>8452</v>
      </c>
    </row>
    <row r="8022" spans="1:46" x14ac:dyDescent="0.25">
      <c r="A8022" t="s">
        <v>8453</v>
      </c>
      <c r="R8022" t="s">
        <v>8420</v>
      </c>
      <c r="AK8022">
        <v>65</v>
      </c>
      <c r="AT8022" t="s">
        <v>8454</v>
      </c>
    </row>
    <row r="8023" spans="1:46" x14ac:dyDescent="0.25">
      <c r="A8023" t="s">
        <v>8455</v>
      </c>
      <c r="R8023" t="s">
        <v>8422</v>
      </c>
      <c r="AK8023">
        <v>90</v>
      </c>
      <c r="AT8023" t="s">
        <v>8456</v>
      </c>
    </row>
    <row r="8024" spans="1:46" x14ac:dyDescent="0.25">
      <c r="A8024" t="s">
        <v>8457</v>
      </c>
    </row>
    <row r="8025" spans="1:46" x14ac:dyDescent="0.25">
      <c r="A8025" t="s">
        <v>8458</v>
      </c>
      <c r="R8025" t="s">
        <v>8427</v>
      </c>
      <c r="AK8025">
        <v>140</v>
      </c>
      <c r="AT8025" t="s">
        <v>7589</v>
      </c>
    </row>
    <row r="8026" spans="1:46" x14ac:dyDescent="0.25">
      <c r="A8026" t="s">
        <v>8459</v>
      </c>
      <c r="R8026" t="s">
        <v>8429</v>
      </c>
      <c r="AK8026">
        <v>200</v>
      </c>
      <c r="AT8026" t="s">
        <v>8460</v>
      </c>
    </row>
    <row r="8027" spans="1:46" x14ac:dyDescent="0.25">
      <c r="A8027" t="s">
        <v>8461</v>
      </c>
      <c r="R8027" t="s">
        <v>8435</v>
      </c>
      <c r="AK8027">
        <v>310</v>
      </c>
      <c r="AT8027" t="s">
        <v>4062</v>
      </c>
    </row>
    <row r="8028" spans="1:46" x14ac:dyDescent="0.25">
      <c r="A8028" t="s">
        <v>8462</v>
      </c>
      <c r="R8028" t="s">
        <v>8463</v>
      </c>
      <c r="AK8028">
        <v>430</v>
      </c>
      <c r="AT8028" t="s">
        <v>8464</v>
      </c>
    </row>
    <row r="8029" spans="1:46" x14ac:dyDescent="0.25">
      <c r="A8029" t="s">
        <v>8465</v>
      </c>
    </row>
    <row r="8030" spans="1:46" x14ac:dyDescent="0.25">
      <c r="A8030" t="s">
        <v>8466</v>
      </c>
      <c r="R8030" t="s">
        <v>8418</v>
      </c>
      <c r="AK8030">
        <v>50</v>
      </c>
      <c r="AT8030">
        <v>964</v>
      </c>
    </row>
    <row r="8031" spans="1:46" x14ac:dyDescent="0.25">
      <c r="A8031" t="s">
        <v>8467</v>
      </c>
      <c r="R8031" t="s">
        <v>8420</v>
      </c>
      <c r="AK8031">
        <v>65</v>
      </c>
      <c r="AT8031">
        <v>993</v>
      </c>
    </row>
    <row r="8032" spans="1:46" x14ac:dyDescent="0.25">
      <c r="A8032" t="s">
        <v>8468</v>
      </c>
      <c r="R8032" t="s">
        <v>8422</v>
      </c>
      <c r="AK8032">
        <v>90</v>
      </c>
      <c r="AT8032" t="s">
        <v>8469</v>
      </c>
    </row>
    <row r="8033" spans="1:46" x14ac:dyDescent="0.25">
      <c r="A8033" t="s">
        <v>8470</v>
      </c>
      <c r="R8033" t="s">
        <v>8424</v>
      </c>
      <c r="AK8033">
        <v>110</v>
      </c>
      <c r="AT8033" t="s">
        <v>8471</v>
      </c>
    </row>
    <row r="8034" spans="1:46" x14ac:dyDescent="0.25">
      <c r="A8034" t="s">
        <v>8472</v>
      </c>
      <c r="R8034" t="s">
        <v>8427</v>
      </c>
      <c r="AK8034">
        <v>140</v>
      </c>
      <c r="AT8034" t="s">
        <v>8473</v>
      </c>
    </row>
    <row r="8035" spans="1:46" x14ac:dyDescent="0.25">
      <c r="A8035" t="s">
        <v>8474</v>
      </c>
      <c r="R8035" t="s">
        <v>8429</v>
      </c>
      <c r="AK8035">
        <v>200</v>
      </c>
      <c r="AT8035" t="s">
        <v>8475</v>
      </c>
    </row>
    <row r="8036" spans="1:46" x14ac:dyDescent="0.25">
      <c r="A8036" t="s">
        <v>8476</v>
      </c>
    </row>
    <row r="8037" spans="1:46" x14ac:dyDescent="0.25">
      <c r="A8037" t="s">
        <v>8477</v>
      </c>
      <c r="R8037" t="s">
        <v>8418</v>
      </c>
      <c r="AK8037">
        <v>50</v>
      </c>
      <c r="AT8037" t="s">
        <v>8478</v>
      </c>
    </row>
    <row r="8038" spans="1:46" x14ac:dyDescent="0.25">
      <c r="A8038" t="s">
        <v>8479</v>
      </c>
      <c r="R8038" t="s">
        <v>8420</v>
      </c>
      <c r="AK8038">
        <v>65</v>
      </c>
      <c r="AT8038" t="s">
        <v>8480</v>
      </c>
    </row>
    <row r="8039" spans="1:46" x14ac:dyDescent="0.25">
      <c r="A8039" t="s">
        <v>8481</v>
      </c>
      <c r="R8039" t="s">
        <v>8422</v>
      </c>
      <c r="AK8039">
        <v>90</v>
      </c>
      <c r="AT8039" t="s">
        <v>8482</v>
      </c>
    </row>
    <row r="8040" spans="1:46" x14ac:dyDescent="0.25">
      <c r="A8040" t="s">
        <v>8483</v>
      </c>
      <c r="R8040" t="s">
        <v>8424</v>
      </c>
      <c r="AK8040">
        <v>110</v>
      </c>
      <c r="AT8040" t="s">
        <v>8484</v>
      </c>
    </row>
    <row r="8041" spans="1:46" x14ac:dyDescent="0.25">
      <c r="A8041" t="s">
        <v>8485</v>
      </c>
      <c r="R8041" t="s">
        <v>8427</v>
      </c>
      <c r="AK8041">
        <v>140</v>
      </c>
      <c r="AT8041" t="s">
        <v>8486</v>
      </c>
    </row>
    <row r="8042" spans="1:46" x14ac:dyDescent="0.25">
      <c r="A8042" t="s">
        <v>8487</v>
      </c>
      <c r="R8042" t="s">
        <v>8429</v>
      </c>
      <c r="AK8042">
        <v>200</v>
      </c>
      <c r="AT8042" t="s">
        <v>7582</v>
      </c>
    </row>
    <row r="8043" spans="1:46" x14ac:dyDescent="0.25">
      <c r="A8043" t="s">
        <v>8488</v>
      </c>
    </row>
    <row r="8044" spans="1:46" x14ac:dyDescent="0.25">
      <c r="A8044" t="s">
        <v>8489</v>
      </c>
      <c r="R8044" t="s">
        <v>8418</v>
      </c>
      <c r="AK8044">
        <v>50</v>
      </c>
      <c r="AT8044">
        <v>984</v>
      </c>
    </row>
    <row r="8045" spans="1:46" x14ac:dyDescent="0.25">
      <c r="A8045" t="s">
        <v>8490</v>
      </c>
      <c r="R8045" t="s">
        <v>8420</v>
      </c>
      <c r="AK8045">
        <v>65</v>
      </c>
      <c r="AT8045" t="s">
        <v>8491</v>
      </c>
    </row>
    <row r="8046" spans="1:46" x14ac:dyDescent="0.25">
      <c r="A8046" t="s">
        <v>8492</v>
      </c>
      <c r="R8046" t="s">
        <v>8422</v>
      </c>
      <c r="AK8046">
        <v>90</v>
      </c>
      <c r="AT8046" t="s">
        <v>8493</v>
      </c>
    </row>
    <row r="8047" spans="1:46" x14ac:dyDescent="0.25">
      <c r="A8047" t="s">
        <v>8494</v>
      </c>
      <c r="R8047" t="s">
        <v>8424</v>
      </c>
      <c r="AK8047">
        <v>110</v>
      </c>
      <c r="AT8047" t="s">
        <v>8495</v>
      </c>
    </row>
    <row r="8048" spans="1:46" x14ac:dyDescent="0.25">
      <c r="A8048" t="s">
        <v>8496</v>
      </c>
    </row>
    <row r="8049" spans="1:46" x14ac:dyDescent="0.25">
      <c r="A8049" t="s">
        <v>8497</v>
      </c>
      <c r="R8049" t="s">
        <v>8418</v>
      </c>
      <c r="AK8049">
        <v>50</v>
      </c>
      <c r="AT8049" t="s">
        <v>8498</v>
      </c>
    </row>
    <row r="8050" spans="1:46" x14ac:dyDescent="0.25">
      <c r="A8050" t="s">
        <v>8499</v>
      </c>
      <c r="R8050" t="s">
        <v>8420</v>
      </c>
      <c r="AK8050">
        <v>65</v>
      </c>
      <c r="AT8050" t="s">
        <v>8500</v>
      </c>
    </row>
    <row r="8051" spans="1:46" x14ac:dyDescent="0.25">
      <c r="A8051" t="s">
        <v>8501</v>
      </c>
      <c r="R8051" t="s">
        <v>8422</v>
      </c>
      <c r="AK8051">
        <v>90</v>
      </c>
      <c r="AT8051" t="s">
        <v>8502</v>
      </c>
    </row>
    <row r="8052" spans="1:46" x14ac:dyDescent="0.25">
      <c r="A8052" t="s">
        <v>7836</v>
      </c>
      <c r="AT8052">
        <v>165</v>
      </c>
    </row>
    <row r="8053" spans="1:46" x14ac:dyDescent="0.25">
      <c r="A8053" t="s">
        <v>7837</v>
      </c>
      <c r="AT8053">
        <v>212</v>
      </c>
    </row>
    <row r="8054" spans="1:46" x14ac:dyDescent="0.25">
      <c r="A8054" t="s">
        <v>8503</v>
      </c>
      <c r="AT8054">
        <v>165</v>
      </c>
    </row>
    <row r="8055" spans="1:46" x14ac:dyDescent="0.25">
      <c r="A8055" t="s">
        <v>8504</v>
      </c>
      <c r="R8055" t="s">
        <v>8427</v>
      </c>
      <c r="AK8055">
        <v>140</v>
      </c>
      <c r="AT8055" t="s">
        <v>3505</v>
      </c>
    </row>
    <row r="8056" spans="1:46" x14ac:dyDescent="0.25">
      <c r="A8056" t="s">
        <v>8505</v>
      </c>
      <c r="R8056" t="s">
        <v>8429</v>
      </c>
      <c r="AK8056">
        <v>200</v>
      </c>
      <c r="AT8056" t="s">
        <v>8460</v>
      </c>
    </row>
    <row r="8057" spans="1:46" x14ac:dyDescent="0.25">
      <c r="A8057" t="s">
        <v>8506</v>
      </c>
      <c r="AT8057">
        <v>217</v>
      </c>
    </row>
    <row r="8058" spans="1:46" x14ac:dyDescent="0.25">
      <c r="A8058" t="s">
        <v>8507</v>
      </c>
      <c r="AT8058">
        <v>212</v>
      </c>
    </row>
    <row r="8059" spans="1:46" x14ac:dyDescent="0.25">
      <c r="A8059" t="s">
        <v>8508</v>
      </c>
      <c r="AT8059">
        <v>204</v>
      </c>
    </row>
    <row r="8060" spans="1:46" x14ac:dyDescent="0.25">
      <c r="A8060" t="s">
        <v>8509</v>
      </c>
    </row>
    <row r="8061" spans="1:46" x14ac:dyDescent="0.25">
      <c r="A8061" t="s">
        <v>8411</v>
      </c>
    </row>
    <row r="8062" spans="1:46" x14ac:dyDescent="0.25">
      <c r="A8062" t="s">
        <v>573</v>
      </c>
      <c r="R8062" t="s">
        <v>8412</v>
      </c>
      <c r="AB8062" t="s">
        <v>7548</v>
      </c>
      <c r="AJ8062" t="s">
        <v>8413</v>
      </c>
      <c r="AQ8062" t="s">
        <v>7550</v>
      </c>
    </row>
    <row r="8063" spans="1:46" x14ac:dyDescent="0.25">
      <c r="A8063" t="s">
        <v>8510</v>
      </c>
    </row>
    <row r="8064" spans="1:46" x14ac:dyDescent="0.25">
      <c r="A8064" t="s">
        <v>8511</v>
      </c>
      <c r="R8064" t="s">
        <v>8420</v>
      </c>
      <c r="AJ8064">
        <v>65</v>
      </c>
      <c r="AQ8064" t="s">
        <v>8512</v>
      </c>
    </row>
    <row r="8065" spans="1:43" x14ac:dyDescent="0.25">
      <c r="A8065" t="s">
        <v>8513</v>
      </c>
      <c r="R8065" t="s">
        <v>8422</v>
      </c>
      <c r="AJ8065">
        <v>90</v>
      </c>
      <c r="AQ8065" t="s">
        <v>8514</v>
      </c>
    </row>
    <row r="8066" spans="1:43" x14ac:dyDescent="0.25">
      <c r="A8066" t="s">
        <v>8515</v>
      </c>
      <c r="R8066" t="s">
        <v>8427</v>
      </c>
      <c r="AJ8066">
        <v>140</v>
      </c>
      <c r="AQ8066" t="s">
        <v>8516</v>
      </c>
    </row>
    <row r="8067" spans="1:43" x14ac:dyDescent="0.25">
      <c r="A8067" t="s">
        <v>8517</v>
      </c>
      <c r="R8067" t="s">
        <v>8429</v>
      </c>
      <c r="AJ8067">
        <v>200</v>
      </c>
      <c r="AQ8067" t="s">
        <v>8518</v>
      </c>
    </row>
    <row r="8068" spans="1:43" x14ac:dyDescent="0.25">
      <c r="A8068" t="s">
        <v>8519</v>
      </c>
      <c r="AQ8068" t="s">
        <v>8520</v>
      </c>
    </row>
    <row r="8069" spans="1:43" x14ac:dyDescent="0.25">
      <c r="A8069" t="s">
        <v>8182</v>
      </c>
    </row>
    <row r="8070" spans="1:43" x14ac:dyDescent="0.25">
      <c r="A8070" t="s">
        <v>8521</v>
      </c>
      <c r="R8070" t="s">
        <v>8522</v>
      </c>
      <c r="AJ8070">
        <v>35</v>
      </c>
      <c r="AQ8070" t="s">
        <v>8523</v>
      </c>
    </row>
    <row r="8071" spans="1:43" x14ac:dyDescent="0.25">
      <c r="A8071" t="s">
        <v>8524</v>
      </c>
      <c r="R8071" t="s">
        <v>8418</v>
      </c>
      <c r="AJ8071">
        <v>50</v>
      </c>
      <c r="AQ8071" t="s">
        <v>8525</v>
      </c>
    </row>
    <row r="8072" spans="1:43" x14ac:dyDescent="0.25">
      <c r="A8072" t="s">
        <v>8526</v>
      </c>
      <c r="R8072" t="s">
        <v>8420</v>
      </c>
      <c r="AJ8072">
        <v>65</v>
      </c>
      <c r="AQ8072" t="s">
        <v>8527</v>
      </c>
    </row>
    <row r="8073" spans="1:43" x14ac:dyDescent="0.25">
      <c r="A8073" t="s">
        <v>8528</v>
      </c>
      <c r="R8073" t="s">
        <v>8422</v>
      </c>
      <c r="AJ8073">
        <v>90</v>
      </c>
      <c r="AQ8073" t="s">
        <v>7708</v>
      </c>
    </row>
    <row r="8074" spans="1:43" x14ac:dyDescent="0.25">
      <c r="A8074" t="s">
        <v>8529</v>
      </c>
      <c r="R8074" t="s">
        <v>8424</v>
      </c>
      <c r="AJ8074">
        <v>110</v>
      </c>
      <c r="AQ8074" t="s">
        <v>8530</v>
      </c>
    </row>
    <row r="8075" spans="1:43" x14ac:dyDescent="0.25">
      <c r="A8075" t="s">
        <v>8531</v>
      </c>
      <c r="R8075" t="s">
        <v>8427</v>
      </c>
      <c r="AJ8075">
        <v>140</v>
      </c>
      <c r="AQ8075" t="s">
        <v>3916</v>
      </c>
    </row>
    <row r="8076" spans="1:43" x14ac:dyDescent="0.25">
      <c r="A8076" t="s">
        <v>8532</v>
      </c>
      <c r="R8076" t="s">
        <v>8533</v>
      </c>
      <c r="AJ8076">
        <v>170</v>
      </c>
      <c r="AQ8076" t="s">
        <v>8534</v>
      </c>
    </row>
    <row r="8077" spans="1:43" x14ac:dyDescent="0.25">
      <c r="A8077" t="s">
        <v>7658</v>
      </c>
      <c r="AQ8077" t="s">
        <v>8535</v>
      </c>
    </row>
    <row r="8078" spans="1:43" x14ac:dyDescent="0.25">
      <c r="A8078" t="s">
        <v>8536</v>
      </c>
    </row>
    <row r="8079" spans="1:43" x14ac:dyDescent="0.25">
      <c r="A8079" t="s">
        <v>8537</v>
      </c>
      <c r="R8079" t="s">
        <v>8522</v>
      </c>
      <c r="AJ8079">
        <v>35</v>
      </c>
      <c r="AQ8079" t="s">
        <v>3597</v>
      </c>
    </row>
    <row r="8080" spans="1:43" x14ac:dyDescent="0.25">
      <c r="A8080" t="s">
        <v>8538</v>
      </c>
      <c r="R8080" t="s">
        <v>8418</v>
      </c>
      <c r="AJ8080">
        <v>50</v>
      </c>
      <c r="AQ8080" t="s">
        <v>8539</v>
      </c>
    </row>
    <row r="8081" spans="1:43" x14ac:dyDescent="0.25">
      <c r="A8081" t="s">
        <v>8540</v>
      </c>
      <c r="R8081" t="s">
        <v>8420</v>
      </c>
      <c r="AJ8081">
        <v>65</v>
      </c>
      <c r="AQ8081" t="s">
        <v>8541</v>
      </c>
    </row>
    <row r="8082" spans="1:43" x14ac:dyDescent="0.25">
      <c r="A8082" t="s">
        <v>8542</v>
      </c>
      <c r="R8082" t="s">
        <v>8422</v>
      </c>
      <c r="AJ8082">
        <v>90</v>
      </c>
      <c r="AQ8082" t="s">
        <v>8543</v>
      </c>
    </row>
    <row r="8083" spans="1:43" x14ac:dyDescent="0.25">
      <c r="A8083" t="s">
        <v>8544</v>
      </c>
      <c r="R8083" t="s">
        <v>8424</v>
      </c>
      <c r="AJ8083">
        <v>110</v>
      </c>
      <c r="AQ8083" t="s">
        <v>8545</v>
      </c>
    </row>
    <row r="8084" spans="1:43" x14ac:dyDescent="0.25">
      <c r="A8084" t="s">
        <v>8546</v>
      </c>
      <c r="R8084" t="s">
        <v>8427</v>
      </c>
      <c r="AJ8084">
        <v>140</v>
      </c>
      <c r="AQ8084" t="s">
        <v>3598</v>
      </c>
    </row>
    <row r="8085" spans="1:43" x14ac:dyDescent="0.25">
      <c r="A8085" t="s">
        <v>8547</v>
      </c>
      <c r="R8085" t="s">
        <v>8429</v>
      </c>
      <c r="AJ8085">
        <v>200</v>
      </c>
      <c r="AQ8085" t="s">
        <v>8548</v>
      </c>
    </row>
    <row r="8086" spans="1:43" x14ac:dyDescent="0.25">
      <c r="A8086" t="s">
        <v>8549</v>
      </c>
      <c r="R8086" t="s">
        <v>8432</v>
      </c>
      <c r="AJ8086">
        <v>250</v>
      </c>
      <c r="AQ8086" t="s">
        <v>8550</v>
      </c>
    </row>
    <row r="8087" spans="1:43" x14ac:dyDescent="0.25">
      <c r="A8087" t="s">
        <v>8551</v>
      </c>
      <c r="R8087" t="s">
        <v>8552</v>
      </c>
      <c r="AJ8087">
        <v>280</v>
      </c>
      <c r="AQ8087" t="s">
        <v>3626</v>
      </c>
    </row>
    <row r="8088" spans="1:43" x14ac:dyDescent="0.25">
      <c r="A8088" t="s">
        <v>8553</v>
      </c>
      <c r="R8088" t="s">
        <v>8435</v>
      </c>
      <c r="AJ8088">
        <v>310</v>
      </c>
      <c r="AQ8088" t="s">
        <v>8554</v>
      </c>
    </row>
    <row r="8089" spans="1:43" x14ac:dyDescent="0.25">
      <c r="A8089" t="s">
        <v>8555</v>
      </c>
      <c r="R8089" t="s">
        <v>8556</v>
      </c>
      <c r="AJ8089">
        <v>370</v>
      </c>
      <c r="AQ8089" t="s">
        <v>8557</v>
      </c>
    </row>
    <row r="8090" spans="1:43" x14ac:dyDescent="0.25">
      <c r="A8090" t="s">
        <v>8558</v>
      </c>
      <c r="R8090" t="s">
        <v>8463</v>
      </c>
      <c r="AJ8090">
        <v>430</v>
      </c>
      <c r="AQ8090" t="s">
        <v>8559</v>
      </c>
    </row>
    <row r="8091" spans="1:43" x14ac:dyDescent="0.25">
      <c r="A8091" t="s">
        <v>7669</v>
      </c>
      <c r="AQ8091" t="s">
        <v>8560</v>
      </c>
    </row>
    <row r="8092" spans="1:43" x14ac:dyDescent="0.25">
      <c r="A8092" t="s">
        <v>7670</v>
      </c>
      <c r="AQ8092" t="s">
        <v>8561</v>
      </c>
    </row>
    <row r="8093" spans="1:43" x14ac:dyDescent="0.25">
      <c r="A8093" t="s">
        <v>7671</v>
      </c>
      <c r="AQ8093" t="s">
        <v>8562</v>
      </c>
    </row>
    <row r="8094" spans="1:43" x14ac:dyDescent="0.25">
      <c r="A8094" t="s">
        <v>8563</v>
      </c>
    </row>
    <row r="8095" spans="1:43" x14ac:dyDescent="0.25">
      <c r="A8095" t="s">
        <v>8564</v>
      </c>
      <c r="R8095" t="s">
        <v>8429</v>
      </c>
      <c r="AJ8095">
        <v>200</v>
      </c>
      <c r="AQ8095" t="s">
        <v>8565</v>
      </c>
    </row>
    <row r="8096" spans="1:43" x14ac:dyDescent="0.25">
      <c r="A8096" t="s">
        <v>8566</v>
      </c>
      <c r="R8096" t="s">
        <v>8432</v>
      </c>
      <c r="AJ8096">
        <v>250</v>
      </c>
      <c r="AQ8096" t="s">
        <v>8567</v>
      </c>
    </row>
    <row r="8097" spans="1:43" x14ac:dyDescent="0.25">
      <c r="A8097" t="s">
        <v>8568</v>
      </c>
      <c r="R8097" t="s">
        <v>8552</v>
      </c>
      <c r="AJ8097">
        <v>280</v>
      </c>
      <c r="AQ8097" t="s">
        <v>8569</v>
      </c>
    </row>
    <row r="8098" spans="1:43" x14ac:dyDescent="0.25">
      <c r="A8098" t="s">
        <v>8570</v>
      </c>
    </row>
    <row r="8099" spans="1:43" x14ac:dyDescent="0.25">
      <c r="A8099" t="s">
        <v>8571</v>
      </c>
      <c r="R8099" t="s">
        <v>8463</v>
      </c>
      <c r="AJ8099">
        <v>430</v>
      </c>
      <c r="AQ8099" t="s">
        <v>8572</v>
      </c>
    </row>
    <row r="8100" spans="1:43" x14ac:dyDescent="0.25">
      <c r="A8100" t="s">
        <v>8573</v>
      </c>
      <c r="R8100" t="s">
        <v>8574</v>
      </c>
      <c r="AJ8100">
        <v>720</v>
      </c>
      <c r="AQ8100" t="s">
        <v>8575</v>
      </c>
    </row>
    <row r="8101" spans="1:43" x14ac:dyDescent="0.25">
      <c r="A8101" t="s">
        <v>8576</v>
      </c>
    </row>
    <row r="8102" spans="1:43" x14ac:dyDescent="0.25">
      <c r="A8102" t="s">
        <v>8577</v>
      </c>
      <c r="R8102" t="s">
        <v>8578</v>
      </c>
      <c r="AJ8102">
        <v>50</v>
      </c>
      <c r="AQ8102" t="s">
        <v>8579</v>
      </c>
    </row>
    <row r="8103" spans="1:43" x14ac:dyDescent="0.25">
      <c r="A8103" t="s">
        <v>8580</v>
      </c>
      <c r="R8103" t="s">
        <v>8420</v>
      </c>
      <c r="AJ8103">
        <v>65</v>
      </c>
      <c r="AQ8103" t="s">
        <v>8581</v>
      </c>
    </row>
    <row r="8104" spans="1:43" x14ac:dyDescent="0.25">
      <c r="A8104" t="s">
        <v>8582</v>
      </c>
      <c r="R8104" t="s">
        <v>8422</v>
      </c>
      <c r="AJ8104">
        <v>90</v>
      </c>
      <c r="AQ8104" t="s">
        <v>8583</v>
      </c>
    </row>
    <row r="8105" spans="1:43" x14ac:dyDescent="0.25">
      <c r="A8105" t="s">
        <v>8584</v>
      </c>
      <c r="R8105" t="s">
        <v>8424</v>
      </c>
      <c r="AJ8105">
        <v>110</v>
      </c>
      <c r="AQ8105" t="s">
        <v>3917</v>
      </c>
    </row>
    <row r="8106" spans="1:43" x14ac:dyDescent="0.25">
      <c r="A8106" t="s">
        <v>8585</v>
      </c>
      <c r="R8106" t="s">
        <v>8427</v>
      </c>
      <c r="AJ8106">
        <v>140</v>
      </c>
      <c r="AQ8106" t="s">
        <v>8586</v>
      </c>
    </row>
    <row r="8107" spans="1:43" x14ac:dyDescent="0.25">
      <c r="A8107" t="s">
        <v>8587</v>
      </c>
      <c r="R8107" t="s">
        <v>8429</v>
      </c>
      <c r="AJ8107">
        <v>200</v>
      </c>
      <c r="AQ8107" t="s">
        <v>8588</v>
      </c>
    </row>
    <row r="8108" spans="1:43" x14ac:dyDescent="0.25">
      <c r="A8108" t="s">
        <v>8589</v>
      </c>
      <c r="R8108" t="s">
        <v>8432</v>
      </c>
      <c r="AJ8108">
        <v>250</v>
      </c>
      <c r="AQ8108" t="s">
        <v>8590</v>
      </c>
    </row>
    <row r="8109" spans="1:43" x14ac:dyDescent="0.25">
      <c r="A8109" t="s">
        <v>8591</v>
      </c>
      <c r="R8109" t="s">
        <v>8435</v>
      </c>
      <c r="AJ8109">
        <v>310</v>
      </c>
      <c r="AQ8109" t="s">
        <v>8592</v>
      </c>
    </row>
    <row r="8110" spans="1:43" x14ac:dyDescent="0.25">
      <c r="A8110" t="s">
        <v>8593</v>
      </c>
      <c r="R8110" t="s">
        <v>8556</v>
      </c>
      <c r="AJ8110">
        <v>370</v>
      </c>
      <c r="AQ8110" t="s">
        <v>8594</v>
      </c>
    </row>
    <row r="8111" spans="1:43" x14ac:dyDescent="0.25">
      <c r="A8111" t="s">
        <v>8595</v>
      </c>
      <c r="R8111" t="s">
        <v>8463</v>
      </c>
      <c r="AJ8111">
        <v>430</v>
      </c>
      <c r="AQ8111" t="s">
        <v>3501</v>
      </c>
    </row>
    <row r="8112" spans="1:43" x14ac:dyDescent="0.25">
      <c r="A8112" t="s">
        <v>8596</v>
      </c>
      <c r="R8112" t="s">
        <v>8597</v>
      </c>
      <c r="AJ8112">
        <v>460</v>
      </c>
      <c r="AQ8112" t="s">
        <v>8598</v>
      </c>
    </row>
    <row r="8113" spans="1:43" x14ac:dyDescent="0.25">
      <c r="A8113" t="s">
        <v>8599</v>
      </c>
    </row>
    <row r="8114" spans="1:43" x14ac:dyDescent="0.25">
      <c r="A8114" t="s">
        <v>8600</v>
      </c>
      <c r="R8114" t="s">
        <v>8230</v>
      </c>
      <c r="AJ8114">
        <v>570</v>
      </c>
      <c r="AQ8114" t="s">
        <v>8601</v>
      </c>
    </row>
    <row r="8115" spans="1:43" x14ac:dyDescent="0.25">
      <c r="A8115" t="s">
        <v>8602</v>
      </c>
      <c r="R8115" t="s">
        <v>3639</v>
      </c>
      <c r="AJ8115">
        <v>720</v>
      </c>
      <c r="AQ8115" t="s">
        <v>8603</v>
      </c>
    </row>
    <row r="8116" spans="1:43" x14ac:dyDescent="0.25">
      <c r="A8116" t="s">
        <v>8604</v>
      </c>
    </row>
    <row r="8117" spans="1:43" x14ac:dyDescent="0.25">
      <c r="A8117" t="s">
        <v>8605</v>
      </c>
      <c r="R8117" t="s">
        <v>8416</v>
      </c>
      <c r="AJ8117">
        <v>35</v>
      </c>
      <c r="AQ8117" t="s">
        <v>8606</v>
      </c>
    </row>
    <row r="8118" spans="1:43" x14ac:dyDescent="0.25">
      <c r="A8118" t="s">
        <v>8607</v>
      </c>
      <c r="R8118" t="s">
        <v>8418</v>
      </c>
      <c r="AJ8118">
        <v>50</v>
      </c>
      <c r="AQ8118" t="s">
        <v>8608</v>
      </c>
    </row>
    <row r="8119" spans="1:43" x14ac:dyDescent="0.25">
      <c r="A8119" t="s">
        <v>8609</v>
      </c>
      <c r="R8119" t="s">
        <v>8420</v>
      </c>
      <c r="AJ8119">
        <v>65</v>
      </c>
      <c r="AQ8119" t="s">
        <v>8610</v>
      </c>
    </row>
    <row r="8120" spans="1:43" x14ac:dyDescent="0.25">
      <c r="A8120" t="s">
        <v>8611</v>
      </c>
      <c r="R8120" t="s">
        <v>8422</v>
      </c>
      <c r="AJ8120">
        <v>90</v>
      </c>
      <c r="AQ8120" t="s">
        <v>8612</v>
      </c>
    </row>
    <row r="8121" spans="1:43" x14ac:dyDescent="0.25">
      <c r="A8121" t="s">
        <v>8613</v>
      </c>
      <c r="R8121" t="s">
        <v>8424</v>
      </c>
      <c r="AJ8121">
        <v>110</v>
      </c>
      <c r="AQ8121" t="s">
        <v>8614</v>
      </c>
    </row>
    <row r="8122" spans="1:43" x14ac:dyDescent="0.25">
      <c r="A8122" t="s">
        <v>8615</v>
      </c>
      <c r="R8122" t="s">
        <v>8427</v>
      </c>
      <c r="AJ8122">
        <v>140</v>
      </c>
      <c r="AQ8122" t="s">
        <v>8616</v>
      </c>
    </row>
    <row r="8123" spans="1:43" x14ac:dyDescent="0.25">
      <c r="A8123" t="s">
        <v>8617</v>
      </c>
      <c r="R8123" t="s">
        <v>8618</v>
      </c>
      <c r="AJ8123">
        <v>170</v>
      </c>
      <c r="AQ8123" t="s">
        <v>8209</v>
      </c>
    </row>
    <row r="8124" spans="1:43" x14ac:dyDescent="0.25">
      <c r="A8124" t="s">
        <v>8619</v>
      </c>
      <c r="R8124" t="s">
        <v>8429</v>
      </c>
      <c r="AJ8124">
        <v>200</v>
      </c>
      <c r="AQ8124" t="s">
        <v>7708</v>
      </c>
    </row>
    <row r="8125" spans="1:43" x14ac:dyDescent="0.25">
      <c r="A8125" t="s">
        <v>8620</v>
      </c>
    </row>
    <row r="8126" spans="1:43" x14ac:dyDescent="0.25">
      <c r="A8126" t="s">
        <v>8621</v>
      </c>
      <c r="R8126" t="s">
        <v>8622</v>
      </c>
      <c r="AJ8126">
        <v>570</v>
      </c>
      <c r="AQ8126" t="s">
        <v>8623</v>
      </c>
    </row>
    <row r="8127" spans="1:43" x14ac:dyDescent="0.25">
      <c r="A8127" t="s">
        <v>8624</v>
      </c>
      <c r="R8127" t="s">
        <v>8625</v>
      </c>
      <c r="AJ8127">
        <v>720</v>
      </c>
      <c r="AQ8127" t="s">
        <v>8626</v>
      </c>
    </row>
    <row r="8128" spans="1:43" x14ac:dyDescent="0.25">
      <c r="A8128" t="s">
        <v>8509</v>
      </c>
    </row>
    <row r="8129" spans="1:55" x14ac:dyDescent="0.25">
      <c r="A8129" t="s">
        <v>8627</v>
      </c>
      <c r="AB8129" t="s">
        <v>8628</v>
      </c>
    </row>
    <row r="8130" spans="1:55" x14ac:dyDescent="0.25">
      <c r="A8130" t="s">
        <v>573</v>
      </c>
      <c r="AF8130" t="s">
        <v>7548</v>
      </c>
    </row>
    <row r="8131" spans="1:55" x14ac:dyDescent="0.25">
      <c r="A8131" t="s">
        <v>7929</v>
      </c>
      <c r="BC8131">
        <v>89</v>
      </c>
    </row>
    <row r="8132" spans="1:55" x14ac:dyDescent="0.25">
      <c r="A8132" t="s">
        <v>7930</v>
      </c>
    </row>
    <row r="8133" spans="1:55" x14ac:dyDescent="0.25">
      <c r="A8133" t="s">
        <v>8629</v>
      </c>
    </row>
    <row r="8134" spans="1:55" x14ac:dyDescent="0.25">
      <c r="A8134" t="s">
        <v>7900</v>
      </c>
      <c r="BC8134">
        <v>95</v>
      </c>
    </row>
    <row r="8135" spans="1:55" x14ac:dyDescent="0.25">
      <c r="A8135" t="s">
        <v>8630</v>
      </c>
      <c r="BC8135">
        <v>120</v>
      </c>
    </row>
    <row r="8136" spans="1:55" x14ac:dyDescent="0.25">
      <c r="A8136" t="s">
        <v>8631</v>
      </c>
      <c r="BC8136">
        <v>247</v>
      </c>
    </row>
    <row r="8137" spans="1:55" x14ac:dyDescent="0.25">
      <c r="A8137" t="s">
        <v>7932</v>
      </c>
      <c r="BC8137">
        <v>187</v>
      </c>
    </row>
    <row r="8138" spans="1:55" x14ac:dyDescent="0.25">
      <c r="A8138" t="s">
        <v>8632</v>
      </c>
      <c r="BC8138">
        <v>196</v>
      </c>
    </row>
    <row r="8139" spans="1:55" x14ac:dyDescent="0.25">
      <c r="A8139" t="s">
        <v>8633</v>
      </c>
      <c r="BC8139">
        <v>235</v>
      </c>
    </row>
    <row r="8140" spans="1:55" x14ac:dyDescent="0.25">
      <c r="A8140" t="s">
        <v>8143</v>
      </c>
      <c r="BC8140">
        <v>282</v>
      </c>
    </row>
    <row r="8141" spans="1:55" x14ac:dyDescent="0.25">
      <c r="A8141" t="s">
        <v>8634</v>
      </c>
    </row>
    <row r="8142" spans="1:55" x14ac:dyDescent="0.25">
      <c r="A8142" t="s">
        <v>8635</v>
      </c>
      <c r="BC8142">
        <v>132</v>
      </c>
    </row>
    <row r="8143" spans="1:55" x14ac:dyDescent="0.25">
      <c r="A8143" t="s">
        <v>8636</v>
      </c>
      <c r="BC8143">
        <v>132</v>
      </c>
    </row>
    <row r="8144" spans="1:55" x14ac:dyDescent="0.25">
      <c r="A8144" t="s">
        <v>8637</v>
      </c>
    </row>
    <row r="8145" spans="1:55" x14ac:dyDescent="0.25">
      <c r="A8145" t="s">
        <v>8638</v>
      </c>
      <c r="BC8145">
        <v>412</v>
      </c>
    </row>
    <row r="8146" spans="1:55" x14ac:dyDescent="0.25">
      <c r="A8146" t="s">
        <v>8639</v>
      </c>
      <c r="BC8146">
        <v>412</v>
      </c>
    </row>
    <row r="8147" spans="1:55" x14ac:dyDescent="0.25">
      <c r="A8147" t="s">
        <v>8640</v>
      </c>
      <c r="BC8147">
        <v>902</v>
      </c>
    </row>
    <row r="8148" spans="1:55" x14ac:dyDescent="0.25">
      <c r="A8148" t="s">
        <v>8641</v>
      </c>
    </row>
    <row r="8149" spans="1:55" x14ac:dyDescent="0.25">
      <c r="A8149" t="s">
        <v>8642</v>
      </c>
      <c r="BC8149">
        <v>2284</v>
      </c>
    </row>
    <row r="8150" spans="1:55" x14ac:dyDescent="0.25">
      <c r="A8150" t="s">
        <v>8643</v>
      </c>
    </row>
    <row r="8151" spans="1:55" x14ac:dyDescent="0.25">
      <c r="A8151" t="s">
        <v>8644</v>
      </c>
      <c r="BC8151">
        <v>4326</v>
      </c>
    </row>
    <row r="8152" spans="1:55" x14ac:dyDescent="0.25">
      <c r="A8152" t="s">
        <v>8645</v>
      </c>
    </row>
    <row r="8153" spans="1:55" x14ac:dyDescent="0.25">
      <c r="A8153" t="s">
        <v>8646</v>
      </c>
      <c r="BC8153">
        <v>7644</v>
      </c>
    </row>
    <row r="8154" spans="1:55" x14ac:dyDescent="0.25">
      <c r="A8154" t="s">
        <v>8647</v>
      </c>
    </row>
    <row r="8155" spans="1:55" x14ac:dyDescent="0.25">
      <c r="A8155" t="s">
        <v>8648</v>
      </c>
      <c r="BC8155">
        <v>7849</v>
      </c>
    </row>
    <row r="8156" spans="1:55" x14ac:dyDescent="0.25">
      <c r="A8156" t="s">
        <v>8649</v>
      </c>
    </row>
    <row r="8157" spans="1:55" x14ac:dyDescent="0.25">
      <c r="A8157" t="s">
        <v>8650</v>
      </c>
      <c r="BC8157">
        <v>2764</v>
      </c>
    </row>
    <row r="8158" spans="1:55" x14ac:dyDescent="0.25">
      <c r="A8158" t="s">
        <v>8651</v>
      </c>
      <c r="BC8158">
        <v>405</v>
      </c>
    </row>
    <row r="8159" spans="1:55" x14ac:dyDescent="0.25">
      <c r="A8159" t="s">
        <v>8652</v>
      </c>
    </row>
    <row r="8160" spans="1:55" x14ac:dyDescent="0.25">
      <c r="A8160" t="s">
        <v>8653</v>
      </c>
      <c r="BC8160">
        <v>2176</v>
      </c>
    </row>
    <row r="8161" spans="1:55" x14ac:dyDescent="0.25">
      <c r="A8161" t="s">
        <v>8654</v>
      </c>
      <c r="BC8161">
        <v>3410</v>
      </c>
    </row>
    <row r="8162" spans="1:55" x14ac:dyDescent="0.25">
      <c r="A8162" t="s">
        <v>8655</v>
      </c>
      <c r="BC8162">
        <v>176</v>
      </c>
    </row>
    <row r="8163" spans="1:55" x14ac:dyDescent="0.25">
      <c r="A8163" t="s">
        <v>8656</v>
      </c>
      <c r="BC8163">
        <v>442</v>
      </c>
    </row>
    <row r="8164" spans="1:55" x14ac:dyDescent="0.25">
      <c r="A8164" t="s">
        <v>8657</v>
      </c>
    </row>
    <row r="8165" spans="1:55" x14ac:dyDescent="0.25">
      <c r="A8165" t="s">
        <v>8658</v>
      </c>
      <c r="BC8165">
        <v>222</v>
      </c>
    </row>
    <row r="8166" spans="1:55" x14ac:dyDescent="0.25">
      <c r="A8166" t="s">
        <v>8659</v>
      </c>
    </row>
    <row r="8167" spans="1:55" x14ac:dyDescent="0.25">
      <c r="A8167" t="s">
        <v>8660</v>
      </c>
      <c r="BC8167">
        <v>13</v>
      </c>
    </row>
    <row r="8168" spans="1:55" x14ac:dyDescent="0.25">
      <c r="A8168" t="s">
        <v>8661</v>
      </c>
      <c r="BC8168">
        <v>17</v>
      </c>
    </row>
    <row r="8169" spans="1:55" x14ac:dyDescent="0.25">
      <c r="A8169" t="s">
        <v>8662</v>
      </c>
      <c r="BC8169">
        <v>13</v>
      </c>
    </row>
    <row r="8170" spans="1:55" x14ac:dyDescent="0.25">
      <c r="A8170" t="s">
        <v>8663</v>
      </c>
      <c r="BC8170">
        <v>105</v>
      </c>
    </row>
    <row r="8171" spans="1:55" x14ac:dyDescent="0.25">
      <c r="A8171" t="s">
        <v>8664</v>
      </c>
      <c r="BC8171">
        <v>145</v>
      </c>
    </row>
    <row r="8172" spans="1:55" x14ac:dyDescent="0.25">
      <c r="A8172" t="s">
        <v>8665</v>
      </c>
    </row>
    <row r="8173" spans="1:55" x14ac:dyDescent="0.25">
      <c r="A8173" t="s">
        <v>8666</v>
      </c>
      <c r="BC8173">
        <v>118</v>
      </c>
    </row>
    <row r="8174" spans="1:55" x14ac:dyDescent="0.25">
      <c r="A8174" t="s">
        <v>8667</v>
      </c>
      <c r="BC8174">
        <v>170</v>
      </c>
    </row>
    <row r="8175" spans="1:55" x14ac:dyDescent="0.25">
      <c r="A8175" t="s">
        <v>573</v>
      </c>
      <c r="AC8175" t="s">
        <v>7548</v>
      </c>
      <c r="AX8175" t="s">
        <v>7550</v>
      </c>
    </row>
    <row r="8176" spans="1:55" x14ac:dyDescent="0.25">
      <c r="A8176" t="s">
        <v>8668</v>
      </c>
    </row>
    <row r="8177" spans="1:50" x14ac:dyDescent="0.25">
      <c r="A8177" t="s">
        <v>8669</v>
      </c>
      <c r="AX8177" t="s">
        <v>8670</v>
      </c>
    </row>
    <row r="8178" spans="1:50" x14ac:dyDescent="0.25">
      <c r="A8178" t="s">
        <v>8671</v>
      </c>
      <c r="AX8178" t="s">
        <v>8672</v>
      </c>
    </row>
    <row r="8179" spans="1:50" x14ac:dyDescent="0.25">
      <c r="A8179" t="s">
        <v>8673</v>
      </c>
      <c r="AX8179" t="s">
        <v>8674</v>
      </c>
    </row>
    <row r="8180" spans="1:50" x14ac:dyDescent="0.25">
      <c r="A8180" t="s">
        <v>8675</v>
      </c>
      <c r="AX8180" t="s">
        <v>7121</v>
      </c>
    </row>
    <row r="8181" spans="1:50" x14ac:dyDescent="0.25">
      <c r="A8181" t="s">
        <v>8676</v>
      </c>
      <c r="AX8181" t="s">
        <v>8677</v>
      </c>
    </row>
    <row r="8182" spans="1:50" x14ac:dyDescent="0.25">
      <c r="A8182" t="s">
        <v>8678</v>
      </c>
    </row>
    <row r="8183" spans="1:50" x14ac:dyDescent="0.25">
      <c r="A8183" t="s">
        <v>8679</v>
      </c>
      <c r="AX8183" t="s">
        <v>8680</v>
      </c>
    </row>
    <row r="8184" spans="1:50" x14ac:dyDescent="0.25">
      <c r="A8184" t="s">
        <v>8681</v>
      </c>
      <c r="AX8184" t="s">
        <v>8680</v>
      </c>
    </row>
    <row r="8185" spans="1:50" x14ac:dyDescent="0.25">
      <c r="A8185" t="s">
        <v>8682</v>
      </c>
      <c r="AX8185" t="s">
        <v>8683</v>
      </c>
    </row>
    <row r="8186" spans="1:50" x14ac:dyDescent="0.25">
      <c r="A8186" t="s">
        <v>8684</v>
      </c>
      <c r="AX8186" t="s">
        <v>8685</v>
      </c>
    </row>
    <row r="8187" spans="1:50" x14ac:dyDescent="0.25">
      <c r="A8187" t="s">
        <v>8686</v>
      </c>
    </row>
    <row r="8188" spans="1:50" x14ac:dyDescent="0.25">
      <c r="A8188" t="s">
        <v>8687</v>
      </c>
      <c r="AX8188" t="s">
        <v>8688</v>
      </c>
    </row>
    <row r="8189" spans="1:50" x14ac:dyDescent="0.25">
      <c r="A8189" t="s">
        <v>8689</v>
      </c>
      <c r="AX8189" t="s">
        <v>8690</v>
      </c>
    </row>
    <row r="8190" spans="1:50" x14ac:dyDescent="0.25">
      <c r="A8190" t="s">
        <v>8691</v>
      </c>
      <c r="AX8190" t="s">
        <v>8692</v>
      </c>
    </row>
    <row r="8191" spans="1:50" x14ac:dyDescent="0.25">
      <c r="A8191" t="s">
        <v>8693</v>
      </c>
    </row>
    <row r="8192" spans="1:50" x14ac:dyDescent="0.25">
      <c r="A8192" t="s">
        <v>8694</v>
      </c>
      <c r="AX8192" t="s">
        <v>8695</v>
      </c>
    </row>
    <row r="8193" spans="1:50" x14ac:dyDescent="0.25">
      <c r="A8193" t="s">
        <v>8696</v>
      </c>
      <c r="AX8193" t="s">
        <v>8697</v>
      </c>
    </row>
    <row r="8194" spans="1:50" x14ac:dyDescent="0.25">
      <c r="A8194" t="s">
        <v>8698</v>
      </c>
      <c r="AX8194" t="s">
        <v>5011</v>
      </c>
    </row>
    <row r="8195" spans="1:50" x14ac:dyDescent="0.25">
      <c r="A8195" t="s">
        <v>8699</v>
      </c>
    </row>
    <row r="8196" spans="1:50" x14ac:dyDescent="0.25">
      <c r="A8196" t="s">
        <v>8700</v>
      </c>
      <c r="AX8196" t="s">
        <v>8701</v>
      </c>
    </row>
    <row r="8197" spans="1:50" x14ac:dyDescent="0.25">
      <c r="A8197" t="s">
        <v>8702</v>
      </c>
      <c r="AX8197" t="s">
        <v>8703</v>
      </c>
    </row>
    <row r="8198" spans="1:50" x14ac:dyDescent="0.25">
      <c r="A8198" t="s">
        <v>8704</v>
      </c>
      <c r="AX8198" t="s">
        <v>8705</v>
      </c>
    </row>
    <row r="8199" spans="1:50" x14ac:dyDescent="0.25">
      <c r="A8199" t="s">
        <v>8706</v>
      </c>
      <c r="AX8199" t="s">
        <v>1838</v>
      </c>
    </row>
    <row r="8200" spans="1:50" x14ac:dyDescent="0.25">
      <c r="A8200" t="s">
        <v>8707</v>
      </c>
      <c r="AX8200" t="s">
        <v>8708</v>
      </c>
    </row>
    <row r="8201" spans="1:50" x14ac:dyDescent="0.25">
      <c r="A8201" t="s">
        <v>8709</v>
      </c>
    </row>
    <row r="8202" spans="1:50" x14ac:dyDescent="0.25">
      <c r="A8202" t="s">
        <v>8710</v>
      </c>
      <c r="AX8202" t="s">
        <v>8703</v>
      </c>
    </row>
    <row r="8203" spans="1:50" x14ac:dyDescent="0.25">
      <c r="A8203" t="s">
        <v>8711</v>
      </c>
      <c r="AX8203" t="s">
        <v>8535</v>
      </c>
    </row>
    <row r="8204" spans="1:50" x14ac:dyDescent="0.25">
      <c r="A8204" t="s">
        <v>8712</v>
      </c>
      <c r="AX8204" t="s">
        <v>8705</v>
      </c>
    </row>
    <row r="8205" spans="1:50" x14ac:dyDescent="0.25">
      <c r="A8205" t="s">
        <v>8713</v>
      </c>
      <c r="AX8205" t="s">
        <v>8714</v>
      </c>
    </row>
    <row r="8206" spans="1:50" x14ac:dyDescent="0.25">
      <c r="A8206" t="s">
        <v>8715</v>
      </c>
      <c r="AX8206" t="s">
        <v>8716</v>
      </c>
    </row>
    <row r="8207" spans="1:50" x14ac:dyDescent="0.25">
      <c r="A8207" t="s">
        <v>8717</v>
      </c>
    </row>
    <row r="8208" spans="1:50" x14ac:dyDescent="0.25">
      <c r="A8208" t="s">
        <v>8718</v>
      </c>
      <c r="AX8208" t="s">
        <v>8719</v>
      </c>
    </row>
    <row r="8209" spans="1:50" x14ac:dyDescent="0.25">
      <c r="A8209" t="s">
        <v>8720</v>
      </c>
      <c r="AX8209" t="s">
        <v>8719</v>
      </c>
    </row>
    <row r="8210" spans="1:50" x14ac:dyDescent="0.25">
      <c r="A8210" t="s">
        <v>8721</v>
      </c>
      <c r="AX8210" t="s">
        <v>8722</v>
      </c>
    </row>
    <row r="8211" spans="1:50" x14ac:dyDescent="0.25">
      <c r="A8211" t="s">
        <v>8723</v>
      </c>
    </row>
    <row r="8212" spans="1:50" x14ac:dyDescent="0.25">
      <c r="A8212" t="s">
        <v>8724</v>
      </c>
      <c r="AX8212" t="s">
        <v>8725</v>
      </c>
    </row>
    <row r="8213" spans="1:50" x14ac:dyDescent="0.25">
      <c r="A8213" t="s">
        <v>8726</v>
      </c>
      <c r="AX8213" t="s">
        <v>8727</v>
      </c>
    </row>
    <row r="8214" spans="1:50" x14ac:dyDescent="0.25">
      <c r="A8214" t="s">
        <v>8728</v>
      </c>
      <c r="AX8214" t="s">
        <v>8729</v>
      </c>
    </row>
    <row r="8215" spans="1:50" x14ac:dyDescent="0.25">
      <c r="A8215" t="s">
        <v>8730</v>
      </c>
    </row>
    <row r="8216" spans="1:50" x14ac:dyDescent="0.25">
      <c r="A8216" t="s">
        <v>8731</v>
      </c>
      <c r="AX8216" t="s">
        <v>2163</v>
      </c>
    </row>
    <row r="8217" spans="1:50" x14ac:dyDescent="0.25">
      <c r="A8217" t="s">
        <v>8732</v>
      </c>
      <c r="AX8217" t="s">
        <v>8705</v>
      </c>
    </row>
    <row r="8218" spans="1:50" x14ac:dyDescent="0.25">
      <c r="A8218" t="s">
        <v>8733</v>
      </c>
      <c r="AX8218" t="s">
        <v>8734</v>
      </c>
    </row>
    <row r="8219" spans="1:50" x14ac:dyDescent="0.25">
      <c r="A8219" t="s">
        <v>8735</v>
      </c>
      <c r="AX8219" t="s">
        <v>8561</v>
      </c>
    </row>
    <row r="8220" spans="1:50" x14ac:dyDescent="0.25">
      <c r="A8220" t="s">
        <v>8736</v>
      </c>
      <c r="AX8220" t="s">
        <v>1838</v>
      </c>
    </row>
    <row r="8221" spans="1:50" x14ac:dyDescent="0.25">
      <c r="A8221" t="s">
        <v>8737</v>
      </c>
      <c r="AX8221" t="s">
        <v>8738</v>
      </c>
    </row>
    <row r="8222" spans="1:50" x14ac:dyDescent="0.25">
      <c r="A8222" t="s">
        <v>8739</v>
      </c>
    </row>
    <row r="8223" spans="1:50" x14ac:dyDescent="0.25">
      <c r="A8223" t="s">
        <v>8740</v>
      </c>
      <c r="AX8223" t="s">
        <v>3160</v>
      </c>
    </row>
    <row r="8224" spans="1:50" x14ac:dyDescent="0.25">
      <c r="A8224" t="s">
        <v>8741</v>
      </c>
      <c r="AX8224" t="s">
        <v>4200</v>
      </c>
    </row>
    <row r="8225" spans="1:64" x14ac:dyDescent="0.25">
      <c r="A8225" t="s">
        <v>8742</v>
      </c>
      <c r="AX8225" t="s">
        <v>8743</v>
      </c>
    </row>
    <row r="8226" spans="1:64" x14ac:dyDescent="0.25">
      <c r="A8226" t="s">
        <v>8744</v>
      </c>
      <c r="AX8226" t="s">
        <v>8745</v>
      </c>
    </row>
    <row r="8227" spans="1:64" x14ac:dyDescent="0.25">
      <c r="A8227" t="s">
        <v>8746</v>
      </c>
      <c r="AX8227" t="s">
        <v>8747</v>
      </c>
    </row>
    <row r="8228" spans="1:64" x14ac:dyDescent="0.25">
      <c r="A8228" t="s">
        <v>8748</v>
      </c>
    </row>
    <row r="8229" spans="1:64" x14ac:dyDescent="0.25">
      <c r="A8229" t="s">
        <v>8749</v>
      </c>
      <c r="AX8229" t="s">
        <v>8750</v>
      </c>
    </row>
    <row r="8230" spans="1:64" x14ac:dyDescent="0.25">
      <c r="A8230" t="s">
        <v>8751</v>
      </c>
      <c r="AX8230" t="s">
        <v>8752</v>
      </c>
    </row>
    <row r="8231" spans="1:64" x14ac:dyDescent="0.25">
      <c r="A8231" t="s">
        <v>8753</v>
      </c>
      <c r="AX8231" t="s">
        <v>8754</v>
      </c>
    </row>
    <row r="8232" spans="1:64" x14ac:dyDescent="0.25">
      <c r="A8232" t="s">
        <v>8755</v>
      </c>
    </row>
    <row r="8233" spans="1:64" x14ac:dyDescent="0.25">
      <c r="A8233" t="s">
        <v>8756</v>
      </c>
      <c r="AX8233" t="s">
        <v>8757</v>
      </c>
    </row>
    <row r="8234" spans="1:64" x14ac:dyDescent="0.25">
      <c r="A8234" t="s">
        <v>8758</v>
      </c>
      <c r="AX8234" t="s">
        <v>8759</v>
      </c>
    </row>
    <row r="8235" spans="1:64" x14ac:dyDescent="0.25">
      <c r="A8235" t="s">
        <v>8760</v>
      </c>
      <c r="AX8235" t="s">
        <v>8759</v>
      </c>
    </row>
    <row r="8236" spans="1:64" x14ac:dyDescent="0.25">
      <c r="BL8236" t="s">
        <v>8761</v>
      </c>
    </row>
    <row r="8237" spans="1:64" x14ac:dyDescent="0.25">
      <c r="A8237" t="s">
        <v>8762</v>
      </c>
    </row>
    <row r="8238" spans="1:64" x14ac:dyDescent="0.25">
      <c r="AJ8238" t="s">
        <v>8763</v>
      </c>
    </row>
    <row r="8239" spans="1:64" x14ac:dyDescent="0.25">
      <c r="A8239" t="s">
        <v>8764</v>
      </c>
    </row>
    <row r="8241" spans="1:53" x14ac:dyDescent="0.25">
      <c r="BA8241" t="s">
        <v>8765</v>
      </c>
    </row>
    <row r="8244" spans="1:53" x14ac:dyDescent="0.25">
      <c r="A8244" t="s">
        <v>8766</v>
      </c>
    </row>
    <row r="8245" spans="1:53" x14ac:dyDescent="0.25">
      <c r="A8245" t="s">
        <v>8767</v>
      </c>
    </row>
    <row r="8246" spans="1:53" x14ac:dyDescent="0.25">
      <c r="A8246" t="s">
        <v>8768</v>
      </c>
    </row>
    <row r="8247" spans="1:53" x14ac:dyDescent="0.25">
      <c r="A8247" t="s">
        <v>8769</v>
      </c>
    </row>
    <row r="8248" spans="1:53" x14ac:dyDescent="0.25">
      <c r="G8248" t="s">
        <v>8770</v>
      </c>
    </row>
    <row r="8249" spans="1:53" x14ac:dyDescent="0.25">
      <c r="A8249" t="s">
        <v>8771</v>
      </c>
      <c r="BA8249" t="s">
        <v>8772</v>
      </c>
    </row>
    <row r="8253" spans="1:53" x14ac:dyDescent="0.25">
      <c r="A8253" t="s">
        <v>8773</v>
      </c>
      <c r="N8253" t="s">
        <v>8774</v>
      </c>
    </row>
    <row r="8254" spans="1:53" x14ac:dyDescent="0.25">
      <c r="A8254" t="s">
        <v>8775</v>
      </c>
      <c r="AM8254" t="s">
        <v>8776</v>
      </c>
    </row>
    <row r="8255" spans="1:53" x14ac:dyDescent="0.25">
      <c r="A8255" t="s">
        <v>8777</v>
      </c>
      <c r="AM8255" t="s">
        <v>8778</v>
      </c>
    </row>
    <row r="8256" spans="1:53" x14ac:dyDescent="0.25">
      <c r="A8256" t="s">
        <v>8779</v>
      </c>
      <c r="AM8256" t="s">
        <v>8780</v>
      </c>
    </row>
    <row r="8257" spans="1:84" x14ac:dyDescent="0.25">
      <c r="A8257" t="s">
        <v>8781</v>
      </c>
    </row>
    <row r="8258" spans="1:84" x14ac:dyDescent="0.25">
      <c r="A8258" t="s">
        <v>8782</v>
      </c>
    </row>
    <row r="8259" spans="1:84" x14ac:dyDescent="0.25">
      <c r="K8259" t="s">
        <v>8783</v>
      </c>
      <c r="AK8259" t="s">
        <v>8784</v>
      </c>
      <c r="AM8259" t="s">
        <v>8785</v>
      </c>
    </row>
    <row r="8260" spans="1:84" x14ac:dyDescent="0.25">
      <c r="A8260" t="s">
        <v>8786</v>
      </c>
    </row>
    <row r="8261" spans="1:84" x14ac:dyDescent="0.25">
      <c r="A8261" t="s">
        <v>8787</v>
      </c>
    </row>
    <row r="8262" spans="1:84" x14ac:dyDescent="0.25">
      <c r="J8262" t="s">
        <v>8788</v>
      </c>
      <c r="Z8262" t="s">
        <v>8784</v>
      </c>
      <c r="AE8262">
        <v>445</v>
      </c>
    </row>
    <row r="8263" spans="1:84" x14ac:dyDescent="0.25">
      <c r="A8263" t="s">
        <v>8789</v>
      </c>
      <c r="AT8263" t="s">
        <v>8790</v>
      </c>
    </row>
    <row r="8266" spans="1:84" x14ac:dyDescent="0.25">
      <c r="A8266" t="s">
        <v>8791</v>
      </c>
    </row>
    <row r="8267" spans="1:84" x14ac:dyDescent="0.25">
      <c r="L8267" t="s">
        <v>8792</v>
      </c>
      <c r="V8267" t="s">
        <v>8793</v>
      </c>
    </row>
    <row r="8268" spans="1:84" x14ac:dyDescent="0.25">
      <c r="A8268" t="s">
        <v>8794</v>
      </c>
    </row>
    <row r="8269" spans="1:84" x14ac:dyDescent="0.25">
      <c r="A8269" t="s">
        <v>8795</v>
      </c>
    </row>
    <row r="8270" spans="1:84" x14ac:dyDescent="0.25">
      <c r="A8270" t="s">
        <v>8796</v>
      </c>
      <c r="N8270" t="s">
        <v>8797</v>
      </c>
      <c r="AX8270" t="s">
        <v>8798</v>
      </c>
      <c r="BJ8270" t="s">
        <v>8799</v>
      </c>
      <c r="BS8270" t="s">
        <v>8800</v>
      </c>
      <c r="BW8270" t="s">
        <v>8801</v>
      </c>
      <c r="CF8270" t="s">
        <v>8802</v>
      </c>
    </row>
    <row r="8271" spans="1:84" x14ac:dyDescent="0.25">
      <c r="N8271" t="s">
        <v>8803</v>
      </c>
      <c r="AX8271" t="s">
        <v>8804</v>
      </c>
      <c r="BJ8271">
        <v>180</v>
      </c>
      <c r="BS8271" t="s">
        <v>8805</v>
      </c>
      <c r="BW8271">
        <v>95.4</v>
      </c>
      <c r="CF8271">
        <v>95.4</v>
      </c>
    </row>
    <row r="8272" spans="1:84" x14ac:dyDescent="0.25">
      <c r="A8272" t="s">
        <v>8806</v>
      </c>
      <c r="CF8272">
        <v>95.4</v>
      </c>
    </row>
    <row r="8273" spans="1:84" x14ac:dyDescent="0.25">
      <c r="A8273" t="s">
        <v>8807</v>
      </c>
    </row>
    <row r="8274" spans="1:84" x14ac:dyDescent="0.25">
      <c r="A8274" t="s">
        <v>8808</v>
      </c>
      <c r="AX8274" t="s">
        <v>8798</v>
      </c>
      <c r="BJ8274" t="s">
        <v>8799</v>
      </c>
      <c r="BS8274" t="s">
        <v>8800</v>
      </c>
      <c r="BW8274" t="s">
        <v>8801</v>
      </c>
      <c r="CF8274" t="s">
        <v>8802</v>
      </c>
    </row>
    <row r="8275" spans="1:84" x14ac:dyDescent="0.25">
      <c r="A8275" t="s">
        <v>8809</v>
      </c>
      <c r="AX8275" t="s">
        <v>8804</v>
      </c>
      <c r="BJ8275" t="s">
        <v>8810</v>
      </c>
      <c r="BS8275" t="s">
        <v>8805</v>
      </c>
      <c r="BW8275" t="s">
        <v>8811</v>
      </c>
      <c r="CF8275" t="s">
        <v>8811</v>
      </c>
    </row>
    <row r="8276" spans="1:84" x14ac:dyDescent="0.25">
      <c r="A8276" t="s">
        <v>8812</v>
      </c>
      <c r="AX8276" t="s">
        <v>8804</v>
      </c>
      <c r="BJ8276">
        <v>21.98</v>
      </c>
      <c r="BS8276" t="s">
        <v>6633</v>
      </c>
      <c r="BW8276">
        <v>21.98</v>
      </c>
      <c r="CF8276">
        <v>21.98</v>
      </c>
    </row>
    <row r="8277" spans="1:84" x14ac:dyDescent="0.25">
      <c r="A8277" t="s">
        <v>8806</v>
      </c>
      <c r="CF8277" t="s">
        <v>8813</v>
      </c>
    </row>
    <row r="8278" spans="1:84" x14ac:dyDescent="0.25">
      <c r="A8278" t="s">
        <v>8814</v>
      </c>
    </row>
    <row r="8279" spans="1:84" x14ac:dyDescent="0.25">
      <c r="A8279" t="s">
        <v>8815</v>
      </c>
      <c r="BJ8279" t="s">
        <v>8799</v>
      </c>
      <c r="BS8279" t="s">
        <v>8800</v>
      </c>
      <c r="BW8279" t="s">
        <v>8801</v>
      </c>
      <c r="CF8279" t="s">
        <v>8802</v>
      </c>
    </row>
    <row r="8280" spans="1:84" x14ac:dyDescent="0.25">
      <c r="A8280" t="s">
        <v>8816</v>
      </c>
      <c r="BJ8280" t="s">
        <v>8817</v>
      </c>
      <c r="BS8280" t="s">
        <v>8805</v>
      </c>
      <c r="BW8280" t="s">
        <v>8818</v>
      </c>
      <c r="CF8280" t="s">
        <v>8818</v>
      </c>
    </row>
    <row r="8281" spans="1:84" x14ac:dyDescent="0.25">
      <c r="A8281" t="s">
        <v>8819</v>
      </c>
      <c r="BJ8281">
        <v>5.8</v>
      </c>
      <c r="BS8281" t="s">
        <v>6633</v>
      </c>
      <c r="BW8281">
        <v>5.8</v>
      </c>
      <c r="CF8281">
        <v>5.8</v>
      </c>
    </row>
    <row r="8282" spans="1:84" x14ac:dyDescent="0.25">
      <c r="A8282" t="s">
        <v>8820</v>
      </c>
      <c r="BJ8282" t="s">
        <v>8821</v>
      </c>
      <c r="BS8282" t="s">
        <v>8805</v>
      </c>
      <c r="BW8282" t="s">
        <v>8822</v>
      </c>
      <c r="CF8282" t="s">
        <v>8822</v>
      </c>
    </row>
    <row r="8283" spans="1:84" x14ac:dyDescent="0.25">
      <c r="A8283" t="s">
        <v>8823</v>
      </c>
      <c r="BJ8283">
        <v>24.92</v>
      </c>
      <c r="BS8283" t="s">
        <v>6633</v>
      </c>
      <c r="BW8283">
        <v>24.92</v>
      </c>
      <c r="CF8283">
        <v>24.92</v>
      </c>
    </row>
    <row r="8284" spans="1:84" x14ac:dyDescent="0.25">
      <c r="A8284" t="s">
        <v>8806</v>
      </c>
      <c r="CF8284" t="s">
        <v>8824</v>
      </c>
    </row>
    <row r="8285" spans="1:84" x14ac:dyDescent="0.25">
      <c r="A8285" t="s">
        <v>8825</v>
      </c>
    </row>
    <row r="8286" spans="1:84" x14ac:dyDescent="0.25">
      <c r="A8286" t="s">
        <v>8815</v>
      </c>
      <c r="BJ8286" t="s">
        <v>8799</v>
      </c>
      <c r="BS8286" t="s">
        <v>8800</v>
      </c>
      <c r="BW8286" t="s">
        <v>8801</v>
      </c>
      <c r="CF8286" t="s">
        <v>8802</v>
      </c>
    </row>
    <row r="8287" spans="1:84" x14ac:dyDescent="0.25">
      <c r="A8287" t="s">
        <v>8826</v>
      </c>
      <c r="BJ8287" t="s">
        <v>8827</v>
      </c>
      <c r="BS8287" t="s">
        <v>8805</v>
      </c>
      <c r="BW8287" t="s">
        <v>8828</v>
      </c>
      <c r="CF8287" t="s">
        <v>8828</v>
      </c>
    </row>
    <row r="8288" spans="1:84" x14ac:dyDescent="0.25">
      <c r="A8288" t="s">
        <v>8819</v>
      </c>
      <c r="BJ8288">
        <v>5.8</v>
      </c>
      <c r="BS8288" t="s">
        <v>6633</v>
      </c>
      <c r="BW8288">
        <v>5.8</v>
      </c>
      <c r="CF8288">
        <v>5.8</v>
      </c>
    </row>
    <row r="8289" spans="1:84" x14ac:dyDescent="0.25">
      <c r="A8289" t="s">
        <v>8820</v>
      </c>
      <c r="BJ8289" t="s">
        <v>8821</v>
      </c>
      <c r="BS8289" t="s">
        <v>8805</v>
      </c>
      <c r="BW8289" t="s">
        <v>8822</v>
      </c>
      <c r="CF8289" t="s">
        <v>8822</v>
      </c>
    </row>
    <row r="8290" spans="1:84" x14ac:dyDescent="0.25">
      <c r="A8290" t="s">
        <v>8823</v>
      </c>
      <c r="BJ8290">
        <v>24.92</v>
      </c>
      <c r="BS8290" t="s">
        <v>6633</v>
      </c>
      <c r="BW8290">
        <v>24.92</v>
      </c>
      <c r="CF8290">
        <v>24.92</v>
      </c>
    </row>
    <row r="8291" spans="1:84" x14ac:dyDescent="0.25">
      <c r="A8291" t="s">
        <v>8829</v>
      </c>
    </row>
    <row r="8292" spans="1:84" x14ac:dyDescent="0.25">
      <c r="BX8292" t="s">
        <v>8830</v>
      </c>
    </row>
    <row r="8295" spans="1:84" x14ac:dyDescent="0.25">
      <c r="A8295" t="s">
        <v>8806</v>
      </c>
      <c r="AT8295" t="s">
        <v>8831</v>
      </c>
    </row>
    <row r="8296" spans="1:84" x14ac:dyDescent="0.25">
      <c r="A8296" t="s">
        <v>8806</v>
      </c>
      <c r="AT8296" t="s">
        <v>8832</v>
      </c>
    </row>
    <row r="8297" spans="1:84" x14ac:dyDescent="0.25">
      <c r="A8297" t="s">
        <v>960</v>
      </c>
      <c r="AT8297" t="s">
        <v>8833</v>
      </c>
    </row>
    <row r="8298" spans="1:84" x14ac:dyDescent="0.25">
      <c r="A8298" t="s">
        <v>8834</v>
      </c>
    </row>
    <row r="8299" spans="1:84" x14ac:dyDescent="0.25">
      <c r="A8299" t="s">
        <v>8835</v>
      </c>
      <c r="AX8299" t="s">
        <v>8830</v>
      </c>
    </row>
    <row r="8301" spans="1:84" x14ac:dyDescent="0.25">
      <c r="A8301" t="s">
        <v>8836</v>
      </c>
    </row>
    <row r="8302" spans="1:84" x14ac:dyDescent="0.25">
      <c r="L8302" t="s">
        <v>8792</v>
      </c>
      <c r="V8302" t="s">
        <v>8837</v>
      </c>
    </row>
    <row r="8303" spans="1:84" x14ac:dyDescent="0.25">
      <c r="A8303" t="s">
        <v>8838</v>
      </c>
    </row>
    <row r="8304" spans="1:84" x14ac:dyDescent="0.25">
      <c r="A8304" t="s">
        <v>8839</v>
      </c>
    </row>
    <row r="8305" spans="1:84" x14ac:dyDescent="0.25">
      <c r="E8305" t="s">
        <v>8796</v>
      </c>
      <c r="N8305" t="s">
        <v>8797</v>
      </c>
      <c r="AX8305" t="s">
        <v>8798</v>
      </c>
      <c r="BJ8305" t="s">
        <v>8799</v>
      </c>
      <c r="BS8305" t="s">
        <v>8800</v>
      </c>
      <c r="BW8305" t="s">
        <v>8801</v>
      </c>
      <c r="CF8305" t="s">
        <v>8802</v>
      </c>
    </row>
    <row r="8306" spans="1:84" x14ac:dyDescent="0.25">
      <c r="N8306" t="s">
        <v>8840</v>
      </c>
      <c r="AX8306" t="s">
        <v>8804</v>
      </c>
      <c r="BJ8306" t="s">
        <v>8841</v>
      </c>
      <c r="BS8306" t="s">
        <v>8805</v>
      </c>
      <c r="BW8306" t="s">
        <v>8842</v>
      </c>
      <c r="CF8306" t="s">
        <v>8842</v>
      </c>
    </row>
    <row r="8307" spans="1:84" x14ac:dyDescent="0.25">
      <c r="N8307" t="s">
        <v>8843</v>
      </c>
      <c r="AX8307" t="s">
        <v>8804</v>
      </c>
      <c r="BJ8307" t="s">
        <v>4819</v>
      </c>
      <c r="BS8307" t="s">
        <v>8805</v>
      </c>
      <c r="BW8307">
        <v>975.2</v>
      </c>
      <c r="CF8307">
        <v>975.2</v>
      </c>
    </row>
    <row r="8308" spans="1:84" x14ac:dyDescent="0.25">
      <c r="N8308" t="s">
        <v>8844</v>
      </c>
      <c r="AX8308" t="s">
        <v>8804</v>
      </c>
      <c r="BJ8308">
        <v>150</v>
      </c>
      <c r="BS8308" t="s">
        <v>8805</v>
      </c>
      <c r="BW8308">
        <v>79.5</v>
      </c>
      <c r="CF8308">
        <v>79.5</v>
      </c>
    </row>
    <row r="8309" spans="1:84" x14ac:dyDescent="0.25">
      <c r="A8309" t="s">
        <v>8845</v>
      </c>
    </row>
    <row r="8310" spans="1:84" x14ac:dyDescent="0.25">
      <c r="A8310" t="s">
        <v>8846</v>
      </c>
    </row>
    <row r="8311" spans="1:84" x14ac:dyDescent="0.25">
      <c r="A8311" t="s">
        <v>8796</v>
      </c>
      <c r="N8311" t="s">
        <v>8797</v>
      </c>
      <c r="AX8311" t="s">
        <v>8798</v>
      </c>
      <c r="BJ8311" t="s">
        <v>8799</v>
      </c>
      <c r="BS8311" t="s">
        <v>8800</v>
      </c>
      <c r="BW8311" t="s">
        <v>8801</v>
      </c>
      <c r="CF8311" t="s">
        <v>8802</v>
      </c>
    </row>
    <row r="8312" spans="1:84" x14ac:dyDescent="0.25">
      <c r="N8312" t="s">
        <v>8847</v>
      </c>
      <c r="AX8312" t="s">
        <v>8804</v>
      </c>
      <c r="BJ8312" t="s">
        <v>8848</v>
      </c>
      <c r="BS8312" t="s">
        <v>8805</v>
      </c>
      <c r="BW8312" t="s">
        <v>8849</v>
      </c>
      <c r="CF8312" t="s">
        <v>8849</v>
      </c>
    </row>
    <row r="8313" spans="1:84" x14ac:dyDescent="0.25">
      <c r="N8313" t="s">
        <v>8843</v>
      </c>
      <c r="AX8313" t="s">
        <v>8804</v>
      </c>
      <c r="BJ8313" t="s">
        <v>4819</v>
      </c>
      <c r="BS8313" t="s">
        <v>8805</v>
      </c>
      <c r="BW8313">
        <v>975.2</v>
      </c>
      <c r="CF8313">
        <v>975.2</v>
      </c>
    </row>
    <row r="8314" spans="1:84" x14ac:dyDescent="0.25">
      <c r="N8314" t="s">
        <v>8844</v>
      </c>
      <c r="AX8314" t="s">
        <v>8804</v>
      </c>
      <c r="BJ8314">
        <v>150</v>
      </c>
      <c r="BS8314" t="s">
        <v>8805</v>
      </c>
      <c r="BW8314">
        <v>79.5</v>
      </c>
      <c r="CF8314">
        <v>79.5</v>
      </c>
    </row>
    <row r="8315" spans="1:84" x14ac:dyDescent="0.25">
      <c r="A8315" t="s">
        <v>8806</v>
      </c>
      <c r="AX8315" t="s">
        <v>8850</v>
      </c>
    </row>
    <row r="8316" spans="1:84" x14ac:dyDescent="0.25">
      <c r="A8316" t="s">
        <v>8806</v>
      </c>
      <c r="AX8316" t="s">
        <v>8851</v>
      </c>
    </row>
    <row r="8317" spans="1:84" x14ac:dyDescent="0.25">
      <c r="A8317" t="s">
        <v>960</v>
      </c>
      <c r="AX8317" t="s">
        <v>8852</v>
      </c>
    </row>
    <row r="8318" spans="1:84" x14ac:dyDescent="0.25">
      <c r="A8318" t="s">
        <v>8834</v>
      </c>
    </row>
    <row r="8319" spans="1:84" x14ac:dyDescent="0.25">
      <c r="A8319" t="s">
        <v>8853</v>
      </c>
      <c r="AY8319" t="s">
        <v>8854</v>
      </c>
    </row>
    <row r="8320" spans="1:84" x14ac:dyDescent="0.25">
      <c r="A8320" t="s">
        <v>8855</v>
      </c>
    </row>
    <row r="8322" spans="1:93" x14ac:dyDescent="0.25">
      <c r="CJ8322" t="s">
        <v>8856</v>
      </c>
    </row>
    <row r="8324" spans="1:93" x14ac:dyDescent="0.25">
      <c r="A8324" t="s">
        <v>8857</v>
      </c>
    </row>
    <row r="8326" spans="1:93" x14ac:dyDescent="0.25">
      <c r="A8326" t="s">
        <v>8858</v>
      </c>
    </row>
    <row r="8327" spans="1:93" x14ac:dyDescent="0.25">
      <c r="A8327" t="s">
        <v>8859</v>
      </c>
    </row>
    <row r="8330" spans="1:93" x14ac:dyDescent="0.25">
      <c r="AT8330" t="s">
        <v>8860</v>
      </c>
    </row>
    <row r="8334" spans="1:93" x14ac:dyDescent="0.25">
      <c r="A8334" t="s">
        <v>8861</v>
      </c>
    </row>
    <row r="8335" spans="1:93" x14ac:dyDescent="0.25">
      <c r="CO8335" t="s">
        <v>8862</v>
      </c>
    </row>
    <row r="8338" spans="1:62" x14ac:dyDescent="0.25">
      <c r="A8338" t="s">
        <v>8863</v>
      </c>
    </row>
    <row r="8340" spans="1:62" x14ac:dyDescent="0.25">
      <c r="A8340" t="s">
        <v>8864</v>
      </c>
    </row>
    <row r="8342" spans="1:62" x14ac:dyDescent="0.25">
      <c r="AP8342" t="s">
        <v>3632</v>
      </c>
    </row>
    <row r="8343" spans="1:62" x14ac:dyDescent="0.25">
      <c r="A8343" t="s">
        <v>8865</v>
      </c>
      <c r="BJ8343" t="s">
        <v>8866</v>
      </c>
    </row>
    <row r="8344" spans="1:62" x14ac:dyDescent="0.25">
      <c r="A8344" t="s">
        <v>8867</v>
      </c>
    </row>
    <row r="8345" spans="1:62" x14ac:dyDescent="0.25">
      <c r="AP8345" t="s">
        <v>8868</v>
      </c>
      <c r="BJ8345" t="s">
        <v>8869</v>
      </c>
    </row>
    <row r="8346" spans="1:62" x14ac:dyDescent="0.25">
      <c r="AP8346" t="s">
        <v>8870</v>
      </c>
    </row>
    <row r="8349" spans="1:62" x14ac:dyDescent="0.25">
      <c r="A8349" t="s">
        <v>8871</v>
      </c>
    </row>
    <row r="8352" spans="1:62" x14ac:dyDescent="0.25">
      <c r="A8352" t="s">
        <v>8862</v>
      </c>
      <c r="J8352" t="s">
        <v>8872</v>
      </c>
    </row>
    <row r="8354" spans="10:81" x14ac:dyDescent="0.25">
      <c r="J8354" t="s">
        <v>8873</v>
      </c>
      <c r="V8354" t="s">
        <v>8874</v>
      </c>
      <c r="AB8354" t="s">
        <v>8875</v>
      </c>
      <c r="AH8354" t="s">
        <v>8876</v>
      </c>
      <c r="AM8354" t="s">
        <v>8877</v>
      </c>
      <c r="AT8354" t="s">
        <v>8878</v>
      </c>
      <c r="AY8354" t="s">
        <v>8879</v>
      </c>
      <c r="BE8354" t="s">
        <v>8880</v>
      </c>
      <c r="BJ8354" t="s">
        <v>8881</v>
      </c>
      <c r="BQ8354" t="s">
        <v>8882</v>
      </c>
      <c r="BU8354" t="s">
        <v>8883</v>
      </c>
      <c r="CC8354" t="s">
        <v>8884</v>
      </c>
    </row>
    <row r="8355" spans="10:81" x14ac:dyDescent="0.25">
      <c r="J8355" t="s">
        <v>8885</v>
      </c>
    </row>
    <row r="8356" spans="10:81" x14ac:dyDescent="0.25">
      <c r="J8356" t="s">
        <v>8886</v>
      </c>
    </row>
    <row r="8358" spans="10:81" x14ac:dyDescent="0.25">
      <c r="J8358" t="s">
        <v>8887</v>
      </c>
    </row>
    <row r="8359" spans="10:81" x14ac:dyDescent="0.25">
      <c r="J8359" t="s">
        <v>8888</v>
      </c>
    </row>
    <row r="8360" spans="10:81" x14ac:dyDescent="0.25">
      <c r="J8360" t="s">
        <v>625</v>
      </c>
    </row>
    <row r="8361" spans="10:81" x14ac:dyDescent="0.25">
      <c r="J8361" t="s">
        <v>8889</v>
      </c>
      <c r="AB8361" t="s">
        <v>8890</v>
      </c>
      <c r="AH8361" t="s">
        <v>8891</v>
      </c>
      <c r="AM8361" t="s">
        <v>8891</v>
      </c>
      <c r="BQ8361" t="s">
        <v>8892</v>
      </c>
    </row>
    <row r="8362" spans="10:81" x14ac:dyDescent="0.25">
      <c r="J8362" t="s">
        <v>8893</v>
      </c>
      <c r="AB8362" t="s">
        <v>8894</v>
      </c>
      <c r="AH8362" t="s">
        <v>8895</v>
      </c>
      <c r="AM8362" t="s">
        <v>8895</v>
      </c>
      <c r="BQ8362">
        <v>18</v>
      </c>
    </row>
    <row r="8363" spans="10:81" x14ac:dyDescent="0.25">
      <c r="J8363" t="s">
        <v>8896</v>
      </c>
    </row>
    <row r="8364" spans="10:81" x14ac:dyDescent="0.25">
      <c r="J8364" t="s">
        <v>8897</v>
      </c>
    </row>
    <row r="8365" spans="10:81" x14ac:dyDescent="0.25">
      <c r="J8365" t="s">
        <v>8898</v>
      </c>
    </row>
    <row r="8366" spans="10:81" x14ac:dyDescent="0.25">
      <c r="J8366" t="s">
        <v>8899</v>
      </c>
    </row>
    <row r="8367" spans="10:81" x14ac:dyDescent="0.25">
      <c r="J8367" t="s">
        <v>8900</v>
      </c>
    </row>
    <row r="8368" spans="10:81" x14ac:dyDescent="0.25">
      <c r="J8368" t="s">
        <v>8901</v>
      </c>
    </row>
    <row r="8369" spans="10:10" x14ac:dyDescent="0.25">
      <c r="J8369" t="s">
        <v>8902</v>
      </c>
    </row>
    <row r="8370" spans="10:10" x14ac:dyDescent="0.25">
      <c r="J8370" t="s">
        <v>8903</v>
      </c>
    </row>
    <row r="8371" spans="10:10" x14ac:dyDescent="0.25">
      <c r="J8371" t="s">
        <v>8904</v>
      </c>
    </row>
    <row r="8372" spans="10:10" x14ac:dyDescent="0.25">
      <c r="J8372" t="s">
        <v>8905</v>
      </c>
    </row>
    <row r="8373" spans="10:10" x14ac:dyDescent="0.25">
      <c r="J8373" t="s">
        <v>8906</v>
      </c>
    </row>
    <row r="8374" spans="10:10" x14ac:dyDescent="0.25">
      <c r="J8374" t="s">
        <v>8907</v>
      </c>
    </row>
    <row r="8375" spans="10:10" x14ac:dyDescent="0.25">
      <c r="J8375" t="s">
        <v>8908</v>
      </c>
    </row>
    <row r="8376" spans="10:10" x14ac:dyDescent="0.25">
      <c r="J8376" t="s">
        <v>8909</v>
      </c>
    </row>
    <row r="8377" spans="10:10" x14ac:dyDescent="0.25">
      <c r="J8377" t="s">
        <v>8910</v>
      </c>
    </row>
    <row r="8378" spans="10:10" x14ac:dyDescent="0.25">
      <c r="J8378" t="s">
        <v>8911</v>
      </c>
    </row>
    <row r="8379" spans="10:10" x14ac:dyDescent="0.25">
      <c r="J8379" t="s">
        <v>8912</v>
      </c>
    </row>
    <row r="8380" spans="10:10" x14ac:dyDescent="0.25">
      <c r="J8380" t="s">
        <v>8913</v>
      </c>
    </row>
    <row r="8381" spans="10:10" x14ac:dyDescent="0.25">
      <c r="J8381" t="s">
        <v>8914</v>
      </c>
    </row>
    <row r="8382" spans="10:10" x14ac:dyDescent="0.25">
      <c r="J8382" t="s">
        <v>8915</v>
      </c>
    </row>
    <row r="8383" spans="10:10" x14ac:dyDescent="0.25">
      <c r="J8383" t="s">
        <v>8916</v>
      </c>
    </row>
    <row r="8384" spans="10:10" x14ac:dyDescent="0.25">
      <c r="J8384" t="s">
        <v>8917</v>
      </c>
    </row>
    <row r="8385" spans="1:65" x14ac:dyDescent="0.25">
      <c r="J8385" t="s">
        <v>8918</v>
      </c>
    </row>
    <row r="8386" spans="1:65" x14ac:dyDescent="0.25">
      <c r="J8386" t="s">
        <v>8919</v>
      </c>
    </row>
    <row r="8387" spans="1:65" x14ac:dyDescent="0.25">
      <c r="J8387" t="s">
        <v>8920</v>
      </c>
      <c r="AH8387" t="s">
        <v>8921</v>
      </c>
      <c r="AM8387" t="s">
        <v>8921</v>
      </c>
    </row>
    <row r="8388" spans="1:65" x14ac:dyDescent="0.25">
      <c r="J8388" t="s">
        <v>8922</v>
      </c>
    </row>
    <row r="8389" spans="1:65" x14ac:dyDescent="0.25">
      <c r="J8389" t="s">
        <v>8923</v>
      </c>
    </row>
    <row r="8390" spans="1:65" x14ac:dyDescent="0.25">
      <c r="A8390" t="s">
        <v>8924</v>
      </c>
    </row>
    <row r="8391" spans="1:65" x14ac:dyDescent="0.25">
      <c r="A8391" t="s">
        <v>8925</v>
      </c>
    </row>
    <row r="8392" spans="1:65" x14ac:dyDescent="0.25">
      <c r="BJ8392" t="s">
        <v>8926</v>
      </c>
      <c r="BM8392" t="s">
        <v>8862</v>
      </c>
    </row>
    <row r="8398" spans="1:65" x14ac:dyDescent="0.25">
      <c r="A8398" t="s">
        <v>8927</v>
      </c>
    </row>
    <row r="8401" spans="1:81" x14ac:dyDescent="0.25">
      <c r="A8401" t="s">
        <v>8862</v>
      </c>
    </row>
    <row r="8402" spans="1:81" x14ac:dyDescent="0.25">
      <c r="G8402" t="s">
        <v>8928</v>
      </c>
    </row>
    <row r="8404" spans="1:81" x14ac:dyDescent="0.25">
      <c r="G8404" t="s">
        <v>8929</v>
      </c>
    </row>
    <row r="8406" spans="1:81" x14ac:dyDescent="0.25">
      <c r="G8406" t="s">
        <v>8930</v>
      </c>
      <c r="AF8406" t="s">
        <v>8931</v>
      </c>
      <c r="AO8406" t="s">
        <v>8932</v>
      </c>
      <c r="AY8406" t="s">
        <v>8933</v>
      </c>
      <c r="BJ8406" t="s">
        <v>8934</v>
      </c>
      <c r="BS8406" t="s">
        <v>8935</v>
      </c>
      <c r="CC8406" t="s">
        <v>8936</v>
      </c>
    </row>
    <row r="8407" spans="1:81" x14ac:dyDescent="0.25">
      <c r="G8407" t="s">
        <v>8937</v>
      </c>
      <c r="W8407" t="s">
        <v>2424</v>
      </c>
      <c r="AF8407">
        <v>2</v>
      </c>
      <c r="AO8407">
        <v>2.5</v>
      </c>
      <c r="AY8407">
        <v>3.3</v>
      </c>
      <c r="BJ8407">
        <v>4.2</v>
      </c>
      <c r="BS8407" t="s">
        <v>5541</v>
      </c>
      <c r="CC8407">
        <v>6.5</v>
      </c>
    </row>
    <row r="8409" spans="1:81" x14ac:dyDescent="0.25">
      <c r="G8409" t="s">
        <v>8938</v>
      </c>
      <c r="W8409" t="s">
        <v>2424</v>
      </c>
      <c r="AF8409" t="s">
        <v>8939</v>
      </c>
      <c r="AO8409" t="s">
        <v>8940</v>
      </c>
      <c r="AY8409" t="s">
        <v>8941</v>
      </c>
      <c r="BJ8409" t="s">
        <v>8942</v>
      </c>
      <c r="BS8409" t="s">
        <v>8943</v>
      </c>
      <c r="CC8409" t="s">
        <v>8944</v>
      </c>
    </row>
    <row r="8410" spans="1:81" x14ac:dyDescent="0.25">
      <c r="G8410" t="s">
        <v>8945</v>
      </c>
      <c r="W8410" t="s">
        <v>2424</v>
      </c>
      <c r="AF8410" t="s">
        <v>8946</v>
      </c>
      <c r="AO8410" t="s">
        <v>8947</v>
      </c>
      <c r="AY8410" t="s">
        <v>8948</v>
      </c>
      <c r="BJ8410" t="s">
        <v>8949</v>
      </c>
      <c r="BS8410" t="s">
        <v>8950</v>
      </c>
      <c r="CC8410" t="s">
        <v>8951</v>
      </c>
    </row>
    <row r="8411" spans="1:81" x14ac:dyDescent="0.25">
      <c r="AF8411">
        <v>0.74</v>
      </c>
      <c r="AO8411">
        <v>1</v>
      </c>
      <c r="AY8411">
        <v>1.35</v>
      </c>
      <c r="BJ8411">
        <v>1.7</v>
      </c>
      <c r="BS8411" t="s">
        <v>8952</v>
      </c>
      <c r="CC8411">
        <v>2.4</v>
      </c>
    </row>
    <row r="8412" spans="1:81" x14ac:dyDescent="0.25">
      <c r="G8412" t="s">
        <v>8953</v>
      </c>
      <c r="W8412" t="s">
        <v>4905</v>
      </c>
      <c r="AF8412">
        <v>3.33</v>
      </c>
      <c r="AO8412">
        <v>3.47</v>
      </c>
      <c r="AY8412">
        <v>2.82</v>
      </c>
      <c r="BJ8412">
        <v>3.07</v>
      </c>
      <c r="BS8412" t="s">
        <v>8954</v>
      </c>
      <c r="CC8412">
        <v>2.83</v>
      </c>
    </row>
    <row r="8413" spans="1:81" x14ac:dyDescent="0.25">
      <c r="G8413" t="s">
        <v>8955</v>
      </c>
      <c r="AF8413">
        <v>6.1</v>
      </c>
      <c r="AO8413">
        <v>6.1</v>
      </c>
      <c r="AY8413">
        <v>6.1</v>
      </c>
      <c r="BJ8413">
        <v>6.1</v>
      </c>
      <c r="BS8413" t="s">
        <v>5432</v>
      </c>
      <c r="CC8413">
        <v>6.1</v>
      </c>
    </row>
    <row r="8414" spans="1:81" x14ac:dyDescent="0.25">
      <c r="G8414" t="s">
        <v>4977</v>
      </c>
      <c r="AF8414" t="s">
        <v>2880</v>
      </c>
      <c r="AO8414" t="s">
        <v>2880</v>
      </c>
      <c r="AY8414" t="s">
        <v>2880</v>
      </c>
      <c r="BJ8414" t="s">
        <v>2880</v>
      </c>
      <c r="BS8414" t="s">
        <v>2880</v>
      </c>
      <c r="CC8414" t="s">
        <v>2880</v>
      </c>
    </row>
    <row r="8415" spans="1:81" x14ac:dyDescent="0.25">
      <c r="G8415" t="s">
        <v>4979</v>
      </c>
      <c r="W8415" t="s">
        <v>4918</v>
      </c>
      <c r="AF8415" t="s">
        <v>8956</v>
      </c>
      <c r="AO8415" t="s">
        <v>8956</v>
      </c>
      <c r="AY8415" t="s">
        <v>8956</v>
      </c>
      <c r="BJ8415" t="s">
        <v>8956</v>
      </c>
      <c r="BS8415" t="s">
        <v>8956</v>
      </c>
      <c r="CC8415" t="s">
        <v>8956</v>
      </c>
    </row>
    <row r="8416" spans="1:81" x14ac:dyDescent="0.25">
      <c r="G8416" t="s">
        <v>8957</v>
      </c>
      <c r="W8416" t="s">
        <v>2424</v>
      </c>
      <c r="AF8416">
        <v>2.5</v>
      </c>
      <c r="AO8416">
        <v>3.2</v>
      </c>
      <c r="AY8416">
        <v>3.6</v>
      </c>
      <c r="BJ8416">
        <v>5</v>
      </c>
      <c r="BS8416" t="s">
        <v>5430</v>
      </c>
      <c r="CC8416">
        <v>7</v>
      </c>
    </row>
    <row r="8417" spans="7:81" x14ac:dyDescent="0.25">
      <c r="G8417" t="s">
        <v>8958</v>
      </c>
      <c r="W8417" t="s">
        <v>2424</v>
      </c>
      <c r="AF8417" t="s">
        <v>8959</v>
      </c>
      <c r="AO8417" t="s">
        <v>8960</v>
      </c>
      <c r="AY8417" t="s">
        <v>8961</v>
      </c>
      <c r="BJ8417" t="s">
        <v>8962</v>
      </c>
      <c r="BS8417" t="s">
        <v>8963</v>
      </c>
      <c r="CC8417" t="s">
        <v>8964</v>
      </c>
    </row>
    <row r="8418" spans="7:81" x14ac:dyDescent="0.25">
      <c r="G8418" t="s">
        <v>8945</v>
      </c>
      <c r="W8418" t="s">
        <v>2424</v>
      </c>
      <c r="AF8418" t="s">
        <v>8965</v>
      </c>
      <c r="AO8418" t="s">
        <v>8966</v>
      </c>
      <c r="AY8418" t="s">
        <v>8967</v>
      </c>
      <c r="BJ8418" t="s">
        <v>8968</v>
      </c>
      <c r="BS8418" t="s">
        <v>8969</v>
      </c>
      <c r="CC8418" t="s">
        <v>8970</v>
      </c>
    </row>
    <row r="8419" spans="7:81" x14ac:dyDescent="0.25">
      <c r="AF8419">
        <v>0.94</v>
      </c>
      <c r="AO8419">
        <v>1.1100000000000001</v>
      </c>
      <c r="AY8419">
        <v>1.25</v>
      </c>
      <c r="BJ8419">
        <v>1.9</v>
      </c>
      <c r="BS8419" t="s">
        <v>5384</v>
      </c>
      <c r="CC8419">
        <v>2.5</v>
      </c>
    </row>
    <row r="8420" spans="7:81" x14ac:dyDescent="0.25">
      <c r="G8420" t="s">
        <v>8971</v>
      </c>
      <c r="W8420" t="s">
        <v>4905</v>
      </c>
      <c r="AF8420">
        <v>3.91</v>
      </c>
      <c r="AO8420">
        <v>3.81</v>
      </c>
      <c r="AY8420">
        <v>3.53</v>
      </c>
      <c r="BJ8420">
        <v>3.45</v>
      </c>
      <c r="BS8420" t="s">
        <v>8972</v>
      </c>
      <c r="CC8420">
        <v>3.33</v>
      </c>
    </row>
    <row r="8421" spans="7:81" x14ac:dyDescent="0.25">
      <c r="G8421" t="s">
        <v>8973</v>
      </c>
      <c r="AF8421">
        <v>4</v>
      </c>
      <c r="AO8421">
        <v>4</v>
      </c>
      <c r="AY8421">
        <v>4</v>
      </c>
      <c r="BJ8421">
        <v>4</v>
      </c>
      <c r="BS8421" t="s">
        <v>5194</v>
      </c>
      <c r="CC8421">
        <v>4</v>
      </c>
    </row>
    <row r="8422" spans="7:81" x14ac:dyDescent="0.25">
      <c r="G8422" t="s">
        <v>4977</v>
      </c>
      <c r="AF8422" t="s">
        <v>2880</v>
      </c>
      <c r="AO8422" t="s">
        <v>2880</v>
      </c>
      <c r="AY8422" t="s">
        <v>2880</v>
      </c>
      <c r="BJ8422" t="s">
        <v>2880</v>
      </c>
      <c r="BS8422" t="s">
        <v>2880</v>
      </c>
      <c r="CC8422" t="s">
        <v>2880</v>
      </c>
    </row>
    <row r="8423" spans="7:81" x14ac:dyDescent="0.25">
      <c r="G8423" t="s">
        <v>4979</v>
      </c>
      <c r="W8423" t="s">
        <v>4918</v>
      </c>
      <c r="AF8423" t="s">
        <v>8974</v>
      </c>
      <c r="AO8423" t="s">
        <v>8974</v>
      </c>
      <c r="AY8423" t="s">
        <v>8974</v>
      </c>
      <c r="BJ8423" t="s">
        <v>8974</v>
      </c>
      <c r="BS8423" t="s">
        <v>8974</v>
      </c>
      <c r="CC8423" t="s">
        <v>8974</v>
      </c>
    </row>
    <row r="8424" spans="7:81" x14ac:dyDescent="0.25">
      <c r="G8424" t="s">
        <v>8975</v>
      </c>
      <c r="W8424" t="s">
        <v>2442</v>
      </c>
      <c r="AF8424" t="s">
        <v>8976</v>
      </c>
      <c r="AO8424" t="s">
        <v>8976</v>
      </c>
      <c r="AY8424" t="s">
        <v>8976</v>
      </c>
      <c r="BJ8424" t="s">
        <v>8976</v>
      </c>
      <c r="BS8424" t="s">
        <v>8976</v>
      </c>
      <c r="CC8424" t="s">
        <v>8976</v>
      </c>
    </row>
    <row r="8425" spans="7:81" x14ac:dyDescent="0.25">
      <c r="AF8425">
        <v>50</v>
      </c>
      <c r="AO8425">
        <v>50</v>
      </c>
      <c r="AY8425">
        <v>50</v>
      </c>
      <c r="BJ8425">
        <v>50</v>
      </c>
      <c r="BS8425" t="s">
        <v>7054</v>
      </c>
      <c r="CC8425">
        <v>50</v>
      </c>
    </row>
    <row r="8426" spans="7:81" x14ac:dyDescent="0.25">
      <c r="G8426" t="s">
        <v>4982</v>
      </c>
      <c r="W8426" t="s">
        <v>4911</v>
      </c>
      <c r="AF8426">
        <v>10</v>
      </c>
      <c r="AO8426">
        <v>10</v>
      </c>
      <c r="AY8426">
        <v>10</v>
      </c>
      <c r="BJ8426">
        <v>10</v>
      </c>
      <c r="BS8426" t="s">
        <v>5272</v>
      </c>
      <c r="CC8426">
        <v>16</v>
      </c>
    </row>
    <row r="8427" spans="7:81" x14ac:dyDescent="0.25">
      <c r="G8427" t="s">
        <v>8977</v>
      </c>
      <c r="W8427" t="s">
        <v>4986</v>
      </c>
      <c r="AF8427" t="s">
        <v>8978</v>
      </c>
      <c r="AO8427" t="s">
        <v>8979</v>
      </c>
      <c r="AY8427" t="s">
        <v>8980</v>
      </c>
      <c r="BJ8427" t="s">
        <v>8981</v>
      </c>
      <c r="BS8427" t="s">
        <v>8982</v>
      </c>
      <c r="CC8427" t="s">
        <v>8983</v>
      </c>
    </row>
    <row r="8429" spans="7:81" x14ac:dyDescent="0.25">
      <c r="G8429" t="s">
        <v>4988</v>
      </c>
      <c r="AF8429" t="s">
        <v>8984</v>
      </c>
      <c r="AO8429" t="s">
        <v>8985</v>
      </c>
      <c r="AY8429" t="s">
        <v>8986</v>
      </c>
      <c r="BJ8429" t="s">
        <v>8987</v>
      </c>
      <c r="BS8429" t="s">
        <v>8988</v>
      </c>
      <c r="CC8429" t="s">
        <v>8989</v>
      </c>
    </row>
    <row r="8430" spans="7:81" x14ac:dyDescent="0.25">
      <c r="G8430" t="s">
        <v>7870</v>
      </c>
      <c r="W8430" t="s">
        <v>2431</v>
      </c>
      <c r="AF8430" t="s">
        <v>8990</v>
      </c>
      <c r="AO8430" t="s">
        <v>8991</v>
      </c>
      <c r="AY8430" t="s">
        <v>8992</v>
      </c>
      <c r="BJ8430" t="s">
        <v>8993</v>
      </c>
      <c r="BS8430" t="s">
        <v>8994</v>
      </c>
      <c r="CC8430" t="s">
        <v>8995</v>
      </c>
    </row>
    <row r="8431" spans="7:81" x14ac:dyDescent="0.25">
      <c r="G8431" t="s">
        <v>8996</v>
      </c>
      <c r="W8431" t="s">
        <v>2427</v>
      </c>
      <c r="AF8431" t="s">
        <v>8997</v>
      </c>
      <c r="AO8431" t="s">
        <v>8998</v>
      </c>
      <c r="AY8431" t="s">
        <v>8999</v>
      </c>
      <c r="BJ8431" t="s">
        <v>9000</v>
      </c>
      <c r="BS8431" t="s">
        <v>9001</v>
      </c>
      <c r="CC8431" t="s">
        <v>9002</v>
      </c>
    </row>
    <row r="8432" spans="7:81" x14ac:dyDescent="0.25">
      <c r="G8432" t="s">
        <v>8996</v>
      </c>
      <c r="W8432" t="s">
        <v>2427</v>
      </c>
      <c r="AF8432" t="s">
        <v>9003</v>
      </c>
      <c r="AO8432" t="s">
        <v>9004</v>
      </c>
      <c r="AY8432" t="s">
        <v>8999</v>
      </c>
      <c r="BJ8432" t="s">
        <v>9005</v>
      </c>
      <c r="BS8432" t="s">
        <v>9006</v>
      </c>
      <c r="CC8432" t="s">
        <v>9002</v>
      </c>
    </row>
    <row r="8433" spans="7:81" x14ac:dyDescent="0.25">
      <c r="G8433" t="s">
        <v>4984</v>
      </c>
      <c r="W8433" t="s">
        <v>2433</v>
      </c>
      <c r="AF8433" t="s">
        <v>9007</v>
      </c>
      <c r="AO8433" t="s">
        <v>9007</v>
      </c>
      <c r="AY8433" t="s">
        <v>9007</v>
      </c>
      <c r="BJ8433" t="s">
        <v>9008</v>
      </c>
      <c r="BS8433" t="s">
        <v>9008</v>
      </c>
      <c r="CC8433" t="s">
        <v>9009</v>
      </c>
    </row>
    <row r="8434" spans="7:81" x14ac:dyDescent="0.25">
      <c r="G8434" t="s">
        <v>9010</v>
      </c>
      <c r="W8434" t="s">
        <v>713</v>
      </c>
      <c r="AF8434">
        <v>9</v>
      </c>
      <c r="AO8434">
        <v>9</v>
      </c>
      <c r="AY8434">
        <v>9</v>
      </c>
      <c r="BJ8434">
        <v>10</v>
      </c>
      <c r="BS8434" t="s">
        <v>5272</v>
      </c>
      <c r="CC8434">
        <v>15</v>
      </c>
    </row>
    <row r="8435" spans="7:81" x14ac:dyDescent="0.25">
      <c r="G8435" t="s">
        <v>1001</v>
      </c>
      <c r="W8435" t="s">
        <v>4986</v>
      </c>
      <c r="AF8435" t="s">
        <v>9011</v>
      </c>
      <c r="AO8435" t="s">
        <v>9011</v>
      </c>
      <c r="AY8435" t="s">
        <v>5135</v>
      </c>
      <c r="BJ8435" t="s">
        <v>9012</v>
      </c>
      <c r="BS8435" t="s">
        <v>9013</v>
      </c>
      <c r="CC8435" t="s">
        <v>9014</v>
      </c>
    </row>
    <row r="8437" spans="7:81" x14ac:dyDescent="0.25">
      <c r="G8437" t="s">
        <v>5025</v>
      </c>
      <c r="AF8437" t="s">
        <v>9015</v>
      </c>
      <c r="AO8437" t="s">
        <v>9016</v>
      </c>
      <c r="AY8437" t="s">
        <v>9017</v>
      </c>
      <c r="BJ8437" t="s">
        <v>9018</v>
      </c>
      <c r="BS8437" t="s">
        <v>9019</v>
      </c>
      <c r="CC8437" t="s">
        <v>9020</v>
      </c>
    </row>
    <row r="8438" spans="7:81" x14ac:dyDescent="0.25">
      <c r="G8438" t="s">
        <v>8996</v>
      </c>
      <c r="W8438" t="s">
        <v>2427</v>
      </c>
      <c r="AF8438" t="s">
        <v>9021</v>
      </c>
      <c r="AO8438" t="s">
        <v>9021</v>
      </c>
      <c r="AY8438" t="s">
        <v>9022</v>
      </c>
      <c r="BJ8438" t="s">
        <v>9023</v>
      </c>
      <c r="BS8438" t="s">
        <v>9023</v>
      </c>
      <c r="CC8438" t="s">
        <v>9024</v>
      </c>
    </row>
    <row r="8439" spans="7:81" x14ac:dyDescent="0.25">
      <c r="G8439" t="s">
        <v>8996</v>
      </c>
      <c r="W8439" t="s">
        <v>2427</v>
      </c>
      <c r="AF8439" t="s">
        <v>9025</v>
      </c>
      <c r="AO8439" t="s">
        <v>9025</v>
      </c>
      <c r="AY8439" t="s">
        <v>9023</v>
      </c>
      <c r="BJ8439" t="s">
        <v>9026</v>
      </c>
      <c r="BS8439" t="s">
        <v>9026</v>
      </c>
      <c r="CC8439" t="s">
        <v>9027</v>
      </c>
    </row>
    <row r="8440" spans="7:81" x14ac:dyDescent="0.25">
      <c r="G8440" t="s">
        <v>2435</v>
      </c>
      <c r="W8440" t="s">
        <v>2436</v>
      </c>
      <c r="AF8440" t="s">
        <v>9028</v>
      </c>
      <c r="AO8440" t="s">
        <v>9028</v>
      </c>
      <c r="AY8440" t="s">
        <v>9028</v>
      </c>
      <c r="BJ8440" t="s">
        <v>9029</v>
      </c>
      <c r="BS8440" t="s">
        <v>9029</v>
      </c>
      <c r="CC8440" t="s">
        <v>9029</v>
      </c>
    </row>
    <row r="8441" spans="7:81" x14ac:dyDescent="0.25">
      <c r="G8441" t="s">
        <v>9030</v>
      </c>
      <c r="W8441" t="s">
        <v>2436</v>
      </c>
      <c r="AF8441" t="s">
        <v>9031</v>
      </c>
      <c r="AO8441" t="s">
        <v>9031</v>
      </c>
      <c r="AY8441" t="s">
        <v>9031</v>
      </c>
      <c r="BJ8441" t="s">
        <v>9031</v>
      </c>
      <c r="BS8441" t="s">
        <v>9031</v>
      </c>
      <c r="CC8441" t="s">
        <v>9031</v>
      </c>
    </row>
    <row r="8442" spans="7:81" x14ac:dyDescent="0.25">
      <c r="G8442" t="s">
        <v>9032</v>
      </c>
      <c r="W8442" t="s">
        <v>551</v>
      </c>
      <c r="AF8442">
        <v>2</v>
      </c>
      <c r="AO8442">
        <v>2</v>
      </c>
      <c r="AY8442">
        <v>2</v>
      </c>
      <c r="BJ8442">
        <v>2</v>
      </c>
      <c r="BS8442" t="s">
        <v>5264</v>
      </c>
      <c r="CC8442">
        <v>2</v>
      </c>
    </row>
    <row r="8443" spans="7:81" x14ac:dyDescent="0.25">
      <c r="G8443" t="s">
        <v>9033</v>
      </c>
      <c r="W8443" t="s">
        <v>551</v>
      </c>
      <c r="AF8443">
        <v>10</v>
      </c>
      <c r="AO8443">
        <v>10</v>
      </c>
      <c r="AY8443">
        <v>10</v>
      </c>
      <c r="BJ8443">
        <v>15</v>
      </c>
      <c r="BS8443" t="s">
        <v>5280</v>
      </c>
      <c r="CC8443">
        <v>15</v>
      </c>
    </row>
    <row r="8444" spans="7:81" x14ac:dyDescent="0.25">
      <c r="G8444" t="s">
        <v>9034</v>
      </c>
      <c r="W8444" t="s">
        <v>551</v>
      </c>
      <c r="AF8444">
        <v>8</v>
      </c>
      <c r="AO8444">
        <v>8</v>
      </c>
      <c r="AY8444">
        <v>8</v>
      </c>
      <c r="BJ8444">
        <v>8</v>
      </c>
      <c r="BS8444" t="s">
        <v>5057</v>
      </c>
      <c r="CC8444">
        <v>8</v>
      </c>
    </row>
    <row r="8445" spans="7:81" x14ac:dyDescent="0.25">
      <c r="G8445" t="s">
        <v>9035</v>
      </c>
      <c r="AF8445" t="s">
        <v>9036</v>
      </c>
      <c r="AO8445" t="s">
        <v>9036</v>
      </c>
      <c r="AY8445" t="s">
        <v>9036</v>
      </c>
      <c r="BJ8445" t="s">
        <v>9036</v>
      </c>
      <c r="BS8445" t="s">
        <v>9036</v>
      </c>
      <c r="CC8445" t="s">
        <v>9037</v>
      </c>
    </row>
    <row r="8446" spans="7:81" x14ac:dyDescent="0.25">
      <c r="G8446" t="s">
        <v>4983</v>
      </c>
      <c r="AF8446" t="s">
        <v>2440</v>
      </c>
      <c r="AO8446" t="s">
        <v>2440</v>
      </c>
      <c r="AY8446" t="s">
        <v>2440</v>
      </c>
      <c r="BJ8446" t="s">
        <v>2440</v>
      </c>
      <c r="BS8446" t="s">
        <v>2440</v>
      </c>
      <c r="CC8446" t="s">
        <v>2440</v>
      </c>
    </row>
    <row r="8447" spans="7:81" x14ac:dyDescent="0.25">
      <c r="G8447" t="s">
        <v>9038</v>
      </c>
      <c r="W8447" t="s">
        <v>713</v>
      </c>
      <c r="AF8447">
        <v>0.44</v>
      </c>
      <c r="AO8447">
        <v>0.49</v>
      </c>
      <c r="AY8447">
        <v>0.54</v>
      </c>
      <c r="BJ8447">
        <v>0.68</v>
      </c>
      <c r="BS8447" t="s">
        <v>9039</v>
      </c>
      <c r="CC8447">
        <v>1.23</v>
      </c>
    </row>
    <row r="8448" spans="7:81" x14ac:dyDescent="0.25">
      <c r="G8448" t="s">
        <v>4984</v>
      </c>
      <c r="W8448" t="s">
        <v>2433</v>
      </c>
      <c r="AF8448" t="s">
        <v>9040</v>
      </c>
      <c r="AO8448" t="s">
        <v>9040</v>
      </c>
      <c r="AY8448" t="s">
        <v>9040</v>
      </c>
      <c r="BJ8448" t="s">
        <v>9041</v>
      </c>
      <c r="BS8448" t="s">
        <v>9041</v>
      </c>
      <c r="CC8448" t="s">
        <v>9041</v>
      </c>
    </row>
    <row r="8449" spans="1:81" x14ac:dyDescent="0.25">
      <c r="G8449" t="s">
        <v>9010</v>
      </c>
      <c r="W8449" t="s">
        <v>713</v>
      </c>
      <c r="AF8449">
        <v>20</v>
      </c>
      <c r="AO8449">
        <v>21</v>
      </c>
      <c r="AY8449">
        <v>21</v>
      </c>
      <c r="BJ8449">
        <v>29</v>
      </c>
      <c r="BS8449" t="s">
        <v>9042</v>
      </c>
      <c r="CC8449">
        <v>37</v>
      </c>
    </row>
    <row r="8450" spans="1:81" x14ac:dyDescent="0.25">
      <c r="G8450" t="s">
        <v>1001</v>
      </c>
      <c r="W8450" t="s">
        <v>4986</v>
      </c>
      <c r="AF8450" t="s">
        <v>9043</v>
      </c>
      <c r="AO8450" t="s">
        <v>9044</v>
      </c>
      <c r="AY8450" t="s">
        <v>9045</v>
      </c>
      <c r="BJ8450" t="s">
        <v>9046</v>
      </c>
      <c r="BS8450" t="s">
        <v>9047</v>
      </c>
      <c r="CC8450" t="s">
        <v>9048</v>
      </c>
    </row>
    <row r="8452" spans="1:81" x14ac:dyDescent="0.25">
      <c r="G8452" t="s">
        <v>3768</v>
      </c>
      <c r="W8452" t="s">
        <v>9049</v>
      </c>
      <c r="BS8452" t="s">
        <v>9050</v>
      </c>
      <c r="BY8452" t="s">
        <v>9051</v>
      </c>
    </row>
    <row r="8453" spans="1:81" x14ac:dyDescent="0.25">
      <c r="G8453" t="s">
        <v>9052</v>
      </c>
      <c r="W8453" t="s">
        <v>9053</v>
      </c>
    </row>
    <row r="8454" spans="1:81" x14ac:dyDescent="0.25">
      <c r="G8454" t="s">
        <v>9054</v>
      </c>
      <c r="W8454" t="s">
        <v>9055</v>
      </c>
      <c r="BY8454" t="s">
        <v>9056</v>
      </c>
    </row>
    <row r="8455" spans="1:81" x14ac:dyDescent="0.25">
      <c r="G8455" t="s">
        <v>9057</v>
      </c>
      <c r="W8455" t="s">
        <v>9058</v>
      </c>
      <c r="BY8455" t="s">
        <v>9059</v>
      </c>
    </row>
    <row r="8456" spans="1:81" x14ac:dyDescent="0.25">
      <c r="G8456" t="s">
        <v>9060</v>
      </c>
      <c r="W8456" t="s">
        <v>9061</v>
      </c>
      <c r="BY8456" t="s">
        <v>9062</v>
      </c>
    </row>
    <row r="8457" spans="1:81" x14ac:dyDescent="0.25">
      <c r="G8457" t="s">
        <v>9063</v>
      </c>
      <c r="W8457" t="s">
        <v>9064</v>
      </c>
      <c r="BY8457" t="s">
        <v>9065</v>
      </c>
    </row>
    <row r="8458" spans="1:81" x14ac:dyDescent="0.25">
      <c r="G8458" t="s">
        <v>9066</v>
      </c>
      <c r="W8458" t="s">
        <v>9067</v>
      </c>
      <c r="BY8458" t="s">
        <v>9068</v>
      </c>
    </row>
    <row r="8459" spans="1:81" x14ac:dyDescent="0.25">
      <c r="G8459" t="s">
        <v>9069</v>
      </c>
      <c r="W8459" t="s">
        <v>9070</v>
      </c>
      <c r="BY8459" t="s">
        <v>9071</v>
      </c>
    </row>
    <row r="8460" spans="1:81" x14ac:dyDescent="0.25">
      <c r="G8460" t="s">
        <v>9072</v>
      </c>
      <c r="W8460" t="s">
        <v>9073</v>
      </c>
      <c r="BY8460" t="s">
        <v>9074</v>
      </c>
    </row>
    <row r="8461" spans="1:81" x14ac:dyDescent="0.25">
      <c r="G8461" t="s">
        <v>9075</v>
      </c>
      <c r="W8461" t="s">
        <v>9076</v>
      </c>
      <c r="BY8461" t="s">
        <v>9077</v>
      </c>
    </row>
    <row r="8462" spans="1:81" x14ac:dyDescent="0.25">
      <c r="A8462" t="s">
        <v>9078</v>
      </c>
    </row>
    <row r="8463" spans="1:81" x14ac:dyDescent="0.25">
      <c r="A8463" t="s">
        <v>9079</v>
      </c>
    </row>
    <row r="8466" spans="1:75" x14ac:dyDescent="0.25">
      <c r="A8466" t="s">
        <v>8930</v>
      </c>
      <c r="Z8466" t="s">
        <v>9080</v>
      </c>
      <c r="AJ8466" t="s">
        <v>9081</v>
      </c>
      <c r="AT8466" t="s">
        <v>9082</v>
      </c>
      <c r="BM8466" t="s">
        <v>9083</v>
      </c>
      <c r="BW8466" t="s">
        <v>9084</v>
      </c>
    </row>
    <row r="8467" spans="1:75" x14ac:dyDescent="0.25">
      <c r="A8467" t="s">
        <v>8937</v>
      </c>
      <c r="R8467" t="s">
        <v>2424</v>
      </c>
      <c r="Z8467">
        <v>2</v>
      </c>
      <c r="AJ8467">
        <v>2.5</v>
      </c>
      <c r="AT8467">
        <v>3.3</v>
      </c>
      <c r="BC8467">
        <v>4.2</v>
      </c>
      <c r="BM8467">
        <v>5</v>
      </c>
      <c r="BW8467">
        <v>6.5</v>
      </c>
    </row>
    <row r="8468" spans="1:75" x14ac:dyDescent="0.25">
      <c r="A8468" t="s">
        <v>8938</v>
      </c>
      <c r="R8468" t="s">
        <v>2424</v>
      </c>
      <c r="Z8468" t="s">
        <v>9085</v>
      </c>
      <c r="AJ8468" t="s">
        <v>8940</v>
      </c>
      <c r="AT8468" t="s">
        <v>9086</v>
      </c>
      <c r="BM8468" t="s">
        <v>9087</v>
      </c>
      <c r="BW8468" t="s">
        <v>9088</v>
      </c>
    </row>
    <row r="8469" spans="1:75" x14ac:dyDescent="0.25">
      <c r="A8469" t="s">
        <v>8945</v>
      </c>
      <c r="R8469" t="s">
        <v>2424</v>
      </c>
      <c r="Z8469" t="s">
        <v>9089</v>
      </c>
      <c r="AJ8469" t="s">
        <v>9090</v>
      </c>
      <c r="AT8469" t="s">
        <v>9091</v>
      </c>
      <c r="BM8469" t="s">
        <v>9092</v>
      </c>
      <c r="BW8469" t="s">
        <v>9093</v>
      </c>
    </row>
    <row r="8470" spans="1:75" x14ac:dyDescent="0.25">
      <c r="Z8470">
        <v>0.83</v>
      </c>
      <c r="AJ8470">
        <v>1</v>
      </c>
      <c r="AT8470">
        <v>1.25</v>
      </c>
      <c r="BC8470">
        <v>1.6</v>
      </c>
      <c r="BM8470">
        <v>1.8</v>
      </c>
      <c r="BW8470">
        <v>2.6</v>
      </c>
    </row>
    <row r="8471" spans="1:75" x14ac:dyDescent="0.25">
      <c r="A8471" t="s">
        <v>8953</v>
      </c>
      <c r="R8471" t="s">
        <v>4905</v>
      </c>
      <c r="Z8471">
        <v>3.77</v>
      </c>
      <c r="AJ8471">
        <v>3.57</v>
      </c>
      <c r="AT8471">
        <v>3</v>
      </c>
      <c r="BC8471">
        <v>3.31</v>
      </c>
      <c r="BM8471">
        <v>3.33</v>
      </c>
      <c r="BW8471">
        <v>2.89</v>
      </c>
    </row>
    <row r="8472" spans="1:75" x14ac:dyDescent="0.25">
      <c r="A8472" t="s">
        <v>8955</v>
      </c>
      <c r="Z8472">
        <v>6.9</v>
      </c>
      <c r="AJ8472">
        <v>7</v>
      </c>
      <c r="AT8472">
        <v>7</v>
      </c>
      <c r="BC8472">
        <v>7</v>
      </c>
      <c r="BM8472">
        <v>7</v>
      </c>
      <c r="BW8472">
        <v>6.9</v>
      </c>
    </row>
    <row r="8473" spans="1:75" x14ac:dyDescent="0.25">
      <c r="A8473" t="s">
        <v>4977</v>
      </c>
      <c r="Z8473" t="s">
        <v>2880</v>
      </c>
      <c r="AJ8473" t="s">
        <v>2880</v>
      </c>
      <c r="AT8473" t="s">
        <v>2880</v>
      </c>
      <c r="BM8473" t="s">
        <v>2880</v>
      </c>
      <c r="BW8473" t="s">
        <v>2880</v>
      </c>
    </row>
    <row r="8474" spans="1:75" x14ac:dyDescent="0.25">
      <c r="A8474" t="s">
        <v>4979</v>
      </c>
      <c r="R8474" t="s">
        <v>4918</v>
      </c>
      <c r="Z8474" t="s">
        <v>9094</v>
      </c>
      <c r="AJ8474" t="s">
        <v>9094</v>
      </c>
      <c r="AT8474" t="s">
        <v>9094</v>
      </c>
      <c r="BM8474" t="s">
        <v>9094</v>
      </c>
      <c r="BW8474" t="s">
        <v>9094</v>
      </c>
    </row>
    <row r="8475" spans="1:75" x14ac:dyDescent="0.25">
      <c r="A8475" t="s">
        <v>8957</v>
      </c>
      <c r="R8475" t="s">
        <v>2424</v>
      </c>
      <c r="Z8475">
        <v>2.5</v>
      </c>
      <c r="AJ8475">
        <v>3.2</v>
      </c>
      <c r="AT8475">
        <v>3.6</v>
      </c>
      <c r="BC8475">
        <v>5</v>
      </c>
      <c r="BM8475">
        <v>5.4</v>
      </c>
      <c r="BW8475">
        <v>7</v>
      </c>
    </row>
    <row r="8476" spans="1:75" x14ac:dyDescent="0.25">
      <c r="A8476" t="s">
        <v>8958</v>
      </c>
      <c r="R8476" t="s">
        <v>2424</v>
      </c>
      <c r="Z8476" t="s">
        <v>9095</v>
      </c>
      <c r="AJ8476" t="s">
        <v>9096</v>
      </c>
      <c r="AT8476" t="s">
        <v>9097</v>
      </c>
      <c r="BM8476" t="s">
        <v>9098</v>
      </c>
      <c r="BW8476" t="s">
        <v>9099</v>
      </c>
    </row>
    <row r="8477" spans="1:75" x14ac:dyDescent="0.25">
      <c r="A8477" t="s">
        <v>8945</v>
      </c>
      <c r="R8477" t="s">
        <v>2424</v>
      </c>
      <c r="Z8477" t="s">
        <v>8965</v>
      </c>
      <c r="AJ8477" t="s">
        <v>9100</v>
      </c>
      <c r="AT8477" t="s">
        <v>9101</v>
      </c>
      <c r="BM8477" t="s">
        <v>9102</v>
      </c>
      <c r="BW8477" t="s">
        <v>9103</v>
      </c>
    </row>
    <row r="8478" spans="1:75" x14ac:dyDescent="0.25">
      <c r="Z8478">
        <v>0.94</v>
      </c>
      <c r="AJ8478">
        <v>1.1100000000000001</v>
      </c>
      <c r="AT8478">
        <v>1.25</v>
      </c>
      <c r="BC8478">
        <v>1.7</v>
      </c>
      <c r="BM8478">
        <v>1.8</v>
      </c>
      <c r="BW8478">
        <v>2.5499999999999998</v>
      </c>
    </row>
    <row r="8479" spans="1:75" x14ac:dyDescent="0.25">
      <c r="A8479" t="s">
        <v>8971</v>
      </c>
      <c r="R8479" t="s">
        <v>4905</v>
      </c>
      <c r="Z8479">
        <v>3.91</v>
      </c>
      <c r="AJ8479">
        <v>3.72</v>
      </c>
      <c r="AT8479">
        <v>3.91</v>
      </c>
      <c r="BC8479">
        <v>3.73</v>
      </c>
      <c r="BM8479">
        <v>3.6</v>
      </c>
      <c r="BW8479">
        <v>3.33</v>
      </c>
    </row>
    <row r="8480" spans="1:75" x14ac:dyDescent="0.25">
      <c r="A8480" t="s">
        <v>8973</v>
      </c>
      <c r="Z8480">
        <v>4.5999999999999996</v>
      </c>
      <c r="AJ8480">
        <v>4.5999999999999996</v>
      </c>
      <c r="AT8480">
        <v>4.5999999999999996</v>
      </c>
      <c r="BC8480">
        <v>4.5999999999999996</v>
      </c>
      <c r="BM8480">
        <v>4.4000000000000004</v>
      </c>
      <c r="BW8480">
        <v>4.3</v>
      </c>
    </row>
    <row r="8481" spans="1:75" x14ac:dyDescent="0.25">
      <c r="A8481" t="s">
        <v>4977</v>
      </c>
      <c r="Z8481" t="s">
        <v>2880</v>
      </c>
      <c r="AJ8481" t="s">
        <v>2880</v>
      </c>
      <c r="AT8481" t="s">
        <v>2880</v>
      </c>
      <c r="BM8481" t="s">
        <v>9104</v>
      </c>
      <c r="BW8481" t="s">
        <v>9104</v>
      </c>
    </row>
    <row r="8482" spans="1:75" x14ac:dyDescent="0.25">
      <c r="A8482" t="s">
        <v>4979</v>
      </c>
      <c r="R8482" t="s">
        <v>4918</v>
      </c>
      <c r="Z8482" t="s">
        <v>9105</v>
      </c>
      <c r="AJ8482" t="s">
        <v>9105</v>
      </c>
      <c r="AT8482" t="s">
        <v>9105</v>
      </c>
      <c r="BM8482" t="s">
        <v>9105</v>
      </c>
      <c r="BW8482" t="s">
        <v>9105</v>
      </c>
    </row>
    <row r="8483" spans="1:75" x14ac:dyDescent="0.25">
      <c r="A8483" t="s">
        <v>8975</v>
      </c>
      <c r="R8483" t="s">
        <v>2442</v>
      </c>
      <c r="Z8483" t="s">
        <v>8976</v>
      </c>
      <c r="AJ8483" t="s">
        <v>8976</v>
      </c>
      <c r="AT8483" t="s">
        <v>8976</v>
      </c>
      <c r="BM8483" t="s">
        <v>8976</v>
      </c>
      <c r="BW8483" t="s">
        <v>8976</v>
      </c>
    </row>
    <row r="8484" spans="1:75" x14ac:dyDescent="0.25">
      <c r="Z8484">
        <v>50</v>
      </c>
      <c r="AJ8484">
        <v>50</v>
      </c>
      <c r="AT8484">
        <v>50</v>
      </c>
      <c r="BC8484">
        <v>50</v>
      </c>
      <c r="BM8484">
        <v>50</v>
      </c>
      <c r="BW8484">
        <v>50</v>
      </c>
    </row>
    <row r="8485" spans="1:75" x14ac:dyDescent="0.25">
      <c r="A8485" t="s">
        <v>4982</v>
      </c>
      <c r="R8485" t="s">
        <v>4911</v>
      </c>
      <c r="Z8485">
        <v>6</v>
      </c>
      <c r="AJ8485">
        <v>6</v>
      </c>
      <c r="AT8485">
        <v>10</v>
      </c>
      <c r="BC8485">
        <v>10</v>
      </c>
      <c r="BM8485">
        <v>10</v>
      </c>
      <c r="BW8485">
        <v>16</v>
      </c>
    </row>
    <row r="8486" spans="1:75" x14ac:dyDescent="0.25">
      <c r="A8486" t="s">
        <v>8977</v>
      </c>
      <c r="R8486" t="s">
        <v>4986</v>
      </c>
      <c r="Z8486" t="s">
        <v>9106</v>
      </c>
      <c r="AJ8486" t="s">
        <v>9107</v>
      </c>
      <c r="AT8486" t="s">
        <v>9108</v>
      </c>
      <c r="BM8486" t="s">
        <v>9109</v>
      </c>
      <c r="BW8486" t="s">
        <v>9110</v>
      </c>
    </row>
    <row r="8488" spans="1:75" x14ac:dyDescent="0.25">
      <c r="A8488" t="s">
        <v>4988</v>
      </c>
      <c r="Z8488" t="s">
        <v>9111</v>
      </c>
      <c r="AJ8488" t="s">
        <v>9112</v>
      </c>
      <c r="AT8488" t="s">
        <v>9113</v>
      </c>
      <c r="BM8488" t="s">
        <v>9114</v>
      </c>
      <c r="BW8488" t="s">
        <v>9115</v>
      </c>
    </row>
    <row r="8489" spans="1:75" x14ac:dyDescent="0.25">
      <c r="A8489" t="s">
        <v>7870</v>
      </c>
      <c r="R8489" t="s">
        <v>2431</v>
      </c>
      <c r="Z8489">
        <v>500</v>
      </c>
      <c r="AJ8489">
        <v>510</v>
      </c>
      <c r="AT8489">
        <v>560</v>
      </c>
      <c r="BC8489">
        <v>760</v>
      </c>
      <c r="BM8489">
        <v>840</v>
      </c>
      <c r="BW8489">
        <v>1070</v>
      </c>
    </row>
    <row r="8490" spans="1:75" x14ac:dyDescent="0.25">
      <c r="A8490" t="s">
        <v>8996</v>
      </c>
      <c r="R8490" t="s">
        <v>2427</v>
      </c>
      <c r="Z8490" t="s">
        <v>9116</v>
      </c>
      <c r="AJ8490" t="s">
        <v>9003</v>
      </c>
      <c r="AT8490" t="s">
        <v>9117</v>
      </c>
      <c r="BM8490" t="s">
        <v>9001</v>
      </c>
      <c r="BW8490" t="s">
        <v>9002</v>
      </c>
    </row>
    <row r="8491" spans="1:75" x14ac:dyDescent="0.25">
      <c r="A8491" t="s">
        <v>8996</v>
      </c>
      <c r="R8491" t="s">
        <v>2427</v>
      </c>
      <c r="Z8491" t="s">
        <v>9116</v>
      </c>
      <c r="AJ8491" t="s">
        <v>9118</v>
      </c>
      <c r="AT8491" t="s">
        <v>8999</v>
      </c>
      <c r="BM8491" t="s">
        <v>9006</v>
      </c>
      <c r="BW8491" t="s">
        <v>9002</v>
      </c>
    </row>
    <row r="8492" spans="1:75" x14ac:dyDescent="0.25">
      <c r="A8492" t="s">
        <v>4984</v>
      </c>
      <c r="R8492" t="s">
        <v>2433</v>
      </c>
      <c r="Z8492" t="s">
        <v>9007</v>
      </c>
      <c r="AJ8492" t="s">
        <v>9007</v>
      </c>
      <c r="AT8492" t="s">
        <v>9007</v>
      </c>
      <c r="BM8492" t="s">
        <v>9008</v>
      </c>
      <c r="BW8492" t="s">
        <v>9119</v>
      </c>
    </row>
    <row r="8493" spans="1:75" x14ac:dyDescent="0.25">
      <c r="A8493" t="s">
        <v>9010</v>
      </c>
      <c r="R8493" t="s">
        <v>713</v>
      </c>
      <c r="Z8493">
        <v>9</v>
      </c>
      <c r="AJ8493">
        <v>9</v>
      </c>
      <c r="AT8493">
        <v>9</v>
      </c>
      <c r="BC8493">
        <v>9</v>
      </c>
      <c r="BM8493">
        <v>9</v>
      </c>
      <c r="BW8493">
        <v>15</v>
      </c>
    </row>
    <row r="8494" spans="1:75" x14ac:dyDescent="0.25">
      <c r="A8494" t="s">
        <v>1001</v>
      </c>
      <c r="R8494" t="s">
        <v>4986</v>
      </c>
      <c r="Z8494" t="s">
        <v>9012</v>
      </c>
      <c r="AJ8494" t="s">
        <v>9120</v>
      </c>
      <c r="AT8494" t="s">
        <v>9121</v>
      </c>
      <c r="BC8494">
        <v>-420</v>
      </c>
      <c r="BM8494" t="s">
        <v>9122</v>
      </c>
      <c r="BW8494" t="s">
        <v>9123</v>
      </c>
    </row>
    <row r="8496" spans="1:75" x14ac:dyDescent="0.25">
      <c r="A8496" t="s">
        <v>5025</v>
      </c>
      <c r="Z8496" t="s">
        <v>9124</v>
      </c>
      <c r="AJ8496" t="s">
        <v>9125</v>
      </c>
      <c r="AT8496" t="s">
        <v>9126</v>
      </c>
      <c r="BM8496" t="s">
        <v>9127</v>
      </c>
      <c r="BW8496" t="s">
        <v>9128</v>
      </c>
    </row>
    <row r="8497" spans="1:75" x14ac:dyDescent="0.25">
      <c r="A8497" t="s">
        <v>8996</v>
      </c>
      <c r="R8497" t="s">
        <v>2427</v>
      </c>
      <c r="Z8497" t="s">
        <v>9129</v>
      </c>
      <c r="AJ8497" t="s">
        <v>9129</v>
      </c>
      <c r="AT8497" t="s">
        <v>9130</v>
      </c>
      <c r="BM8497" t="s">
        <v>9022</v>
      </c>
      <c r="BW8497" t="s">
        <v>9131</v>
      </c>
    </row>
    <row r="8498" spans="1:75" x14ac:dyDescent="0.25">
      <c r="A8498" t="s">
        <v>8996</v>
      </c>
      <c r="R8498" t="s">
        <v>2427</v>
      </c>
      <c r="Z8498" t="s">
        <v>9021</v>
      </c>
      <c r="AJ8498" t="s">
        <v>9021</v>
      </c>
      <c r="AT8498" t="s">
        <v>9021</v>
      </c>
      <c r="BM8498" t="s">
        <v>9025</v>
      </c>
      <c r="BW8498" t="s">
        <v>9131</v>
      </c>
    </row>
    <row r="8499" spans="1:75" x14ac:dyDescent="0.25">
      <c r="A8499" t="s">
        <v>2435</v>
      </c>
      <c r="R8499" t="s">
        <v>2436</v>
      </c>
      <c r="Z8499" t="s">
        <v>9028</v>
      </c>
      <c r="AJ8499" t="s">
        <v>9028</v>
      </c>
      <c r="AT8499" t="s">
        <v>9028</v>
      </c>
      <c r="BM8499" t="s">
        <v>9029</v>
      </c>
      <c r="BW8499" t="s">
        <v>9029</v>
      </c>
    </row>
    <row r="8500" spans="1:75" x14ac:dyDescent="0.25">
      <c r="A8500" t="s">
        <v>9030</v>
      </c>
      <c r="R8500" t="s">
        <v>2436</v>
      </c>
      <c r="Z8500" t="s">
        <v>9031</v>
      </c>
      <c r="AJ8500" t="s">
        <v>9031</v>
      </c>
      <c r="AT8500" t="s">
        <v>9031</v>
      </c>
      <c r="BM8500" t="s">
        <v>9031</v>
      </c>
      <c r="BW8500" t="s">
        <v>9031</v>
      </c>
    </row>
    <row r="8501" spans="1:75" x14ac:dyDescent="0.25">
      <c r="A8501" t="s">
        <v>9032</v>
      </c>
      <c r="R8501" t="s">
        <v>551</v>
      </c>
      <c r="Z8501">
        <v>2</v>
      </c>
      <c r="AJ8501">
        <v>2</v>
      </c>
      <c r="AT8501">
        <v>2</v>
      </c>
      <c r="BC8501">
        <v>2</v>
      </c>
      <c r="BM8501">
        <v>2</v>
      </c>
      <c r="BW8501">
        <v>2</v>
      </c>
    </row>
    <row r="8502" spans="1:75" x14ac:dyDescent="0.25">
      <c r="A8502" t="s">
        <v>9033</v>
      </c>
      <c r="R8502" t="s">
        <v>551</v>
      </c>
      <c r="Z8502">
        <v>15</v>
      </c>
      <c r="AJ8502">
        <v>15</v>
      </c>
      <c r="AT8502">
        <v>15</v>
      </c>
      <c r="BC8502">
        <v>20</v>
      </c>
      <c r="BM8502">
        <v>20</v>
      </c>
      <c r="BW8502">
        <v>20</v>
      </c>
    </row>
    <row r="8503" spans="1:75" x14ac:dyDescent="0.25">
      <c r="A8503" t="s">
        <v>9034</v>
      </c>
      <c r="R8503" t="s">
        <v>551</v>
      </c>
      <c r="Z8503">
        <v>15</v>
      </c>
      <c r="AJ8503">
        <v>15</v>
      </c>
      <c r="AT8503">
        <v>15</v>
      </c>
      <c r="BC8503">
        <v>15</v>
      </c>
      <c r="BM8503">
        <v>15</v>
      </c>
      <c r="BW8503">
        <v>15</v>
      </c>
    </row>
    <row r="8504" spans="1:75" x14ac:dyDescent="0.25">
      <c r="A8504" t="s">
        <v>9035</v>
      </c>
      <c r="Z8504" t="s">
        <v>9036</v>
      </c>
      <c r="AJ8504" t="s">
        <v>9036</v>
      </c>
      <c r="AT8504" t="s">
        <v>9036</v>
      </c>
      <c r="BM8504" t="s">
        <v>9036</v>
      </c>
      <c r="BW8504" t="s">
        <v>9132</v>
      </c>
    </row>
    <row r="8505" spans="1:75" x14ac:dyDescent="0.25">
      <c r="A8505" t="s">
        <v>4983</v>
      </c>
      <c r="Z8505" t="s">
        <v>2440</v>
      </c>
      <c r="AJ8505" t="s">
        <v>2440</v>
      </c>
      <c r="AT8505" t="s">
        <v>2440</v>
      </c>
      <c r="BM8505" t="s">
        <v>2440</v>
      </c>
      <c r="BW8505" t="s">
        <v>2440</v>
      </c>
    </row>
    <row r="8506" spans="1:75" x14ac:dyDescent="0.25">
      <c r="A8506" t="s">
        <v>9038</v>
      </c>
      <c r="R8506" t="s">
        <v>713</v>
      </c>
      <c r="Z8506">
        <v>0.34</v>
      </c>
      <c r="AJ8506">
        <v>0.49</v>
      </c>
      <c r="AT8506">
        <v>0.54</v>
      </c>
      <c r="BC8506">
        <v>0.68</v>
      </c>
      <c r="BM8506">
        <v>0.93</v>
      </c>
      <c r="BW8506">
        <v>1.18</v>
      </c>
    </row>
    <row r="8507" spans="1:75" x14ac:dyDescent="0.25">
      <c r="A8507" t="s">
        <v>4984</v>
      </c>
      <c r="R8507" t="s">
        <v>2433</v>
      </c>
      <c r="Z8507" t="s">
        <v>9040</v>
      </c>
      <c r="AJ8507" t="s">
        <v>9040</v>
      </c>
      <c r="AT8507" t="s">
        <v>9040</v>
      </c>
      <c r="BM8507" t="s">
        <v>9041</v>
      </c>
      <c r="BW8507" t="s">
        <v>9041</v>
      </c>
    </row>
    <row r="8508" spans="1:75" x14ac:dyDescent="0.25">
      <c r="A8508" t="s">
        <v>9010</v>
      </c>
      <c r="R8508" t="s">
        <v>713</v>
      </c>
      <c r="Z8508">
        <v>21</v>
      </c>
      <c r="AJ8508">
        <v>22</v>
      </c>
      <c r="AT8508">
        <v>22</v>
      </c>
      <c r="BC8508">
        <v>30</v>
      </c>
      <c r="BM8508">
        <v>34</v>
      </c>
      <c r="BW8508">
        <v>38</v>
      </c>
    </row>
    <row r="8509" spans="1:75" x14ac:dyDescent="0.25">
      <c r="A8509" t="s">
        <v>1001</v>
      </c>
      <c r="R8509" t="s">
        <v>4986</v>
      </c>
      <c r="Z8509" t="s">
        <v>9044</v>
      </c>
      <c r="AJ8509" t="s">
        <v>9133</v>
      </c>
      <c r="AT8509" t="s">
        <v>9134</v>
      </c>
      <c r="BM8509" t="s">
        <v>9135</v>
      </c>
      <c r="BW8509" t="s">
        <v>9136</v>
      </c>
    </row>
    <row r="8511" spans="1:75" x14ac:dyDescent="0.25">
      <c r="A8511" t="s">
        <v>3768</v>
      </c>
      <c r="R8511" t="s">
        <v>9049</v>
      </c>
      <c r="BM8511" t="s">
        <v>9050</v>
      </c>
      <c r="BT8511" t="s">
        <v>9051</v>
      </c>
    </row>
    <row r="8512" spans="1:75" x14ac:dyDescent="0.25">
      <c r="A8512" t="s">
        <v>9052</v>
      </c>
      <c r="R8512" t="s">
        <v>9053</v>
      </c>
    </row>
    <row r="8513" spans="1:78" x14ac:dyDescent="0.25">
      <c r="A8513" t="s">
        <v>9054</v>
      </c>
      <c r="R8513" t="s">
        <v>9055</v>
      </c>
      <c r="BT8513" t="s">
        <v>9056</v>
      </c>
    </row>
    <row r="8514" spans="1:78" x14ac:dyDescent="0.25">
      <c r="A8514" t="s">
        <v>9057</v>
      </c>
      <c r="R8514" t="s">
        <v>9058</v>
      </c>
      <c r="BT8514" t="s">
        <v>9059</v>
      </c>
    </row>
    <row r="8515" spans="1:78" x14ac:dyDescent="0.25">
      <c r="A8515" t="s">
        <v>9060</v>
      </c>
      <c r="R8515" t="s">
        <v>9061</v>
      </c>
      <c r="BT8515" t="s">
        <v>9062</v>
      </c>
    </row>
    <row r="8516" spans="1:78" x14ac:dyDescent="0.25">
      <c r="A8516" t="s">
        <v>9063</v>
      </c>
      <c r="R8516" t="s">
        <v>9064</v>
      </c>
      <c r="BT8516" t="s">
        <v>9065</v>
      </c>
    </row>
    <row r="8517" spans="1:78" x14ac:dyDescent="0.25">
      <c r="A8517" t="s">
        <v>9066</v>
      </c>
      <c r="R8517" t="s">
        <v>9067</v>
      </c>
      <c r="BT8517" t="s">
        <v>9068</v>
      </c>
    </row>
    <row r="8518" spans="1:78" x14ac:dyDescent="0.25">
      <c r="A8518" t="s">
        <v>9069</v>
      </c>
      <c r="R8518" t="s">
        <v>9070</v>
      </c>
      <c r="BT8518" t="s">
        <v>9071</v>
      </c>
    </row>
    <row r="8519" spans="1:78" x14ac:dyDescent="0.25">
      <c r="A8519" t="s">
        <v>9072</v>
      </c>
      <c r="R8519" t="s">
        <v>9073</v>
      </c>
      <c r="BT8519" t="s">
        <v>9074</v>
      </c>
    </row>
    <row r="8520" spans="1:78" x14ac:dyDescent="0.25">
      <c r="A8520" t="s">
        <v>9075</v>
      </c>
      <c r="R8520" t="s">
        <v>9076</v>
      </c>
      <c r="BT8520" t="s">
        <v>9077</v>
      </c>
    </row>
    <row r="8521" spans="1:78" x14ac:dyDescent="0.25">
      <c r="A8521" t="s">
        <v>9137</v>
      </c>
    </row>
    <row r="8523" spans="1:78" x14ac:dyDescent="0.25">
      <c r="A8523" t="s">
        <v>8862</v>
      </c>
    </row>
    <row r="8524" spans="1:78" x14ac:dyDescent="0.25">
      <c r="G8524" t="s">
        <v>8937</v>
      </c>
      <c r="W8524" t="s">
        <v>2424</v>
      </c>
      <c r="AF8524">
        <v>2</v>
      </c>
      <c r="AM8524">
        <v>2.5</v>
      </c>
      <c r="AU8524">
        <v>3.5</v>
      </c>
      <c r="BC8524">
        <v>4.5999999999999996</v>
      </c>
      <c r="BL8524">
        <v>5</v>
      </c>
      <c r="BT8524">
        <v>6.1</v>
      </c>
      <c r="BZ8524">
        <v>7</v>
      </c>
    </row>
    <row r="8526" spans="1:78" x14ac:dyDescent="0.25">
      <c r="G8526" t="s">
        <v>8938</v>
      </c>
      <c r="W8526" t="s">
        <v>2424</v>
      </c>
      <c r="AF8526" t="s">
        <v>9138</v>
      </c>
      <c r="AM8526" t="s">
        <v>9139</v>
      </c>
      <c r="AU8526" t="s">
        <v>9140</v>
      </c>
      <c r="BL8526" t="s">
        <v>9141</v>
      </c>
      <c r="BT8526" t="s">
        <v>9142</v>
      </c>
      <c r="BZ8526" t="s">
        <v>9143</v>
      </c>
    </row>
    <row r="8527" spans="1:78" x14ac:dyDescent="0.25">
      <c r="A8527" t="s">
        <v>2424</v>
      </c>
      <c r="AF8527" t="s">
        <v>9144</v>
      </c>
      <c r="AM8527" t="s">
        <v>9145</v>
      </c>
      <c r="AX8527" t="s">
        <v>9146</v>
      </c>
      <c r="BL8527" t="s">
        <v>9147</v>
      </c>
      <c r="BT8527" t="s">
        <v>9148</v>
      </c>
      <c r="BZ8527" t="s">
        <v>9149</v>
      </c>
    </row>
    <row r="8528" spans="1:78" x14ac:dyDescent="0.25">
      <c r="A8528" t="s">
        <v>4905</v>
      </c>
      <c r="AF8528">
        <v>5.13</v>
      </c>
      <c r="AM8528">
        <v>4.63</v>
      </c>
      <c r="AX8528" t="s">
        <v>9150</v>
      </c>
      <c r="BC8528">
        <v>3.41</v>
      </c>
      <c r="BL8528">
        <v>3.52</v>
      </c>
      <c r="BT8528">
        <v>3.07</v>
      </c>
      <c r="BZ8528">
        <v>3.11</v>
      </c>
    </row>
    <row r="8529" spans="1:78" x14ac:dyDescent="0.25">
      <c r="AF8529">
        <v>8.5</v>
      </c>
      <c r="AM8529">
        <v>8.6</v>
      </c>
      <c r="AX8529" t="s">
        <v>9151</v>
      </c>
      <c r="BC8529">
        <v>7.8</v>
      </c>
      <c r="BL8529">
        <v>7.8</v>
      </c>
      <c r="BT8529">
        <v>7.3</v>
      </c>
      <c r="BZ8529">
        <v>6.3</v>
      </c>
    </row>
    <row r="8530" spans="1:78" x14ac:dyDescent="0.25">
      <c r="AF8530" t="s">
        <v>2879</v>
      </c>
      <c r="AM8530" t="s">
        <v>2879</v>
      </c>
      <c r="AX8530" t="s">
        <v>2879</v>
      </c>
      <c r="BL8530" t="s">
        <v>2880</v>
      </c>
      <c r="BT8530" t="s">
        <v>2880</v>
      </c>
      <c r="BZ8530" t="s">
        <v>2880</v>
      </c>
    </row>
    <row r="8531" spans="1:78" x14ac:dyDescent="0.25">
      <c r="A8531" t="s">
        <v>4918</v>
      </c>
      <c r="AF8531" t="s">
        <v>9094</v>
      </c>
      <c r="AM8531" t="s">
        <v>9094</v>
      </c>
      <c r="AX8531" t="s">
        <v>9094</v>
      </c>
      <c r="BL8531" t="s">
        <v>9094</v>
      </c>
      <c r="BT8531" t="s">
        <v>9094</v>
      </c>
      <c r="BZ8531" t="s">
        <v>9094</v>
      </c>
    </row>
    <row r="8532" spans="1:78" x14ac:dyDescent="0.25">
      <c r="A8532" t="s">
        <v>2424</v>
      </c>
      <c r="AF8532">
        <v>2.5</v>
      </c>
      <c r="AM8532">
        <v>3.2</v>
      </c>
      <c r="AX8532" t="s">
        <v>9152</v>
      </c>
      <c r="BC8532">
        <v>5.5</v>
      </c>
      <c r="BL8532">
        <v>6</v>
      </c>
      <c r="BT8532">
        <v>7</v>
      </c>
      <c r="BZ8532">
        <v>8</v>
      </c>
    </row>
    <row r="8533" spans="1:78" x14ac:dyDescent="0.25">
      <c r="A8533" t="s">
        <v>2424</v>
      </c>
      <c r="AF8533" t="s">
        <v>9153</v>
      </c>
      <c r="AM8533" t="s">
        <v>9154</v>
      </c>
      <c r="AX8533" t="s">
        <v>9155</v>
      </c>
      <c r="BL8533" t="s">
        <v>9156</v>
      </c>
      <c r="BT8533" t="s">
        <v>9157</v>
      </c>
      <c r="BZ8533" t="s">
        <v>9158</v>
      </c>
    </row>
    <row r="8534" spans="1:78" x14ac:dyDescent="0.25">
      <c r="A8534" t="s">
        <v>2424</v>
      </c>
      <c r="AF8534" t="s">
        <v>9159</v>
      </c>
      <c r="AM8534" t="s">
        <v>9160</v>
      </c>
      <c r="AX8534" t="s">
        <v>9161</v>
      </c>
      <c r="BL8534" t="s">
        <v>9162</v>
      </c>
      <c r="BT8534" t="s">
        <v>9163</v>
      </c>
      <c r="BZ8534" t="s">
        <v>9164</v>
      </c>
    </row>
    <row r="8535" spans="1:78" x14ac:dyDescent="0.25">
      <c r="A8535" t="s">
        <v>4905</v>
      </c>
      <c r="AF8535">
        <v>5</v>
      </c>
      <c r="AM8535">
        <v>4.57</v>
      </c>
      <c r="AX8535" t="s">
        <v>9150</v>
      </c>
      <c r="BC8535">
        <v>3.62</v>
      </c>
      <c r="BL8535">
        <v>3.77</v>
      </c>
      <c r="BT8535">
        <v>3.72</v>
      </c>
      <c r="BZ8535">
        <v>3.4</v>
      </c>
    </row>
    <row r="8536" spans="1:78" x14ac:dyDescent="0.25">
      <c r="AF8536">
        <v>5.0999999999999996</v>
      </c>
      <c r="AM8536">
        <v>5.0999999999999996</v>
      </c>
      <c r="AX8536" t="s">
        <v>5334</v>
      </c>
      <c r="BC8536">
        <v>4.5999999999999996</v>
      </c>
      <c r="BL8536">
        <v>4.5999999999999996</v>
      </c>
      <c r="BT8536">
        <v>4.5999999999999996</v>
      </c>
      <c r="BZ8536">
        <v>4.0999999999999996</v>
      </c>
    </row>
    <row r="8537" spans="1:78" x14ac:dyDescent="0.25">
      <c r="AF8537" t="s">
        <v>2879</v>
      </c>
      <c r="AM8537" t="s">
        <v>2879</v>
      </c>
      <c r="AX8537" t="s">
        <v>2879</v>
      </c>
      <c r="BL8537" t="s">
        <v>2880</v>
      </c>
      <c r="BT8537" t="s">
        <v>2880</v>
      </c>
      <c r="BZ8537" t="s">
        <v>9104</v>
      </c>
    </row>
    <row r="8538" spans="1:78" x14ac:dyDescent="0.25">
      <c r="A8538" t="s">
        <v>4918</v>
      </c>
      <c r="AF8538" t="s">
        <v>9105</v>
      </c>
      <c r="AM8538" t="s">
        <v>9105</v>
      </c>
      <c r="AX8538" t="s">
        <v>9105</v>
      </c>
      <c r="BL8538" t="s">
        <v>9105</v>
      </c>
      <c r="BT8538" t="s">
        <v>9105</v>
      </c>
      <c r="BZ8538" t="s">
        <v>9105</v>
      </c>
    </row>
    <row r="8539" spans="1:78" x14ac:dyDescent="0.25">
      <c r="A8539" t="s">
        <v>2442</v>
      </c>
      <c r="AF8539" t="s">
        <v>9165</v>
      </c>
      <c r="AM8539" t="s">
        <v>9165</v>
      </c>
      <c r="AX8539" t="s">
        <v>9165</v>
      </c>
      <c r="BL8539" t="s">
        <v>9165</v>
      </c>
      <c r="BT8539" t="s">
        <v>9165</v>
      </c>
      <c r="BZ8539" t="s">
        <v>9165</v>
      </c>
    </row>
    <row r="8540" spans="1:78" x14ac:dyDescent="0.25">
      <c r="A8540" t="s">
        <v>4911</v>
      </c>
      <c r="AF8540">
        <v>10</v>
      </c>
      <c r="AM8540">
        <v>10</v>
      </c>
      <c r="AX8540" t="s">
        <v>5272</v>
      </c>
      <c r="BC8540">
        <v>10</v>
      </c>
      <c r="BL8540">
        <v>10</v>
      </c>
      <c r="BT8540">
        <v>10</v>
      </c>
      <c r="BZ8540">
        <v>16</v>
      </c>
    </row>
    <row r="8541" spans="1:78" x14ac:dyDescent="0.25">
      <c r="A8541" t="s">
        <v>4986</v>
      </c>
      <c r="AF8541" t="s">
        <v>9166</v>
      </c>
      <c r="AM8541" t="s">
        <v>9167</v>
      </c>
      <c r="AX8541" t="s">
        <v>9168</v>
      </c>
      <c r="BL8541" t="s">
        <v>9169</v>
      </c>
      <c r="BT8541" t="s">
        <v>9170</v>
      </c>
      <c r="BZ8541" t="s">
        <v>9171</v>
      </c>
    </row>
    <row r="8542" spans="1:78" x14ac:dyDescent="0.25">
      <c r="G8542" t="s">
        <v>4988</v>
      </c>
      <c r="AF8542" t="s">
        <v>9172</v>
      </c>
      <c r="AM8542" t="s">
        <v>9173</v>
      </c>
      <c r="AU8542" t="s">
        <v>9174</v>
      </c>
      <c r="BL8542" t="s">
        <v>9175</v>
      </c>
      <c r="BT8542" t="s">
        <v>9176</v>
      </c>
      <c r="BZ8542" t="s">
        <v>9177</v>
      </c>
    </row>
    <row r="8543" spans="1:78" x14ac:dyDescent="0.25">
      <c r="G8543" t="s">
        <v>7870</v>
      </c>
      <c r="W8543" t="s">
        <v>2431</v>
      </c>
      <c r="AF8543" t="s">
        <v>9178</v>
      </c>
      <c r="AM8543" t="s">
        <v>9178</v>
      </c>
      <c r="AU8543" t="s">
        <v>9179</v>
      </c>
      <c r="BL8543">
        <v>990</v>
      </c>
      <c r="BT8543">
        <v>1032</v>
      </c>
      <c r="BZ8543">
        <v>1122</v>
      </c>
    </row>
    <row r="8544" spans="1:78" x14ac:dyDescent="0.25">
      <c r="G8544" t="s">
        <v>8996</v>
      </c>
      <c r="W8544" t="s">
        <v>2427</v>
      </c>
      <c r="AF8544" t="s">
        <v>9180</v>
      </c>
      <c r="AM8544" t="s">
        <v>9180</v>
      </c>
      <c r="AU8544" t="s">
        <v>9181</v>
      </c>
      <c r="BL8544" t="s">
        <v>9182</v>
      </c>
      <c r="BT8544" t="s">
        <v>9183</v>
      </c>
      <c r="BZ8544" t="s">
        <v>9184</v>
      </c>
    </row>
    <row r="8545" spans="7:78" x14ac:dyDescent="0.25">
      <c r="G8545" t="s">
        <v>8996</v>
      </c>
      <c r="W8545" t="s">
        <v>2427</v>
      </c>
      <c r="AF8545" t="s">
        <v>9185</v>
      </c>
      <c r="AM8545" t="s">
        <v>9186</v>
      </c>
      <c r="AU8545" t="s">
        <v>9181</v>
      </c>
      <c r="BL8545" t="s">
        <v>9182</v>
      </c>
      <c r="BT8545" t="s">
        <v>9187</v>
      </c>
      <c r="BZ8545" t="s">
        <v>9188</v>
      </c>
    </row>
    <row r="8546" spans="7:78" x14ac:dyDescent="0.25">
      <c r="G8546" t="s">
        <v>4984</v>
      </c>
      <c r="W8546" t="s">
        <v>2433</v>
      </c>
      <c r="AF8546" t="s">
        <v>9189</v>
      </c>
      <c r="AM8546" t="s">
        <v>9189</v>
      </c>
      <c r="AU8546" t="s">
        <v>9189</v>
      </c>
      <c r="BL8546" t="s">
        <v>9190</v>
      </c>
      <c r="BT8546" t="s">
        <v>9190</v>
      </c>
      <c r="BZ8546" t="s">
        <v>9190</v>
      </c>
    </row>
    <row r="8547" spans="7:78" x14ac:dyDescent="0.25">
      <c r="G8547" t="s">
        <v>9010</v>
      </c>
      <c r="W8547" t="s">
        <v>713</v>
      </c>
      <c r="AF8547">
        <v>10</v>
      </c>
      <c r="AM8547">
        <v>10</v>
      </c>
      <c r="AU8547">
        <v>10</v>
      </c>
      <c r="BC8547">
        <v>10</v>
      </c>
      <c r="BL8547">
        <v>14</v>
      </c>
      <c r="BT8547">
        <v>14</v>
      </c>
      <c r="BZ8547">
        <v>14</v>
      </c>
    </row>
    <row r="8548" spans="7:78" x14ac:dyDescent="0.25">
      <c r="G8548" t="s">
        <v>1001</v>
      </c>
      <c r="W8548" t="s">
        <v>4986</v>
      </c>
      <c r="AF8548" t="s">
        <v>9191</v>
      </c>
      <c r="AM8548" t="s">
        <v>9192</v>
      </c>
      <c r="AU8548" t="s">
        <v>9193</v>
      </c>
      <c r="BC8548">
        <v>-800</v>
      </c>
      <c r="BL8548" t="s">
        <v>9194</v>
      </c>
      <c r="BT8548" t="s">
        <v>9195</v>
      </c>
      <c r="BZ8548" t="s">
        <v>9196</v>
      </c>
    </row>
    <row r="8550" spans="7:78" x14ac:dyDescent="0.25">
      <c r="G8550" t="s">
        <v>5025</v>
      </c>
      <c r="AF8550" t="s">
        <v>9197</v>
      </c>
      <c r="AM8550" t="s">
        <v>9198</v>
      </c>
      <c r="AU8550" t="s">
        <v>9199</v>
      </c>
      <c r="BL8550" t="s">
        <v>9200</v>
      </c>
      <c r="BT8550" t="s">
        <v>9201</v>
      </c>
      <c r="BZ8550" t="s">
        <v>9202</v>
      </c>
    </row>
    <row r="8551" spans="7:78" x14ac:dyDescent="0.25">
      <c r="G8551" t="s">
        <v>8996</v>
      </c>
      <c r="W8551" t="s">
        <v>2427</v>
      </c>
      <c r="AF8551" t="s">
        <v>9203</v>
      </c>
      <c r="AM8551" t="s">
        <v>9203</v>
      </c>
      <c r="AU8551" t="s">
        <v>9204</v>
      </c>
      <c r="BL8551" t="s">
        <v>9205</v>
      </c>
      <c r="BT8551" t="s">
        <v>9206</v>
      </c>
      <c r="BZ8551" t="s">
        <v>9207</v>
      </c>
    </row>
    <row r="8552" spans="7:78" x14ac:dyDescent="0.25">
      <c r="G8552" t="s">
        <v>8996</v>
      </c>
      <c r="W8552" t="s">
        <v>2427</v>
      </c>
      <c r="AF8552" t="s">
        <v>9208</v>
      </c>
      <c r="AM8552" t="s">
        <v>9208</v>
      </c>
      <c r="AU8552" t="s">
        <v>9209</v>
      </c>
      <c r="BL8552" t="s">
        <v>9210</v>
      </c>
      <c r="BT8552" t="s">
        <v>9211</v>
      </c>
      <c r="BZ8552" t="s">
        <v>9212</v>
      </c>
    </row>
    <row r="8553" spans="7:78" x14ac:dyDescent="0.25">
      <c r="G8553" t="s">
        <v>2435</v>
      </c>
      <c r="W8553" t="s">
        <v>2436</v>
      </c>
      <c r="AF8553" t="s">
        <v>9028</v>
      </c>
      <c r="AM8553" t="s">
        <v>9028</v>
      </c>
      <c r="AU8553" t="s">
        <v>9028</v>
      </c>
      <c r="BL8553" t="s">
        <v>9029</v>
      </c>
      <c r="BT8553" t="s">
        <v>9029</v>
      </c>
      <c r="BZ8553" t="s">
        <v>9029</v>
      </c>
    </row>
    <row r="8554" spans="7:78" x14ac:dyDescent="0.25">
      <c r="G8554" t="s">
        <v>9030</v>
      </c>
      <c r="W8554" t="s">
        <v>2436</v>
      </c>
      <c r="AF8554" t="s">
        <v>9031</v>
      </c>
      <c r="AM8554" t="s">
        <v>9031</v>
      </c>
      <c r="AU8554" t="s">
        <v>9031</v>
      </c>
      <c r="BL8554" t="s">
        <v>9031</v>
      </c>
      <c r="BT8554" t="s">
        <v>9031</v>
      </c>
      <c r="BZ8554" t="s">
        <v>9031</v>
      </c>
    </row>
    <row r="8555" spans="7:78" x14ac:dyDescent="0.25">
      <c r="G8555" t="s">
        <v>9032</v>
      </c>
      <c r="W8555" t="s">
        <v>551</v>
      </c>
      <c r="AF8555">
        <v>2</v>
      </c>
      <c r="AM8555">
        <v>2</v>
      </c>
      <c r="AU8555">
        <v>2</v>
      </c>
      <c r="BC8555">
        <v>2</v>
      </c>
      <c r="BL8555">
        <v>2</v>
      </c>
      <c r="BT8555">
        <v>2</v>
      </c>
      <c r="BZ8555">
        <v>2</v>
      </c>
    </row>
    <row r="8556" spans="7:78" x14ac:dyDescent="0.25">
      <c r="G8556" t="s">
        <v>9033</v>
      </c>
      <c r="W8556" t="s">
        <v>551</v>
      </c>
      <c r="AF8556">
        <v>20</v>
      </c>
      <c r="AM8556">
        <v>20</v>
      </c>
      <c r="AU8556">
        <v>20</v>
      </c>
      <c r="BC8556">
        <v>20</v>
      </c>
      <c r="BL8556">
        <v>20</v>
      </c>
      <c r="BT8556">
        <v>20</v>
      </c>
      <c r="BZ8556">
        <v>25</v>
      </c>
    </row>
    <row r="8557" spans="7:78" x14ac:dyDescent="0.25">
      <c r="G8557" t="s">
        <v>9034</v>
      </c>
      <c r="W8557" t="s">
        <v>551</v>
      </c>
      <c r="AF8557">
        <v>12</v>
      </c>
      <c r="AM8557">
        <v>12</v>
      </c>
      <c r="AU8557">
        <v>12</v>
      </c>
      <c r="BC8557">
        <v>12</v>
      </c>
      <c r="BL8557">
        <v>12</v>
      </c>
      <c r="BT8557">
        <v>12</v>
      </c>
      <c r="BZ8557">
        <v>15</v>
      </c>
    </row>
    <row r="8558" spans="7:78" x14ac:dyDescent="0.25">
      <c r="G8558" t="s">
        <v>9035</v>
      </c>
      <c r="AF8558" t="s">
        <v>9036</v>
      </c>
      <c r="AM8558" t="s">
        <v>9036</v>
      </c>
      <c r="AU8558" t="s">
        <v>9036</v>
      </c>
      <c r="BL8558" t="s">
        <v>9037</v>
      </c>
      <c r="BT8558" t="s">
        <v>9037</v>
      </c>
      <c r="BZ8558" t="s">
        <v>9037</v>
      </c>
    </row>
    <row r="8559" spans="7:78" x14ac:dyDescent="0.25">
      <c r="G8559" t="s">
        <v>4983</v>
      </c>
      <c r="AF8559" t="s">
        <v>2440</v>
      </c>
      <c r="AM8559" t="s">
        <v>2440</v>
      </c>
      <c r="AU8559" t="s">
        <v>2440</v>
      </c>
      <c r="BL8559" t="s">
        <v>2440</v>
      </c>
      <c r="BT8559" t="s">
        <v>2440</v>
      </c>
      <c r="BZ8559" t="s">
        <v>2440</v>
      </c>
    </row>
    <row r="8560" spans="7:78" x14ac:dyDescent="0.25">
      <c r="G8560" t="s">
        <v>9213</v>
      </c>
      <c r="W8560" t="s">
        <v>713</v>
      </c>
      <c r="AF8560">
        <v>0.55000000000000004</v>
      </c>
      <c r="AM8560">
        <v>0.55000000000000004</v>
      </c>
      <c r="AU8560">
        <v>0.8</v>
      </c>
      <c r="BC8560">
        <v>0.8</v>
      </c>
      <c r="BL8560">
        <v>1.1000000000000001</v>
      </c>
      <c r="BT8560">
        <v>1.1000000000000001</v>
      </c>
      <c r="BZ8560">
        <v>1.1399999999999999</v>
      </c>
    </row>
    <row r="8561" spans="1:93" x14ac:dyDescent="0.25">
      <c r="G8561" t="s">
        <v>4984</v>
      </c>
      <c r="W8561" t="s">
        <v>2433</v>
      </c>
      <c r="AF8561" t="s">
        <v>9041</v>
      </c>
      <c r="AM8561" t="s">
        <v>9041</v>
      </c>
      <c r="AU8561" t="s">
        <v>9041</v>
      </c>
      <c r="BL8561" t="s">
        <v>9041</v>
      </c>
      <c r="BT8561" t="s">
        <v>9041</v>
      </c>
      <c r="BZ8561" t="s">
        <v>4985</v>
      </c>
    </row>
    <row r="8562" spans="1:93" x14ac:dyDescent="0.25">
      <c r="G8562" t="s">
        <v>9010</v>
      </c>
      <c r="W8562" t="s">
        <v>713</v>
      </c>
      <c r="AF8562">
        <v>26</v>
      </c>
      <c r="AM8562">
        <v>26</v>
      </c>
      <c r="AU8562">
        <v>30</v>
      </c>
      <c r="BC8562">
        <v>33</v>
      </c>
      <c r="BL8562">
        <v>34</v>
      </c>
      <c r="BT8562">
        <v>34</v>
      </c>
      <c r="BZ8562">
        <v>42</v>
      </c>
    </row>
    <row r="8563" spans="1:93" x14ac:dyDescent="0.25">
      <c r="G8563" t="s">
        <v>1001</v>
      </c>
      <c r="W8563" t="s">
        <v>4986</v>
      </c>
      <c r="AF8563" t="s">
        <v>9214</v>
      </c>
      <c r="AM8563" t="s">
        <v>9215</v>
      </c>
      <c r="AU8563" t="s">
        <v>9216</v>
      </c>
      <c r="BL8563" t="s">
        <v>9217</v>
      </c>
      <c r="BT8563" t="s">
        <v>9218</v>
      </c>
      <c r="BZ8563" t="s">
        <v>9219</v>
      </c>
    </row>
    <row r="8565" spans="1:93" x14ac:dyDescent="0.25">
      <c r="G8565" t="s">
        <v>3768</v>
      </c>
      <c r="W8565" t="s">
        <v>9049</v>
      </c>
      <c r="BM8565" t="s">
        <v>9050</v>
      </c>
      <c r="BY8565" t="s">
        <v>9051</v>
      </c>
    </row>
    <row r="8566" spans="1:93" x14ac:dyDescent="0.25">
      <c r="G8566" t="s">
        <v>9052</v>
      </c>
      <c r="W8566" t="s">
        <v>9053</v>
      </c>
    </row>
    <row r="8567" spans="1:93" x14ac:dyDescent="0.25">
      <c r="G8567" t="s">
        <v>9054</v>
      </c>
      <c r="W8567" t="s">
        <v>9055</v>
      </c>
      <c r="BY8567" t="s">
        <v>9056</v>
      </c>
    </row>
    <row r="8568" spans="1:93" x14ac:dyDescent="0.25">
      <c r="G8568" t="s">
        <v>9063</v>
      </c>
      <c r="W8568" t="s">
        <v>9064</v>
      </c>
      <c r="BY8568" t="s">
        <v>9065</v>
      </c>
    </row>
    <row r="8569" spans="1:93" x14ac:dyDescent="0.25">
      <c r="G8569" t="s">
        <v>9066</v>
      </c>
      <c r="W8569" t="s">
        <v>9067</v>
      </c>
      <c r="BY8569" t="s">
        <v>9068</v>
      </c>
    </row>
    <row r="8570" spans="1:93" x14ac:dyDescent="0.25">
      <c r="G8570" t="s">
        <v>9069</v>
      </c>
      <c r="W8570" t="s">
        <v>9070</v>
      </c>
      <c r="BY8570" t="s">
        <v>9071</v>
      </c>
    </row>
    <row r="8571" spans="1:93" x14ac:dyDescent="0.25">
      <c r="G8571" t="s">
        <v>9072</v>
      </c>
      <c r="W8571" t="s">
        <v>9073</v>
      </c>
      <c r="BY8571" t="s">
        <v>9074</v>
      </c>
    </row>
    <row r="8572" spans="1:93" x14ac:dyDescent="0.25">
      <c r="G8572" t="s">
        <v>9075</v>
      </c>
      <c r="W8572" t="s">
        <v>9076</v>
      </c>
      <c r="BY8572" t="s">
        <v>9077</v>
      </c>
    </row>
    <row r="8573" spans="1:93" x14ac:dyDescent="0.25">
      <c r="A8573" t="s">
        <v>9220</v>
      </c>
    </row>
    <row r="8574" spans="1:93" x14ac:dyDescent="0.25">
      <c r="A8574" t="s">
        <v>9221</v>
      </c>
    </row>
    <row r="8576" spans="1:93" x14ac:dyDescent="0.25">
      <c r="A8576" t="s">
        <v>9222</v>
      </c>
      <c r="CO8576" t="s">
        <v>8862</v>
      </c>
    </row>
    <row r="8580" spans="1:77" x14ac:dyDescent="0.25">
      <c r="A8580" t="s">
        <v>9223</v>
      </c>
    </row>
    <row r="8582" spans="1:77" x14ac:dyDescent="0.25">
      <c r="G8582" t="s">
        <v>8930</v>
      </c>
      <c r="AF8582" t="s">
        <v>9224</v>
      </c>
      <c r="AM8582" t="s">
        <v>9225</v>
      </c>
      <c r="AX8582" t="s">
        <v>9226</v>
      </c>
      <c r="BH8582" t="s">
        <v>9227</v>
      </c>
      <c r="BQ8582" t="s">
        <v>9228</v>
      </c>
      <c r="BY8582" t="s">
        <v>9229</v>
      </c>
    </row>
    <row r="8583" spans="1:77" x14ac:dyDescent="0.25">
      <c r="G8583" t="s">
        <v>8937</v>
      </c>
      <c r="W8583" t="s">
        <v>2424</v>
      </c>
      <c r="AF8583">
        <v>2.5</v>
      </c>
      <c r="AM8583">
        <v>3.5</v>
      </c>
      <c r="AX8583" t="s">
        <v>5064</v>
      </c>
      <c r="BH8583">
        <v>5</v>
      </c>
      <c r="BQ8583">
        <v>6.1</v>
      </c>
      <c r="BY8583">
        <v>7</v>
      </c>
    </row>
    <row r="8585" spans="1:77" x14ac:dyDescent="0.25">
      <c r="G8585" t="s">
        <v>8938</v>
      </c>
      <c r="W8585" t="s">
        <v>2424</v>
      </c>
      <c r="AF8585" t="s">
        <v>9139</v>
      </c>
      <c r="AM8585" t="s">
        <v>9140</v>
      </c>
      <c r="AX8585" t="s">
        <v>9230</v>
      </c>
      <c r="BH8585" t="s">
        <v>9141</v>
      </c>
      <c r="BQ8585" t="s">
        <v>9142</v>
      </c>
      <c r="BY8585" t="s">
        <v>9143</v>
      </c>
    </row>
    <row r="8586" spans="1:77" x14ac:dyDescent="0.25">
      <c r="A8586" t="s">
        <v>2424</v>
      </c>
      <c r="AF8586" t="s">
        <v>9145</v>
      </c>
      <c r="AM8586" t="s">
        <v>9146</v>
      </c>
      <c r="AX8586" t="s">
        <v>9231</v>
      </c>
      <c r="BH8586" t="s">
        <v>9147</v>
      </c>
      <c r="BS8586" t="s">
        <v>9148</v>
      </c>
      <c r="BY8586" t="s">
        <v>9149</v>
      </c>
    </row>
    <row r="8587" spans="1:77" x14ac:dyDescent="0.25">
      <c r="A8587" t="s">
        <v>4905</v>
      </c>
      <c r="AF8587">
        <v>4.63</v>
      </c>
      <c r="AM8587">
        <v>3.89</v>
      </c>
      <c r="AX8587" t="s">
        <v>5452</v>
      </c>
      <c r="BH8587">
        <v>3.52</v>
      </c>
      <c r="BS8587" t="s">
        <v>5470</v>
      </c>
      <c r="BY8587">
        <v>3.11</v>
      </c>
    </row>
    <row r="8588" spans="1:77" x14ac:dyDescent="0.25">
      <c r="AF8588">
        <v>8.6</v>
      </c>
      <c r="AM8588">
        <v>8.6</v>
      </c>
      <c r="AX8588" t="s">
        <v>5275</v>
      </c>
      <c r="BH8588">
        <v>7.8</v>
      </c>
      <c r="BS8588" t="s">
        <v>5506</v>
      </c>
      <c r="BY8588">
        <v>6.3</v>
      </c>
    </row>
    <row r="8589" spans="1:77" x14ac:dyDescent="0.25">
      <c r="AF8589" t="s">
        <v>2879</v>
      </c>
      <c r="AM8589" t="s">
        <v>2879</v>
      </c>
      <c r="AX8589" t="s">
        <v>2880</v>
      </c>
      <c r="BH8589" t="s">
        <v>2880</v>
      </c>
      <c r="BS8589" t="s">
        <v>2880</v>
      </c>
      <c r="BY8589" t="s">
        <v>2880</v>
      </c>
    </row>
    <row r="8590" spans="1:77" x14ac:dyDescent="0.25">
      <c r="A8590" t="s">
        <v>4918</v>
      </c>
      <c r="AF8590" t="s">
        <v>9094</v>
      </c>
      <c r="AM8590" t="s">
        <v>9094</v>
      </c>
      <c r="AX8590" t="s">
        <v>9094</v>
      </c>
      <c r="BH8590" t="s">
        <v>9094</v>
      </c>
      <c r="BS8590" t="s">
        <v>9094</v>
      </c>
      <c r="BY8590" t="s">
        <v>9094</v>
      </c>
    </row>
    <row r="8591" spans="1:77" x14ac:dyDescent="0.25">
      <c r="A8591" t="s">
        <v>2424</v>
      </c>
      <c r="AF8591">
        <v>3.2</v>
      </c>
      <c r="AM8591">
        <v>4.2</v>
      </c>
      <c r="AX8591" t="s">
        <v>9232</v>
      </c>
      <c r="BH8591">
        <v>6</v>
      </c>
      <c r="BS8591" t="s">
        <v>5268</v>
      </c>
      <c r="BY8591">
        <v>8</v>
      </c>
    </row>
    <row r="8592" spans="1:77" x14ac:dyDescent="0.25">
      <c r="A8592" t="s">
        <v>2424</v>
      </c>
      <c r="AF8592" t="s">
        <v>9154</v>
      </c>
      <c r="AM8592" t="s">
        <v>9155</v>
      </c>
      <c r="AX8592" t="s">
        <v>9156</v>
      </c>
      <c r="BH8592" t="s">
        <v>9156</v>
      </c>
      <c r="BS8592" t="s">
        <v>9157</v>
      </c>
      <c r="BY8592" t="s">
        <v>9158</v>
      </c>
    </row>
    <row r="8593" spans="1:77" x14ac:dyDescent="0.25">
      <c r="A8593" t="s">
        <v>2424</v>
      </c>
      <c r="AF8593" t="s">
        <v>9160</v>
      </c>
      <c r="AM8593" t="s">
        <v>9161</v>
      </c>
      <c r="AX8593" t="s">
        <v>9233</v>
      </c>
      <c r="BH8593" t="s">
        <v>9162</v>
      </c>
      <c r="BS8593" t="s">
        <v>9163</v>
      </c>
      <c r="BY8593" t="s">
        <v>9164</v>
      </c>
    </row>
    <row r="8594" spans="1:77" x14ac:dyDescent="0.25">
      <c r="A8594" t="s">
        <v>4905</v>
      </c>
      <c r="AF8594">
        <v>4.57</v>
      </c>
      <c r="AM8594">
        <v>3.89</v>
      </c>
      <c r="AX8594" t="s">
        <v>5316</v>
      </c>
      <c r="BH8594">
        <v>3.77</v>
      </c>
      <c r="BS8594" t="s">
        <v>9234</v>
      </c>
      <c r="BY8594">
        <v>3.4</v>
      </c>
    </row>
    <row r="8595" spans="1:77" x14ac:dyDescent="0.25">
      <c r="AF8595">
        <v>5.0999999999999996</v>
      </c>
      <c r="AM8595">
        <v>5.0999999999999996</v>
      </c>
      <c r="AX8595" t="s">
        <v>5064</v>
      </c>
      <c r="BH8595">
        <v>4.5999999999999996</v>
      </c>
      <c r="BS8595" t="s">
        <v>5064</v>
      </c>
      <c r="BY8595">
        <v>4.0999999999999996</v>
      </c>
    </row>
    <row r="8596" spans="1:77" x14ac:dyDescent="0.25">
      <c r="AF8596" t="s">
        <v>2879</v>
      </c>
      <c r="AM8596" t="s">
        <v>2879</v>
      </c>
      <c r="AX8596" t="s">
        <v>2880</v>
      </c>
      <c r="BH8596" t="s">
        <v>2880</v>
      </c>
      <c r="BS8596" t="s">
        <v>2880</v>
      </c>
      <c r="BY8596" t="s">
        <v>9104</v>
      </c>
    </row>
    <row r="8597" spans="1:77" x14ac:dyDescent="0.25">
      <c r="A8597" t="s">
        <v>4918</v>
      </c>
      <c r="AF8597" t="s">
        <v>9105</v>
      </c>
      <c r="AM8597" t="s">
        <v>9105</v>
      </c>
      <c r="AX8597" t="s">
        <v>9105</v>
      </c>
      <c r="BH8597" t="s">
        <v>9105</v>
      </c>
      <c r="BS8597" t="s">
        <v>9105</v>
      </c>
      <c r="BY8597" t="s">
        <v>9105</v>
      </c>
    </row>
    <row r="8598" spans="1:77" x14ac:dyDescent="0.25">
      <c r="A8598" t="s">
        <v>2442</v>
      </c>
      <c r="AF8598" t="s">
        <v>9165</v>
      </c>
      <c r="AM8598" t="s">
        <v>9165</v>
      </c>
      <c r="AX8598" t="s">
        <v>9165</v>
      </c>
      <c r="BH8598" t="s">
        <v>9165</v>
      </c>
      <c r="BS8598" t="s">
        <v>9165</v>
      </c>
      <c r="BY8598" t="s">
        <v>9165</v>
      </c>
    </row>
    <row r="8599" spans="1:77" x14ac:dyDescent="0.25">
      <c r="A8599" t="s">
        <v>4911</v>
      </c>
      <c r="AF8599">
        <v>10</v>
      </c>
      <c r="AM8599">
        <v>10</v>
      </c>
      <c r="AX8599" t="s">
        <v>5272</v>
      </c>
      <c r="BH8599">
        <v>10</v>
      </c>
      <c r="BS8599" t="s">
        <v>5272</v>
      </c>
      <c r="BY8599">
        <v>16</v>
      </c>
    </row>
    <row r="8600" spans="1:77" x14ac:dyDescent="0.25">
      <c r="A8600" t="s">
        <v>4986</v>
      </c>
      <c r="AF8600" t="s">
        <v>9048</v>
      </c>
      <c r="AM8600" t="s">
        <v>9235</v>
      </c>
      <c r="AX8600" t="s">
        <v>9236</v>
      </c>
      <c r="BH8600" t="s">
        <v>9237</v>
      </c>
      <c r="BS8600" t="s">
        <v>9238</v>
      </c>
      <c r="BY8600" t="s">
        <v>9239</v>
      </c>
    </row>
    <row r="8601" spans="1:77" x14ac:dyDescent="0.25">
      <c r="G8601" t="s">
        <v>4988</v>
      </c>
      <c r="AF8601" t="s">
        <v>9240</v>
      </c>
      <c r="AM8601" t="s">
        <v>9241</v>
      </c>
      <c r="AX8601" t="s">
        <v>9242</v>
      </c>
      <c r="BH8601" t="s">
        <v>9243</v>
      </c>
      <c r="BQ8601" t="s">
        <v>9244</v>
      </c>
      <c r="BY8601" t="s">
        <v>9245</v>
      </c>
    </row>
    <row r="8602" spans="1:77" x14ac:dyDescent="0.25">
      <c r="G8602" t="s">
        <v>7870</v>
      </c>
      <c r="W8602" t="s">
        <v>2431</v>
      </c>
      <c r="AF8602" t="s">
        <v>9178</v>
      </c>
      <c r="AM8602" t="s">
        <v>9179</v>
      </c>
      <c r="AX8602" t="s">
        <v>9246</v>
      </c>
      <c r="BH8602">
        <v>990</v>
      </c>
      <c r="BQ8602">
        <v>1032</v>
      </c>
      <c r="BY8602">
        <v>1122</v>
      </c>
    </row>
    <row r="8603" spans="1:77" x14ac:dyDescent="0.25">
      <c r="G8603" t="s">
        <v>8996</v>
      </c>
      <c r="W8603" t="s">
        <v>2427</v>
      </c>
      <c r="AF8603" t="s">
        <v>9180</v>
      </c>
      <c r="AM8603" t="s">
        <v>9181</v>
      </c>
      <c r="AX8603" t="s">
        <v>9247</v>
      </c>
      <c r="BH8603" t="s">
        <v>9182</v>
      </c>
      <c r="BQ8603" t="s">
        <v>9183</v>
      </c>
      <c r="BY8603" t="s">
        <v>9184</v>
      </c>
    </row>
    <row r="8604" spans="1:77" x14ac:dyDescent="0.25">
      <c r="G8604" t="s">
        <v>8996</v>
      </c>
      <c r="W8604" t="s">
        <v>2427</v>
      </c>
      <c r="AF8604" t="s">
        <v>9186</v>
      </c>
      <c r="AM8604" t="s">
        <v>9181</v>
      </c>
      <c r="AX8604" t="s">
        <v>9248</v>
      </c>
      <c r="BH8604" t="s">
        <v>9182</v>
      </c>
      <c r="BQ8604" t="s">
        <v>9187</v>
      </c>
      <c r="BY8604" t="s">
        <v>9188</v>
      </c>
    </row>
    <row r="8605" spans="1:77" x14ac:dyDescent="0.25">
      <c r="G8605" t="s">
        <v>4984</v>
      </c>
      <c r="W8605" t="s">
        <v>2433</v>
      </c>
      <c r="AF8605" t="s">
        <v>9189</v>
      </c>
      <c r="AM8605" t="s">
        <v>9189</v>
      </c>
      <c r="AX8605" t="s">
        <v>9189</v>
      </c>
      <c r="BH8605" t="s">
        <v>9190</v>
      </c>
      <c r="BQ8605" t="s">
        <v>9190</v>
      </c>
      <c r="BY8605" t="s">
        <v>9190</v>
      </c>
    </row>
    <row r="8606" spans="1:77" x14ac:dyDescent="0.25">
      <c r="G8606" t="s">
        <v>9010</v>
      </c>
      <c r="W8606" t="s">
        <v>713</v>
      </c>
      <c r="AF8606">
        <v>10</v>
      </c>
      <c r="AM8606">
        <v>10</v>
      </c>
      <c r="AX8606" t="s">
        <v>5272</v>
      </c>
      <c r="BH8606">
        <v>14</v>
      </c>
      <c r="BQ8606">
        <v>14</v>
      </c>
      <c r="BY8606">
        <v>14</v>
      </c>
    </row>
    <row r="8607" spans="1:77" x14ac:dyDescent="0.25">
      <c r="G8607" t="s">
        <v>1001</v>
      </c>
      <c r="W8607" t="s">
        <v>4986</v>
      </c>
      <c r="AF8607" t="s">
        <v>9249</v>
      </c>
      <c r="AM8607" t="s">
        <v>9133</v>
      </c>
      <c r="AX8607" t="s">
        <v>9215</v>
      </c>
      <c r="BH8607" t="s">
        <v>9250</v>
      </c>
      <c r="BQ8607" t="s">
        <v>9216</v>
      </c>
      <c r="BY8607" t="s">
        <v>9251</v>
      </c>
    </row>
    <row r="8609" spans="7:77" x14ac:dyDescent="0.25">
      <c r="G8609" t="s">
        <v>5025</v>
      </c>
      <c r="AF8609" t="s">
        <v>9198</v>
      </c>
      <c r="AM8609" t="s">
        <v>9199</v>
      </c>
      <c r="AX8609" t="s">
        <v>9252</v>
      </c>
      <c r="BH8609" t="s">
        <v>9200</v>
      </c>
      <c r="BQ8609" t="s">
        <v>9201</v>
      </c>
      <c r="BY8609" t="s">
        <v>9202</v>
      </c>
    </row>
    <row r="8610" spans="7:77" x14ac:dyDescent="0.25">
      <c r="G8610" t="s">
        <v>8996</v>
      </c>
      <c r="W8610" t="s">
        <v>2427</v>
      </c>
      <c r="AF8610" t="s">
        <v>9203</v>
      </c>
      <c r="AM8610" t="s">
        <v>9204</v>
      </c>
      <c r="AX8610" t="s">
        <v>9253</v>
      </c>
      <c r="BH8610" t="s">
        <v>9205</v>
      </c>
      <c r="BQ8610" t="s">
        <v>9206</v>
      </c>
      <c r="BY8610" t="s">
        <v>9207</v>
      </c>
    </row>
    <row r="8611" spans="7:77" x14ac:dyDescent="0.25">
      <c r="G8611" t="s">
        <v>8996</v>
      </c>
      <c r="W8611" t="s">
        <v>2427</v>
      </c>
      <c r="AF8611" t="s">
        <v>9208</v>
      </c>
      <c r="AM8611" t="s">
        <v>9209</v>
      </c>
      <c r="AX8611" t="s">
        <v>9207</v>
      </c>
      <c r="BH8611" t="s">
        <v>9210</v>
      </c>
      <c r="BQ8611" t="s">
        <v>9211</v>
      </c>
      <c r="BY8611" t="s">
        <v>9212</v>
      </c>
    </row>
    <row r="8612" spans="7:77" x14ac:dyDescent="0.25">
      <c r="G8612" t="s">
        <v>2435</v>
      </c>
      <c r="W8612" t="s">
        <v>2436</v>
      </c>
      <c r="AF8612" t="s">
        <v>9028</v>
      </c>
      <c r="AM8612" t="s">
        <v>9028</v>
      </c>
      <c r="AX8612" t="s">
        <v>9029</v>
      </c>
      <c r="BH8612" t="s">
        <v>9029</v>
      </c>
      <c r="BQ8612" t="s">
        <v>9029</v>
      </c>
      <c r="BY8612" t="s">
        <v>9029</v>
      </c>
    </row>
    <row r="8613" spans="7:77" x14ac:dyDescent="0.25">
      <c r="G8613" t="s">
        <v>9030</v>
      </c>
      <c r="W8613" t="s">
        <v>2436</v>
      </c>
      <c r="AF8613" t="s">
        <v>9031</v>
      </c>
      <c r="AM8613" t="s">
        <v>9031</v>
      </c>
      <c r="AX8613" t="s">
        <v>9031</v>
      </c>
      <c r="BH8613" t="s">
        <v>9031</v>
      </c>
      <c r="BQ8613" t="s">
        <v>9031</v>
      </c>
      <c r="BY8613" t="s">
        <v>9031</v>
      </c>
    </row>
    <row r="8614" spans="7:77" x14ac:dyDescent="0.25">
      <c r="G8614" t="s">
        <v>9032</v>
      </c>
      <c r="W8614" t="s">
        <v>551</v>
      </c>
      <c r="AF8614">
        <v>2</v>
      </c>
      <c r="AM8614">
        <v>2</v>
      </c>
      <c r="AX8614" t="s">
        <v>5264</v>
      </c>
      <c r="BH8614">
        <v>2</v>
      </c>
      <c r="BQ8614">
        <v>2</v>
      </c>
      <c r="BY8614">
        <v>2</v>
      </c>
    </row>
    <row r="8615" spans="7:77" x14ac:dyDescent="0.25">
      <c r="G8615" t="s">
        <v>9033</v>
      </c>
      <c r="W8615" t="s">
        <v>551</v>
      </c>
      <c r="AF8615">
        <v>20</v>
      </c>
      <c r="AM8615">
        <v>20</v>
      </c>
      <c r="AX8615" t="s">
        <v>3756</v>
      </c>
      <c r="BH8615">
        <v>20</v>
      </c>
      <c r="BQ8615">
        <v>20</v>
      </c>
      <c r="BY8615">
        <v>25</v>
      </c>
    </row>
    <row r="8616" spans="7:77" x14ac:dyDescent="0.25">
      <c r="G8616" t="s">
        <v>9034</v>
      </c>
      <c r="W8616" t="s">
        <v>551</v>
      </c>
      <c r="AF8616">
        <v>12</v>
      </c>
      <c r="AM8616">
        <v>12</v>
      </c>
      <c r="AX8616" t="s">
        <v>5276</v>
      </c>
      <c r="BH8616">
        <v>12</v>
      </c>
      <c r="BQ8616">
        <v>12</v>
      </c>
      <c r="BY8616">
        <v>15</v>
      </c>
    </row>
    <row r="8617" spans="7:77" x14ac:dyDescent="0.25">
      <c r="G8617" t="s">
        <v>9035</v>
      </c>
      <c r="AF8617" t="s">
        <v>9036</v>
      </c>
      <c r="AM8617" t="s">
        <v>9036</v>
      </c>
      <c r="AX8617" t="s">
        <v>9036</v>
      </c>
      <c r="BH8617" t="s">
        <v>9037</v>
      </c>
      <c r="BQ8617" t="s">
        <v>9037</v>
      </c>
      <c r="BY8617" t="s">
        <v>9037</v>
      </c>
    </row>
    <row r="8618" spans="7:77" x14ac:dyDescent="0.25">
      <c r="G8618" t="s">
        <v>4983</v>
      </c>
      <c r="AF8618" t="s">
        <v>2440</v>
      </c>
      <c r="AM8618" t="s">
        <v>2440</v>
      </c>
      <c r="AX8618" t="s">
        <v>2440</v>
      </c>
      <c r="BH8618" t="s">
        <v>2440</v>
      </c>
      <c r="BQ8618" t="s">
        <v>2440</v>
      </c>
      <c r="BY8618" t="s">
        <v>2440</v>
      </c>
    </row>
    <row r="8619" spans="7:77" x14ac:dyDescent="0.25">
      <c r="G8619" t="s">
        <v>9213</v>
      </c>
      <c r="W8619" t="s">
        <v>713</v>
      </c>
      <c r="AF8619">
        <v>0.55000000000000004</v>
      </c>
      <c r="AM8619">
        <v>0.8</v>
      </c>
      <c r="AX8619" t="s">
        <v>9254</v>
      </c>
      <c r="BH8619">
        <v>1.1000000000000001</v>
      </c>
      <c r="BQ8619">
        <v>1.1000000000000001</v>
      </c>
      <c r="BY8619">
        <v>1.1399999999999999</v>
      </c>
    </row>
    <row r="8620" spans="7:77" x14ac:dyDescent="0.25">
      <c r="G8620" t="s">
        <v>4984</v>
      </c>
      <c r="W8620" t="s">
        <v>2433</v>
      </c>
      <c r="AF8620" t="s">
        <v>9041</v>
      </c>
      <c r="AM8620" t="s">
        <v>9041</v>
      </c>
      <c r="AX8620" t="s">
        <v>9041</v>
      </c>
      <c r="BH8620" t="s">
        <v>9041</v>
      </c>
      <c r="BQ8620" t="s">
        <v>9041</v>
      </c>
      <c r="BY8620" t="s">
        <v>4985</v>
      </c>
    </row>
    <row r="8621" spans="7:77" x14ac:dyDescent="0.25">
      <c r="G8621" t="s">
        <v>9010</v>
      </c>
      <c r="W8621" t="s">
        <v>713</v>
      </c>
      <c r="AF8621">
        <v>26</v>
      </c>
      <c r="AM8621">
        <v>30</v>
      </c>
      <c r="AX8621" t="s">
        <v>9255</v>
      </c>
      <c r="BH8621">
        <v>34</v>
      </c>
      <c r="BQ8621">
        <v>34</v>
      </c>
      <c r="BY8621">
        <v>42</v>
      </c>
    </row>
    <row r="8622" spans="7:77" x14ac:dyDescent="0.25">
      <c r="G8622" t="s">
        <v>1001</v>
      </c>
      <c r="W8622" t="s">
        <v>4986</v>
      </c>
      <c r="AF8622" t="s">
        <v>9215</v>
      </c>
      <c r="AM8622" t="s">
        <v>9216</v>
      </c>
      <c r="AX8622" t="s">
        <v>9256</v>
      </c>
      <c r="BH8622" t="s">
        <v>9217</v>
      </c>
      <c r="BQ8622" t="s">
        <v>9218</v>
      </c>
      <c r="BY8622" t="s">
        <v>9219</v>
      </c>
    </row>
    <row r="8624" spans="7:77" x14ac:dyDescent="0.25">
      <c r="G8624" t="s">
        <v>3768</v>
      </c>
      <c r="W8624" t="s">
        <v>9049</v>
      </c>
      <c r="BM8624" t="s">
        <v>9050</v>
      </c>
      <c r="BY8624" t="s">
        <v>9051</v>
      </c>
    </row>
    <row r="8625" spans="1:77" x14ac:dyDescent="0.25">
      <c r="G8625" t="s">
        <v>9052</v>
      </c>
      <c r="W8625" t="s">
        <v>9053</v>
      </c>
    </row>
    <row r="8626" spans="1:77" x14ac:dyDescent="0.25">
      <c r="G8626" t="s">
        <v>9054</v>
      </c>
      <c r="W8626" t="s">
        <v>9055</v>
      </c>
      <c r="BY8626" t="s">
        <v>9056</v>
      </c>
    </row>
    <row r="8627" spans="1:77" x14ac:dyDescent="0.25">
      <c r="G8627" t="s">
        <v>9063</v>
      </c>
      <c r="W8627" t="s">
        <v>9064</v>
      </c>
      <c r="BY8627" t="s">
        <v>9065</v>
      </c>
    </row>
    <row r="8628" spans="1:77" x14ac:dyDescent="0.25">
      <c r="G8628" t="s">
        <v>9066</v>
      </c>
      <c r="W8628" t="s">
        <v>9067</v>
      </c>
      <c r="BY8628" t="s">
        <v>9068</v>
      </c>
    </row>
    <row r="8629" spans="1:77" x14ac:dyDescent="0.25">
      <c r="G8629" t="s">
        <v>9069</v>
      </c>
      <c r="W8629" t="s">
        <v>9070</v>
      </c>
      <c r="BY8629" t="s">
        <v>9071</v>
      </c>
    </row>
    <row r="8630" spans="1:77" x14ac:dyDescent="0.25">
      <c r="G8630" t="s">
        <v>9072</v>
      </c>
      <c r="W8630" t="s">
        <v>9073</v>
      </c>
      <c r="BY8630" t="s">
        <v>9074</v>
      </c>
    </row>
    <row r="8631" spans="1:77" x14ac:dyDescent="0.25">
      <c r="G8631" t="s">
        <v>9075</v>
      </c>
      <c r="W8631" t="s">
        <v>9076</v>
      </c>
      <c r="BY8631" t="s">
        <v>9077</v>
      </c>
    </row>
    <row r="8632" spans="1:77" x14ac:dyDescent="0.25">
      <c r="A8632" t="s">
        <v>9220</v>
      </c>
    </row>
    <row r="8633" spans="1:77" x14ac:dyDescent="0.25">
      <c r="A8633" t="s">
        <v>9257</v>
      </c>
    </row>
    <row r="8635" spans="1:77" x14ac:dyDescent="0.25">
      <c r="A8635" t="s">
        <v>8862</v>
      </c>
      <c r="G8635" t="s">
        <v>9258</v>
      </c>
    </row>
    <row r="8637" spans="1:77" x14ac:dyDescent="0.25">
      <c r="G8637" t="s">
        <v>8930</v>
      </c>
      <c r="AF8637" t="s">
        <v>9259</v>
      </c>
      <c r="AX8637" t="s">
        <v>9260</v>
      </c>
      <c r="BP8637" t="s">
        <v>9261</v>
      </c>
    </row>
    <row r="8638" spans="1:77" x14ac:dyDescent="0.25">
      <c r="G8638" t="s">
        <v>8937</v>
      </c>
      <c r="W8638" t="s">
        <v>2424</v>
      </c>
      <c r="AF8638">
        <v>2.5</v>
      </c>
      <c r="AX8638" t="s">
        <v>1862</v>
      </c>
      <c r="BP8638">
        <v>4.5999999999999996</v>
      </c>
    </row>
    <row r="8639" spans="1:77" x14ac:dyDescent="0.25">
      <c r="G8639" t="s">
        <v>8938</v>
      </c>
      <c r="W8639" t="s">
        <v>2424</v>
      </c>
      <c r="AF8639" t="s">
        <v>9139</v>
      </c>
      <c r="AX8639" t="s">
        <v>9140</v>
      </c>
      <c r="BP8639" t="s">
        <v>9230</v>
      </c>
    </row>
    <row r="8641" spans="7:68" x14ac:dyDescent="0.25">
      <c r="G8641" t="s">
        <v>8945</v>
      </c>
      <c r="W8641" t="s">
        <v>2424</v>
      </c>
      <c r="AF8641" t="s">
        <v>9262</v>
      </c>
      <c r="AX8641" t="s">
        <v>9263</v>
      </c>
      <c r="BP8641" t="s">
        <v>9264</v>
      </c>
    </row>
    <row r="8642" spans="7:68" x14ac:dyDescent="0.25">
      <c r="G8642" t="s">
        <v>8953</v>
      </c>
      <c r="W8642" t="s">
        <v>4905</v>
      </c>
      <c r="AF8642">
        <v>4.63</v>
      </c>
      <c r="AX8642" t="s">
        <v>9265</v>
      </c>
      <c r="BP8642">
        <v>3.41</v>
      </c>
    </row>
    <row r="8643" spans="7:68" x14ac:dyDescent="0.25">
      <c r="G8643" t="s">
        <v>8955</v>
      </c>
      <c r="AF8643">
        <v>8.6</v>
      </c>
      <c r="AX8643" t="s">
        <v>5507</v>
      </c>
      <c r="BP8643">
        <v>7.8</v>
      </c>
    </row>
    <row r="8644" spans="7:68" x14ac:dyDescent="0.25">
      <c r="G8644" t="s">
        <v>4977</v>
      </c>
      <c r="AF8644" t="s">
        <v>2879</v>
      </c>
      <c r="AX8644" t="s">
        <v>2879</v>
      </c>
      <c r="BP8644" t="s">
        <v>2880</v>
      </c>
    </row>
    <row r="8645" spans="7:68" x14ac:dyDescent="0.25">
      <c r="G8645" t="s">
        <v>4979</v>
      </c>
      <c r="W8645" t="s">
        <v>4918</v>
      </c>
      <c r="AF8645" t="s">
        <v>9094</v>
      </c>
      <c r="AX8645" t="s">
        <v>9094</v>
      </c>
      <c r="BP8645" t="s">
        <v>9094</v>
      </c>
    </row>
    <row r="8646" spans="7:68" x14ac:dyDescent="0.25">
      <c r="G8646" t="s">
        <v>8957</v>
      </c>
      <c r="W8646" t="s">
        <v>2424</v>
      </c>
      <c r="AF8646">
        <v>3.2</v>
      </c>
      <c r="AX8646" t="s">
        <v>9152</v>
      </c>
      <c r="BP8646">
        <v>5.5</v>
      </c>
    </row>
    <row r="8647" spans="7:68" x14ac:dyDescent="0.25">
      <c r="G8647" t="s">
        <v>8958</v>
      </c>
      <c r="W8647" t="s">
        <v>2424</v>
      </c>
      <c r="AF8647" t="s">
        <v>9266</v>
      </c>
      <c r="AX8647" t="s">
        <v>9155</v>
      </c>
      <c r="BP8647" t="s">
        <v>9267</v>
      </c>
    </row>
    <row r="8648" spans="7:68" x14ac:dyDescent="0.25">
      <c r="G8648" t="s">
        <v>8945</v>
      </c>
      <c r="W8648" t="s">
        <v>2424</v>
      </c>
      <c r="AF8648" t="s">
        <v>9268</v>
      </c>
      <c r="AX8648" t="s">
        <v>9269</v>
      </c>
      <c r="BP8648" t="s">
        <v>9270</v>
      </c>
    </row>
    <row r="8649" spans="7:68" x14ac:dyDescent="0.25">
      <c r="G8649" t="s">
        <v>8971</v>
      </c>
      <c r="W8649" t="s">
        <v>4905</v>
      </c>
      <c r="AF8649">
        <v>4.32</v>
      </c>
      <c r="AX8649" t="s">
        <v>9150</v>
      </c>
      <c r="BP8649">
        <v>3.62</v>
      </c>
    </row>
    <row r="8650" spans="7:68" x14ac:dyDescent="0.25">
      <c r="G8650" t="s">
        <v>8973</v>
      </c>
      <c r="AF8650">
        <v>5.0999999999999996</v>
      </c>
      <c r="AX8650" t="s">
        <v>5334</v>
      </c>
      <c r="BP8650">
        <v>4.5999999999999996</v>
      </c>
    </row>
    <row r="8651" spans="7:68" x14ac:dyDescent="0.25">
      <c r="G8651" t="s">
        <v>4977</v>
      </c>
      <c r="AF8651" t="s">
        <v>2879</v>
      </c>
      <c r="AX8651" t="s">
        <v>2879</v>
      </c>
      <c r="BP8651" t="s">
        <v>2880</v>
      </c>
    </row>
    <row r="8652" spans="7:68" x14ac:dyDescent="0.25">
      <c r="G8652" t="s">
        <v>4979</v>
      </c>
      <c r="W8652" t="s">
        <v>4918</v>
      </c>
      <c r="AF8652" t="s">
        <v>9105</v>
      </c>
      <c r="AX8652" t="s">
        <v>9105</v>
      </c>
      <c r="BP8652" t="s">
        <v>9105</v>
      </c>
    </row>
    <row r="8653" spans="7:68" x14ac:dyDescent="0.25">
      <c r="G8653" t="s">
        <v>8975</v>
      </c>
      <c r="W8653" t="s">
        <v>2442</v>
      </c>
      <c r="AF8653" t="s">
        <v>2443</v>
      </c>
      <c r="AX8653" t="s">
        <v>2443</v>
      </c>
      <c r="BP8653" t="s">
        <v>2443</v>
      </c>
    </row>
    <row r="8654" spans="7:68" x14ac:dyDescent="0.25">
      <c r="G8654" t="s">
        <v>4982</v>
      </c>
      <c r="W8654" t="s">
        <v>4911</v>
      </c>
      <c r="AF8654">
        <v>10</v>
      </c>
      <c r="AX8654" t="s">
        <v>5272</v>
      </c>
      <c r="BP8654">
        <v>10</v>
      </c>
    </row>
    <row r="8655" spans="7:68" x14ac:dyDescent="0.25">
      <c r="G8655" t="s">
        <v>8977</v>
      </c>
      <c r="W8655" t="s">
        <v>4986</v>
      </c>
      <c r="AF8655" t="s">
        <v>9271</v>
      </c>
      <c r="AX8655" t="s">
        <v>9272</v>
      </c>
      <c r="BP8655" t="s">
        <v>9273</v>
      </c>
    </row>
    <row r="8657" spans="7:68" x14ac:dyDescent="0.25">
      <c r="G8657" t="s">
        <v>4988</v>
      </c>
      <c r="AF8657" t="s">
        <v>9274</v>
      </c>
      <c r="AX8657" t="s">
        <v>9275</v>
      </c>
      <c r="BP8657" t="s">
        <v>9276</v>
      </c>
    </row>
    <row r="8658" spans="7:68" x14ac:dyDescent="0.25">
      <c r="G8658" t="s">
        <v>7870</v>
      </c>
      <c r="W8658" t="s">
        <v>2431</v>
      </c>
      <c r="AF8658" t="s">
        <v>9277</v>
      </c>
      <c r="AX8658" t="s">
        <v>9278</v>
      </c>
      <c r="BP8658" t="s">
        <v>9279</v>
      </c>
    </row>
    <row r="8659" spans="7:68" x14ac:dyDescent="0.25">
      <c r="G8659" t="s">
        <v>8996</v>
      </c>
      <c r="W8659" t="s">
        <v>2427</v>
      </c>
      <c r="AF8659" t="s">
        <v>9280</v>
      </c>
      <c r="AX8659" t="s">
        <v>9281</v>
      </c>
      <c r="BP8659" t="s">
        <v>9282</v>
      </c>
    </row>
    <row r="8660" spans="7:68" x14ac:dyDescent="0.25">
      <c r="G8660" t="s">
        <v>8996</v>
      </c>
      <c r="W8660" t="s">
        <v>2427</v>
      </c>
      <c r="AF8660" t="s">
        <v>9280</v>
      </c>
      <c r="AX8660" t="s">
        <v>9281</v>
      </c>
      <c r="BP8660" t="s">
        <v>9283</v>
      </c>
    </row>
    <row r="8661" spans="7:68" x14ac:dyDescent="0.25">
      <c r="G8661" t="s">
        <v>4984</v>
      </c>
      <c r="W8661" t="s">
        <v>2433</v>
      </c>
      <c r="AF8661" t="s">
        <v>9284</v>
      </c>
      <c r="AX8661" t="s">
        <v>9284</v>
      </c>
      <c r="BP8661" t="s">
        <v>9284</v>
      </c>
    </row>
    <row r="8662" spans="7:68" x14ac:dyDescent="0.25">
      <c r="G8662" t="s">
        <v>9010</v>
      </c>
      <c r="W8662" t="s">
        <v>713</v>
      </c>
      <c r="AF8662">
        <v>11</v>
      </c>
      <c r="AX8662" t="s">
        <v>5056</v>
      </c>
      <c r="BP8662">
        <v>12</v>
      </c>
    </row>
    <row r="8663" spans="7:68" x14ac:dyDescent="0.25">
      <c r="G8663" t="s">
        <v>1001</v>
      </c>
      <c r="W8663" t="s">
        <v>4986</v>
      </c>
      <c r="AF8663" t="s">
        <v>9285</v>
      </c>
      <c r="AX8663" t="s">
        <v>9286</v>
      </c>
      <c r="BP8663" t="s">
        <v>9287</v>
      </c>
    </row>
    <row r="8665" spans="7:68" x14ac:dyDescent="0.25">
      <c r="G8665" t="s">
        <v>5025</v>
      </c>
      <c r="AF8665" t="s">
        <v>9198</v>
      </c>
      <c r="AX8665" t="s">
        <v>9199</v>
      </c>
      <c r="BP8665" t="s">
        <v>9252</v>
      </c>
    </row>
    <row r="8666" spans="7:68" x14ac:dyDescent="0.25">
      <c r="G8666" t="s">
        <v>8996</v>
      </c>
      <c r="W8666" t="s">
        <v>2427</v>
      </c>
      <c r="AF8666">
        <v>44</v>
      </c>
      <c r="AX8666" t="s">
        <v>9288</v>
      </c>
      <c r="BP8666">
        <v>48</v>
      </c>
    </row>
    <row r="8667" spans="7:68" x14ac:dyDescent="0.25">
      <c r="G8667" t="s">
        <v>8996</v>
      </c>
      <c r="W8667" t="s">
        <v>2427</v>
      </c>
      <c r="AF8667">
        <v>46</v>
      </c>
      <c r="AX8667" t="s">
        <v>9289</v>
      </c>
      <c r="BP8667">
        <v>50</v>
      </c>
    </row>
    <row r="8668" spans="7:68" x14ac:dyDescent="0.25">
      <c r="G8668" t="s">
        <v>2435</v>
      </c>
      <c r="W8668" t="s">
        <v>2436</v>
      </c>
      <c r="AF8668" t="s">
        <v>9028</v>
      </c>
      <c r="AX8668" t="s">
        <v>9028</v>
      </c>
      <c r="BP8668" t="s">
        <v>9029</v>
      </c>
    </row>
    <row r="8669" spans="7:68" x14ac:dyDescent="0.25">
      <c r="G8669" t="s">
        <v>9030</v>
      </c>
      <c r="W8669" t="s">
        <v>2436</v>
      </c>
      <c r="AF8669" t="s">
        <v>9031</v>
      </c>
      <c r="AX8669" t="s">
        <v>9031</v>
      </c>
      <c r="BP8669" t="s">
        <v>9031</v>
      </c>
    </row>
    <row r="8670" spans="7:68" x14ac:dyDescent="0.25">
      <c r="G8670" t="s">
        <v>9032</v>
      </c>
      <c r="W8670" t="s">
        <v>551</v>
      </c>
      <c r="AF8670">
        <v>2</v>
      </c>
      <c r="AX8670" t="s">
        <v>5264</v>
      </c>
      <c r="BP8670">
        <v>2</v>
      </c>
    </row>
    <row r="8671" spans="7:68" x14ac:dyDescent="0.25">
      <c r="G8671" t="s">
        <v>9033</v>
      </c>
      <c r="W8671" t="s">
        <v>551</v>
      </c>
      <c r="AF8671">
        <v>20</v>
      </c>
      <c r="AX8671" t="s">
        <v>3756</v>
      </c>
      <c r="BP8671">
        <v>20</v>
      </c>
    </row>
    <row r="8672" spans="7:68" x14ac:dyDescent="0.25">
      <c r="G8672" t="s">
        <v>9034</v>
      </c>
      <c r="W8672" t="s">
        <v>551</v>
      </c>
      <c r="AF8672">
        <v>12</v>
      </c>
      <c r="AX8672" t="s">
        <v>5276</v>
      </c>
      <c r="BP8672">
        <v>12</v>
      </c>
    </row>
    <row r="8673" spans="7:75" x14ac:dyDescent="0.25">
      <c r="G8673" t="s">
        <v>9035</v>
      </c>
      <c r="AF8673" t="s">
        <v>9036</v>
      </c>
      <c r="AX8673" t="s">
        <v>9036</v>
      </c>
      <c r="BP8673" t="s">
        <v>9036</v>
      </c>
    </row>
    <row r="8674" spans="7:75" x14ac:dyDescent="0.25">
      <c r="G8674" t="s">
        <v>4983</v>
      </c>
      <c r="AF8674" t="s">
        <v>2440</v>
      </c>
      <c r="AX8674" t="s">
        <v>2440</v>
      </c>
      <c r="BP8674" t="s">
        <v>2440</v>
      </c>
    </row>
    <row r="8675" spans="7:75" x14ac:dyDescent="0.25">
      <c r="G8675" t="s">
        <v>9038</v>
      </c>
      <c r="W8675" t="s">
        <v>713</v>
      </c>
      <c r="AF8675">
        <v>0.55000000000000004</v>
      </c>
      <c r="AX8675" t="s">
        <v>9254</v>
      </c>
      <c r="BP8675">
        <v>0.8</v>
      </c>
    </row>
    <row r="8676" spans="7:75" x14ac:dyDescent="0.25">
      <c r="G8676" t="s">
        <v>4984</v>
      </c>
      <c r="W8676" t="s">
        <v>2433</v>
      </c>
      <c r="AF8676" t="s">
        <v>9041</v>
      </c>
      <c r="AX8676" t="s">
        <v>9041</v>
      </c>
      <c r="BP8676" t="s">
        <v>9041</v>
      </c>
    </row>
    <row r="8677" spans="7:75" x14ac:dyDescent="0.25">
      <c r="G8677" t="s">
        <v>9010</v>
      </c>
      <c r="W8677" t="s">
        <v>713</v>
      </c>
      <c r="AF8677">
        <v>26</v>
      </c>
      <c r="AX8677" t="s">
        <v>5240</v>
      </c>
      <c r="BP8677">
        <v>33</v>
      </c>
    </row>
    <row r="8678" spans="7:75" x14ac:dyDescent="0.25">
      <c r="G8678" t="s">
        <v>1001</v>
      </c>
      <c r="W8678" t="s">
        <v>4986</v>
      </c>
      <c r="AF8678" t="s">
        <v>9215</v>
      </c>
      <c r="AX8678" t="s">
        <v>9216</v>
      </c>
      <c r="BP8678" t="s">
        <v>9256</v>
      </c>
    </row>
    <row r="8680" spans="7:75" x14ac:dyDescent="0.25">
      <c r="G8680" t="s">
        <v>3768</v>
      </c>
      <c r="W8680" t="s">
        <v>9049</v>
      </c>
      <c r="BM8680" t="s">
        <v>9050</v>
      </c>
      <c r="BW8680" t="s">
        <v>9051</v>
      </c>
    </row>
    <row r="8681" spans="7:75" x14ac:dyDescent="0.25">
      <c r="G8681" t="s">
        <v>9057</v>
      </c>
      <c r="W8681" t="s">
        <v>9058</v>
      </c>
    </row>
    <row r="8682" spans="7:75" x14ac:dyDescent="0.25">
      <c r="G8682" t="s">
        <v>9054</v>
      </c>
      <c r="W8682" t="s">
        <v>9055</v>
      </c>
      <c r="BW8682" t="s">
        <v>9056</v>
      </c>
    </row>
    <row r="8683" spans="7:75" x14ac:dyDescent="0.25">
      <c r="G8683" t="s">
        <v>9290</v>
      </c>
      <c r="W8683" t="s">
        <v>9291</v>
      </c>
    </row>
    <row r="8684" spans="7:75" x14ac:dyDescent="0.25">
      <c r="G8684" t="s">
        <v>9292</v>
      </c>
      <c r="W8684" t="s">
        <v>9293</v>
      </c>
    </row>
    <row r="8685" spans="7:75" x14ac:dyDescent="0.25">
      <c r="G8685" t="s">
        <v>9294</v>
      </c>
      <c r="W8685" t="s">
        <v>9295</v>
      </c>
      <c r="BW8685" t="s">
        <v>9296</v>
      </c>
    </row>
    <row r="8686" spans="7:75" x14ac:dyDescent="0.25">
      <c r="G8686" t="s">
        <v>9297</v>
      </c>
      <c r="W8686" t="s">
        <v>9298</v>
      </c>
      <c r="BW8686" t="s">
        <v>9296</v>
      </c>
    </row>
    <row r="8687" spans="7:75" x14ac:dyDescent="0.25">
      <c r="G8687" t="s">
        <v>9299</v>
      </c>
      <c r="W8687" t="s">
        <v>9300</v>
      </c>
      <c r="BW8687" t="s">
        <v>9296</v>
      </c>
    </row>
    <row r="8688" spans="7:75" x14ac:dyDescent="0.25">
      <c r="G8688" t="s">
        <v>9301</v>
      </c>
      <c r="W8688" t="s">
        <v>9302</v>
      </c>
      <c r="BW8688" t="s">
        <v>9296</v>
      </c>
    </row>
    <row r="8689" spans="1:88" x14ac:dyDescent="0.25">
      <c r="G8689" t="s">
        <v>9303</v>
      </c>
      <c r="W8689" t="s">
        <v>9304</v>
      </c>
    </row>
    <row r="8690" spans="1:88" x14ac:dyDescent="0.25">
      <c r="G8690" t="s">
        <v>9066</v>
      </c>
      <c r="W8690" t="s">
        <v>9067</v>
      </c>
      <c r="BW8690" t="s">
        <v>9068</v>
      </c>
    </row>
    <row r="8691" spans="1:88" x14ac:dyDescent="0.25">
      <c r="G8691" t="s">
        <v>9063</v>
      </c>
      <c r="W8691" t="s">
        <v>9064</v>
      </c>
      <c r="BW8691" t="s">
        <v>9065</v>
      </c>
    </row>
    <row r="8692" spans="1:88" x14ac:dyDescent="0.25">
      <c r="G8692" t="s">
        <v>9069</v>
      </c>
      <c r="W8692" t="s">
        <v>9070</v>
      </c>
      <c r="BW8692" t="s">
        <v>9071</v>
      </c>
    </row>
    <row r="8693" spans="1:88" x14ac:dyDescent="0.25">
      <c r="G8693" t="s">
        <v>9072</v>
      </c>
      <c r="W8693" t="s">
        <v>9073</v>
      </c>
      <c r="BW8693" t="s">
        <v>9074</v>
      </c>
    </row>
    <row r="8694" spans="1:88" x14ac:dyDescent="0.25">
      <c r="G8694" t="s">
        <v>9075</v>
      </c>
      <c r="W8694" t="s">
        <v>9076</v>
      </c>
      <c r="BW8694" t="s">
        <v>9077</v>
      </c>
    </row>
    <row r="8695" spans="1:88" x14ac:dyDescent="0.25">
      <c r="G8695" t="s">
        <v>9305</v>
      </c>
    </row>
    <row r="8696" spans="1:88" x14ac:dyDescent="0.25">
      <c r="CJ8696" t="s">
        <v>8862</v>
      </c>
    </row>
    <row r="8698" spans="1:88" x14ac:dyDescent="0.25">
      <c r="A8698" t="s">
        <v>9306</v>
      </c>
    </row>
    <row r="8700" spans="1:88" x14ac:dyDescent="0.25">
      <c r="A8700" t="s">
        <v>8930</v>
      </c>
      <c r="Z8700" t="s">
        <v>9307</v>
      </c>
      <c r="AT8700" t="s">
        <v>9308</v>
      </c>
      <c r="BM8700" t="s">
        <v>9309</v>
      </c>
    </row>
    <row r="8701" spans="1:88" x14ac:dyDescent="0.25">
      <c r="A8701" t="s">
        <v>8937</v>
      </c>
      <c r="R8701" t="s">
        <v>2424</v>
      </c>
      <c r="Z8701">
        <v>2.5</v>
      </c>
      <c r="AT8701">
        <v>3.5</v>
      </c>
      <c r="BM8701">
        <v>4.5</v>
      </c>
    </row>
    <row r="8702" spans="1:88" x14ac:dyDescent="0.25">
      <c r="A8702" t="s">
        <v>8938</v>
      </c>
      <c r="R8702" t="s">
        <v>2424</v>
      </c>
      <c r="Z8702" t="s">
        <v>9310</v>
      </c>
      <c r="AT8702" t="s">
        <v>9311</v>
      </c>
      <c r="BM8702" t="s">
        <v>9312</v>
      </c>
    </row>
    <row r="8703" spans="1:88" x14ac:dyDescent="0.25">
      <c r="A8703" t="s">
        <v>8945</v>
      </c>
      <c r="R8703" t="s">
        <v>2424</v>
      </c>
      <c r="Z8703" t="s">
        <v>9313</v>
      </c>
      <c r="AT8703" t="s">
        <v>9314</v>
      </c>
      <c r="BM8703" t="s">
        <v>9315</v>
      </c>
    </row>
    <row r="8704" spans="1:88" x14ac:dyDescent="0.25">
      <c r="A8704" t="s">
        <v>8953</v>
      </c>
      <c r="R8704" t="s">
        <v>4905</v>
      </c>
      <c r="Z8704">
        <v>5.56</v>
      </c>
      <c r="AT8704">
        <v>4.67</v>
      </c>
      <c r="BM8704">
        <v>4.17</v>
      </c>
    </row>
    <row r="8705" spans="1:65" x14ac:dyDescent="0.25">
      <c r="A8705" t="s">
        <v>8955</v>
      </c>
      <c r="Z8705">
        <v>10.6</v>
      </c>
      <c r="AT8705">
        <v>9.5</v>
      </c>
      <c r="BM8705">
        <v>8.5</v>
      </c>
    </row>
    <row r="8706" spans="1:65" x14ac:dyDescent="0.25">
      <c r="A8706" t="s">
        <v>4977</v>
      </c>
      <c r="Z8706" t="s">
        <v>2879</v>
      </c>
      <c r="AT8706" t="s">
        <v>2879</v>
      </c>
      <c r="BM8706" t="s">
        <v>2879</v>
      </c>
    </row>
    <row r="8707" spans="1:65" x14ac:dyDescent="0.25">
      <c r="A8707" t="s">
        <v>4979</v>
      </c>
      <c r="R8707" t="s">
        <v>4918</v>
      </c>
      <c r="Z8707" t="s">
        <v>9094</v>
      </c>
      <c r="AT8707" t="s">
        <v>9094</v>
      </c>
      <c r="BM8707" t="s">
        <v>9094</v>
      </c>
    </row>
    <row r="8708" spans="1:65" x14ac:dyDescent="0.25">
      <c r="A8708" t="s">
        <v>8957</v>
      </c>
      <c r="R8708" t="s">
        <v>2424</v>
      </c>
      <c r="Z8708">
        <v>3.2</v>
      </c>
      <c r="AT8708">
        <v>4</v>
      </c>
      <c r="BM8708">
        <v>4.5</v>
      </c>
    </row>
    <row r="8709" spans="1:65" x14ac:dyDescent="0.25">
      <c r="A8709" t="s">
        <v>8958</v>
      </c>
      <c r="R8709" t="s">
        <v>2424</v>
      </c>
      <c r="Z8709" t="s">
        <v>9316</v>
      </c>
      <c r="AT8709" t="s">
        <v>9317</v>
      </c>
      <c r="BM8709" t="s">
        <v>9318</v>
      </c>
    </row>
    <row r="8710" spans="1:65" x14ac:dyDescent="0.25">
      <c r="A8710" t="s">
        <v>8945</v>
      </c>
      <c r="R8710" t="s">
        <v>2424</v>
      </c>
      <c r="Z8710" t="s">
        <v>9319</v>
      </c>
      <c r="AT8710" t="s">
        <v>9320</v>
      </c>
      <c r="BM8710" t="s">
        <v>9321</v>
      </c>
    </row>
    <row r="8711" spans="1:65" x14ac:dyDescent="0.25">
      <c r="A8711" t="s">
        <v>8971</v>
      </c>
      <c r="R8711" t="s">
        <v>4905</v>
      </c>
      <c r="Z8711">
        <v>5.33</v>
      </c>
      <c r="AT8711">
        <v>5</v>
      </c>
      <c r="BM8711">
        <v>4.01</v>
      </c>
    </row>
    <row r="8712" spans="1:65" x14ac:dyDescent="0.25">
      <c r="A8712" t="s">
        <v>8973</v>
      </c>
      <c r="Z8712">
        <v>5.2</v>
      </c>
      <c r="AT8712">
        <v>5.0999999999999996</v>
      </c>
      <c r="BM8712">
        <v>4.5999999999999996</v>
      </c>
    </row>
    <row r="8713" spans="1:65" x14ac:dyDescent="0.25">
      <c r="A8713" t="s">
        <v>4977</v>
      </c>
      <c r="Z8713" t="s">
        <v>2879</v>
      </c>
      <c r="AT8713" t="s">
        <v>2879</v>
      </c>
      <c r="BM8713" t="s">
        <v>2880</v>
      </c>
    </row>
    <row r="8714" spans="1:65" x14ac:dyDescent="0.25">
      <c r="A8714" t="s">
        <v>4979</v>
      </c>
      <c r="R8714" t="s">
        <v>4918</v>
      </c>
      <c r="Z8714" t="s">
        <v>9105</v>
      </c>
      <c r="AT8714" t="s">
        <v>9105</v>
      </c>
      <c r="BM8714" t="s">
        <v>9105</v>
      </c>
    </row>
    <row r="8715" spans="1:65" x14ac:dyDescent="0.25">
      <c r="A8715" t="s">
        <v>8975</v>
      </c>
      <c r="R8715" t="s">
        <v>2442</v>
      </c>
      <c r="Z8715" t="s">
        <v>2443</v>
      </c>
      <c r="AT8715" t="s">
        <v>2443</v>
      </c>
      <c r="BM8715" t="s">
        <v>2443</v>
      </c>
    </row>
    <row r="8716" spans="1:65" x14ac:dyDescent="0.25">
      <c r="A8716" t="s">
        <v>4982</v>
      </c>
      <c r="R8716" t="s">
        <v>4911</v>
      </c>
      <c r="Z8716">
        <v>10</v>
      </c>
      <c r="AT8716">
        <v>10</v>
      </c>
      <c r="BM8716">
        <v>10</v>
      </c>
    </row>
    <row r="8717" spans="1:65" x14ac:dyDescent="0.25">
      <c r="A8717" t="s">
        <v>8977</v>
      </c>
      <c r="R8717" t="s">
        <v>4986</v>
      </c>
      <c r="Z8717" t="s">
        <v>9322</v>
      </c>
      <c r="AT8717" t="s">
        <v>9323</v>
      </c>
      <c r="BM8717" t="s">
        <v>9324</v>
      </c>
    </row>
    <row r="8719" spans="1:65" x14ac:dyDescent="0.25">
      <c r="A8719" t="s">
        <v>4988</v>
      </c>
      <c r="Z8719" t="s">
        <v>9325</v>
      </c>
      <c r="AT8719" t="s">
        <v>9326</v>
      </c>
      <c r="BM8719" t="s">
        <v>9327</v>
      </c>
    </row>
    <row r="8720" spans="1:65" x14ac:dyDescent="0.25">
      <c r="A8720" t="s">
        <v>7870</v>
      </c>
      <c r="R8720" t="s">
        <v>2431</v>
      </c>
      <c r="Z8720">
        <v>690</v>
      </c>
      <c r="AT8720">
        <v>710</v>
      </c>
      <c r="BM8720">
        <v>730</v>
      </c>
    </row>
    <row r="8721" spans="1:65" x14ac:dyDescent="0.25">
      <c r="A8721" t="s">
        <v>8996</v>
      </c>
      <c r="R8721" t="s">
        <v>2427</v>
      </c>
      <c r="Z8721" t="s">
        <v>9328</v>
      </c>
      <c r="AT8721" t="s">
        <v>9329</v>
      </c>
      <c r="BM8721" t="s">
        <v>9330</v>
      </c>
    </row>
    <row r="8722" spans="1:65" x14ac:dyDescent="0.25">
      <c r="A8722" t="s">
        <v>8996</v>
      </c>
      <c r="R8722" t="s">
        <v>2427</v>
      </c>
      <c r="Z8722" t="s">
        <v>9328</v>
      </c>
      <c r="AT8722" t="s">
        <v>9329</v>
      </c>
      <c r="BM8722" t="s">
        <v>9330</v>
      </c>
    </row>
    <row r="8723" spans="1:65" x14ac:dyDescent="0.25">
      <c r="A8723" t="s">
        <v>4984</v>
      </c>
      <c r="R8723" t="s">
        <v>2433</v>
      </c>
      <c r="Z8723" t="s">
        <v>9331</v>
      </c>
      <c r="AT8723" t="s">
        <v>9331</v>
      </c>
      <c r="BM8723" t="s">
        <v>9331</v>
      </c>
    </row>
    <row r="8724" spans="1:65" x14ac:dyDescent="0.25">
      <c r="A8724" t="s">
        <v>9010</v>
      </c>
      <c r="R8724" t="s">
        <v>713</v>
      </c>
      <c r="Z8724">
        <v>14</v>
      </c>
      <c r="AT8724">
        <v>14</v>
      </c>
      <c r="BM8724">
        <v>14</v>
      </c>
    </row>
    <row r="8725" spans="1:65" x14ac:dyDescent="0.25">
      <c r="A8725" t="s">
        <v>1001</v>
      </c>
      <c r="R8725" t="s">
        <v>4986</v>
      </c>
      <c r="Z8725" t="s">
        <v>9249</v>
      </c>
      <c r="AT8725" t="s">
        <v>9332</v>
      </c>
      <c r="BM8725" t="s">
        <v>9333</v>
      </c>
    </row>
    <row r="8726" spans="1:65" x14ac:dyDescent="0.25">
      <c r="A8726" t="s">
        <v>5025</v>
      </c>
      <c r="Z8726" t="s">
        <v>9334</v>
      </c>
      <c r="AT8726" t="s">
        <v>9335</v>
      </c>
      <c r="BM8726" t="s">
        <v>9336</v>
      </c>
    </row>
    <row r="8727" spans="1:65" x14ac:dyDescent="0.25">
      <c r="A8727" t="s">
        <v>8996</v>
      </c>
      <c r="R8727" t="s">
        <v>2427</v>
      </c>
      <c r="Z8727">
        <v>46</v>
      </c>
      <c r="AT8727">
        <v>48</v>
      </c>
      <c r="BM8727">
        <v>49</v>
      </c>
    </row>
    <row r="8728" spans="1:65" x14ac:dyDescent="0.25">
      <c r="A8728" t="s">
        <v>8996</v>
      </c>
      <c r="R8728" t="s">
        <v>2427</v>
      </c>
      <c r="Z8728">
        <v>47</v>
      </c>
      <c r="AT8728">
        <v>50</v>
      </c>
      <c r="BM8728">
        <v>50</v>
      </c>
    </row>
    <row r="8729" spans="1:65" x14ac:dyDescent="0.25">
      <c r="A8729" t="s">
        <v>2435</v>
      </c>
      <c r="R8729" t="s">
        <v>2436</v>
      </c>
      <c r="Z8729" t="s">
        <v>9028</v>
      </c>
      <c r="AT8729" t="s">
        <v>9028</v>
      </c>
      <c r="BM8729" t="s">
        <v>9029</v>
      </c>
    </row>
    <row r="8730" spans="1:65" x14ac:dyDescent="0.25">
      <c r="A8730" t="s">
        <v>9030</v>
      </c>
      <c r="R8730" t="s">
        <v>2436</v>
      </c>
      <c r="Z8730" t="s">
        <v>9031</v>
      </c>
      <c r="AT8730" t="s">
        <v>9031</v>
      </c>
      <c r="BM8730" t="s">
        <v>9031</v>
      </c>
    </row>
    <row r="8731" spans="1:65" x14ac:dyDescent="0.25">
      <c r="A8731" t="s">
        <v>9032</v>
      </c>
      <c r="R8731" t="s">
        <v>551</v>
      </c>
      <c r="Z8731">
        <v>2</v>
      </c>
      <c r="AT8731">
        <v>2</v>
      </c>
      <c r="BM8731">
        <v>2</v>
      </c>
    </row>
    <row r="8732" spans="1:65" x14ac:dyDescent="0.25">
      <c r="A8732" t="s">
        <v>9033</v>
      </c>
      <c r="R8732" t="s">
        <v>551</v>
      </c>
      <c r="Z8732">
        <v>25</v>
      </c>
      <c r="AT8732">
        <v>25</v>
      </c>
      <c r="BM8732">
        <v>25</v>
      </c>
    </row>
    <row r="8733" spans="1:65" x14ac:dyDescent="0.25">
      <c r="A8733" t="s">
        <v>9034</v>
      </c>
      <c r="R8733" t="s">
        <v>551</v>
      </c>
      <c r="Z8733">
        <v>10</v>
      </c>
      <c r="AT8733">
        <v>10</v>
      </c>
      <c r="BM8733">
        <v>10</v>
      </c>
    </row>
    <row r="8734" spans="1:65" x14ac:dyDescent="0.25">
      <c r="A8734" t="s">
        <v>9035</v>
      </c>
      <c r="Z8734" t="s">
        <v>9037</v>
      </c>
      <c r="AT8734" t="s">
        <v>9037</v>
      </c>
      <c r="BM8734" t="s">
        <v>9037</v>
      </c>
    </row>
    <row r="8735" spans="1:65" x14ac:dyDescent="0.25">
      <c r="A8735" t="s">
        <v>4983</v>
      </c>
      <c r="Z8735" t="s">
        <v>2440</v>
      </c>
      <c r="AT8735" t="s">
        <v>2440</v>
      </c>
      <c r="BM8735" t="s">
        <v>2440</v>
      </c>
    </row>
    <row r="8736" spans="1:65" x14ac:dyDescent="0.25">
      <c r="A8736" t="s">
        <v>9038</v>
      </c>
      <c r="R8736" t="s">
        <v>713</v>
      </c>
      <c r="Z8736">
        <v>1</v>
      </c>
      <c r="AT8736">
        <v>1</v>
      </c>
      <c r="BM8736">
        <v>1</v>
      </c>
    </row>
    <row r="8737" spans="1:72" x14ac:dyDescent="0.25">
      <c r="A8737" t="s">
        <v>4984</v>
      </c>
      <c r="R8737" t="s">
        <v>2433</v>
      </c>
      <c r="Z8737" t="s">
        <v>4985</v>
      </c>
      <c r="AT8737" t="s">
        <v>4985</v>
      </c>
      <c r="BM8737" t="s">
        <v>4985</v>
      </c>
    </row>
    <row r="8738" spans="1:72" x14ac:dyDescent="0.25">
      <c r="A8738" t="s">
        <v>9010</v>
      </c>
      <c r="R8738" t="s">
        <v>713</v>
      </c>
      <c r="Z8738">
        <v>43</v>
      </c>
      <c r="AT8738">
        <v>43</v>
      </c>
      <c r="BM8738">
        <v>43</v>
      </c>
    </row>
    <row r="8739" spans="1:72" x14ac:dyDescent="0.25">
      <c r="A8739" t="s">
        <v>1001</v>
      </c>
      <c r="R8739" t="s">
        <v>4986</v>
      </c>
      <c r="Z8739" t="s">
        <v>9337</v>
      </c>
      <c r="AT8739" t="s">
        <v>9338</v>
      </c>
      <c r="BM8739" t="s">
        <v>9339</v>
      </c>
    </row>
    <row r="8740" spans="1:72" x14ac:dyDescent="0.25">
      <c r="A8740" t="s">
        <v>3768</v>
      </c>
      <c r="R8740" t="s">
        <v>9049</v>
      </c>
      <c r="BH8740" t="s">
        <v>9050</v>
      </c>
      <c r="BT8740" t="s">
        <v>9051</v>
      </c>
    </row>
    <row r="8741" spans="1:72" x14ac:dyDescent="0.25">
      <c r="A8741" t="s">
        <v>9052</v>
      </c>
      <c r="R8741" t="s">
        <v>9053</v>
      </c>
    </row>
    <row r="8742" spans="1:72" x14ac:dyDescent="0.25">
      <c r="A8742" t="s">
        <v>9060</v>
      </c>
      <c r="R8742" t="s">
        <v>9061</v>
      </c>
      <c r="BT8742" t="s">
        <v>9062</v>
      </c>
    </row>
    <row r="8743" spans="1:72" x14ac:dyDescent="0.25">
      <c r="A8743" t="s">
        <v>9066</v>
      </c>
      <c r="R8743" t="s">
        <v>9067</v>
      </c>
      <c r="BT8743" t="s">
        <v>9068</v>
      </c>
    </row>
    <row r="8744" spans="1:72" x14ac:dyDescent="0.25">
      <c r="A8744" t="s">
        <v>9063</v>
      </c>
      <c r="R8744" t="s">
        <v>9064</v>
      </c>
      <c r="BT8744" t="s">
        <v>9065</v>
      </c>
    </row>
    <row r="8745" spans="1:72" x14ac:dyDescent="0.25">
      <c r="A8745" t="s">
        <v>9069</v>
      </c>
      <c r="R8745" t="s">
        <v>9070</v>
      </c>
      <c r="BT8745" t="s">
        <v>9071</v>
      </c>
    </row>
    <row r="8746" spans="1:72" x14ac:dyDescent="0.25">
      <c r="A8746" t="s">
        <v>9072</v>
      </c>
      <c r="R8746" t="s">
        <v>9073</v>
      </c>
      <c r="BT8746" t="s">
        <v>9074</v>
      </c>
    </row>
    <row r="8747" spans="1:72" x14ac:dyDescent="0.25">
      <c r="A8747" t="s">
        <v>9075</v>
      </c>
      <c r="R8747" t="s">
        <v>9076</v>
      </c>
      <c r="BT8747" t="s">
        <v>9077</v>
      </c>
    </row>
    <row r="8748" spans="1:72" x14ac:dyDescent="0.25">
      <c r="A8748" t="s">
        <v>9220</v>
      </c>
    </row>
    <row r="8749" spans="1:72" x14ac:dyDescent="0.25">
      <c r="A8749" t="s">
        <v>9340</v>
      </c>
    </row>
    <row r="8750" spans="1:72" x14ac:dyDescent="0.25">
      <c r="A8750" t="s">
        <v>8862</v>
      </c>
    </row>
    <row r="8751" spans="1:72" x14ac:dyDescent="0.25">
      <c r="G8751" t="s">
        <v>9341</v>
      </c>
    </row>
    <row r="8753" spans="7:72" x14ac:dyDescent="0.25">
      <c r="G8753" t="s">
        <v>9342</v>
      </c>
    </row>
    <row r="8755" spans="7:72" x14ac:dyDescent="0.25">
      <c r="G8755" t="s">
        <v>8930</v>
      </c>
      <c r="AF8755" t="s">
        <v>9343</v>
      </c>
      <c r="AY8755" t="s">
        <v>9344</v>
      </c>
      <c r="BT8755" t="s">
        <v>9345</v>
      </c>
    </row>
    <row r="8756" spans="7:72" x14ac:dyDescent="0.25">
      <c r="G8756" t="s">
        <v>8937</v>
      </c>
      <c r="W8756" t="s">
        <v>2424</v>
      </c>
      <c r="AF8756">
        <v>2.5</v>
      </c>
      <c r="AY8756">
        <v>3.5</v>
      </c>
      <c r="BT8756">
        <v>5</v>
      </c>
    </row>
    <row r="8757" spans="7:72" x14ac:dyDescent="0.25">
      <c r="G8757" t="s">
        <v>8938</v>
      </c>
      <c r="W8757" t="s">
        <v>2424</v>
      </c>
      <c r="AF8757" t="s">
        <v>9346</v>
      </c>
      <c r="AY8757" t="s">
        <v>9347</v>
      </c>
      <c r="BT8757" t="s">
        <v>9348</v>
      </c>
    </row>
    <row r="8759" spans="7:72" x14ac:dyDescent="0.25">
      <c r="G8759" t="s">
        <v>8945</v>
      </c>
      <c r="W8759" t="s">
        <v>2424</v>
      </c>
      <c r="AF8759" t="s">
        <v>9349</v>
      </c>
      <c r="AY8759" t="s">
        <v>9350</v>
      </c>
      <c r="BT8759" t="s">
        <v>9351</v>
      </c>
    </row>
    <row r="8760" spans="7:72" x14ac:dyDescent="0.25">
      <c r="G8760" t="s">
        <v>8953</v>
      </c>
      <c r="W8760" t="s">
        <v>4905</v>
      </c>
      <c r="AF8760">
        <v>5.32</v>
      </c>
      <c r="AY8760">
        <v>4.38</v>
      </c>
      <c r="BT8760">
        <v>3.57</v>
      </c>
    </row>
    <row r="8761" spans="7:72" x14ac:dyDescent="0.25">
      <c r="G8761" t="s">
        <v>8955</v>
      </c>
      <c r="AF8761">
        <v>10.7</v>
      </c>
      <c r="AY8761">
        <v>9.6999999999999993</v>
      </c>
      <c r="BT8761">
        <v>8.6</v>
      </c>
    </row>
    <row r="8762" spans="7:72" x14ac:dyDescent="0.25">
      <c r="G8762" t="s">
        <v>4977</v>
      </c>
      <c r="AF8762" t="s">
        <v>2879</v>
      </c>
      <c r="AY8762" t="s">
        <v>2879</v>
      </c>
      <c r="BT8762" t="s">
        <v>2879</v>
      </c>
    </row>
    <row r="8763" spans="7:72" x14ac:dyDescent="0.25">
      <c r="G8763" t="s">
        <v>4979</v>
      </c>
      <c r="W8763" t="s">
        <v>4918</v>
      </c>
      <c r="AF8763" t="s">
        <v>9094</v>
      </c>
      <c r="AY8763" t="s">
        <v>9094</v>
      </c>
      <c r="BT8763" t="s">
        <v>9094</v>
      </c>
    </row>
    <row r="8764" spans="7:72" x14ac:dyDescent="0.25">
      <c r="G8764" t="s">
        <v>8957</v>
      </c>
      <c r="W8764" t="s">
        <v>2424</v>
      </c>
      <c r="AF8764">
        <v>3.2</v>
      </c>
      <c r="AY8764">
        <v>4</v>
      </c>
      <c r="BT8764">
        <v>6</v>
      </c>
    </row>
    <row r="8765" spans="7:72" x14ac:dyDescent="0.25">
      <c r="G8765" t="s">
        <v>8958</v>
      </c>
      <c r="W8765" t="s">
        <v>2424</v>
      </c>
      <c r="AF8765" t="s">
        <v>9352</v>
      </c>
      <c r="AY8765" t="s">
        <v>9353</v>
      </c>
      <c r="BT8765" t="s">
        <v>9354</v>
      </c>
    </row>
    <row r="8766" spans="7:72" x14ac:dyDescent="0.25">
      <c r="G8766" t="s">
        <v>8945</v>
      </c>
      <c r="W8766" t="s">
        <v>2424</v>
      </c>
      <c r="AF8766" t="s">
        <v>9355</v>
      </c>
      <c r="AY8766" t="s">
        <v>9356</v>
      </c>
      <c r="BT8766" t="s">
        <v>9357</v>
      </c>
    </row>
    <row r="8767" spans="7:72" x14ac:dyDescent="0.25">
      <c r="G8767" t="s">
        <v>8971</v>
      </c>
      <c r="W8767" t="s">
        <v>4905</v>
      </c>
      <c r="AF8767">
        <v>5.33</v>
      </c>
      <c r="AY8767">
        <v>5</v>
      </c>
      <c r="BT8767">
        <v>4.1399999999999997</v>
      </c>
    </row>
    <row r="8768" spans="7:72" x14ac:dyDescent="0.25">
      <c r="G8768" t="s">
        <v>8973</v>
      </c>
      <c r="AF8768">
        <v>5.3</v>
      </c>
      <c r="AY8768">
        <v>5.2</v>
      </c>
      <c r="BT8768">
        <v>4.8</v>
      </c>
    </row>
    <row r="8769" spans="7:72" x14ac:dyDescent="0.25">
      <c r="G8769" t="s">
        <v>4977</v>
      </c>
      <c r="AF8769" t="s">
        <v>2879</v>
      </c>
      <c r="AY8769" t="s">
        <v>2879</v>
      </c>
      <c r="BT8769" t="s">
        <v>2879</v>
      </c>
    </row>
    <row r="8770" spans="7:72" x14ac:dyDescent="0.25">
      <c r="G8770" t="s">
        <v>9358</v>
      </c>
      <c r="W8770" t="s">
        <v>4918</v>
      </c>
      <c r="AF8770" t="s">
        <v>9359</v>
      </c>
      <c r="AY8770" t="s">
        <v>9359</v>
      </c>
      <c r="BT8770" t="s">
        <v>9359</v>
      </c>
    </row>
    <row r="8771" spans="7:72" x14ac:dyDescent="0.25">
      <c r="G8771" t="s">
        <v>8975</v>
      </c>
      <c r="W8771" t="s">
        <v>2442</v>
      </c>
      <c r="AF8771" t="s">
        <v>2443</v>
      </c>
      <c r="AY8771" t="s">
        <v>2443</v>
      </c>
      <c r="BT8771" t="s">
        <v>2443</v>
      </c>
    </row>
    <row r="8772" spans="7:72" x14ac:dyDescent="0.25">
      <c r="G8772" t="s">
        <v>4982</v>
      </c>
      <c r="W8772" t="s">
        <v>4911</v>
      </c>
      <c r="AF8772">
        <v>10</v>
      </c>
      <c r="AY8772">
        <v>10</v>
      </c>
      <c r="BT8772">
        <v>10</v>
      </c>
    </row>
    <row r="8773" spans="7:72" x14ac:dyDescent="0.25">
      <c r="G8773" t="s">
        <v>8977</v>
      </c>
      <c r="W8773" t="s">
        <v>4986</v>
      </c>
      <c r="AF8773" t="s">
        <v>9360</v>
      </c>
      <c r="AY8773" t="s">
        <v>9361</v>
      </c>
      <c r="BT8773" t="s">
        <v>9362</v>
      </c>
    </row>
    <row r="8775" spans="7:72" x14ac:dyDescent="0.25">
      <c r="G8775" t="s">
        <v>4988</v>
      </c>
      <c r="AF8775" t="s">
        <v>9363</v>
      </c>
      <c r="AY8775" t="s">
        <v>9364</v>
      </c>
      <c r="BT8775" t="s">
        <v>9365</v>
      </c>
    </row>
    <row r="8776" spans="7:72" x14ac:dyDescent="0.25">
      <c r="G8776" t="s">
        <v>7870</v>
      </c>
      <c r="W8776" t="s">
        <v>2431</v>
      </c>
      <c r="AF8776" t="s">
        <v>9366</v>
      </c>
      <c r="AY8776" t="s">
        <v>9367</v>
      </c>
      <c r="BT8776" t="s">
        <v>9368</v>
      </c>
    </row>
    <row r="8777" spans="7:72" x14ac:dyDescent="0.25">
      <c r="G8777" t="s">
        <v>8996</v>
      </c>
      <c r="W8777" t="s">
        <v>2427</v>
      </c>
      <c r="AF8777" t="s">
        <v>9369</v>
      </c>
      <c r="AY8777" t="s">
        <v>9370</v>
      </c>
      <c r="BT8777" t="s">
        <v>9371</v>
      </c>
    </row>
    <row r="8778" spans="7:72" x14ac:dyDescent="0.25">
      <c r="G8778" t="s">
        <v>8996</v>
      </c>
      <c r="W8778" t="s">
        <v>2427</v>
      </c>
      <c r="AF8778" t="s">
        <v>9372</v>
      </c>
      <c r="AY8778" t="s">
        <v>9373</v>
      </c>
      <c r="BT8778" t="s">
        <v>9374</v>
      </c>
    </row>
    <row r="8779" spans="7:72" x14ac:dyDescent="0.25">
      <c r="G8779" t="s">
        <v>4984</v>
      </c>
      <c r="W8779" t="s">
        <v>2433</v>
      </c>
      <c r="AF8779" t="s">
        <v>9375</v>
      </c>
      <c r="AY8779" t="s">
        <v>9375</v>
      </c>
      <c r="BT8779" t="s">
        <v>9375</v>
      </c>
    </row>
    <row r="8780" spans="7:72" x14ac:dyDescent="0.25">
      <c r="G8780" t="s">
        <v>9010</v>
      </c>
      <c r="W8780" t="s">
        <v>713</v>
      </c>
      <c r="AF8780">
        <v>14</v>
      </c>
      <c r="AY8780">
        <v>14</v>
      </c>
      <c r="BT8780">
        <v>14</v>
      </c>
    </row>
    <row r="8781" spans="7:72" x14ac:dyDescent="0.25">
      <c r="G8781" t="s">
        <v>1001</v>
      </c>
      <c r="W8781" t="s">
        <v>4986</v>
      </c>
      <c r="AF8781" t="s">
        <v>9376</v>
      </c>
      <c r="AY8781" t="s">
        <v>9377</v>
      </c>
      <c r="BT8781" t="s">
        <v>9378</v>
      </c>
    </row>
    <row r="8783" spans="7:72" x14ac:dyDescent="0.25">
      <c r="G8783" t="s">
        <v>5025</v>
      </c>
      <c r="AF8783" t="s">
        <v>9379</v>
      </c>
      <c r="AY8783" t="s">
        <v>9380</v>
      </c>
      <c r="BT8783" t="s">
        <v>9381</v>
      </c>
    </row>
    <row r="8784" spans="7:72" x14ac:dyDescent="0.25">
      <c r="G8784" t="s">
        <v>8996</v>
      </c>
      <c r="W8784" t="s">
        <v>2427</v>
      </c>
      <c r="AF8784" t="s">
        <v>9382</v>
      </c>
      <c r="AY8784" t="s">
        <v>9383</v>
      </c>
      <c r="BT8784" t="s">
        <v>9129</v>
      </c>
    </row>
    <row r="8785" spans="7:77" x14ac:dyDescent="0.25">
      <c r="G8785" t="s">
        <v>8996</v>
      </c>
      <c r="W8785" t="s">
        <v>2427</v>
      </c>
      <c r="AF8785" t="s">
        <v>9383</v>
      </c>
      <c r="AY8785" t="s">
        <v>9384</v>
      </c>
      <c r="BT8785" t="s">
        <v>9021</v>
      </c>
    </row>
    <row r="8786" spans="7:77" x14ac:dyDescent="0.25">
      <c r="G8786" t="s">
        <v>2435</v>
      </c>
      <c r="W8786" t="s">
        <v>2436</v>
      </c>
      <c r="AF8786" t="s">
        <v>9028</v>
      </c>
      <c r="AY8786" t="s">
        <v>9028</v>
      </c>
      <c r="BT8786" t="s">
        <v>9029</v>
      </c>
    </row>
    <row r="8787" spans="7:77" x14ac:dyDescent="0.25">
      <c r="G8787" t="s">
        <v>9030</v>
      </c>
      <c r="W8787" t="s">
        <v>2436</v>
      </c>
      <c r="AF8787" t="s">
        <v>9031</v>
      </c>
      <c r="AY8787" t="s">
        <v>9031</v>
      </c>
      <c r="BT8787" t="s">
        <v>9031</v>
      </c>
    </row>
    <row r="8788" spans="7:77" x14ac:dyDescent="0.25">
      <c r="G8788" t="s">
        <v>9032</v>
      </c>
      <c r="W8788" t="s">
        <v>551</v>
      </c>
      <c r="AF8788">
        <v>2</v>
      </c>
      <c r="AY8788">
        <v>2</v>
      </c>
      <c r="BT8788">
        <v>2</v>
      </c>
    </row>
    <row r="8789" spans="7:77" x14ac:dyDescent="0.25">
      <c r="G8789" t="s">
        <v>9033</v>
      </c>
      <c r="W8789" t="s">
        <v>551</v>
      </c>
      <c r="AF8789">
        <v>25</v>
      </c>
      <c r="AY8789">
        <v>25</v>
      </c>
      <c r="BT8789">
        <v>25</v>
      </c>
    </row>
    <row r="8790" spans="7:77" x14ac:dyDescent="0.25">
      <c r="G8790" t="s">
        <v>9034</v>
      </c>
      <c r="W8790" t="s">
        <v>551</v>
      </c>
      <c r="AF8790">
        <v>15</v>
      </c>
      <c r="AY8790">
        <v>15</v>
      </c>
      <c r="BT8790">
        <v>15</v>
      </c>
    </row>
    <row r="8791" spans="7:77" x14ac:dyDescent="0.25">
      <c r="G8791" t="s">
        <v>9035</v>
      </c>
      <c r="AF8791" t="s">
        <v>9037</v>
      </c>
      <c r="AY8791" t="s">
        <v>9037</v>
      </c>
      <c r="BT8791" t="s">
        <v>9037</v>
      </c>
    </row>
    <row r="8792" spans="7:77" x14ac:dyDescent="0.25">
      <c r="G8792" t="s">
        <v>4983</v>
      </c>
      <c r="AF8792" t="s">
        <v>2440</v>
      </c>
      <c r="AY8792" t="s">
        <v>2440</v>
      </c>
      <c r="BT8792" t="s">
        <v>2440</v>
      </c>
    </row>
    <row r="8793" spans="7:77" x14ac:dyDescent="0.25">
      <c r="G8793" t="s">
        <v>9038</v>
      </c>
      <c r="W8793" t="s">
        <v>713</v>
      </c>
      <c r="AF8793">
        <v>0.96</v>
      </c>
      <c r="AY8793">
        <v>0.96</v>
      </c>
      <c r="BT8793">
        <v>0.96</v>
      </c>
    </row>
    <row r="8794" spans="7:77" x14ac:dyDescent="0.25">
      <c r="G8794" t="s">
        <v>4984</v>
      </c>
      <c r="W8794" t="s">
        <v>2433</v>
      </c>
      <c r="AF8794" t="s">
        <v>4985</v>
      </c>
      <c r="AY8794" t="s">
        <v>4985</v>
      </c>
      <c r="BT8794" t="s">
        <v>4985</v>
      </c>
    </row>
    <row r="8795" spans="7:77" x14ac:dyDescent="0.25">
      <c r="G8795" t="s">
        <v>9010</v>
      </c>
      <c r="W8795" t="s">
        <v>713</v>
      </c>
      <c r="AF8795">
        <v>38</v>
      </c>
      <c r="AY8795">
        <v>38</v>
      </c>
      <c r="BT8795">
        <v>38</v>
      </c>
    </row>
    <row r="8796" spans="7:77" x14ac:dyDescent="0.25">
      <c r="G8796" t="s">
        <v>1001</v>
      </c>
      <c r="W8796" t="s">
        <v>4986</v>
      </c>
      <c r="AF8796" t="s">
        <v>9378</v>
      </c>
      <c r="AY8796" t="s">
        <v>9385</v>
      </c>
      <c r="BT8796" t="s">
        <v>9109</v>
      </c>
    </row>
    <row r="8798" spans="7:77" x14ac:dyDescent="0.25">
      <c r="G8798" t="s">
        <v>3768</v>
      </c>
      <c r="W8798" t="s">
        <v>9049</v>
      </c>
      <c r="BM8798" t="s">
        <v>9050</v>
      </c>
      <c r="BY8798" t="s">
        <v>9051</v>
      </c>
    </row>
    <row r="8799" spans="7:77" x14ac:dyDescent="0.25">
      <c r="G8799" t="s">
        <v>9052</v>
      </c>
      <c r="W8799" t="s">
        <v>9053</v>
      </c>
    </row>
    <row r="8800" spans="7:77" x14ac:dyDescent="0.25">
      <c r="G8800" t="s">
        <v>9066</v>
      </c>
      <c r="W8800" t="s">
        <v>9067</v>
      </c>
      <c r="BY8800" t="s">
        <v>9068</v>
      </c>
    </row>
    <row r="8801" spans="1:77" x14ac:dyDescent="0.25">
      <c r="G8801" t="s">
        <v>9063</v>
      </c>
      <c r="W8801" t="s">
        <v>9064</v>
      </c>
      <c r="BY8801" t="s">
        <v>9065</v>
      </c>
    </row>
    <row r="8802" spans="1:77" x14ac:dyDescent="0.25">
      <c r="G8802" t="s">
        <v>9069</v>
      </c>
      <c r="W8802" t="s">
        <v>9070</v>
      </c>
      <c r="BY8802" t="s">
        <v>9071</v>
      </c>
    </row>
    <row r="8803" spans="1:77" x14ac:dyDescent="0.25">
      <c r="G8803" t="s">
        <v>9072</v>
      </c>
      <c r="W8803" t="s">
        <v>9073</v>
      </c>
      <c r="BY8803" t="s">
        <v>9074</v>
      </c>
    </row>
    <row r="8804" spans="1:77" x14ac:dyDescent="0.25">
      <c r="G8804" t="s">
        <v>9075</v>
      </c>
      <c r="W8804" t="s">
        <v>9076</v>
      </c>
      <c r="BY8804" t="s">
        <v>9077</v>
      </c>
    </row>
    <row r="8805" spans="1:77" x14ac:dyDescent="0.25">
      <c r="A8805" t="s">
        <v>9220</v>
      </c>
    </row>
    <row r="8806" spans="1:77" x14ac:dyDescent="0.25">
      <c r="A8806" t="s">
        <v>9386</v>
      </c>
    </row>
    <row r="8808" spans="1:77" x14ac:dyDescent="0.25">
      <c r="A8808" t="s">
        <v>9387</v>
      </c>
    </row>
    <row r="8809" spans="1:77" x14ac:dyDescent="0.25">
      <c r="A8809" t="s">
        <v>9388</v>
      </c>
    </row>
    <row r="8810" spans="1:77" x14ac:dyDescent="0.25">
      <c r="A8810" t="s">
        <v>8930</v>
      </c>
      <c r="Z8810" t="s">
        <v>9389</v>
      </c>
      <c r="AT8810" t="s">
        <v>9390</v>
      </c>
      <c r="BM8810" t="s">
        <v>9391</v>
      </c>
    </row>
    <row r="8811" spans="1:77" x14ac:dyDescent="0.25">
      <c r="A8811" t="s">
        <v>8937</v>
      </c>
      <c r="R8811" t="s">
        <v>2424</v>
      </c>
      <c r="Z8811">
        <v>2.5</v>
      </c>
      <c r="AT8811">
        <v>3.5</v>
      </c>
      <c r="BM8811">
        <v>5</v>
      </c>
    </row>
    <row r="8812" spans="1:77" x14ac:dyDescent="0.25">
      <c r="A8812" t="s">
        <v>8938</v>
      </c>
      <c r="R8812" t="s">
        <v>2424</v>
      </c>
      <c r="Z8812" t="s">
        <v>9346</v>
      </c>
      <c r="AT8812" t="s">
        <v>9347</v>
      </c>
      <c r="BM8812" t="s">
        <v>9348</v>
      </c>
    </row>
    <row r="8813" spans="1:77" x14ac:dyDescent="0.25">
      <c r="A8813" t="s">
        <v>8945</v>
      </c>
      <c r="R8813" t="s">
        <v>2424</v>
      </c>
      <c r="Z8813" t="s">
        <v>9349</v>
      </c>
      <c r="AT8813" t="s">
        <v>9350</v>
      </c>
      <c r="BM8813" t="s">
        <v>9351</v>
      </c>
    </row>
    <row r="8814" spans="1:77" x14ac:dyDescent="0.25">
      <c r="A8814" t="s">
        <v>8953</v>
      </c>
      <c r="R8814" t="s">
        <v>4905</v>
      </c>
      <c r="Z8814">
        <v>5.32</v>
      </c>
      <c r="AT8814">
        <v>4.38</v>
      </c>
      <c r="BM8814">
        <v>3.57</v>
      </c>
    </row>
    <row r="8815" spans="1:77" x14ac:dyDescent="0.25">
      <c r="A8815" t="s">
        <v>8955</v>
      </c>
      <c r="Z8815">
        <v>10.7</v>
      </c>
      <c r="AT8815">
        <v>9.6999999999999993</v>
      </c>
      <c r="BM8815">
        <v>8.6</v>
      </c>
    </row>
    <row r="8816" spans="1:77" x14ac:dyDescent="0.25">
      <c r="A8816" t="s">
        <v>4977</v>
      </c>
      <c r="Z8816" t="s">
        <v>2879</v>
      </c>
      <c r="AT8816" t="s">
        <v>2879</v>
      </c>
      <c r="BM8816" t="s">
        <v>2879</v>
      </c>
    </row>
    <row r="8817" spans="1:65" x14ac:dyDescent="0.25">
      <c r="A8817" t="s">
        <v>4979</v>
      </c>
      <c r="R8817" t="s">
        <v>4918</v>
      </c>
      <c r="Z8817" t="s">
        <v>9094</v>
      </c>
      <c r="AT8817" t="s">
        <v>9094</v>
      </c>
      <c r="BM8817" t="s">
        <v>9094</v>
      </c>
    </row>
    <row r="8818" spans="1:65" x14ac:dyDescent="0.25">
      <c r="A8818" t="s">
        <v>8957</v>
      </c>
      <c r="R8818" t="s">
        <v>2424</v>
      </c>
      <c r="Z8818">
        <v>3.2</v>
      </c>
      <c r="AT8818">
        <v>4</v>
      </c>
      <c r="BM8818">
        <v>6</v>
      </c>
    </row>
    <row r="8819" spans="1:65" x14ac:dyDescent="0.25">
      <c r="A8819" t="s">
        <v>8958</v>
      </c>
      <c r="R8819" t="s">
        <v>2424</v>
      </c>
      <c r="Z8819" t="s">
        <v>9352</v>
      </c>
      <c r="AT8819" t="s">
        <v>9353</v>
      </c>
      <c r="BM8819" t="s">
        <v>9354</v>
      </c>
    </row>
    <row r="8820" spans="1:65" x14ac:dyDescent="0.25">
      <c r="A8820" t="s">
        <v>8945</v>
      </c>
      <c r="R8820" t="s">
        <v>2424</v>
      </c>
      <c r="Z8820" t="s">
        <v>9355</v>
      </c>
      <c r="AT8820" t="s">
        <v>9356</v>
      </c>
      <c r="BM8820" t="s">
        <v>9357</v>
      </c>
    </row>
    <row r="8821" spans="1:65" x14ac:dyDescent="0.25">
      <c r="A8821" t="s">
        <v>8971</v>
      </c>
      <c r="R8821" t="s">
        <v>4905</v>
      </c>
      <c r="Z8821">
        <v>5.33</v>
      </c>
      <c r="AT8821">
        <v>5</v>
      </c>
      <c r="BM8821">
        <v>4.1399999999999997</v>
      </c>
    </row>
    <row r="8822" spans="1:65" x14ac:dyDescent="0.25">
      <c r="A8822" t="s">
        <v>8973</v>
      </c>
      <c r="Z8822">
        <v>5.3</v>
      </c>
      <c r="AT8822">
        <v>5.2</v>
      </c>
      <c r="BM8822">
        <v>4.8</v>
      </c>
    </row>
    <row r="8823" spans="1:65" x14ac:dyDescent="0.25">
      <c r="A8823" t="s">
        <v>4977</v>
      </c>
      <c r="Z8823" t="s">
        <v>2879</v>
      </c>
      <c r="AT8823" t="s">
        <v>2879</v>
      </c>
      <c r="BM8823" t="s">
        <v>2879</v>
      </c>
    </row>
    <row r="8824" spans="1:65" x14ac:dyDescent="0.25">
      <c r="A8824" t="s">
        <v>9358</v>
      </c>
      <c r="R8824" t="s">
        <v>4918</v>
      </c>
      <c r="Z8824" t="s">
        <v>9359</v>
      </c>
      <c r="AT8824" t="s">
        <v>9359</v>
      </c>
      <c r="BM8824" t="s">
        <v>9359</v>
      </c>
    </row>
    <row r="8825" spans="1:65" x14ac:dyDescent="0.25">
      <c r="A8825" t="s">
        <v>8975</v>
      </c>
      <c r="R8825" t="s">
        <v>2442</v>
      </c>
      <c r="Z8825" t="s">
        <v>2443</v>
      </c>
      <c r="AT8825" t="s">
        <v>2443</v>
      </c>
      <c r="BM8825" t="s">
        <v>2443</v>
      </c>
    </row>
    <row r="8826" spans="1:65" x14ac:dyDescent="0.25">
      <c r="A8826" t="s">
        <v>4982</v>
      </c>
      <c r="R8826" t="s">
        <v>4911</v>
      </c>
      <c r="Z8826">
        <v>10</v>
      </c>
      <c r="AT8826">
        <v>10</v>
      </c>
      <c r="BM8826">
        <v>10</v>
      </c>
    </row>
    <row r="8827" spans="1:65" x14ac:dyDescent="0.25">
      <c r="A8827" t="s">
        <v>8977</v>
      </c>
      <c r="R8827" t="s">
        <v>4986</v>
      </c>
      <c r="Z8827" t="s">
        <v>9392</v>
      </c>
      <c r="AT8827" t="s">
        <v>9393</v>
      </c>
      <c r="BM8827" t="s">
        <v>9394</v>
      </c>
    </row>
    <row r="8829" spans="1:65" x14ac:dyDescent="0.25">
      <c r="A8829" t="s">
        <v>4988</v>
      </c>
      <c r="Z8829" t="s">
        <v>9395</v>
      </c>
      <c r="AT8829" t="s">
        <v>9396</v>
      </c>
      <c r="BM8829" t="s">
        <v>9397</v>
      </c>
    </row>
    <row r="8830" spans="1:65" x14ac:dyDescent="0.25">
      <c r="A8830" t="s">
        <v>7870</v>
      </c>
      <c r="R8830" t="s">
        <v>2431</v>
      </c>
      <c r="Z8830" t="s">
        <v>9366</v>
      </c>
      <c r="AT8830" t="s">
        <v>9367</v>
      </c>
      <c r="BM8830" t="s">
        <v>9368</v>
      </c>
    </row>
    <row r="8831" spans="1:65" x14ac:dyDescent="0.25">
      <c r="A8831" t="s">
        <v>8996</v>
      </c>
      <c r="R8831" t="s">
        <v>2427</v>
      </c>
      <c r="Z8831" t="s">
        <v>9369</v>
      </c>
      <c r="AT8831" t="s">
        <v>9370</v>
      </c>
      <c r="BM8831" t="s">
        <v>9371</v>
      </c>
    </row>
    <row r="8832" spans="1:65" x14ac:dyDescent="0.25">
      <c r="A8832" t="s">
        <v>8996</v>
      </c>
      <c r="R8832" t="s">
        <v>2427</v>
      </c>
      <c r="Z8832" t="s">
        <v>9372</v>
      </c>
      <c r="AT8832" t="s">
        <v>9373</v>
      </c>
      <c r="BM8832" t="s">
        <v>9374</v>
      </c>
    </row>
    <row r="8833" spans="1:65" x14ac:dyDescent="0.25">
      <c r="A8833" t="s">
        <v>4984</v>
      </c>
      <c r="R8833" t="s">
        <v>2433</v>
      </c>
      <c r="Z8833" t="s">
        <v>9398</v>
      </c>
      <c r="AT8833" t="s">
        <v>9398</v>
      </c>
      <c r="BM8833" t="s">
        <v>9398</v>
      </c>
    </row>
    <row r="8834" spans="1:65" x14ac:dyDescent="0.25">
      <c r="A8834" t="s">
        <v>9010</v>
      </c>
      <c r="R8834" t="s">
        <v>713</v>
      </c>
      <c r="Z8834">
        <v>16</v>
      </c>
      <c r="AT8834">
        <v>16</v>
      </c>
      <c r="BM8834">
        <v>16</v>
      </c>
    </row>
    <row r="8835" spans="1:65" x14ac:dyDescent="0.25">
      <c r="A8835" t="s">
        <v>1001</v>
      </c>
      <c r="R8835" t="s">
        <v>4986</v>
      </c>
      <c r="Z8835" t="s">
        <v>9399</v>
      </c>
      <c r="AT8835" t="s">
        <v>9047</v>
      </c>
      <c r="BM8835" t="s">
        <v>9400</v>
      </c>
    </row>
    <row r="8837" spans="1:65" x14ac:dyDescent="0.25">
      <c r="A8837" t="s">
        <v>5025</v>
      </c>
      <c r="Z8837" t="s">
        <v>9379</v>
      </c>
      <c r="AT8837" t="s">
        <v>9380</v>
      </c>
      <c r="BM8837" t="s">
        <v>9381</v>
      </c>
    </row>
    <row r="8838" spans="1:65" x14ac:dyDescent="0.25">
      <c r="A8838" t="s">
        <v>8996</v>
      </c>
      <c r="R8838" t="s">
        <v>2427</v>
      </c>
      <c r="Z8838" t="s">
        <v>9382</v>
      </c>
      <c r="AT8838" t="s">
        <v>9383</v>
      </c>
      <c r="BM8838" t="s">
        <v>9129</v>
      </c>
    </row>
    <row r="8839" spans="1:65" x14ac:dyDescent="0.25">
      <c r="A8839" t="s">
        <v>8996</v>
      </c>
      <c r="R8839" t="s">
        <v>2427</v>
      </c>
      <c r="Z8839" t="s">
        <v>9383</v>
      </c>
      <c r="AT8839" t="s">
        <v>9384</v>
      </c>
      <c r="BM8839" t="s">
        <v>9021</v>
      </c>
    </row>
    <row r="8840" spans="1:65" x14ac:dyDescent="0.25">
      <c r="A8840" t="s">
        <v>2435</v>
      </c>
      <c r="R8840" t="s">
        <v>2436</v>
      </c>
      <c r="Z8840" t="s">
        <v>9028</v>
      </c>
      <c r="AT8840" t="s">
        <v>9028</v>
      </c>
      <c r="BM8840" t="s">
        <v>9029</v>
      </c>
    </row>
    <row r="8841" spans="1:65" x14ac:dyDescent="0.25">
      <c r="A8841" t="s">
        <v>9030</v>
      </c>
      <c r="R8841" t="s">
        <v>2436</v>
      </c>
      <c r="Z8841" t="s">
        <v>9031</v>
      </c>
      <c r="AT8841" t="s">
        <v>9031</v>
      </c>
      <c r="BM8841" t="s">
        <v>9031</v>
      </c>
    </row>
    <row r="8842" spans="1:65" x14ac:dyDescent="0.25">
      <c r="A8842" t="s">
        <v>9032</v>
      </c>
      <c r="R8842" t="s">
        <v>551</v>
      </c>
      <c r="Z8842">
        <v>2</v>
      </c>
      <c r="AT8842">
        <v>2</v>
      </c>
      <c r="BM8842">
        <v>2</v>
      </c>
    </row>
    <row r="8843" spans="1:65" x14ac:dyDescent="0.25">
      <c r="A8843" t="s">
        <v>9033</v>
      </c>
      <c r="R8843" t="s">
        <v>551</v>
      </c>
      <c r="Z8843">
        <v>25</v>
      </c>
      <c r="AT8843">
        <v>25</v>
      </c>
      <c r="BM8843">
        <v>25</v>
      </c>
    </row>
    <row r="8844" spans="1:65" x14ac:dyDescent="0.25">
      <c r="A8844" t="s">
        <v>9034</v>
      </c>
      <c r="R8844" t="s">
        <v>551</v>
      </c>
      <c r="Z8844">
        <v>15</v>
      </c>
      <c r="AT8844">
        <v>15</v>
      </c>
      <c r="BM8844">
        <v>15</v>
      </c>
    </row>
    <row r="8845" spans="1:65" x14ac:dyDescent="0.25">
      <c r="A8845" t="s">
        <v>9035</v>
      </c>
      <c r="Z8845" t="s">
        <v>9037</v>
      </c>
      <c r="AT8845" t="s">
        <v>9037</v>
      </c>
      <c r="BM8845" t="s">
        <v>9037</v>
      </c>
    </row>
    <row r="8846" spans="1:65" x14ac:dyDescent="0.25">
      <c r="A8846" t="s">
        <v>4983</v>
      </c>
      <c r="Z8846" t="s">
        <v>2440</v>
      </c>
      <c r="AT8846" t="s">
        <v>2440</v>
      </c>
      <c r="BM8846" t="s">
        <v>2440</v>
      </c>
    </row>
    <row r="8847" spans="1:65" x14ac:dyDescent="0.25">
      <c r="A8847" t="s">
        <v>9038</v>
      </c>
      <c r="R8847" t="s">
        <v>713</v>
      </c>
      <c r="Z8847">
        <v>0.96</v>
      </c>
      <c r="AT8847">
        <v>0.96</v>
      </c>
      <c r="BM8847">
        <v>0.96</v>
      </c>
    </row>
    <row r="8848" spans="1:65" x14ac:dyDescent="0.25">
      <c r="A8848" t="s">
        <v>4984</v>
      </c>
      <c r="R8848" t="s">
        <v>2433</v>
      </c>
      <c r="Z8848" t="s">
        <v>4985</v>
      </c>
      <c r="AT8848" t="s">
        <v>4985</v>
      </c>
      <c r="BM8848" t="s">
        <v>4985</v>
      </c>
    </row>
    <row r="8849" spans="1:72" x14ac:dyDescent="0.25">
      <c r="A8849" t="s">
        <v>9010</v>
      </c>
      <c r="R8849" t="s">
        <v>713</v>
      </c>
      <c r="Z8849">
        <v>38</v>
      </c>
      <c r="AT8849">
        <v>38</v>
      </c>
      <c r="BM8849">
        <v>38</v>
      </c>
    </row>
    <row r="8850" spans="1:72" x14ac:dyDescent="0.25">
      <c r="A8850" t="s">
        <v>1001</v>
      </c>
      <c r="R8850" t="s">
        <v>4986</v>
      </c>
      <c r="Z8850" t="s">
        <v>9378</v>
      </c>
      <c r="AT8850" t="s">
        <v>9385</v>
      </c>
      <c r="BM8850" t="s">
        <v>9109</v>
      </c>
    </row>
    <row r="8852" spans="1:72" x14ac:dyDescent="0.25">
      <c r="A8852" t="s">
        <v>3768</v>
      </c>
      <c r="R8852" t="s">
        <v>9049</v>
      </c>
      <c r="BH8852" t="s">
        <v>9050</v>
      </c>
      <c r="BT8852" t="s">
        <v>9051</v>
      </c>
    </row>
    <row r="8853" spans="1:72" x14ac:dyDescent="0.25">
      <c r="A8853" t="s">
        <v>9052</v>
      </c>
      <c r="R8853" t="s">
        <v>9053</v>
      </c>
    </row>
    <row r="8854" spans="1:72" x14ac:dyDescent="0.25">
      <c r="A8854" t="s">
        <v>9066</v>
      </c>
      <c r="R8854" t="s">
        <v>9067</v>
      </c>
      <c r="BT8854" t="s">
        <v>9068</v>
      </c>
    </row>
    <row r="8855" spans="1:72" x14ac:dyDescent="0.25">
      <c r="A8855" t="s">
        <v>9063</v>
      </c>
      <c r="R8855" t="s">
        <v>9064</v>
      </c>
      <c r="BT8855" t="s">
        <v>9065</v>
      </c>
    </row>
    <row r="8856" spans="1:72" x14ac:dyDescent="0.25">
      <c r="A8856" t="s">
        <v>9069</v>
      </c>
      <c r="R8856" t="s">
        <v>9070</v>
      </c>
      <c r="BT8856" t="s">
        <v>9071</v>
      </c>
    </row>
    <row r="8857" spans="1:72" x14ac:dyDescent="0.25">
      <c r="A8857" t="s">
        <v>9072</v>
      </c>
      <c r="R8857" t="s">
        <v>9073</v>
      </c>
      <c r="BT8857" t="s">
        <v>9074</v>
      </c>
    </row>
    <row r="8858" spans="1:72" x14ac:dyDescent="0.25">
      <c r="A8858" t="s">
        <v>9075</v>
      </c>
      <c r="R8858" t="s">
        <v>9076</v>
      </c>
      <c r="BT8858" t="s">
        <v>9077</v>
      </c>
    </row>
    <row r="8859" spans="1:72" x14ac:dyDescent="0.25">
      <c r="A8859" t="s">
        <v>9220</v>
      </c>
    </row>
    <row r="8860" spans="1:72" x14ac:dyDescent="0.25">
      <c r="A8860" t="s">
        <v>9401</v>
      </c>
    </row>
    <row r="8862" spans="1:72" x14ac:dyDescent="0.25">
      <c r="A8862" t="s">
        <v>8862</v>
      </c>
    </row>
    <row r="8864" spans="1:72" x14ac:dyDescent="0.25">
      <c r="G8864" t="s">
        <v>9402</v>
      </c>
    </row>
    <row r="8865" spans="7:71" x14ac:dyDescent="0.25">
      <c r="G8865" t="s">
        <v>4988</v>
      </c>
      <c r="AF8865" t="s">
        <v>9403</v>
      </c>
      <c r="AY8865" t="s">
        <v>9404</v>
      </c>
      <c r="BS8865" t="s">
        <v>9405</v>
      </c>
    </row>
    <row r="8866" spans="7:71" x14ac:dyDescent="0.25">
      <c r="G8866" t="s">
        <v>5025</v>
      </c>
      <c r="AF8866" t="s">
        <v>9198</v>
      </c>
      <c r="AY8866" t="s">
        <v>9199</v>
      </c>
      <c r="BS8866" t="s">
        <v>9200</v>
      </c>
    </row>
    <row r="8867" spans="7:71" x14ac:dyDescent="0.25">
      <c r="G8867" t="s">
        <v>8937</v>
      </c>
      <c r="W8867" t="s">
        <v>2424</v>
      </c>
      <c r="AF8867">
        <v>2.5</v>
      </c>
      <c r="AY8867">
        <v>3.5</v>
      </c>
      <c r="BS8867" t="s">
        <v>5541</v>
      </c>
    </row>
    <row r="8868" spans="7:71" x14ac:dyDescent="0.25">
      <c r="G8868" t="s">
        <v>8938</v>
      </c>
      <c r="W8868" t="s">
        <v>2424</v>
      </c>
      <c r="AF8868" t="s">
        <v>9406</v>
      </c>
      <c r="AY8868" t="s">
        <v>9407</v>
      </c>
      <c r="BS8868" t="s">
        <v>9408</v>
      </c>
    </row>
    <row r="8870" spans="7:71" x14ac:dyDescent="0.25">
      <c r="G8870" t="s">
        <v>8945</v>
      </c>
      <c r="W8870" t="s">
        <v>2424</v>
      </c>
      <c r="AF8870" t="s">
        <v>9409</v>
      </c>
      <c r="AY8870" t="s">
        <v>9410</v>
      </c>
      <c r="BS8870" t="s">
        <v>9411</v>
      </c>
    </row>
    <row r="8871" spans="7:71" x14ac:dyDescent="0.25">
      <c r="G8871" t="s">
        <v>8953</v>
      </c>
      <c r="W8871" t="s">
        <v>4905</v>
      </c>
      <c r="AF8871">
        <v>4.24</v>
      </c>
      <c r="AY8871">
        <v>4.0199999999999996</v>
      </c>
      <c r="BS8871" t="s">
        <v>5246</v>
      </c>
    </row>
    <row r="8872" spans="7:71" x14ac:dyDescent="0.25">
      <c r="G8872" t="s">
        <v>8955</v>
      </c>
      <c r="AF8872">
        <v>7.2</v>
      </c>
      <c r="AY8872">
        <v>7</v>
      </c>
      <c r="BS8872" t="s">
        <v>9412</v>
      </c>
    </row>
    <row r="8873" spans="7:71" x14ac:dyDescent="0.25">
      <c r="G8873" t="s">
        <v>4977</v>
      </c>
      <c r="AF8873" t="s">
        <v>2880</v>
      </c>
      <c r="AY8873" t="s">
        <v>2880</v>
      </c>
      <c r="BS8873" t="s">
        <v>2880</v>
      </c>
    </row>
    <row r="8874" spans="7:71" x14ac:dyDescent="0.25">
      <c r="G8874" t="s">
        <v>9413</v>
      </c>
      <c r="W8874" t="s">
        <v>4918</v>
      </c>
      <c r="AF8874" t="s">
        <v>9094</v>
      </c>
      <c r="AY8874" t="s">
        <v>9094</v>
      </c>
      <c r="BS8874" t="s">
        <v>9094</v>
      </c>
    </row>
    <row r="8875" spans="7:71" x14ac:dyDescent="0.25">
      <c r="G8875" t="s">
        <v>9414</v>
      </c>
    </row>
    <row r="8876" spans="7:71" x14ac:dyDescent="0.25">
      <c r="G8876" t="s">
        <v>8957</v>
      </c>
      <c r="W8876" t="s">
        <v>2424</v>
      </c>
      <c r="AF8876">
        <v>3.2</v>
      </c>
      <c r="AY8876">
        <v>4.2</v>
      </c>
      <c r="BS8876" t="s">
        <v>3043</v>
      </c>
    </row>
    <row r="8877" spans="7:71" x14ac:dyDescent="0.25">
      <c r="G8877" t="s">
        <v>9415</v>
      </c>
      <c r="W8877" t="s">
        <v>2424</v>
      </c>
      <c r="AF8877" t="s">
        <v>9416</v>
      </c>
      <c r="AY8877" t="s">
        <v>9417</v>
      </c>
      <c r="BS8877" t="s">
        <v>9418</v>
      </c>
    </row>
    <row r="8878" spans="7:71" x14ac:dyDescent="0.25">
      <c r="G8878" t="s">
        <v>9419</v>
      </c>
    </row>
    <row r="8879" spans="7:71" x14ac:dyDescent="0.25">
      <c r="G8879" t="s">
        <v>8945</v>
      </c>
      <c r="W8879" t="s">
        <v>2424</v>
      </c>
      <c r="AF8879" t="s">
        <v>9420</v>
      </c>
      <c r="AY8879" t="s">
        <v>9421</v>
      </c>
      <c r="BS8879" t="s">
        <v>9422</v>
      </c>
    </row>
    <row r="8880" spans="7:71" x14ac:dyDescent="0.25">
      <c r="G8880" t="s">
        <v>8971</v>
      </c>
      <c r="W8880" t="s">
        <v>4905</v>
      </c>
      <c r="AF8880">
        <v>3.9</v>
      </c>
      <c r="AY8880">
        <v>3.31</v>
      </c>
      <c r="BS8880" t="s">
        <v>5364</v>
      </c>
    </row>
    <row r="8881" spans="7:72" x14ac:dyDescent="0.25">
      <c r="G8881" t="s">
        <v>8973</v>
      </c>
      <c r="AF8881">
        <v>4.7</v>
      </c>
      <c r="AY8881">
        <v>4.7</v>
      </c>
      <c r="BS8881" t="s">
        <v>5064</v>
      </c>
    </row>
    <row r="8882" spans="7:72" x14ac:dyDescent="0.25">
      <c r="G8882" t="s">
        <v>4977</v>
      </c>
      <c r="AF8882" t="s">
        <v>2880</v>
      </c>
      <c r="AY8882" t="s">
        <v>2880</v>
      </c>
      <c r="BS8882" t="s">
        <v>2880</v>
      </c>
    </row>
    <row r="8883" spans="7:72" x14ac:dyDescent="0.25">
      <c r="G8883" t="s">
        <v>9413</v>
      </c>
      <c r="W8883" t="s">
        <v>4918</v>
      </c>
      <c r="AF8883" t="s">
        <v>9105</v>
      </c>
      <c r="AY8883" t="s">
        <v>9105</v>
      </c>
      <c r="BS8883" t="s">
        <v>9105</v>
      </c>
    </row>
    <row r="8884" spans="7:72" x14ac:dyDescent="0.25">
      <c r="G8884" t="s">
        <v>9414</v>
      </c>
    </row>
    <row r="8885" spans="7:72" x14ac:dyDescent="0.25">
      <c r="G8885" t="s">
        <v>8975</v>
      </c>
      <c r="W8885" t="s">
        <v>2442</v>
      </c>
      <c r="AF8885" t="s">
        <v>2443</v>
      </c>
      <c r="AY8885" t="s">
        <v>2443</v>
      </c>
      <c r="BS8885" t="s">
        <v>2443</v>
      </c>
    </row>
    <row r="8886" spans="7:72" x14ac:dyDescent="0.25">
      <c r="G8886" t="s">
        <v>4982</v>
      </c>
      <c r="W8886" t="s">
        <v>4911</v>
      </c>
      <c r="AF8886">
        <v>10</v>
      </c>
      <c r="AY8886">
        <v>10</v>
      </c>
      <c r="BS8886" t="s">
        <v>3750</v>
      </c>
    </row>
    <row r="8887" spans="7:72" x14ac:dyDescent="0.25">
      <c r="G8887" t="s">
        <v>8977</v>
      </c>
      <c r="W8887" t="s">
        <v>4986</v>
      </c>
      <c r="AF8887" t="s">
        <v>9272</v>
      </c>
      <c r="AY8887" t="s">
        <v>9423</v>
      </c>
      <c r="BS8887" t="s">
        <v>9424</v>
      </c>
    </row>
    <row r="8889" spans="7:72" x14ac:dyDescent="0.25">
      <c r="G8889" t="s">
        <v>4988</v>
      </c>
      <c r="AF8889" t="s">
        <v>9403</v>
      </c>
      <c r="AY8889" t="s">
        <v>9404</v>
      </c>
      <c r="BT8889" t="s">
        <v>9405</v>
      </c>
    </row>
    <row r="8890" spans="7:72" x14ac:dyDescent="0.25">
      <c r="G8890" t="s">
        <v>7870</v>
      </c>
      <c r="W8890" t="s">
        <v>2431</v>
      </c>
      <c r="AF8890" t="s">
        <v>9425</v>
      </c>
      <c r="AY8890" t="s">
        <v>9426</v>
      </c>
      <c r="BT8890" t="s">
        <v>9427</v>
      </c>
    </row>
    <row r="8891" spans="7:72" x14ac:dyDescent="0.25">
      <c r="G8891" t="s">
        <v>8996</v>
      </c>
      <c r="W8891" t="s">
        <v>2427</v>
      </c>
      <c r="AF8891" t="s">
        <v>9428</v>
      </c>
      <c r="AY8891" t="s">
        <v>9429</v>
      </c>
      <c r="BT8891" t="s">
        <v>9430</v>
      </c>
    </row>
    <row r="8892" spans="7:72" x14ac:dyDescent="0.25">
      <c r="G8892" t="s">
        <v>8996</v>
      </c>
      <c r="W8892" t="s">
        <v>2427</v>
      </c>
      <c r="AF8892" t="s">
        <v>9428</v>
      </c>
      <c r="AY8892" t="s">
        <v>9429</v>
      </c>
      <c r="BT8892" t="s">
        <v>9431</v>
      </c>
    </row>
    <row r="8893" spans="7:72" x14ac:dyDescent="0.25">
      <c r="G8893" t="s">
        <v>4984</v>
      </c>
      <c r="W8893" t="s">
        <v>2433</v>
      </c>
      <c r="AF8893" t="s">
        <v>9432</v>
      </c>
      <c r="AY8893" t="s">
        <v>9432</v>
      </c>
      <c r="BT8893" t="s">
        <v>9433</v>
      </c>
    </row>
    <row r="8894" spans="7:72" x14ac:dyDescent="0.25">
      <c r="G8894" t="s">
        <v>9010</v>
      </c>
      <c r="W8894" t="s">
        <v>713</v>
      </c>
      <c r="AF8894">
        <v>16</v>
      </c>
      <c r="AY8894">
        <v>16</v>
      </c>
      <c r="BT8894">
        <v>16</v>
      </c>
    </row>
    <row r="8895" spans="7:72" x14ac:dyDescent="0.25">
      <c r="G8895" t="s">
        <v>1001</v>
      </c>
      <c r="W8895" t="s">
        <v>4986</v>
      </c>
      <c r="AF8895" t="s">
        <v>9434</v>
      </c>
      <c r="AY8895" t="s">
        <v>9435</v>
      </c>
      <c r="BT8895" t="s">
        <v>9436</v>
      </c>
    </row>
    <row r="8897" spans="7:77" x14ac:dyDescent="0.25">
      <c r="G8897" t="s">
        <v>5025</v>
      </c>
      <c r="AF8897" t="s">
        <v>9198</v>
      </c>
      <c r="AY8897" t="s">
        <v>9199</v>
      </c>
      <c r="BT8897" t="s">
        <v>9200</v>
      </c>
    </row>
    <row r="8898" spans="7:77" x14ac:dyDescent="0.25">
      <c r="G8898" t="s">
        <v>8996</v>
      </c>
      <c r="W8898" t="s">
        <v>2427</v>
      </c>
      <c r="AF8898" t="s">
        <v>9437</v>
      </c>
      <c r="AY8898" t="s">
        <v>9438</v>
      </c>
      <c r="BT8898">
        <v>49</v>
      </c>
    </row>
    <row r="8899" spans="7:77" x14ac:dyDescent="0.25">
      <c r="G8899" t="s">
        <v>8996</v>
      </c>
      <c r="W8899" t="s">
        <v>2427</v>
      </c>
      <c r="AF8899" t="s">
        <v>9438</v>
      </c>
      <c r="AY8899" t="s">
        <v>9439</v>
      </c>
      <c r="BT8899">
        <v>51</v>
      </c>
    </row>
    <row r="8900" spans="7:77" x14ac:dyDescent="0.25">
      <c r="G8900" t="s">
        <v>2435</v>
      </c>
      <c r="W8900" t="s">
        <v>2436</v>
      </c>
      <c r="AF8900" t="s">
        <v>9028</v>
      </c>
      <c r="AY8900" t="s">
        <v>9028</v>
      </c>
      <c r="BT8900" t="s">
        <v>9029</v>
      </c>
    </row>
    <row r="8901" spans="7:77" x14ac:dyDescent="0.25">
      <c r="G8901" t="s">
        <v>9030</v>
      </c>
      <c r="W8901" t="s">
        <v>2436</v>
      </c>
      <c r="AF8901" t="s">
        <v>9031</v>
      </c>
      <c r="AY8901" t="s">
        <v>9031</v>
      </c>
      <c r="BT8901" t="s">
        <v>9031</v>
      </c>
    </row>
    <row r="8902" spans="7:77" x14ac:dyDescent="0.25">
      <c r="G8902" t="s">
        <v>9032</v>
      </c>
      <c r="W8902" t="s">
        <v>551</v>
      </c>
      <c r="AF8902">
        <v>2</v>
      </c>
      <c r="AY8902">
        <v>2</v>
      </c>
      <c r="BT8902">
        <v>2</v>
      </c>
    </row>
    <row r="8903" spans="7:77" x14ac:dyDescent="0.25">
      <c r="G8903" t="s">
        <v>9033</v>
      </c>
      <c r="W8903" t="s">
        <v>551</v>
      </c>
      <c r="AF8903">
        <v>20</v>
      </c>
      <c r="AY8903">
        <v>20</v>
      </c>
      <c r="BT8903">
        <v>20</v>
      </c>
    </row>
    <row r="8904" spans="7:77" x14ac:dyDescent="0.25">
      <c r="G8904" t="s">
        <v>9034</v>
      </c>
      <c r="W8904" t="s">
        <v>551</v>
      </c>
      <c r="AF8904">
        <v>12</v>
      </c>
      <c r="AY8904">
        <v>12</v>
      </c>
      <c r="BT8904">
        <v>12</v>
      </c>
    </row>
    <row r="8905" spans="7:77" x14ac:dyDescent="0.25">
      <c r="G8905" t="s">
        <v>9035</v>
      </c>
      <c r="AF8905" t="s">
        <v>9036</v>
      </c>
      <c r="AY8905" t="s">
        <v>9036</v>
      </c>
      <c r="BT8905" t="s">
        <v>9037</v>
      </c>
    </row>
    <row r="8906" spans="7:77" x14ac:dyDescent="0.25">
      <c r="G8906" t="s">
        <v>4983</v>
      </c>
      <c r="AF8906" t="s">
        <v>2440</v>
      </c>
      <c r="AY8906" t="s">
        <v>2440</v>
      </c>
      <c r="BT8906" t="s">
        <v>2440</v>
      </c>
    </row>
    <row r="8907" spans="7:77" x14ac:dyDescent="0.25">
      <c r="G8907" t="s">
        <v>9038</v>
      </c>
      <c r="W8907" t="s">
        <v>713</v>
      </c>
      <c r="AF8907">
        <v>0.55000000000000004</v>
      </c>
      <c r="AY8907">
        <v>0.8</v>
      </c>
      <c r="BT8907">
        <v>1.1000000000000001</v>
      </c>
    </row>
    <row r="8908" spans="7:77" x14ac:dyDescent="0.25">
      <c r="G8908" t="s">
        <v>4984</v>
      </c>
      <c r="W8908" t="s">
        <v>2433</v>
      </c>
      <c r="AF8908" t="s">
        <v>9041</v>
      </c>
      <c r="AY8908" t="s">
        <v>9041</v>
      </c>
      <c r="BT8908" t="s">
        <v>9041</v>
      </c>
    </row>
    <row r="8909" spans="7:77" x14ac:dyDescent="0.25">
      <c r="G8909" t="s">
        <v>9010</v>
      </c>
      <c r="W8909" t="s">
        <v>713</v>
      </c>
      <c r="AF8909">
        <v>26</v>
      </c>
      <c r="AY8909">
        <v>30</v>
      </c>
      <c r="BT8909">
        <v>34</v>
      </c>
    </row>
    <row r="8910" spans="7:77" x14ac:dyDescent="0.25">
      <c r="G8910" t="s">
        <v>1001</v>
      </c>
      <c r="W8910" t="s">
        <v>4986</v>
      </c>
      <c r="AF8910" t="s">
        <v>9215</v>
      </c>
      <c r="AY8910" t="s">
        <v>9216</v>
      </c>
      <c r="BT8910" t="s">
        <v>9217</v>
      </c>
    </row>
    <row r="8912" spans="7:77" x14ac:dyDescent="0.25">
      <c r="G8912" t="s">
        <v>3768</v>
      </c>
      <c r="W8912" t="s">
        <v>9049</v>
      </c>
      <c r="BS8912" t="s">
        <v>9050</v>
      </c>
      <c r="BY8912" t="s">
        <v>9051</v>
      </c>
    </row>
    <row r="8913" spans="1:93" x14ac:dyDescent="0.25">
      <c r="G8913" t="s">
        <v>9052</v>
      </c>
      <c r="W8913" t="s">
        <v>9053</v>
      </c>
    </row>
    <row r="8914" spans="1:93" x14ac:dyDescent="0.25">
      <c r="G8914" t="s">
        <v>9054</v>
      </c>
      <c r="W8914" t="s">
        <v>9055</v>
      </c>
      <c r="BY8914" t="s">
        <v>9056</v>
      </c>
    </row>
    <row r="8915" spans="1:93" x14ac:dyDescent="0.25">
      <c r="G8915" t="s">
        <v>9440</v>
      </c>
      <c r="W8915" t="s">
        <v>9441</v>
      </c>
      <c r="BY8915" t="s">
        <v>9059</v>
      </c>
    </row>
    <row r="8916" spans="1:93" x14ac:dyDescent="0.25">
      <c r="G8916" t="s">
        <v>9066</v>
      </c>
      <c r="W8916" t="s">
        <v>9067</v>
      </c>
      <c r="BY8916" t="s">
        <v>9068</v>
      </c>
    </row>
    <row r="8917" spans="1:93" x14ac:dyDescent="0.25">
      <c r="G8917" t="s">
        <v>9063</v>
      </c>
      <c r="W8917" t="s">
        <v>9064</v>
      </c>
      <c r="BY8917" t="s">
        <v>9065</v>
      </c>
    </row>
    <row r="8918" spans="1:93" x14ac:dyDescent="0.25">
      <c r="G8918" t="s">
        <v>9069</v>
      </c>
      <c r="W8918" t="s">
        <v>9070</v>
      </c>
      <c r="BY8918" t="s">
        <v>9071</v>
      </c>
    </row>
    <row r="8919" spans="1:93" x14ac:dyDescent="0.25">
      <c r="G8919" t="s">
        <v>9442</v>
      </c>
      <c r="W8919" t="s">
        <v>9443</v>
      </c>
      <c r="BY8919" t="s">
        <v>9444</v>
      </c>
    </row>
    <row r="8920" spans="1:93" x14ac:dyDescent="0.25">
      <c r="G8920" t="s">
        <v>9072</v>
      </c>
      <c r="W8920" t="s">
        <v>9073</v>
      </c>
      <c r="BY8920" t="s">
        <v>9074</v>
      </c>
    </row>
    <row r="8921" spans="1:93" x14ac:dyDescent="0.25">
      <c r="G8921" t="s">
        <v>9075</v>
      </c>
      <c r="W8921" t="s">
        <v>9076</v>
      </c>
      <c r="BY8921" t="s">
        <v>9077</v>
      </c>
    </row>
    <row r="8922" spans="1:93" x14ac:dyDescent="0.25">
      <c r="A8922" t="s">
        <v>9220</v>
      </c>
    </row>
    <row r="8923" spans="1:93" x14ac:dyDescent="0.25">
      <c r="A8923" t="s">
        <v>9445</v>
      </c>
    </row>
    <row r="8924" spans="1:93" x14ac:dyDescent="0.25">
      <c r="CO8924" t="s">
        <v>8862</v>
      </c>
    </row>
    <row r="8929" spans="1:81" x14ac:dyDescent="0.25">
      <c r="A8929" t="s">
        <v>9446</v>
      </c>
    </row>
    <row r="8930" spans="1:81" x14ac:dyDescent="0.25">
      <c r="A8930" t="s">
        <v>9447</v>
      </c>
    </row>
    <row r="8932" spans="1:81" x14ac:dyDescent="0.25">
      <c r="A8932" t="s">
        <v>8862</v>
      </c>
      <c r="G8932" t="s">
        <v>9448</v>
      </c>
    </row>
    <row r="8935" spans="1:81" x14ac:dyDescent="0.25">
      <c r="G8935" t="s">
        <v>9449</v>
      </c>
    </row>
    <row r="8936" spans="1:81" x14ac:dyDescent="0.25">
      <c r="A8936" t="s">
        <v>8875</v>
      </c>
    </row>
    <row r="8937" spans="1:81" x14ac:dyDescent="0.25">
      <c r="A8937" t="s">
        <v>9450</v>
      </c>
    </row>
    <row r="8938" spans="1:81" x14ac:dyDescent="0.25">
      <c r="G8938" t="s">
        <v>4988</v>
      </c>
      <c r="AF8938" t="s">
        <v>9111</v>
      </c>
      <c r="AO8938" t="s">
        <v>9112</v>
      </c>
      <c r="AY8938" t="s">
        <v>9113</v>
      </c>
      <c r="BJ8938" t="s">
        <v>9451</v>
      </c>
      <c r="BT8938" t="s">
        <v>9114</v>
      </c>
      <c r="CC8938" t="s">
        <v>9115</v>
      </c>
    </row>
    <row r="8939" spans="1:81" x14ac:dyDescent="0.25">
      <c r="G8939" t="s">
        <v>8937</v>
      </c>
      <c r="W8939" t="s">
        <v>2424</v>
      </c>
      <c r="AF8939">
        <v>2</v>
      </c>
      <c r="AO8939">
        <v>2.5</v>
      </c>
      <c r="AY8939">
        <v>3.3</v>
      </c>
      <c r="BJ8939">
        <v>4.2</v>
      </c>
      <c r="BT8939">
        <v>5</v>
      </c>
      <c r="CC8939">
        <v>6.5</v>
      </c>
    </row>
    <row r="8940" spans="1:81" x14ac:dyDescent="0.25">
      <c r="G8940" t="s">
        <v>8996</v>
      </c>
      <c r="W8940" t="s">
        <v>2427</v>
      </c>
      <c r="AF8940" t="s">
        <v>9116</v>
      </c>
      <c r="AO8940" t="s">
        <v>9003</v>
      </c>
      <c r="AY8940" t="s">
        <v>9117</v>
      </c>
      <c r="BJ8940" t="s">
        <v>9452</v>
      </c>
      <c r="BT8940" t="s">
        <v>9001</v>
      </c>
      <c r="CC8940" t="s">
        <v>9002</v>
      </c>
    </row>
    <row r="8941" spans="1:81" x14ac:dyDescent="0.25">
      <c r="G8941" t="s">
        <v>8957</v>
      </c>
      <c r="W8941" t="s">
        <v>2424</v>
      </c>
      <c r="AF8941">
        <v>2.5</v>
      </c>
      <c r="AO8941">
        <v>3.2</v>
      </c>
      <c r="AY8941">
        <v>3.6</v>
      </c>
      <c r="BJ8941">
        <v>5</v>
      </c>
      <c r="BT8941">
        <v>5.4</v>
      </c>
      <c r="CC8941">
        <v>7</v>
      </c>
    </row>
    <row r="8942" spans="1:81" x14ac:dyDescent="0.25">
      <c r="G8942" t="s">
        <v>8996</v>
      </c>
      <c r="W8942" t="s">
        <v>2427</v>
      </c>
      <c r="AF8942" t="s">
        <v>9116</v>
      </c>
      <c r="AO8942" t="s">
        <v>9118</v>
      </c>
      <c r="AY8942" t="s">
        <v>8999</v>
      </c>
      <c r="BJ8942" t="s">
        <v>9453</v>
      </c>
      <c r="BT8942" t="s">
        <v>9006</v>
      </c>
      <c r="CC8942" t="s">
        <v>9002</v>
      </c>
    </row>
    <row r="8943" spans="1:81" x14ac:dyDescent="0.25">
      <c r="G8943" t="s">
        <v>7870</v>
      </c>
      <c r="W8943" t="s">
        <v>2431</v>
      </c>
      <c r="AF8943">
        <v>500</v>
      </c>
      <c r="AO8943">
        <v>510</v>
      </c>
      <c r="AY8943">
        <v>560</v>
      </c>
      <c r="BJ8943">
        <v>760</v>
      </c>
      <c r="BT8943">
        <v>840</v>
      </c>
      <c r="CC8943">
        <v>1070</v>
      </c>
    </row>
    <row r="8944" spans="1:81" x14ac:dyDescent="0.25">
      <c r="G8944" t="s">
        <v>4984</v>
      </c>
      <c r="W8944" t="s">
        <v>2433</v>
      </c>
      <c r="AF8944" t="s">
        <v>9007</v>
      </c>
      <c r="AO8944" t="s">
        <v>9007</v>
      </c>
      <c r="AY8944" t="s">
        <v>9007</v>
      </c>
      <c r="BJ8944" t="s">
        <v>9008</v>
      </c>
      <c r="BT8944" t="s">
        <v>9008</v>
      </c>
      <c r="CC8944" t="s">
        <v>9119</v>
      </c>
    </row>
    <row r="8945" spans="1:81" x14ac:dyDescent="0.25">
      <c r="G8945" t="s">
        <v>9010</v>
      </c>
      <c r="W8945" t="s">
        <v>713</v>
      </c>
      <c r="AF8945">
        <v>9</v>
      </c>
      <c r="AO8945">
        <v>9</v>
      </c>
      <c r="AY8945">
        <v>9</v>
      </c>
      <c r="BJ8945">
        <v>9</v>
      </c>
      <c r="BT8945">
        <v>9</v>
      </c>
      <c r="CC8945">
        <v>15</v>
      </c>
    </row>
    <row r="8946" spans="1:81" x14ac:dyDescent="0.25">
      <c r="G8946" t="s">
        <v>1001</v>
      </c>
      <c r="W8946" t="s">
        <v>4986</v>
      </c>
      <c r="AF8946" t="s">
        <v>9012</v>
      </c>
      <c r="AO8946" t="s">
        <v>9120</v>
      </c>
      <c r="AY8946" t="s">
        <v>9121</v>
      </c>
      <c r="BJ8946" t="s">
        <v>9454</v>
      </c>
      <c r="BT8946" t="s">
        <v>9122</v>
      </c>
      <c r="CC8946" t="s">
        <v>9123</v>
      </c>
    </row>
    <row r="8948" spans="1:81" x14ac:dyDescent="0.25">
      <c r="G8948" t="s">
        <v>3768</v>
      </c>
      <c r="W8948" t="s">
        <v>9049</v>
      </c>
      <c r="AX8948" t="s">
        <v>9050</v>
      </c>
      <c r="BY8948" t="s">
        <v>9051</v>
      </c>
    </row>
    <row r="8949" spans="1:81" x14ac:dyDescent="0.25">
      <c r="G8949" t="s">
        <v>9052</v>
      </c>
      <c r="W8949" t="s">
        <v>9053</v>
      </c>
    </row>
    <row r="8950" spans="1:81" x14ac:dyDescent="0.25">
      <c r="A8950" t="s">
        <v>9455</v>
      </c>
    </row>
    <row r="8951" spans="1:81" x14ac:dyDescent="0.25">
      <c r="A8951" t="s">
        <v>9456</v>
      </c>
    </row>
    <row r="8952" spans="1:81" x14ac:dyDescent="0.25">
      <c r="A8952" t="s">
        <v>9457</v>
      </c>
    </row>
    <row r="8955" spans="1:81" x14ac:dyDescent="0.25">
      <c r="A8955" t="s">
        <v>9458</v>
      </c>
    </row>
    <row r="8956" spans="1:81" x14ac:dyDescent="0.25">
      <c r="A8956" t="s">
        <v>4988</v>
      </c>
      <c r="Z8956" t="s">
        <v>9172</v>
      </c>
      <c r="AI8956" t="s">
        <v>9173</v>
      </c>
      <c r="AP8956" t="s">
        <v>9174</v>
      </c>
      <c r="AY8956" t="s">
        <v>9459</v>
      </c>
      <c r="BH8956" t="s">
        <v>9175</v>
      </c>
      <c r="BP8956" t="s">
        <v>9176</v>
      </c>
      <c r="BX8956" t="s">
        <v>9177</v>
      </c>
    </row>
    <row r="8957" spans="1:81" x14ac:dyDescent="0.25">
      <c r="A8957" t="s">
        <v>8937</v>
      </c>
      <c r="R8957" t="s">
        <v>2424</v>
      </c>
      <c r="Z8957">
        <v>2</v>
      </c>
      <c r="AI8957">
        <v>2.5</v>
      </c>
      <c r="AP8957">
        <v>3.5</v>
      </c>
      <c r="AY8957">
        <v>4.5999999999999996</v>
      </c>
      <c r="BH8957">
        <v>5</v>
      </c>
      <c r="BP8957">
        <v>6.1</v>
      </c>
      <c r="BX8957">
        <v>7</v>
      </c>
    </row>
    <row r="8958" spans="1:81" x14ac:dyDescent="0.25">
      <c r="A8958" t="s">
        <v>8996</v>
      </c>
      <c r="R8958" t="s">
        <v>2427</v>
      </c>
      <c r="Z8958" t="s">
        <v>9180</v>
      </c>
      <c r="AI8958" t="s">
        <v>9180</v>
      </c>
      <c r="AP8958" t="s">
        <v>9181</v>
      </c>
      <c r="AY8958" t="s">
        <v>9247</v>
      </c>
      <c r="BH8958" t="s">
        <v>9182</v>
      </c>
      <c r="BP8958" t="s">
        <v>9183</v>
      </c>
      <c r="BX8958" t="s">
        <v>9184</v>
      </c>
    </row>
    <row r="8959" spans="1:81" x14ac:dyDescent="0.25">
      <c r="A8959" t="s">
        <v>8957</v>
      </c>
      <c r="R8959" t="s">
        <v>2424</v>
      </c>
      <c r="Z8959">
        <v>2.5</v>
      </c>
      <c r="AI8959">
        <v>3.2</v>
      </c>
      <c r="AP8959">
        <v>4.2</v>
      </c>
      <c r="AY8959">
        <v>5.5</v>
      </c>
      <c r="BH8959">
        <v>6</v>
      </c>
      <c r="BP8959">
        <v>7</v>
      </c>
      <c r="BX8959">
        <v>8</v>
      </c>
    </row>
    <row r="8960" spans="1:81" x14ac:dyDescent="0.25">
      <c r="A8960" t="s">
        <v>8996</v>
      </c>
      <c r="R8960" t="s">
        <v>2427</v>
      </c>
      <c r="Z8960" t="s">
        <v>9185</v>
      </c>
      <c r="AI8960" t="s">
        <v>9185</v>
      </c>
      <c r="AP8960" t="s">
        <v>9181</v>
      </c>
      <c r="AY8960" t="s">
        <v>9248</v>
      </c>
      <c r="BH8960" t="s">
        <v>9182</v>
      </c>
      <c r="BP8960" t="s">
        <v>9187</v>
      </c>
      <c r="BX8960" t="s">
        <v>9188</v>
      </c>
    </row>
    <row r="8961" spans="1:76" x14ac:dyDescent="0.25">
      <c r="A8961" t="s">
        <v>7870</v>
      </c>
      <c r="R8961" t="s">
        <v>2431</v>
      </c>
      <c r="Z8961">
        <v>660</v>
      </c>
      <c r="AI8961">
        <v>660</v>
      </c>
      <c r="AP8961">
        <v>732</v>
      </c>
      <c r="AY8961">
        <v>750</v>
      </c>
      <c r="BH8961">
        <v>990</v>
      </c>
      <c r="BP8961">
        <v>1032</v>
      </c>
      <c r="BX8961">
        <v>1122</v>
      </c>
    </row>
    <row r="8962" spans="1:76" x14ac:dyDescent="0.25">
      <c r="A8962" t="s">
        <v>4984</v>
      </c>
      <c r="R8962" t="s">
        <v>2433</v>
      </c>
      <c r="Z8962" t="s">
        <v>9189</v>
      </c>
      <c r="AI8962" t="s">
        <v>9189</v>
      </c>
      <c r="AP8962" t="s">
        <v>9189</v>
      </c>
      <c r="AY8962" t="s">
        <v>9189</v>
      </c>
      <c r="BH8962" t="s">
        <v>9190</v>
      </c>
      <c r="BP8962" t="s">
        <v>9190</v>
      </c>
      <c r="BX8962" t="s">
        <v>9190</v>
      </c>
    </row>
    <row r="8963" spans="1:76" x14ac:dyDescent="0.25">
      <c r="A8963" t="s">
        <v>9010</v>
      </c>
      <c r="R8963" t="s">
        <v>713</v>
      </c>
      <c r="Z8963">
        <v>10</v>
      </c>
      <c r="AI8963">
        <v>10</v>
      </c>
      <c r="AP8963">
        <v>10</v>
      </c>
      <c r="AY8963">
        <v>10</v>
      </c>
      <c r="BH8963">
        <v>14</v>
      </c>
      <c r="BP8963">
        <v>14</v>
      </c>
      <c r="BX8963">
        <v>14</v>
      </c>
    </row>
    <row r="8964" spans="1:76" x14ac:dyDescent="0.25">
      <c r="A8964" t="s">
        <v>1001</v>
      </c>
      <c r="R8964" t="s">
        <v>4986</v>
      </c>
      <c r="Z8964" t="s">
        <v>9191</v>
      </c>
      <c r="AI8964" t="s">
        <v>9192</v>
      </c>
      <c r="AP8964" t="s">
        <v>9193</v>
      </c>
      <c r="AY8964" t="s">
        <v>9460</v>
      </c>
      <c r="BH8964" t="s">
        <v>9194</v>
      </c>
      <c r="BP8964" t="s">
        <v>9195</v>
      </c>
      <c r="BX8964" t="s">
        <v>9196</v>
      </c>
    </row>
    <row r="8966" spans="1:76" x14ac:dyDescent="0.25">
      <c r="A8966" t="s">
        <v>3768</v>
      </c>
      <c r="R8966" t="s">
        <v>9049</v>
      </c>
      <c r="AP8966" t="s">
        <v>9050</v>
      </c>
      <c r="BT8966" t="s">
        <v>9051</v>
      </c>
    </row>
    <row r="8967" spans="1:76" x14ac:dyDescent="0.25">
      <c r="A8967" t="s">
        <v>9052</v>
      </c>
      <c r="R8967" t="s">
        <v>9053</v>
      </c>
    </row>
    <row r="8968" spans="1:76" x14ac:dyDescent="0.25">
      <c r="A8968" t="s">
        <v>9461</v>
      </c>
    </row>
    <row r="8969" spans="1:76" x14ac:dyDescent="0.25">
      <c r="A8969" t="s">
        <v>9458</v>
      </c>
    </row>
    <row r="8970" spans="1:76" x14ac:dyDescent="0.25">
      <c r="A8970" t="s">
        <v>4988</v>
      </c>
      <c r="Z8970" t="s">
        <v>9240</v>
      </c>
      <c r="AJ8970" t="s">
        <v>9241</v>
      </c>
      <c r="AT8970" t="s">
        <v>9242</v>
      </c>
      <c r="BM8970" t="s">
        <v>9244</v>
      </c>
      <c r="BW8970" t="s">
        <v>9245</v>
      </c>
    </row>
    <row r="8971" spans="1:76" x14ac:dyDescent="0.25">
      <c r="A8971" t="s">
        <v>8937</v>
      </c>
      <c r="R8971" t="s">
        <v>2424</v>
      </c>
      <c r="Z8971">
        <v>2.5</v>
      </c>
      <c r="AJ8971">
        <v>3.5</v>
      </c>
      <c r="AT8971">
        <v>4.5999999999999996</v>
      </c>
      <c r="BC8971">
        <v>5</v>
      </c>
      <c r="BM8971">
        <v>6.1</v>
      </c>
      <c r="BW8971">
        <v>7</v>
      </c>
    </row>
    <row r="8972" spans="1:76" x14ac:dyDescent="0.25">
      <c r="A8972" t="s">
        <v>8996</v>
      </c>
      <c r="R8972" t="s">
        <v>2427</v>
      </c>
      <c r="Z8972" t="s">
        <v>9180</v>
      </c>
      <c r="AJ8972" t="s">
        <v>9181</v>
      </c>
      <c r="AT8972" t="s">
        <v>9247</v>
      </c>
      <c r="BM8972" t="s">
        <v>9183</v>
      </c>
      <c r="BW8972" t="s">
        <v>9184</v>
      </c>
    </row>
    <row r="8973" spans="1:76" x14ac:dyDescent="0.25">
      <c r="A8973" t="s">
        <v>8957</v>
      </c>
      <c r="R8973" t="s">
        <v>2424</v>
      </c>
      <c r="Z8973">
        <v>3.2</v>
      </c>
      <c r="AJ8973">
        <v>4.2</v>
      </c>
      <c r="AT8973">
        <v>5.5</v>
      </c>
      <c r="BC8973">
        <v>6</v>
      </c>
      <c r="BM8973">
        <v>7</v>
      </c>
      <c r="BW8973">
        <v>8</v>
      </c>
    </row>
    <row r="8974" spans="1:76" x14ac:dyDescent="0.25">
      <c r="A8974" t="s">
        <v>8996</v>
      </c>
      <c r="R8974" t="s">
        <v>2427</v>
      </c>
      <c r="Z8974" t="s">
        <v>9185</v>
      </c>
      <c r="AJ8974" t="s">
        <v>9181</v>
      </c>
      <c r="AT8974" t="s">
        <v>9248</v>
      </c>
      <c r="BM8974" t="s">
        <v>9187</v>
      </c>
      <c r="BW8974" t="s">
        <v>9188</v>
      </c>
    </row>
    <row r="8975" spans="1:76" x14ac:dyDescent="0.25">
      <c r="A8975" t="s">
        <v>7870</v>
      </c>
      <c r="R8975" t="s">
        <v>2431</v>
      </c>
      <c r="Z8975">
        <v>660</v>
      </c>
      <c r="AJ8975">
        <v>732</v>
      </c>
      <c r="AT8975">
        <v>750</v>
      </c>
      <c r="BC8975">
        <v>990</v>
      </c>
      <c r="BM8975">
        <v>1032</v>
      </c>
      <c r="BW8975">
        <v>1122</v>
      </c>
    </row>
    <row r="8976" spans="1:76" x14ac:dyDescent="0.25">
      <c r="A8976" t="s">
        <v>4984</v>
      </c>
      <c r="R8976" t="s">
        <v>2433</v>
      </c>
      <c r="Z8976" t="s">
        <v>9189</v>
      </c>
      <c r="AJ8976" t="s">
        <v>9189</v>
      </c>
      <c r="AT8976" t="s">
        <v>9189</v>
      </c>
      <c r="BM8976" t="s">
        <v>9190</v>
      </c>
      <c r="BW8976" t="s">
        <v>9190</v>
      </c>
    </row>
    <row r="8977" spans="1:75" x14ac:dyDescent="0.25">
      <c r="A8977" t="s">
        <v>9010</v>
      </c>
      <c r="R8977" t="s">
        <v>713</v>
      </c>
      <c r="Z8977">
        <v>10</v>
      </c>
      <c r="AJ8977">
        <v>10</v>
      </c>
      <c r="AT8977">
        <v>10</v>
      </c>
      <c r="BC8977">
        <v>14</v>
      </c>
      <c r="BM8977">
        <v>14</v>
      </c>
      <c r="BW8977">
        <v>14</v>
      </c>
    </row>
    <row r="8978" spans="1:75" x14ac:dyDescent="0.25">
      <c r="A8978" t="s">
        <v>1001</v>
      </c>
      <c r="R8978" t="s">
        <v>4986</v>
      </c>
      <c r="Z8978" t="s">
        <v>9249</v>
      </c>
      <c r="AJ8978" t="s">
        <v>9133</v>
      </c>
      <c r="AT8978" t="s">
        <v>9215</v>
      </c>
      <c r="BC8978">
        <v>-980</v>
      </c>
      <c r="BM8978" t="s">
        <v>9216</v>
      </c>
      <c r="BW8978" t="s">
        <v>9251</v>
      </c>
    </row>
    <row r="8980" spans="1:75" x14ac:dyDescent="0.25">
      <c r="A8980" t="s">
        <v>9449</v>
      </c>
    </row>
    <row r="8981" spans="1:75" x14ac:dyDescent="0.25">
      <c r="A8981" t="s">
        <v>9455</v>
      </c>
    </row>
    <row r="8982" spans="1:75" x14ac:dyDescent="0.25">
      <c r="A8982" t="s">
        <v>9462</v>
      </c>
    </row>
    <row r="8984" spans="1:75" x14ac:dyDescent="0.25">
      <c r="A8984" t="s">
        <v>8862</v>
      </c>
      <c r="G8984" t="s">
        <v>9463</v>
      </c>
    </row>
    <row r="8986" spans="1:75" x14ac:dyDescent="0.25">
      <c r="G8986" t="s">
        <v>4988</v>
      </c>
      <c r="AF8986" t="s">
        <v>9274</v>
      </c>
      <c r="AY8986" t="s">
        <v>9275</v>
      </c>
      <c r="BT8986" t="s">
        <v>9276</v>
      </c>
    </row>
    <row r="8987" spans="1:75" x14ac:dyDescent="0.25">
      <c r="G8987" t="s">
        <v>8937</v>
      </c>
      <c r="W8987" t="s">
        <v>2424</v>
      </c>
      <c r="AF8987">
        <v>2.5</v>
      </c>
      <c r="AY8987">
        <v>3.5</v>
      </c>
      <c r="BT8987">
        <v>4.5999999999999996</v>
      </c>
    </row>
    <row r="8988" spans="1:75" x14ac:dyDescent="0.25">
      <c r="G8988" t="s">
        <v>8996</v>
      </c>
      <c r="W8988" t="s">
        <v>2427</v>
      </c>
      <c r="AF8988" t="s">
        <v>9280</v>
      </c>
      <c r="AY8988" t="s">
        <v>9281</v>
      </c>
      <c r="BT8988" t="s">
        <v>9282</v>
      </c>
    </row>
    <row r="8989" spans="1:75" x14ac:dyDescent="0.25">
      <c r="G8989" t="s">
        <v>8957</v>
      </c>
      <c r="W8989" t="s">
        <v>2424</v>
      </c>
      <c r="AF8989">
        <v>3.2</v>
      </c>
      <c r="AY8989">
        <v>4.2</v>
      </c>
      <c r="BT8989">
        <v>5.5</v>
      </c>
    </row>
    <row r="8990" spans="1:75" x14ac:dyDescent="0.25">
      <c r="G8990" t="s">
        <v>8996</v>
      </c>
      <c r="W8990" t="s">
        <v>2427</v>
      </c>
      <c r="AF8990" t="s">
        <v>9280</v>
      </c>
      <c r="AY8990" t="s">
        <v>9281</v>
      </c>
      <c r="BT8990" t="s">
        <v>9283</v>
      </c>
    </row>
    <row r="8991" spans="1:75" x14ac:dyDescent="0.25">
      <c r="G8991" t="s">
        <v>7870</v>
      </c>
      <c r="W8991" t="s">
        <v>2431</v>
      </c>
      <c r="AF8991" t="s">
        <v>9464</v>
      </c>
      <c r="AY8991" t="s">
        <v>9465</v>
      </c>
      <c r="BT8991" t="s">
        <v>9466</v>
      </c>
    </row>
    <row r="8992" spans="1:75" x14ac:dyDescent="0.25">
      <c r="G8992" t="s">
        <v>4984</v>
      </c>
      <c r="W8992" t="s">
        <v>2433</v>
      </c>
      <c r="AF8992" t="s">
        <v>9284</v>
      </c>
      <c r="AY8992" t="s">
        <v>9284</v>
      </c>
      <c r="BT8992" t="s">
        <v>9284</v>
      </c>
    </row>
    <row r="8993" spans="1:77" x14ac:dyDescent="0.25">
      <c r="G8993" t="s">
        <v>9010</v>
      </c>
      <c r="W8993" t="s">
        <v>713</v>
      </c>
      <c r="AF8993">
        <v>11</v>
      </c>
      <c r="AY8993">
        <v>11</v>
      </c>
      <c r="BT8993">
        <v>12</v>
      </c>
    </row>
    <row r="8994" spans="1:77" x14ac:dyDescent="0.25">
      <c r="G8994" t="s">
        <v>1001</v>
      </c>
      <c r="W8994" t="s">
        <v>4986</v>
      </c>
      <c r="AF8994" t="s">
        <v>9285</v>
      </c>
      <c r="AY8994" t="s">
        <v>9286</v>
      </c>
      <c r="BT8994" t="s">
        <v>9287</v>
      </c>
    </row>
    <row r="8996" spans="1:77" x14ac:dyDescent="0.25">
      <c r="G8996" t="s">
        <v>3768</v>
      </c>
      <c r="W8996" t="s">
        <v>9049</v>
      </c>
      <c r="BE8996" t="s">
        <v>9050</v>
      </c>
      <c r="BY8996" t="s">
        <v>9051</v>
      </c>
    </row>
    <row r="8997" spans="1:77" x14ac:dyDescent="0.25">
      <c r="G8997" t="s">
        <v>9057</v>
      </c>
      <c r="W8997" t="s">
        <v>9058</v>
      </c>
    </row>
    <row r="8998" spans="1:77" x14ac:dyDescent="0.25">
      <c r="G8998" t="s">
        <v>9290</v>
      </c>
      <c r="W8998" t="s">
        <v>9291</v>
      </c>
    </row>
    <row r="8999" spans="1:77" x14ac:dyDescent="0.25">
      <c r="G8999" t="s">
        <v>9292</v>
      </c>
      <c r="W8999" t="s">
        <v>9293</v>
      </c>
    </row>
    <row r="9000" spans="1:77" x14ac:dyDescent="0.25">
      <c r="G9000" t="s">
        <v>9294</v>
      </c>
      <c r="W9000" t="s">
        <v>9295</v>
      </c>
      <c r="BY9000" t="s">
        <v>9296</v>
      </c>
    </row>
    <row r="9001" spans="1:77" x14ac:dyDescent="0.25">
      <c r="G9001" t="s">
        <v>9297</v>
      </c>
      <c r="W9001" t="s">
        <v>9298</v>
      </c>
      <c r="BY9001" t="s">
        <v>9296</v>
      </c>
    </row>
    <row r="9002" spans="1:77" x14ac:dyDescent="0.25">
      <c r="G9002" t="s">
        <v>9299</v>
      </c>
      <c r="W9002" t="s">
        <v>9300</v>
      </c>
      <c r="BY9002" t="s">
        <v>9296</v>
      </c>
    </row>
    <row r="9003" spans="1:77" x14ac:dyDescent="0.25">
      <c r="G9003" t="s">
        <v>9301</v>
      </c>
      <c r="W9003" t="s">
        <v>9302</v>
      </c>
      <c r="BY9003" t="s">
        <v>9296</v>
      </c>
    </row>
    <row r="9004" spans="1:77" x14ac:dyDescent="0.25">
      <c r="A9004" t="s">
        <v>8879</v>
      </c>
    </row>
    <row r="9005" spans="1:77" x14ac:dyDescent="0.25">
      <c r="A9005" t="s">
        <v>9467</v>
      </c>
    </row>
    <row r="9006" spans="1:77" x14ac:dyDescent="0.25">
      <c r="G9006" t="s">
        <v>4988</v>
      </c>
      <c r="AF9006" t="s">
        <v>9468</v>
      </c>
      <c r="AY9006" t="s">
        <v>9469</v>
      </c>
      <c r="BT9006" t="s">
        <v>9470</v>
      </c>
    </row>
    <row r="9007" spans="1:77" x14ac:dyDescent="0.25">
      <c r="G9007" t="s">
        <v>8937</v>
      </c>
      <c r="W9007" t="s">
        <v>2424</v>
      </c>
      <c r="AF9007">
        <v>2.5</v>
      </c>
      <c r="AY9007">
        <v>3.5</v>
      </c>
      <c r="BT9007">
        <v>4.5</v>
      </c>
    </row>
    <row r="9008" spans="1:77" x14ac:dyDescent="0.25">
      <c r="G9008" t="s">
        <v>8996</v>
      </c>
      <c r="W9008" t="s">
        <v>2427</v>
      </c>
      <c r="AF9008" t="s">
        <v>9471</v>
      </c>
      <c r="AY9008" t="s">
        <v>9472</v>
      </c>
      <c r="BT9008" t="s">
        <v>9473</v>
      </c>
    </row>
    <row r="9009" spans="1:77" x14ac:dyDescent="0.25">
      <c r="G9009" t="s">
        <v>8957</v>
      </c>
      <c r="W9009" t="s">
        <v>2424</v>
      </c>
      <c r="AF9009">
        <v>3.2</v>
      </c>
      <c r="AY9009">
        <v>4</v>
      </c>
      <c r="BT9009">
        <v>4.5</v>
      </c>
    </row>
    <row r="9010" spans="1:77" x14ac:dyDescent="0.25">
      <c r="G9010" t="s">
        <v>8996</v>
      </c>
      <c r="W9010" t="s">
        <v>2427</v>
      </c>
      <c r="AF9010" t="s">
        <v>9474</v>
      </c>
      <c r="AY9010" t="s">
        <v>9474</v>
      </c>
      <c r="BT9010" t="s">
        <v>9475</v>
      </c>
    </row>
    <row r="9011" spans="1:77" x14ac:dyDescent="0.25">
      <c r="G9011" t="s">
        <v>7870</v>
      </c>
      <c r="W9011" t="s">
        <v>2431</v>
      </c>
      <c r="AF9011">
        <v>726</v>
      </c>
      <c r="AY9011">
        <v>726</v>
      </c>
      <c r="BT9011">
        <v>642</v>
      </c>
    </row>
    <row r="9012" spans="1:77" x14ac:dyDescent="0.25">
      <c r="G9012" t="s">
        <v>4984</v>
      </c>
      <c r="W9012" t="s">
        <v>2433</v>
      </c>
      <c r="AF9012" t="s">
        <v>9331</v>
      </c>
      <c r="AY9012" t="s">
        <v>9331</v>
      </c>
      <c r="BT9012" t="s">
        <v>9331</v>
      </c>
    </row>
    <row r="9013" spans="1:77" x14ac:dyDescent="0.25">
      <c r="G9013" t="s">
        <v>9010</v>
      </c>
      <c r="W9013" t="s">
        <v>713</v>
      </c>
      <c r="AF9013">
        <v>14</v>
      </c>
      <c r="AY9013">
        <v>14</v>
      </c>
      <c r="BT9013">
        <v>14</v>
      </c>
    </row>
    <row r="9014" spans="1:77" x14ac:dyDescent="0.25">
      <c r="G9014" t="s">
        <v>1001</v>
      </c>
      <c r="W9014" t="s">
        <v>4986</v>
      </c>
      <c r="AF9014" t="s">
        <v>9249</v>
      </c>
      <c r="AY9014" t="s">
        <v>9332</v>
      </c>
      <c r="BT9014" t="s">
        <v>9333</v>
      </c>
    </row>
    <row r="9016" spans="1:77" x14ac:dyDescent="0.25">
      <c r="G9016" t="s">
        <v>3768</v>
      </c>
      <c r="W9016" t="s">
        <v>9049</v>
      </c>
      <c r="AX9016" t="s">
        <v>9050</v>
      </c>
      <c r="BY9016" t="s">
        <v>9051</v>
      </c>
    </row>
    <row r="9017" spans="1:77" x14ac:dyDescent="0.25">
      <c r="G9017" t="s">
        <v>9052</v>
      </c>
      <c r="W9017" t="s">
        <v>9053</v>
      </c>
    </row>
    <row r="9018" spans="1:77" x14ac:dyDescent="0.25">
      <c r="A9018" t="s">
        <v>9455</v>
      </c>
    </row>
    <row r="9019" spans="1:77" x14ac:dyDescent="0.25">
      <c r="A9019" t="s">
        <v>9476</v>
      </c>
    </row>
    <row r="9020" spans="1:77" x14ac:dyDescent="0.25">
      <c r="A9020" t="s">
        <v>9477</v>
      </c>
    </row>
    <row r="9021" spans="1:77" x14ac:dyDescent="0.25">
      <c r="A9021" t="s">
        <v>9478</v>
      </c>
    </row>
    <row r="9022" spans="1:77" x14ac:dyDescent="0.25">
      <c r="A9022" t="s">
        <v>4988</v>
      </c>
      <c r="Z9022" t="s">
        <v>9363</v>
      </c>
      <c r="AT9022" t="s">
        <v>9364</v>
      </c>
      <c r="BM9022" t="s">
        <v>9365</v>
      </c>
    </row>
    <row r="9023" spans="1:77" x14ac:dyDescent="0.25">
      <c r="A9023" t="s">
        <v>8937</v>
      </c>
      <c r="R9023" t="s">
        <v>2424</v>
      </c>
      <c r="Z9023">
        <v>2.5</v>
      </c>
      <c r="AT9023">
        <v>3.5</v>
      </c>
      <c r="BM9023">
        <v>5</v>
      </c>
    </row>
    <row r="9024" spans="1:77" x14ac:dyDescent="0.25">
      <c r="A9024" t="s">
        <v>8996</v>
      </c>
      <c r="R9024" t="s">
        <v>2427</v>
      </c>
      <c r="Z9024" t="s">
        <v>9369</v>
      </c>
      <c r="AT9024" t="s">
        <v>9370</v>
      </c>
      <c r="BM9024" t="s">
        <v>9371</v>
      </c>
    </row>
    <row r="9025" spans="1:72" x14ac:dyDescent="0.25">
      <c r="A9025" t="s">
        <v>8957</v>
      </c>
      <c r="R9025" t="s">
        <v>2424</v>
      </c>
      <c r="Z9025">
        <v>3.2</v>
      </c>
      <c r="AT9025">
        <v>4</v>
      </c>
      <c r="BM9025">
        <v>6</v>
      </c>
    </row>
    <row r="9026" spans="1:72" x14ac:dyDescent="0.25">
      <c r="A9026" t="s">
        <v>8996</v>
      </c>
      <c r="R9026" t="s">
        <v>2427</v>
      </c>
      <c r="Z9026" t="s">
        <v>9372</v>
      </c>
      <c r="AT9026" t="s">
        <v>9373</v>
      </c>
      <c r="BM9026" t="s">
        <v>9374</v>
      </c>
    </row>
    <row r="9027" spans="1:72" x14ac:dyDescent="0.25">
      <c r="A9027" t="s">
        <v>7870</v>
      </c>
      <c r="R9027" t="s">
        <v>2431</v>
      </c>
      <c r="Z9027" t="s">
        <v>9366</v>
      </c>
      <c r="AT9027" t="s">
        <v>9367</v>
      </c>
      <c r="BM9027" t="s">
        <v>9368</v>
      </c>
    </row>
    <row r="9028" spans="1:72" x14ac:dyDescent="0.25">
      <c r="A9028" t="s">
        <v>4984</v>
      </c>
      <c r="R9028" t="s">
        <v>2433</v>
      </c>
      <c r="Z9028" t="s">
        <v>9375</v>
      </c>
      <c r="AT9028" t="s">
        <v>9375</v>
      </c>
      <c r="BM9028" t="s">
        <v>9375</v>
      </c>
    </row>
    <row r="9029" spans="1:72" x14ac:dyDescent="0.25">
      <c r="A9029" t="s">
        <v>9010</v>
      </c>
      <c r="R9029" t="s">
        <v>713</v>
      </c>
      <c r="Z9029">
        <v>14</v>
      </c>
      <c r="AT9029">
        <v>14</v>
      </c>
      <c r="BM9029">
        <v>14</v>
      </c>
    </row>
    <row r="9030" spans="1:72" x14ac:dyDescent="0.25">
      <c r="A9030" t="s">
        <v>1001</v>
      </c>
      <c r="R9030" t="s">
        <v>4986</v>
      </c>
      <c r="Z9030" t="s">
        <v>9376</v>
      </c>
      <c r="AT9030" t="s">
        <v>9377</v>
      </c>
      <c r="BM9030" t="s">
        <v>9378</v>
      </c>
    </row>
    <row r="9032" spans="1:72" x14ac:dyDescent="0.25">
      <c r="A9032" t="s">
        <v>3768</v>
      </c>
      <c r="R9032" t="s">
        <v>9049</v>
      </c>
      <c r="AQ9032" t="s">
        <v>9050</v>
      </c>
      <c r="BT9032" t="s">
        <v>9051</v>
      </c>
    </row>
    <row r="9033" spans="1:72" x14ac:dyDescent="0.25">
      <c r="A9033" t="s">
        <v>9052</v>
      </c>
      <c r="R9033" t="s">
        <v>9053</v>
      </c>
    </row>
    <row r="9034" spans="1:72" x14ac:dyDescent="0.25">
      <c r="A9034" t="s">
        <v>9479</v>
      </c>
    </row>
    <row r="9035" spans="1:72" x14ac:dyDescent="0.25">
      <c r="A9035" t="s">
        <v>9480</v>
      </c>
    </row>
    <row r="9036" spans="1:72" x14ac:dyDescent="0.25">
      <c r="A9036" t="s">
        <v>4988</v>
      </c>
      <c r="Z9036" t="s">
        <v>9395</v>
      </c>
      <c r="AT9036" t="s">
        <v>9396</v>
      </c>
      <c r="BM9036" t="s">
        <v>9397</v>
      </c>
    </row>
    <row r="9037" spans="1:72" x14ac:dyDescent="0.25">
      <c r="A9037" t="s">
        <v>8937</v>
      </c>
      <c r="R9037" t="s">
        <v>2424</v>
      </c>
      <c r="Z9037">
        <v>2.5</v>
      </c>
      <c r="AT9037">
        <v>3.5</v>
      </c>
      <c r="BM9037">
        <v>5</v>
      </c>
    </row>
    <row r="9038" spans="1:72" x14ac:dyDescent="0.25">
      <c r="A9038" t="s">
        <v>8996</v>
      </c>
      <c r="R9038" t="s">
        <v>2427</v>
      </c>
      <c r="Z9038" t="s">
        <v>9369</v>
      </c>
      <c r="AT9038" t="s">
        <v>9370</v>
      </c>
      <c r="BM9038" t="s">
        <v>9371</v>
      </c>
    </row>
    <row r="9039" spans="1:72" x14ac:dyDescent="0.25">
      <c r="A9039" t="s">
        <v>8957</v>
      </c>
      <c r="R9039" t="s">
        <v>2424</v>
      </c>
      <c r="Z9039">
        <v>3.2</v>
      </c>
      <c r="AT9039">
        <v>4</v>
      </c>
      <c r="BM9039">
        <v>6</v>
      </c>
    </row>
    <row r="9040" spans="1:72" x14ac:dyDescent="0.25">
      <c r="A9040" t="s">
        <v>8996</v>
      </c>
      <c r="R9040" t="s">
        <v>2427</v>
      </c>
      <c r="Z9040" t="s">
        <v>9372</v>
      </c>
      <c r="AT9040" t="s">
        <v>9373</v>
      </c>
      <c r="BM9040" t="s">
        <v>9374</v>
      </c>
    </row>
    <row r="9041" spans="1:72" x14ac:dyDescent="0.25">
      <c r="A9041" t="s">
        <v>7870</v>
      </c>
      <c r="R9041" t="s">
        <v>2431</v>
      </c>
      <c r="Z9041" t="s">
        <v>9366</v>
      </c>
      <c r="AT9041" t="s">
        <v>9367</v>
      </c>
      <c r="BM9041" t="s">
        <v>9368</v>
      </c>
    </row>
    <row r="9042" spans="1:72" x14ac:dyDescent="0.25">
      <c r="A9042" t="s">
        <v>4984</v>
      </c>
      <c r="R9042" t="s">
        <v>2433</v>
      </c>
      <c r="Z9042" t="s">
        <v>9398</v>
      </c>
      <c r="AT9042" t="s">
        <v>9398</v>
      </c>
      <c r="BM9042" t="s">
        <v>9398</v>
      </c>
    </row>
    <row r="9043" spans="1:72" x14ac:dyDescent="0.25">
      <c r="A9043" t="s">
        <v>9010</v>
      </c>
      <c r="R9043" t="s">
        <v>713</v>
      </c>
      <c r="Z9043">
        <v>16</v>
      </c>
      <c r="AT9043">
        <v>16</v>
      </c>
      <c r="BM9043">
        <v>16</v>
      </c>
    </row>
    <row r="9044" spans="1:72" x14ac:dyDescent="0.25">
      <c r="A9044" t="s">
        <v>1001</v>
      </c>
      <c r="R9044" t="s">
        <v>4986</v>
      </c>
      <c r="Z9044" t="s">
        <v>9399</v>
      </c>
      <c r="AT9044" t="s">
        <v>9047</v>
      </c>
      <c r="BM9044" t="s">
        <v>9400</v>
      </c>
    </row>
    <row r="9046" spans="1:72" x14ac:dyDescent="0.25">
      <c r="A9046" t="s">
        <v>3768</v>
      </c>
      <c r="R9046" t="s">
        <v>9049</v>
      </c>
      <c r="AQ9046" t="s">
        <v>9050</v>
      </c>
      <c r="BT9046" t="s">
        <v>9051</v>
      </c>
    </row>
    <row r="9047" spans="1:72" x14ac:dyDescent="0.25">
      <c r="A9047" t="s">
        <v>9052</v>
      </c>
      <c r="R9047" t="s">
        <v>9053</v>
      </c>
    </row>
    <row r="9048" spans="1:72" x14ac:dyDescent="0.25">
      <c r="A9048" t="s">
        <v>9455</v>
      </c>
    </row>
    <row r="9049" spans="1:72" x14ac:dyDescent="0.25">
      <c r="A9049" t="s">
        <v>9481</v>
      </c>
    </row>
    <row r="9051" spans="1:72" x14ac:dyDescent="0.25">
      <c r="A9051" t="s">
        <v>8862</v>
      </c>
    </row>
    <row r="9053" spans="1:72" x14ac:dyDescent="0.25">
      <c r="G9053" t="s">
        <v>9482</v>
      </c>
    </row>
    <row r="9054" spans="1:72" x14ac:dyDescent="0.25">
      <c r="G9054" t="s">
        <v>4988</v>
      </c>
      <c r="AF9054" t="s">
        <v>9403</v>
      </c>
      <c r="AY9054" t="s">
        <v>9404</v>
      </c>
      <c r="BT9054" t="s">
        <v>9405</v>
      </c>
    </row>
    <row r="9055" spans="1:72" x14ac:dyDescent="0.25">
      <c r="G9055" t="s">
        <v>8937</v>
      </c>
      <c r="W9055" t="s">
        <v>2424</v>
      </c>
      <c r="AF9055">
        <v>2.5</v>
      </c>
      <c r="AY9055">
        <v>3.5</v>
      </c>
      <c r="BT9055">
        <v>5</v>
      </c>
    </row>
    <row r="9056" spans="1:72" x14ac:dyDescent="0.25">
      <c r="G9056" t="s">
        <v>8996</v>
      </c>
      <c r="W9056" t="s">
        <v>2427</v>
      </c>
      <c r="AF9056" t="s">
        <v>9483</v>
      </c>
      <c r="AY9056" t="s">
        <v>9484</v>
      </c>
      <c r="BT9056" t="s">
        <v>9485</v>
      </c>
    </row>
    <row r="9057" spans="1:77" x14ac:dyDescent="0.25">
      <c r="G9057" t="s">
        <v>8957</v>
      </c>
      <c r="W9057" t="s">
        <v>2424</v>
      </c>
      <c r="AF9057">
        <v>3.2</v>
      </c>
      <c r="AY9057">
        <v>4.2</v>
      </c>
      <c r="BT9057">
        <v>6</v>
      </c>
    </row>
    <row r="9058" spans="1:77" x14ac:dyDescent="0.25">
      <c r="G9058" t="s">
        <v>8996</v>
      </c>
      <c r="W9058" t="s">
        <v>2427</v>
      </c>
      <c r="AF9058" t="s">
        <v>9483</v>
      </c>
      <c r="AY9058" t="s">
        <v>9484</v>
      </c>
      <c r="BT9058" t="s">
        <v>9486</v>
      </c>
    </row>
    <row r="9059" spans="1:77" x14ac:dyDescent="0.25">
      <c r="G9059" t="s">
        <v>7870</v>
      </c>
      <c r="W9059" t="s">
        <v>2431</v>
      </c>
      <c r="AF9059" t="s">
        <v>9487</v>
      </c>
      <c r="AY9059" t="s">
        <v>9488</v>
      </c>
      <c r="BT9059" t="s">
        <v>9489</v>
      </c>
    </row>
    <row r="9060" spans="1:77" x14ac:dyDescent="0.25">
      <c r="G9060" t="s">
        <v>4984</v>
      </c>
      <c r="W9060" t="s">
        <v>2433</v>
      </c>
      <c r="AF9060" t="s">
        <v>9433</v>
      </c>
      <c r="AY9060" t="s">
        <v>9433</v>
      </c>
      <c r="BT9060" t="s">
        <v>9433</v>
      </c>
    </row>
    <row r="9061" spans="1:77" x14ac:dyDescent="0.25">
      <c r="G9061" t="s">
        <v>9010</v>
      </c>
      <c r="W9061" t="s">
        <v>713</v>
      </c>
      <c r="AF9061">
        <v>16</v>
      </c>
      <c r="AY9061">
        <v>16</v>
      </c>
      <c r="BT9061">
        <v>16</v>
      </c>
    </row>
    <row r="9062" spans="1:77" x14ac:dyDescent="0.25">
      <c r="G9062" t="s">
        <v>1001</v>
      </c>
      <c r="W9062" t="s">
        <v>4986</v>
      </c>
      <c r="AF9062" t="s">
        <v>9434</v>
      </c>
      <c r="AY9062" t="s">
        <v>9435</v>
      </c>
      <c r="BT9062" t="s">
        <v>9436</v>
      </c>
    </row>
    <row r="9064" spans="1:77" x14ac:dyDescent="0.25">
      <c r="G9064" t="s">
        <v>3768</v>
      </c>
      <c r="W9064" t="s">
        <v>9049</v>
      </c>
      <c r="AX9064" t="s">
        <v>9050</v>
      </c>
      <c r="BY9064" t="s">
        <v>9051</v>
      </c>
    </row>
    <row r="9065" spans="1:77" x14ac:dyDescent="0.25">
      <c r="G9065" t="s">
        <v>9052</v>
      </c>
      <c r="W9065" t="s">
        <v>9053</v>
      </c>
    </row>
    <row r="9068" spans="1:77" x14ac:dyDescent="0.25">
      <c r="A9068" t="s">
        <v>9490</v>
      </c>
    </row>
    <row r="9070" spans="1:77" x14ac:dyDescent="0.25">
      <c r="A9070" t="s">
        <v>9491</v>
      </c>
    </row>
    <row r="9072" spans="1:77" x14ac:dyDescent="0.25">
      <c r="G9072" t="s">
        <v>4988</v>
      </c>
      <c r="AF9072" t="s">
        <v>9492</v>
      </c>
      <c r="AY9072" t="s">
        <v>9493</v>
      </c>
      <c r="BT9072" t="s">
        <v>9494</v>
      </c>
    </row>
    <row r="9073" spans="1:72" x14ac:dyDescent="0.25">
      <c r="G9073" t="s">
        <v>8937</v>
      </c>
      <c r="W9073" t="s">
        <v>2424</v>
      </c>
      <c r="AF9073">
        <v>2.7</v>
      </c>
      <c r="AY9073">
        <v>3.7</v>
      </c>
      <c r="BT9073">
        <v>4.5</v>
      </c>
    </row>
    <row r="9074" spans="1:72" x14ac:dyDescent="0.25">
      <c r="G9074" t="s">
        <v>8996</v>
      </c>
      <c r="W9074" t="s">
        <v>2427</v>
      </c>
      <c r="AF9074" t="s">
        <v>9495</v>
      </c>
      <c r="AY9074" t="s">
        <v>9496</v>
      </c>
      <c r="BT9074" t="s">
        <v>9497</v>
      </c>
    </row>
    <row r="9075" spans="1:72" x14ac:dyDescent="0.25">
      <c r="G9075" t="s">
        <v>8957</v>
      </c>
      <c r="W9075" t="s">
        <v>2424</v>
      </c>
      <c r="AF9075">
        <v>4</v>
      </c>
      <c r="AY9075">
        <v>5</v>
      </c>
      <c r="BT9075">
        <v>5.5</v>
      </c>
    </row>
    <row r="9076" spans="1:72" x14ac:dyDescent="0.25">
      <c r="G9076" t="s">
        <v>8996</v>
      </c>
      <c r="W9076" t="s">
        <v>2427</v>
      </c>
      <c r="AF9076" t="s">
        <v>9495</v>
      </c>
      <c r="AY9076" t="s">
        <v>9498</v>
      </c>
      <c r="BT9076" t="s">
        <v>9499</v>
      </c>
    </row>
    <row r="9077" spans="1:72" x14ac:dyDescent="0.25">
      <c r="G9077" t="s">
        <v>7870</v>
      </c>
      <c r="W9077" t="s">
        <v>2431</v>
      </c>
      <c r="AF9077" t="s">
        <v>9500</v>
      </c>
      <c r="AY9077" t="s">
        <v>9501</v>
      </c>
      <c r="BT9077" t="s">
        <v>9502</v>
      </c>
    </row>
    <row r="9078" spans="1:72" x14ac:dyDescent="0.25">
      <c r="G9078" t="s">
        <v>4984</v>
      </c>
      <c r="W9078" t="s">
        <v>2433</v>
      </c>
      <c r="AF9078" t="s">
        <v>9503</v>
      </c>
      <c r="AY9078" t="s">
        <v>9503</v>
      </c>
      <c r="BT9078" t="s">
        <v>9503</v>
      </c>
    </row>
    <row r="9079" spans="1:72" x14ac:dyDescent="0.25">
      <c r="G9079" t="s">
        <v>9010</v>
      </c>
      <c r="W9079" t="s">
        <v>713</v>
      </c>
      <c r="AF9079">
        <v>15</v>
      </c>
      <c r="AY9079">
        <v>15</v>
      </c>
      <c r="BT9079">
        <v>15</v>
      </c>
    </row>
    <row r="9080" spans="1:72" x14ac:dyDescent="0.25">
      <c r="G9080" t="s">
        <v>9504</v>
      </c>
      <c r="W9080" t="s">
        <v>2433</v>
      </c>
      <c r="AF9080" t="s">
        <v>9505</v>
      </c>
      <c r="AY9080" t="s">
        <v>9505</v>
      </c>
      <c r="BT9080" t="s">
        <v>9505</v>
      </c>
    </row>
    <row r="9081" spans="1:72" x14ac:dyDescent="0.25">
      <c r="G9081" t="s">
        <v>9506</v>
      </c>
      <c r="W9081" t="s">
        <v>713</v>
      </c>
      <c r="AF9081">
        <v>3</v>
      </c>
      <c r="AY9081">
        <v>3</v>
      </c>
      <c r="BT9081">
        <v>3</v>
      </c>
    </row>
    <row r="9082" spans="1:72" x14ac:dyDescent="0.25">
      <c r="G9082" t="s">
        <v>1001</v>
      </c>
      <c r="W9082" t="s">
        <v>4986</v>
      </c>
      <c r="AF9082" t="s">
        <v>9507</v>
      </c>
      <c r="AY9082" t="s">
        <v>9508</v>
      </c>
      <c r="BT9082" t="s">
        <v>9509</v>
      </c>
    </row>
    <row r="9084" spans="1:72" x14ac:dyDescent="0.25">
      <c r="G9084" t="s">
        <v>3768</v>
      </c>
      <c r="W9084" t="s">
        <v>9049</v>
      </c>
      <c r="BM9084" t="s">
        <v>9051</v>
      </c>
    </row>
    <row r="9085" spans="1:72" x14ac:dyDescent="0.25">
      <c r="G9085" t="s">
        <v>9510</v>
      </c>
      <c r="W9085" t="s">
        <v>9511</v>
      </c>
      <c r="BM9085" t="s">
        <v>9512</v>
      </c>
    </row>
    <row r="9086" spans="1:72" x14ac:dyDescent="0.25">
      <c r="G9086" t="s">
        <v>9513</v>
      </c>
      <c r="W9086" t="s">
        <v>9514</v>
      </c>
      <c r="BM9086" t="s">
        <v>9515</v>
      </c>
    </row>
    <row r="9087" spans="1:72" x14ac:dyDescent="0.25">
      <c r="G9087" t="s">
        <v>9516</v>
      </c>
      <c r="W9087" t="s">
        <v>9517</v>
      </c>
      <c r="BM9087" t="s">
        <v>9518</v>
      </c>
    </row>
    <row r="9088" spans="1:72" x14ac:dyDescent="0.25">
      <c r="A9088" t="s">
        <v>9455</v>
      </c>
    </row>
    <row r="9089" spans="1:88" x14ac:dyDescent="0.25">
      <c r="A9089" t="s">
        <v>9519</v>
      </c>
    </row>
    <row r="9090" spans="1:88" x14ac:dyDescent="0.25">
      <c r="CJ9090" t="s">
        <v>8862</v>
      </c>
    </row>
    <row r="9092" spans="1:88" x14ac:dyDescent="0.25">
      <c r="A9092" t="s">
        <v>9520</v>
      </c>
    </row>
    <row r="9093" spans="1:88" x14ac:dyDescent="0.25">
      <c r="A9093" t="s">
        <v>4988</v>
      </c>
      <c r="Z9093" t="s">
        <v>9521</v>
      </c>
      <c r="AK9093" t="s">
        <v>9522</v>
      </c>
      <c r="AX9093" t="s">
        <v>9523</v>
      </c>
      <c r="BJ9093" t="s">
        <v>9524</v>
      </c>
      <c r="BT9093" t="s">
        <v>9525</v>
      </c>
    </row>
    <row r="9094" spans="1:88" x14ac:dyDescent="0.25">
      <c r="A9094" t="s">
        <v>8937</v>
      </c>
      <c r="R9094" t="s">
        <v>2424</v>
      </c>
      <c r="Z9094">
        <v>2.7</v>
      </c>
      <c r="AK9094">
        <v>3.7</v>
      </c>
      <c r="AX9094" t="s">
        <v>9526</v>
      </c>
      <c r="BJ9094">
        <v>6</v>
      </c>
      <c r="BT9094">
        <v>7</v>
      </c>
    </row>
    <row r="9095" spans="1:88" x14ac:dyDescent="0.25">
      <c r="A9095" t="s">
        <v>8996</v>
      </c>
      <c r="R9095" t="s">
        <v>2427</v>
      </c>
      <c r="Z9095" t="s">
        <v>9527</v>
      </c>
      <c r="AK9095" t="s">
        <v>9528</v>
      </c>
      <c r="AX9095" t="s">
        <v>9529</v>
      </c>
      <c r="BJ9095" t="s">
        <v>9530</v>
      </c>
      <c r="BT9095" t="s">
        <v>9531</v>
      </c>
    </row>
    <row r="9096" spans="1:88" x14ac:dyDescent="0.25">
      <c r="A9096" t="s">
        <v>8957</v>
      </c>
      <c r="R9096" t="s">
        <v>2424</v>
      </c>
      <c r="Z9096">
        <v>4</v>
      </c>
      <c r="AK9096">
        <v>5</v>
      </c>
      <c r="AX9096" t="s">
        <v>9232</v>
      </c>
      <c r="BJ9096">
        <v>7</v>
      </c>
      <c r="BT9096">
        <v>8</v>
      </c>
    </row>
    <row r="9097" spans="1:88" x14ac:dyDescent="0.25">
      <c r="A9097" t="s">
        <v>8996</v>
      </c>
      <c r="R9097" t="s">
        <v>2427</v>
      </c>
      <c r="Z9097" t="s">
        <v>9527</v>
      </c>
      <c r="AK9097" t="s">
        <v>9528</v>
      </c>
      <c r="AX9097" t="s">
        <v>9532</v>
      </c>
      <c r="BJ9097" t="s">
        <v>9530</v>
      </c>
      <c r="BT9097" t="s">
        <v>9531</v>
      </c>
    </row>
    <row r="9098" spans="1:88" x14ac:dyDescent="0.25">
      <c r="A9098" t="s">
        <v>7870</v>
      </c>
      <c r="R9098" t="s">
        <v>2431</v>
      </c>
      <c r="Z9098">
        <v>570</v>
      </c>
      <c r="AK9098">
        <v>610</v>
      </c>
      <c r="AX9098" t="s">
        <v>9533</v>
      </c>
      <c r="BJ9098">
        <v>1000</v>
      </c>
      <c r="BT9098">
        <v>1060</v>
      </c>
    </row>
    <row r="9099" spans="1:88" x14ac:dyDescent="0.25">
      <c r="A9099" t="s">
        <v>9534</v>
      </c>
      <c r="R9099" t="s">
        <v>9535</v>
      </c>
      <c r="Z9099" t="s">
        <v>9536</v>
      </c>
      <c r="AK9099" t="s">
        <v>9536</v>
      </c>
      <c r="AX9099" t="s">
        <v>9536</v>
      </c>
      <c r="BJ9099" t="s">
        <v>9536</v>
      </c>
      <c r="BT9099" t="s">
        <v>9536</v>
      </c>
    </row>
    <row r="9100" spans="1:88" x14ac:dyDescent="0.25">
      <c r="A9100" t="s">
        <v>4984</v>
      </c>
      <c r="R9100" t="s">
        <v>2433</v>
      </c>
      <c r="Z9100" t="s">
        <v>9537</v>
      </c>
      <c r="AK9100" t="s">
        <v>9537</v>
      </c>
      <c r="AX9100" t="s">
        <v>9538</v>
      </c>
      <c r="BJ9100" t="s">
        <v>9539</v>
      </c>
      <c r="BT9100" t="s">
        <v>9539</v>
      </c>
    </row>
    <row r="9101" spans="1:88" x14ac:dyDescent="0.25">
      <c r="A9101" t="s">
        <v>9010</v>
      </c>
      <c r="R9101" t="s">
        <v>713</v>
      </c>
      <c r="Z9101">
        <v>16</v>
      </c>
      <c r="AK9101">
        <v>16</v>
      </c>
      <c r="AX9101" t="s">
        <v>9540</v>
      </c>
      <c r="BJ9101">
        <v>22</v>
      </c>
      <c r="BT9101">
        <v>22</v>
      </c>
    </row>
    <row r="9102" spans="1:88" x14ac:dyDescent="0.25">
      <c r="A9102" t="s">
        <v>1001</v>
      </c>
      <c r="R9102" t="s">
        <v>4986</v>
      </c>
      <c r="Z9102" t="s">
        <v>9541</v>
      </c>
      <c r="AK9102" t="s">
        <v>9542</v>
      </c>
      <c r="AX9102" t="s">
        <v>9543</v>
      </c>
      <c r="BJ9102" t="s">
        <v>9544</v>
      </c>
      <c r="BT9102" t="s">
        <v>9545</v>
      </c>
    </row>
    <row r="9104" spans="1:88" x14ac:dyDescent="0.25">
      <c r="A9104" t="s">
        <v>3768</v>
      </c>
      <c r="R9104" t="s">
        <v>9049</v>
      </c>
      <c r="AQ9104" t="s">
        <v>9050</v>
      </c>
      <c r="BT9104" t="s">
        <v>9051</v>
      </c>
    </row>
    <row r="9105" spans="1:81" x14ac:dyDescent="0.25">
      <c r="A9105" t="s">
        <v>9052</v>
      </c>
      <c r="R9105" t="s">
        <v>9053</v>
      </c>
    </row>
    <row r="9106" spans="1:81" x14ac:dyDescent="0.25">
      <c r="A9106" t="s">
        <v>9516</v>
      </c>
      <c r="R9106" t="s">
        <v>9517</v>
      </c>
      <c r="BT9106" t="s">
        <v>9518</v>
      </c>
    </row>
    <row r="9107" spans="1:81" x14ac:dyDescent="0.25">
      <c r="A9107" t="s">
        <v>9455</v>
      </c>
    </row>
    <row r="9109" spans="1:81" x14ac:dyDescent="0.25">
      <c r="A9109" t="s">
        <v>8862</v>
      </c>
    </row>
    <row r="9110" spans="1:81" x14ac:dyDescent="0.25">
      <c r="G9110" t="s">
        <v>9546</v>
      </c>
    </row>
    <row r="9113" spans="1:81" x14ac:dyDescent="0.25">
      <c r="G9113" t="s">
        <v>9547</v>
      </c>
    </row>
    <row r="9116" spans="1:81" x14ac:dyDescent="0.25">
      <c r="A9116" t="s">
        <v>9548</v>
      </c>
    </row>
    <row r="9117" spans="1:81" x14ac:dyDescent="0.25">
      <c r="G9117" t="s">
        <v>5025</v>
      </c>
      <c r="AF9117" t="s">
        <v>9549</v>
      </c>
      <c r="AY9117" t="s">
        <v>9550</v>
      </c>
      <c r="BT9117" t="s">
        <v>9551</v>
      </c>
      <c r="CC9117" t="s">
        <v>9552</v>
      </c>
    </row>
    <row r="9118" spans="1:81" x14ac:dyDescent="0.25">
      <c r="G9118" t="s">
        <v>8937</v>
      </c>
      <c r="X9118" t="s">
        <v>2424</v>
      </c>
      <c r="AF9118">
        <v>4</v>
      </c>
      <c r="AO9118">
        <v>5.2</v>
      </c>
      <c r="AY9118">
        <v>5.2</v>
      </c>
      <c r="BJ9118">
        <v>7</v>
      </c>
      <c r="BT9118">
        <v>8</v>
      </c>
      <c r="CC9118">
        <v>10</v>
      </c>
    </row>
    <row r="9119" spans="1:81" x14ac:dyDescent="0.25">
      <c r="G9119" t="s">
        <v>8938</v>
      </c>
      <c r="X9119" t="s">
        <v>2424</v>
      </c>
      <c r="AF9119" t="s">
        <v>9553</v>
      </c>
      <c r="AO9119" t="s">
        <v>9554</v>
      </c>
      <c r="AY9119" t="s">
        <v>9555</v>
      </c>
      <c r="BJ9119" t="s">
        <v>9556</v>
      </c>
      <c r="BT9119" t="s">
        <v>9557</v>
      </c>
      <c r="CC9119" t="s">
        <v>9558</v>
      </c>
    </row>
    <row r="9120" spans="1:81" x14ac:dyDescent="0.25">
      <c r="G9120" t="s">
        <v>8945</v>
      </c>
      <c r="X9120" t="s">
        <v>2424</v>
      </c>
      <c r="AF9120">
        <v>0.85</v>
      </c>
      <c r="AO9120">
        <v>1.2</v>
      </c>
      <c r="AY9120">
        <v>1</v>
      </c>
      <c r="BJ9120">
        <v>1.75</v>
      </c>
      <c r="BT9120">
        <v>1.9</v>
      </c>
      <c r="CC9120">
        <v>2.6</v>
      </c>
    </row>
    <row r="9121" spans="7:81" x14ac:dyDescent="0.25">
      <c r="G9121" t="s">
        <v>8953</v>
      </c>
      <c r="X9121" t="s">
        <v>4905</v>
      </c>
      <c r="AF9121">
        <v>4.71</v>
      </c>
      <c r="AO9121">
        <v>4.33</v>
      </c>
      <c r="AY9121">
        <v>5.2</v>
      </c>
      <c r="BJ9121">
        <v>4</v>
      </c>
      <c r="BT9121">
        <v>4.21</v>
      </c>
      <c r="CC9121">
        <v>3.85</v>
      </c>
    </row>
    <row r="9122" spans="7:81" x14ac:dyDescent="0.25">
      <c r="G9122" t="s">
        <v>8955</v>
      </c>
      <c r="AF9122">
        <v>8.6999999999999993</v>
      </c>
      <c r="AO9122">
        <v>8.6999999999999993</v>
      </c>
      <c r="AY9122">
        <v>8.6</v>
      </c>
      <c r="BJ9122">
        <v>8.5</v>
      </c>
      <c r="BT9122">
        <v>8.3000000000000007</v>
      </c>
      <c r="CC9122">
        <v>7.2</v>
      </c>
    </row>
    <row r="9123" spans="7:81" x14ac:dyDescent="0.25">
      <c r="G9123" t="s">
        <v>4977</v>
      </c>
      <c r="AF9123" t="s">
        <v>2879</v>
      </c>
      <c r="AO9123" t="s">
        <v>2879</v>
      </c>
      <c r="AY9123" t="s">
        <v>2879</v>
      </c>
      <c r="BJ9123" t="s">
        <v>2879</v>
      </c>
      <c r="BT9123" t="s">
        <v>2880</v>
      </c>
      <c r="CC9123" t="s">
        <v>2880</v>
      </c>
    </row>
    <row r="9124" spans="7:81" x14ac:dyDescent="0.25">
      <c r="G9124" t="s">
        <v>9358</v>
      </c>
      <c r="X9124" t="s">
        <v>4918</v>
      </c>
      <c r="AF9124" t="s">
        <v>8956</v>
      </c>
      <c r="AO9124" t="s">
        <v>8956</v>
      </c>
      <c r="AY9124" t="s">
        <v>8956</v>
      </c>
      <c r="BJ9124" t="s">
        <v>8956</v>
      </c>
      <c r="BT9124" t="s">
        <v>8956</v>
      </c>
      <c r="CC9124" t="s">
        <v>8956</v>
      </c>
    </row>
    <row r="9125" spans="7:81" x14ac:dyDescent="0.25">
      <c r="G9125" t="s">
        <v>8957</v>
      </c>
      <c r="X9125" t="s">
        <v>2424</v>
      </c>
      <c r="AF9125">
        <v>4.4000000000000004</v>
      </c>
      <c r="AO9125">
        <v>5.6</v>
      </c>
      <c r="AY9125">
        <v>6.8</v>
      </c>
      <c r="BJ9125">
        <v>8.6999999999999993</v>
      </c>
      <c r="BT9125">
        <v>9</v>
      </c>
      <c r="CC9125">
        <v>12</v>
      </c>
    </row>
    <row r="9126" spans="7:81" x14ac:dyDescent="0.25">
      <c r="G9126" t="s">
        <v>4979</v>
      </c>
      <c r="X9126" t="s">
        <v>4918</v>
      </c>
      <c r="AF9126" t="s">
        <v>9105</v>
      </c>
      <c r="AO9126" t="s">
        <v>9105</v>
      </c>
      <c r="AY9126" t="s">
        <v>9105</v>
      </c>
      <c r="BJ9126" t="s">
        <v>9105</v>
      </c>
      <c r="BT9126" t="s">
        <v>9105</v>
      </c>
      <c r="CC9126" t="s">
        <v>9105</v>
      </c>
    </row>
    <row r="9127" spans="7:81" x14ac:dyDescent="0.25">
      <c r="G9127" t="s">
        <v>8945</v>
      </c>
      <c r="X9127" t="s">
        <v>2424</v>
      </c>
      <c r="AF9127">
        <v>0.9</v>
      </c>
      <c r="AO9127">
        <v>1.1399999999999999</v>
      </c>
      <c r="AY9127">
        <v>1.45</v>
      </c>
      <c r="BJ9127">
        <v>2</v>
      </c>
      <c r="BT9127">
        <v>1.9</v>
      </c>
      <c r="CC9127">
        <v>2.8</v>
      </c>
    </row>
    <row r="9128" spans="7:81" x14ac:dyDescent="0.25">
      <c r="G9128" t="s">
        <v>8971</v>
      </c>
      <c r="X9128" t="s">
        <v>4905</v>
      </c>
      <c r="AF9128">
        <v>4.8899999999999997</v>
      </c>
      <c r="AO9128">
        <v>4.91</v>
      </c>
      <c r="AY9128">
        <v>4.6900000000000004</v>
      </c>
      <c r="BJ9128">
        <v>4.3499999999999996</v>
      </c>
      <c r="BT9128">
        <v>4.74</v>
      </c>
      <c r="CC9128">
        <v>4.29</v>
      </c>
    </row>
    <row r="9129" spans="7:81" x14ac:dyDescent="0.25">
      <c r="G9129" t="s">
        <v>8973</v>
      </c>
      <c r="AF9129">
        <v>4.8</v>
      </c>
      <c r="AO9129">
        <v>4.8</v>
      </c>
      <c r="AY9129">
        <v>4.8</v>
      </c>
      <c r="BJ9129">
        <v>4.5999999999999996</v>
      </c>
      <c r="BT9129">
        <v>4.5</v>
      </c>
      <c r="CC9129">
        <v>4.3</v>
      </c>
    </row>
    <row r="9130" spans="7:81" x14ac:dyDescent="0.25">
      <c r="G9130" t="s">
        <v>4977</v>
      </c>
      <c r="AF9130" t="s">
        <v>2880</v>
      </c>
      <c r="AO9130" t="s">
        <v>2880</v>
      </c>
      <c r="AY9130" t="s">
        <v>2880</v>
      </c>
      <c r="BJ9130" t="s">
        <v>2880</v>
      </c>
      <c r="BT9130" t="s">
        <v>2880</v>
      </c>
      <c r="CC9130" t="s">
        <v>2880</v>
      </c>
    </row>
    <row r="9131" spans="7:81" x14ac:dyDescent="0.25">
      <c r="G9131" t="s">
        <v>8958</v>
      </c>
      <c r="X9131" t="s">
        <v>2424</v>
      </c>
      <c r="AF9131" t="s">
        <v>9559</v>
      </c>
      <c r="AO9131" t="s">
        <v>9560</v>
      </c>
      <c r="AY9131" t="s">
        <v>9561</v>
      </c>
      <c r="BJ9131" t="s">
        <v>9562</v>
      </c>
      <c r="BT9131" t="s">
        <v>9563</v>
      </c>
      <c r="CC9131" t="s">
        <v>9564</v>
      </c>
    </row>
    <row r="9132" spans="7:81" x14ac:dyDescent="0.25">
      <c r="G9132" t="s">
        <v>8975</v>
      </c>
      <c r="X9132" t="s">
        <v>2442</v>
      </c>
      <c r="AF9132" t="s">
        <v>9165</v>
      </c>
      <c r="AO9132" t="s">
        <v>9165</v>
      </c>
      <c r="AY9132" t="s">
        <v>9165</v>
      </c>
      <c r="BJ9132" t="s">
        <v>9165</v>
      </c>
      <c r="BT9132" t="s">
        <v>9165</v>
      </c>
      <c r="CC9132" t="s">
        <v>9165</v>
      </c>
    </row>
    <row r="9133" spans="7:81" x14ac:dyDescent="0.25">
      <c r="G9133" t="s">
        <v>4982</v>
      </c>
      <c r="X9133" t="s">
        <v>4911</v>
      </c>
      <c r="AF9133">
        <v>10</v>
      </c>
      <c r="AO9133">
        <v>16</v>
      </c>
      <c r="AY9133">
        <v>16</v>
      </c>
      <c r="BJ9133">
        <v>16</v>
      </c>
      <c r="BT9133">
        <v>20</v>
      </c>
      <c r="CC9133">
        <v>20</v>
      </c>
    </row>
    <row r="9134" spans="7:81" x14ac:dyDescent="0.25">
      <c r="G9134" t="s">
        <v>8996</v>
      </c>
      <c r="X9134" t="s">
        <v>2427</v>
      </c>
      <c r="AF9134">
        <v>49</v>
      </c>
      <c r="AO9134">
        <v>48</v>
      </c>
      <c r="AY9134">
        <v>48</v>
      </c>
      <c r="BJ9134">
        <v>50</v>
      </c>
      <c r="BT9134">
        <v>50</v>
      </c>
      <c r="CC9134">
        <v>52</v>
      </c>
    </row>
    <row r="9135" spans="7:81" x14ac:dyDescent="0.25">
      <c r="G9135" t="s">
        <v>8996</v>
      </c>
      <c r="X9135" t="s">
        <v>2427</v>
      </c>
      <c r="AF9135">
        <v>52</v>
      </c>
      <c r="AO9135">
        <v>50</v>
      </c>
      <c r="AY9135">
        <v>52</v>
      </c>
      <c r="BJ9135">
        <v>52</v>
      </c>
      <c r="BT9135">
        <v>52</v>
      </c>
      <c r="CC9135">
        <v>56</v>
      </c>
    </row>
    <row r="9136" spans="7:81" x14ac:dyDescent="0.25">
      <c r="G9136" t="s">
        <v>9033</v>
      </c>
      <c r="X9136" t="s">
        <v>551</v>
      </c>
      <c r="AF9136">
        <v>30</v>
      </c>
      <c r="AO9136">
        <v>30</v>
      </c>
      <c r="AY9136">
        <v>50</v>
      </c>
      <c r="BJ9136">
        <v>70</v>
      </c>
      <c r="BT9136">
        <v>70</v>
      </c>
      <c r="CC9136">
        <v>80</v>
      </c>
    </row>
    <row r="9137" spans="1:88" x14ac:dyDescent="0.25">
      <c r="G9137" t="s">
        <v>9565</v>
      </c>
      <c r="X9137" t="s">
        <v>551</v>
      </c>
      <c r="AF9137">
        <v>2</v>
      </c>
      <c r="AO9137">
        <v>2</v>
      </c>
      <c r="AY9137">
        <v>2</v>
      </c>
      <c r="BJ9137">
        <v>2</v>
      </c>
      <c r="BT9137">
        <v>2</v>
      </c>
      <c r="CC9137">
        <v>2</v>
      </c>
    </row>
    <row r="9138" spans="1:88" x14ac:dyDescent="0.25">
      <c r="G9138" t="s">
        <v>9566</v>
      </c>
      <c r="X9138" t="s">
        <v>551</v>
      </c>
      <c r="AF9138">
        <v>20</v>
      </c>
      <c r="AO9138">
        <v>20</v>
      </c>
      <c r="AY9138">
        <v>25</v>
      </c>
      <c r="BJ9138">
        <v>25</v>
      </c>
      <c r="BT9138">
        <v>25</v>
      </c>
      <c r="CC9138">
        <v>25</v>
      </c>
    </row>
    <row r="9139" spans="1:88" x14ac:dyDescent="0.25">
      <c r="G9139" t="s">
        <v>9034</v>
      </c>
      <c r="X9139" t="s">
        <v>551</v>
      </c>
      <c r="AF9139">
        <v>10</v>
      </c>
      <c r="AO9139">
        <v>10</v>
      </c>
      <c r="AY9139">
        <v>10</v>
      </c>
      <c r="BJ9139">
        <v>15</v>
      </c>
      <c r="BT9139">
        <v>15</v>
      </c>
      <c r="CC9139">
        <v>15</v>
      </c>
    </row>
    <row r="9140" spans="1:88" x14ac:dyDescent="0.25">
      <c r="G9140" t="s">
        <v>9035</v>
      </c>
      <c r="AF9140" t="s">
        <v>9037</v>
      </c>
      <c r="AO9140" t="s">
        <v>9037</v>
      </c>
      <c r="AY9140" t="s">
        <v>9037</v>
      </c>
      <c r="BJ9140" t="s">
        <v>9037</v>
      </c>
      <c r="BT9140" t="s">
        <v>9037</v>
      </c>
      <c r="CC9140" t="s">
        <v>9037</v>
      </c>
    </row>
    <row r="9141" spans="1:88" x14ac:dyDescent="0.25">
      <c r="G9141" t="s">
        <v>4983</v>
      </c>
      <c r="AF9141" t="s">
        <v>2440</v>
      </c>
      <c r="AO9141" t="s">
        <v>2440</v>
      </c>
      <c r="AY9141" t="s">
        <v>2440</v>
      </c>
      <c r="BJ9141" t="s">
        <v>2440</v>
      </c>
      <c r="BT9141" t="s">
        <v>2440</v>
      </c>
      <c r="CC9141" t="s">
        <v>2440</v>
      </c>
    </row>
    <row r="9142" spans="1:88" x14ac:dyDescent="0.25">
      <c r="G9142" t="s">
        <v>9038</v>
      </c>
      <c r="X9142" t="s">
        <v>713</v>
      </c>
      <c r="AF9142">
        <v>0.95</v>
      </c>
      <c r="AO9142">
        <v>1.2</v>
      </c>
      <c r="AY9142">
        <v>1.25</v>
      </c>
      <c r="BJ9142">
        <v>1.9</v>
      </c>
      <c r="BT9142">
        <v>2.0499999999999998</v>
      </c>
      <c r="CC9142">
        <v>2.39</v>
      </c>
    </row>
    <row r="9143" spans="1:88" x14ac:dyDescent="0.25">
      <c r="G9143" t="s">
        <v>4984</v>
      </c>
      <c r="X9143" t="s">
        <v>2433</v>
      </c>
      <c r="AF9143" t="s">
        <v>9041</v>
      </c>
      <c r="AO9143" t="s">
        <v>4985</v>
      </c>
      <c r="AY9143" t="s">
        <v>4985</v>
      </c>
      <c r="BJ9143" t="s">
        <v>9567</v>
      </c>
      <c r="BT9143" t="s">
        <v>9567</v>
      </c>
      <c r="CC9143" t="s">
        <v>9567</v>
      </c>
    </row>
    <row r="9144" spans="1:88" x14ac:dyDescent="0.25">
      <c r="G9144" t="s">
        <v>9010</v>
      </c>
      <c r="X9144" t="s">
        <v>713</v>
      </c>
      <c r="AF9144">
        <v>35</v>
      </c>
      <c r="AO9144">
        <v>43</v>
      </c>
      <c r="AY9144">
        <v>44</v>
      </c>
      <c r="BJ9144">
        <v>72</v>
      </c>
      <c r="BT9144">
        <v>72</v>
      </c>
      <c r="CC9144">
        <v>78</v>
      </c>
    </row>
    <row r="9145" spans="1:88" x14ac:dyDescent="0.25">
      <c r="G9145" t="s">
        <v>1001</v>
      </c>
      <c r="X9145" t="s">
        <v>4986</v>
      </c>
      <c r="AF9145" t="s">
        <v>9568</v>
      </c>
      <c r="AO9145" t="s">
        <v>9569</v>
      </c>
      <c r="AY9145" t="s">
        <v>9361</v>
      </c>
      <c r="BJ9145" t="s">
        <v>9570</v>
      </c>
      <c r="BT9145" t="s">
        <v>9571</v>
      </c>
      <c r="CC9145" t="s">
        <v>9572</v>
      </c>
    </row>
    <row r="9146" spans="1:88" x14ac:dyDescent="0.25">
      <c r="A9146" t="s">
        <v>9573</v>
      </c>
    </row>
    <row r="9147" spans="1:88" x14ac:dyDescent="0.25">
      <c r="CJ9147" t="s">
        <v>8862</v>
      </c>
    </row>
    <row r="9150" spans="1:88" x14ac:dyDescent="0.25">
      <c r="A9150" t="s">
        <v>9574</v>
      </c>
    </row>
    <row r="9152" spans="1:88" x14ac:dyDescent="0.25">
      <c r="A9152" t="s">
        <v>9575</v>
      </c>
      <c r="AO9152">
        <v>7</v>
      </c>
      <c r="AU9152">
        <v>10</v>
      </c>
      <c r="BB9152">
        <v>13</v>
      </c>
      <c r="BH9152">
        <v>16</v>
      </c>
      <c r="BO9152">
        <v>18</v>
      </c>
      <c r="BT9152">
        <v>22</v>
      </c>
      <c r="BZ9152">
        <v>24</v>
      </c>
    </row>
    <row r="9153" spans="1:78" x14ac:dyDescent="0.25">
      <c r="A9153" t="s">
        <v>9576</v>
      </c>
      <c r="AO9153" t="s">
        <v>9577</v>
      </c>
      <c r="AU9153" t="s">
        <v>8212</v>
      </c>
      <c r="BH9153" t="s">
        <v>9578</v>
      </c>
      <c r="BO9153" t="s">
        <v>8220</v>
      </c>
      <c r="BT9153" t="s">
        <v>8193</v>
      </c>
      <c r="BZ9153" t="s">
        <v>2955</v>
      </c>
    </row>
    <row r="9154" spans="1:78" x14ac:dyDescent="0.25">
      <c r="A9154" t="s">
        <v>9579</v>
      </c>
    </row>
    <row r="9155" spans="1:78" x14ac:dyDescent="0.25">
      <c r="A9155" t="s">
        <v>9580</v>
      </c>
    </row>
    <row r="9157" spans="1:78" x14ac:dyDescent="0.25">
      <c r="A9157" t="s">
        <v>9581</v>
      </c>
      <c r="AO9157" t="s">
        <v>9582</v>
      </c>
    </row>
    <row r="9159" spans="1:78" x14ac:dyDescent="0.25">
      <c r="A9159" t="s">
        <v>9583</v>
      </c>
    </row>
    <row r="9160" spans="1:78" x14ac:dyDescent="0.25">
      <c r="A9160" t="s">
        <v>9584</v>
      </c>
    </row>
    <row r="9161" spans="1:78" x14ac:dyDescent="0.25">
      <c r="A9161" t="s">
        <v>9585</v>
      </c>
    </row>
    <row r="9162" spans="1:78" x14ac:dyDescent="0.25">
      <c r="A9162" t="s">
        <v>9586</v>
      </c>
    </row>
    <row r="9163" spans="1:78" x14ac:dyDescent="0.25">
      <c r="A9163" t="s">
        <v>9587</v>
      </c>
    </row>
    <row r="9164" spans="1:78" x14ac:dyDescent="0.25">
      <c r="A9164" t="s">
        <v>9588</v>
      </c>
    </row>
    <row r="9165" spans="1:78" x14ac:dyDescent="0.25">
      <c r="A9165" t="s">
        <v>9589</v>
      </c>
    </row>
    <row r="9166" spans="1:78" x14ac:dyDescent="0.25">
      <c r="A9166" t="s">
        <v>9590</v>
      </c>
    </row>
    <row r="9167" spans="1:78" x14ac:dyDescent="0.25">
      <c r="A9167" t="s">
        <v>9575</v>
      </c>
      <c r="AO9167">
        <v>7</v>
      </c>
      <c r="AU9167">
        <v>10</v>
      </c>
      <c r="BB9167">
        <v>13</v>
      </c>
      <c r="BH9167">
        <v>16</v>
      </c>
      <c r="BO9167">
        <v>18</v>
      </c>
      <c r="BT9167">
        <v>22</v>
      </c>
      <c r="BZ9167">
        <v>24</v>
      </c>
    </row>
    <row r="9168" spans="1:78" x14ac:dyDescent="0.25">
      <c r="A9168" t="s">
        <v>9576</v>
      </c>
      <c r="AO9168" t="s">
        <v>9577</v>
      </c>
      <c r="AU9168" t="s">
        <v>8212</v>
      </c>
      <c r="BH9168" t="s">
        <v>9578</v>
      </c>
      <c r="BO9168" t="s">
        <v>8220</v>
      </c>
      <c r="BT9168" t="s">
        <v>8193</v>
      </c>
      <c r="BZ9168" t="s">
        <v>2955</v>
      </c>
    </row>
    <row r="9169" spans="1:82" x14ac:dyDescent="0.25">
      <c r="A9169" t="s">
        <v>9591</v>
      </c>
    </row>
    <row r="9170" spans="1:82" x14ac:dyDescent="0.25">
      <c r="A9170" t="s">
        <v>9592</v>
      </c>
    </row>
    <row r="9171" spans="1:82" x14ac:dyDescent="0.25">
      <c r="A9171" t="s">
        <v>9593</v>
      </c>
    </row>
    <row r="9172" spans="1:82" x14ac:dyDescent="0.25">
      <c r="A9172" t="s">
        <v>9594</v>
      </c>
    </row>
    <row r="9173" spans="1:82" x14ac:dyDescent="0.25">
      <c r="A9173" t="s">
        <v>9595</v>
      </c>
    </row>
    <row r="9174" spans="1:82" x14ac:dyDescent="0.25">
      <c r="A9174" t="s">
        <v>9596</v>
      </c>
    </row>
    <row r="9175" spans="1:82" x14ac:dyDescent="0.25">
      <c r="A9175" t="s">
        <v>9597</v>
      </c>
    </row>
    <row r="9176" spans="1:82" x14ac:dyDescent="0.25">
      <c r="A9176" t="s">
        <v>9598</v>
      </c>
    </row>
    <row r="9177" spans="1:82" x14ac:dyDescent="0.25">
      <c r="A9177" t="s">
        <v>8862</v>
      </c>
    </row>
    <row r="9178" spans="1:82" x14ac:dyDescent="0.25">
      <c r="G9178" t="s">
        <v>9599</v>
      </c>
    </row>
    <row r="9180" spans="1:82" x14ac:dyDescent="0.25">
      <c r="G9180" t="s">
        <v>9600</v>
      </c>
      <c r="U9180" t="s">
        <v>9601</v>
      </c>
      <c r="AH9180" t="s">
        <v>9602</v>
      </c>
      <c r="AT9180" t="s">
        <v>9603</v>
      </c>
      <c r="BG9180" t="s">
        <v>9604</v>
      </c>
    </row>
    <row r="9182" spans="1:82" x14ac:dyDescent="0.25">
      <c r="G9182" t="s">
        <v>9605</v>
      </c>
      <c r="U9182" t="s">
        <v>9606</v>
      </c>
      <c r="AH9182" t="s">
        <v>9607</v>
      </c>
      <c r="AT9182" t="s">
        <v>9607</v>
      </c>
      <c r="BG9182" t="s">
        <v>9608</v>
      </c>
    </row>
    <row r="9184" spans="1:82" x14ac:dyDescent="0.25">
      <c r="G9184" t="s">
        <v>9609</v>
      </c>
      <c r="U9184" t="s">
        <v>9610</v>
      </c>
      <c r="AH9184" t="s">
        <v>9611</v>
      </c>
      <c r="AT9184" t="s">
        <v>9611</v>
      </c>
      <c r="BM9184" t="s">
        <v>9612</v>
      </c>
      <c r="CD9184" t="s">
        <v>9613</v>
      </c>
    </row>
    <row r="9185" spans="1:93" x14ac:dyDescent="0.25">
      <c r="G9185" t="s">
        <v>9614</v>
      </c>
      <c r="AT9185" t="s">
        <v>9615</v>
      </c>
      <c r="BG9185" t="s">
        <v>9616</v>
      </c>
      <c r="BQ9185" t="s">
        <v>9617</v>
      </c>
      <c r="BU9185" t="s">
        <v>9618</v>
      </c>
      <c r="CH9185" t="s">
        <v>9619</v>
      </c>
    </row>
    <row r="9186" spans="1:93" x14ac:dyDescent="0.25">
      <c r="G9186" t="s">
        <v>9620</v>
      </c>
    </row>
    <row r="9187" spans="1:93" x14ac:dyDescent="0.25">
      <c r="G9187" t="s">
        <v>9621</v>
      </c>
    </row>
    <row r="9188" spans="1:93" x14ac:dyDescent="0.25">
      <c r="A9188" t="s">
        <v>9622</v>
      </c>
    </row>
    <row r="9189" spans="1:93" x14ac:dyDescent="0.25">
      <c r="A9189" t="s">
        <v>9623</v>
      </c>
    </row>
    <row r="9190" spans="1:93" x14ac:dyDescent="0.25">
      <c r="CO9190" t="s">
        <v>8862</v>
      </c>
    </row>
    <row r="9191" spans="1:93" x14ac:dyDescent="0.25">
      <c r="A9191" t="s">
        <v>9624</v>
      </c>
      <c r="AX9191" t="s">
        <v>9625</v>
      </c>
    </row>
    <row r="9193" spans="1:93" x14ac:dyDescent="0.25">
      <c r="A9193" t="s">
        <v>9608</v>
      </c>
      <c r="AX9193" t="s">
        <v>9608</v>
      </c>
    </row>
    <row r="9195" spans="1:93" x14ac:dyDescent="0.25">
      <c r="A9195" t="s">
        <v>9626</v>
      </c>
      <c r="AX9195" t="s">
        <v>9627</v>
      </c>
    </row>
    <row r="9196" spans="1:93" x14ac:dyDescent="0.25">
      <c r="A9196" t="s">
        <v>9628</v>
      </c>
      <c r="AX9196" t="s">
        <v>9629</v>
      </c>
    </row>
    <row r="9197" spans="1:93" x14ac:dyDescent="0.25">
      <c r="A9197" t="s">
        <v>9630</v>
      </c>
      <c r="AX9197" t="s">
        <v>9631</v>
      </c>
    </row>
    <row r="9198" spans="1:93" x14ac:dyDescent="0.25">
      <c r="AX9198" t="s">
        <v>9632</v>
      </c>
    </row>
    <row r="9199" spans="1:93" x14ac:dyDescent="0.25">
      <c r="A9199" t="s">
        <v>9633</v>
      </c>
    </row>
    <row r="9200" spans="1:93" x14ac:dyDescent="0.25">
      <c r="A9200" t="s">
        <v>8862</v>
      </c>
      <c r="G9200" t="s">
        <v>9634</v>
      </c>
    </row>
    <row r="9202" spans="1:84" x14ac:dyDescent="0.25">
      <c r="G9202" t="s">
        <v>9635</v>
      </c>
      <c r="X9202" t="s">
        <v>9636</v>
      </c>
      <c r="AF9202" t="s">
        <v>9637</v>
      </c>
      <c r="AM9202" t="s">
        <v>9034</v>
      </c>
      <c r="AU9202" t="s">
        <v>9638</v>
      </c>
      <c r="BE9202" t="s">
        <v>9639</v>
      </c>
      <c r="BP9202" t="s">
        <v>9640</v>
      </c>
      <c r="BT9202" t="s">
        <v>9641</v>
      </c>
    </row>
    <row r="9203" spans="1:84" x14ac:dyDescent="0.25">
      <c r="G9203" t="s">
        <v>551</v>
      </c>
      <c r="X9203" t="s">
        <v>551</v>
      </c>
      <c r="AF9203" t="s">
        <v>551</v>
      </c>
      <c r="AM9203" t="s">
        <v>551</v>
      </c>
      <c r="AU9203" t="s">
        <v>551</v>
      </c>
      <c r="BE9203" t="s">
        <v>2436</v>
      </c>
      <c r="BP9203" t="s">
        <v>2436</v>
      </c>
      <c r="BT9203" t="s">
        <v>9642</v>
      </c>
    </row>
    <row r="9204" spans="1:84" x14ac:dyDescent="0.25">
      <c r="G9204" t="s">
        <v>8874</v>
      </c>
    </row>
    <row r="9205" spans="1:84" x14ac:dyDescent="0.25">
      <c r="G9205" t="s">
        <v>9015</v>
      </c>
      <c r="R9205">
        <v>2</v>
      </c>
      <c r="Y9205">
        <v>10</v>
      </c>
      <c r="AF9205">
        <v>10</v>
      </c>
      <c r="AM9205">
        <v>8</v>
      </c>
      <c r="AU9205" t="s">
        <v>2324</v>
      </c>
      <c r="BE9205" t="s">
        <v>9028</v>
      </c>
      <c r="BO9205" t="s">
        <v>9031</v>
      </c>
      <c r="BU9205">
        <v>0.44</v>
      </c>
      <c r="CF9205">
        <v>20</v>
      </c>
    </row>
    <row r="9206" spans="1:84" x14ac:dyDescent="0.25">
      <c r="G9206" t="s">
        <v>9016</v>
      </c>
      <c r="R9206">
        <v>2</v>
      </c>
      <c r="Y9206">
        <v>10</v>
      </c>
      <c r="AF9206">
        <v>10</v>
      </c>
      <c r="AM9206">
        <v>8</v>
      </c>
      <c r="AU9206" t="s">
        <v>2324</v>
      </c>
      <c r="BE9206" t="s">
        <v>9028</v>
      </c>
      <c r="BO9206" t="s">
        <v>9031</v>
      </c>
      <c r="BU9206">
        <v>0.49</v>
      </c>
      <c r="CF9206">
        <v>20</v>
      </c>
    </row>
    <row r="9208" spans="1:84" x14ac:dyDescent="0.25">
      <c r="G9208" t="s">
        <v>9017</v>
      </c>
      <c r="R9208">
        <v>2</v>
      </c>
      <c r="Y9208">
        <v>10</v>
      </c>
      <c r="AF9208">
        <v>10</v>
      </c>
      <c r="AM9208">
        <v>8</v>
      </c>
      <c r="AU9208" t="s">
        <v>2324</v>
      </c>
      <c r="BE9208" t="s">
        <v>9028</v>
      </c>
      <c r="BO9208" t="s">
        <v>9031</v>
      </c>
      <c r="BU9208">
        <v>0.54</v>
      </c>
      <c r="CF9208">
        <v>20</v>
      </c>
    </row>
    <row r="9209" spans="1:84" x14ac:dyDescent="0.25">
      <c r="G9209" t="s">
        <v>9018</v>
      </c>
      <c r="R9209">
        <v>2</v>
      </c>
      <c r="Y9209">
        <v>15</v>
      </c>
      <c r="AF9209">
        <v>10</v>
      </c>
      <c r="AM9209">
        <v>8</v>
      </c>
      <c r="AU9209" t="s">
        <v>2324</v>
      </c>
      <c r="BE9209" t="s">
        <v>9029</v>
      </c>
      <c r="BO9209" t="s">
        <v>9031</v>
      </c>
      <c r="BU9209">
        <v>0.68</v>
      </c>
      <c r="CF9209">
        <v>20</v>
      </c>
    </row>
    <row r="9210" spans="1:84" x14ac:dyDescent="0.25">
      <c r="G9210" t="s">
        <v>9019</v>
      </c>
      <c r="R9210">
        <v>2</v>
      </c>
      <c r="Y9210">
        <v>15</v>
      </c>
      <c r="AF9210">
        <v>10</v>
      </c>
      <c r="AM9210">
        <v>8</v>
      </c>
      <c r="AU9210" t="s">
        <v>2324</v>
      </c>
      <c r="BE9210" t="s">
        <v>9029</v>
      </c>
      <c r="BO9210" t="s">
        <v>9031</v>
      </c>
      <c r="BU9210">
        <v>0.93</v>
      </c>
      <c r="CF9210">
        <v>20</v>
      </c>
    </row>
    <row r="9211" spans="1:84" x14ac:dyDescent="0.25">
      <c r="G9211" t="s">
        <v>9020</v>
      </c>
      <c r="R9211">
        <v>2</v>
      </c>
      <c r="Y9211">
        <v>15</v>
      </c>
      <c r="AF9211">
        <v>10</v>
      </c>
      <c r="AM9211">
        <v>8</v>
      </c>
      <c r="AU9211" t="s">
        <v>2324</v>
      </c>
      <c r="BE9211" t="s">
        <v>9029</v>
      </c>
      <c r="BO9211" t="s">
        <v>9031</v>
      </c>
      <c r="BU9211">
        <v>1.23</v>
      </c>
      <c r="CF9211">
        <v>20</v>
      </c>
    </row>
    <row r="9212" spans="1:84" x14ac:dyDescent="0.25">
      <c r="A9212" t="s">
        <v>8875</v>
      </c>
    </row>
    <row r="9213" spans="1:84" x14ac:dyDescent="0.25">
      <c r="G9213" t="s">
        <v>9124</v>
      </c>
      <c r="R9213">
        <v>2</v>
      </c>
      <c r="Y9213">
        <v>15</v>
      </c>
      <c r="AF9213">
        <v>15</v>
      </c>
      <c r="AM9213">
        <v>15</v>
      </c>
      <c r="AU9213" t="s">
        <v>2324</v>
      </c>
      <c r="BE9213" t="s">
        <v>9028</v>
      </c>
      <c r="BO9213" t="s">
        <v>9031</v>
      </c>
      <c r="BU9213">
        <v>0.34</v>
      </c>
      <c r="CF9213">
        <v>20</v>
      </c>
    </row>
    <row r="9214" spans="1:84" x14ac:dyDescent="0.25">
      <c r="G9214" t="s">
        <v>9125</v>
      </c>
      <c r="R9214">
        <v>2</v>
      </c>
      <c r="Y9214">
        <v>15</v>
      </c>
      <c r="AF9214">
        <v>15</v>
      </c>
      <c r="AM9214">
        <v>15</v>
      </c>
      <c r="AU9214" t="s">
        <v>2324</v>
      </c>
      <c r="BE9214" t="s">
        <v>9028</v>
      </c>
      <c r="BO9214" t="s">
        <v>9031</v>
      </c>
      <c r="BU9214">
        <v>0.49</v>
      </c>
      <c r="CF9214">
        <v>20</v>
      </c>
    </row>
    <row r="9215" spans="1:84" x14ac:dyDescent="0.25">
      <c r="G9215" t="s">
        <v>9126</v>
      </c>
      <c r="R9215">
        <v>2</v>
      </c>
      <c r="Y9215">
        <v>15</v>
      </c>
      <c r="AF9215">
        <v>15</v>
      </c>
      <c r="AM9215">
        <v>15</v>
      </c>
      <c r="AU9215" t="s">
        <v>2324</v>
      </c>
      <c r="BE9215" t="s">
        <v>9028</v>
      </c>
      <c r="BO9215" t="s">
        <v>9031</v>
      </c>
      <c r="BU9215">
        <v>0.54</v>
      </c>
      <c r="CF9215">
        <v>20</v>
      </c>
    </row>
    <row r="9216" spans="1:84" x14ac:dyDescent="0.25">
      <c r="G9216" t="s">
        <v>9643</v>
      </c>
      <c r="R9216">
        <v>2</v>
      </c>
      <c r="Y9216">
        <v>20</v>
      </c>
      <c r="AF9216">
        <v>15</v>
      </c>
      <c r="AM9216">
        <v>15</v>
      </c>
      <c r="AU9216" t="s">
        <v>2324</v>
      </c>
      <c r="BE9216" t="s">
        <v>9029</v>
      </c>
      <c r="BO9216" t="s">
        <v>9031</v>
      </c>
      <c r="BU9216">
        <v>0.68</v>
      </c>
      <c r="CF9216">
        <v>20</v>
      </c>
    </row>
    <row r="9217" spans="1:84" x14ac:dyDescent="0.25">
      <c r="G9217" t="s">
        <v>9127</v>
      </c>
      <c r="R9217">
        <v>2</v>
      </c>
      <c r="Y9217">
        <v>20</v>
      </c>
      <c r="AF9217">
        <v>15</v>
      </c>
      <c r="AM9217">
        <v>15</v>
      </c>
      <c r="AU9217" t="s">
        <v>2324</v>
      </c>
      <c r="BE9217" t="s">
        <v>9029</v>
      </c>
      <c r="BO9217" t="s">
        <v>9031</v>
      </c>
      <c r="BU9217">
        <v>0.93</v>
      </c>
      <c r="CF9217">
        <v>20</v>
      </c>
    </row>
    <row r="9218" spans="1:84" x14ac:dyDescent="0.25">
      <c r="G9218" t="s">
        <v>9128</v>
      </c>
      <c r="R9218">
        <v>2</v>
      </c>
      <c r="Y9218">
        <v>20</v>
      </c>
      <c r="AF9218">
        <v>15</v>
      </c>
      <c r="AM9218">
        <v>15</v>
      </c>
      <c r="AU9218" t="s">
        <v>2324</v>
      </c>
      <c r="BE9218" t="s">
        <v>9029</v>
      </c>
      <c r="BO9218" t="s">
        <v>9031</v>
      </c>
      <c r="BU9218">
        <v>1.18</v>
      </c>
      <c r="CF9218">
        <v>20</v>
      </c>
    </row>
    <row r="9219" spans="1:84" x14ac:dyDescent="0.25">
      <c r="A9219" t="s">
        <v>9644</v>
      </c>
    </row>
    <row r="9220" spans="1:84" x14ac:dyDescent="0.25">
      <c r="G9220" t="s">
        <v>9197</v>
      </c>
      <c r="R9220">
        <v>2</v>
      </c>
      <c r="Y9220">
        <v>20</v>
      </c>
      <c r="AF9220">
        <v>15</v>
      </c>
      <c r="AM9220">
        <v>12</v>
      </c>
      <c r="AU9220" t="s">
        <v>2324</v>
      </c>
      <c r="BE9220" t="s">
        <v>9028</v>
      </c>
      <c r="BO9220" t="s">
        <v>9031</v>
      </c>
      <c r="BU9220">
        <v>0.55000000000000004</v>
      </c>
      <c r="CF9220">
        <v>20</v>
      </c>
    </row>
    <row r="9221" spans="1:84" x14ac:dyDescent="0.25">
      <c r="G9221" t="s">
        <v>9198</v>
      </c>
      <c r="R9221">
        <v>2</v>
      </c>
      <c r="Y9221">
        <v>20</v>
      </c>
      <c r="AF9221">
        <v>15</v>
      </c>
      <c r="AM9221">
        <v>12</v>
      </c>
      <c r="AU9221" t="s">
        <v>2324</v>
      </c>
      <c r="BE9221" t="s">
        <v>9028</v>
      </c>
      <c r="BO9221" t="s">
        <v>9031</v>
      </c>
      <c r="BU9221">
        <v>0.55000000000000004</v>
      </c>
      <c r="CF9221">
        <v>20</v>
      </c>
    </row>
    <row r="9222" spans="1:84" x14ac:dyDescent="0.25">
      <c r="G9222" t="s">
        <v>9199</v>
      </c>
      <c r="R9222">
        <v>2</v>
      </c>
      <c r="Y9222">
        <v>20</v>
      </c>
      <c r="AF9222">
        <v>15</v>
      </c>
      <c r="AM9222">
        <v>12</v>
      </c>
      <c r="AU9222" t="s">
        <v>2324</v>
      </c>
      <c r="BE9222" t="s">
        <v>9028</v>
      </c>
      <c r="BO9222" t="s">
        <v>9031</v>
      </c>
      <c r="BU9222">
        <v>0.8</v>
      </c>
      <c r="CF9222">
        <v>20</v>
      </c>
    </row>
    <row r="9223" spans="1:84" x14ac:dyDescent="0.25">
      <c r="G9223" t="s">
        <v>9252</v>
      </c>
      <c r="R9223">
        <v>2</v>
      </c>
      <c r="Y9223">
        <v>20</v>
      </c>
      <c r="AF9223">
        <v>15</v>
      </c>
      <c r="AM9223">
        <v>12</v>
      </c>
      <c r="AU9223" t="s">
        <v>2324</v>
      </c>
      <c r="BE9223" t="s">
        <v>9029</v>
      </c>
      <c r="BO9223" t="s">
        <v>9031</v>
      </c>
      <c r="BU9223">
        <v>0.8</v>
      </c>
      <c r="CF9223">
        <v>20</v>
      </c>
    </row>
    <row r="9224" spans="1:84" x14ac:dyDescent="0.25">
      <c r="G9224" t="s">
        <v>9200</v>
      </c>
      <c r="R9224">
        <v>2</v>
      </c>
      <c r="Y9224">
        <v>20</v>
      </c>
      <c r="AF9224">
        <v>15</v>
      </c>
      <c r="AM9224">
        <v>12</v>
      </c>
      <c r="AU9224" t="s">
        <v>2324</v>
      </c>
      <c r="BE9224" t="s">
        <v>9029</v>
      </c>
      <c r="BO9224" t="s">
        <v>9031</v>
      </c>
      <c r="BU9224">
        <v>1.1000000000000001</v>
      </c>
      <c r="CF9224">
        <v>20</v>
      </c>
    </row>
    <row r="9225" spans="1:84" x14ac:dyDescent="0.25">
      <c r="G9225" t="s">
        <v>9201</v>
      </c>
      <c r="R9225">
        <v>2</v>
      </c>
      <c r="Y9225">
        <v>20</v>
      </c>
      <c r="AF9225">
        <v>15</v>
      </c>
      <c r="AM9225">
        <v>12</v>
      </c>
      <c r="AU9225" t="s">
        <v>2324</v>
      </c>
      <c r="BE9225" t="s">
        <v>9029</v>
      </c>
      <c r="BO9225" t="s">
        <v>9031</v>
      </c>
      <c r="BU9225">
        <v>1.1000000000000001</v>
      </c>
      <c r="CF9225">
        <v>20</v>
      </c>
    </row>
    <row r="9226" spans="1:84" x14ac:dyDescent="0.25">
      <c r="G9226" t="s">
        <v>9202</v>
      </c>
      <c r="R9226">
        <v>2</v>
      </c>
      <c r="Y9226">
        <v>25</v>
      </c>
      <c r="AF9226">
        <v>15</v>
      </c>
      <c r="AM9226">
        <v>15</v>
      </c>
      <c r="AU9226" t="s">
        <v>2324</v>
      </c>
      <c r="BE9226" t="s">
        <v>9029</v>
      </c>
      <c r="BO9226" t="s">
        <v>9031</v>
      </c>
      <c r="BU9226">
        <v>1.1399999999999999</v>
      </c>
      <c r="CF9226">
        <v>20</v>
      </c>
    </row>
    <row r="9227" spans="1:84" x14ac:dyDescent="0.25">
      <c r="A9227" t="s">
        <v>8879</v>
      </c>
    </row>
    <row r="9228" spans="1:84" x14ac:dyDescent="0.25">
      <c r="G9228" t="s">
        <v>9334</v>
      </c>
      <c r="R9228">
        <v>2</v>
      </c>
      <c r="Y9228">
        <v>25</v>
      </c>
      <c r="AF9228">
        <v>15</v>
      </c>
      <c r="AM9228">
        <v>12</v>
      </c>
      <c r="AU9228" t="s">
        <v>2324</v>
      </c>
      <c r="BE9228" t="s">
        <v>9028</v>
      </c>
      <c r="BO9228" t="s">
        <v>9031</v>
      </c>
      <c r="BU9228">
        <v>1</v>
      </c>
      <c r="CF9228">
        <v>20</v>
      </c>
    </row>
    <row r="9229" spans="1:84" x14ac:dyDescent="0.25">
      <c r="G9229" t="s">
        <v>9335</v>
      </c>
      <c r="R9229">
        <v>2</v>
      </c>
      <c r="Y9229">
        <v>25</v>
      </c>
      <c r="AF9229">
        <v>15</v>
      </c>
      <c r="AM9229">
        <v>12</v>
      </c>
      <c r="AU9229" t="s">
        <v>2324</v>
      </c>
      <c r="BE9229" t="s">
        <v>9028</v>
      </c>
      <c r="BO9229" t="s">
        <v>9031</v>
      </c>
      <c r="BU9229">
        <v>1</v>
      </c>
      <c r="CF9229">
        <v>20</v>
      </c>
    </row>
    <row r="9230" spans="1:84" x14ac:dyDescent="0.25">
      <c r="G9230" t="s">
        <v>9336</v>
      </c>
      <c r="R9230">
        <v>2</v>
      </c>
      <c r="Y9230">
        <v>25</v>
      </c>
      <c r="AF9230">
        <v>15</v>
      </c>
      <c r="AM9230">
        <v>12</v>
      </c>
      <c r="AU9230" t="s">
        <v>2324</v>
      </c>
      <c r="BE9230" t="s">
        <v>9029</v>
      </c>
      <c r="BO9230" t="s">
        <v>9031</v>
      </c>
      <c r="BU9230">
        <v>1</v>
      </c>
      <c r="CF9230">
        <v>20</v>
      </c>
    </row>
    <row r="9231" spans="1:84" x14ac:dyDescent="0.25">
      <c r="A9231" t="s">
        <v>9645</v>
      </c>
    </row>
    <row r="9232" spans="1:84" x14ac:dyDescent="0.25">
      <c r="G9232" t="s">
        <v>9379</v>
      </c>
      <c r="R9232">
        <v>2</v>
      </c>
      <c r="Y9232">
        <v>25</v>
      </c>
      <c r="AF9232">
        <v>15</v>
      </c>
      <c r="AM9232">
        <v>15</v>
      </c>
      <c r="AU9232" t="s">
        <v>2324</v>
      </c>
      <c r="BE9232" t="s">
        <v>9028</v>
      </c>
      <c r="BO9232" t="s">
        <v>9031</v>
      </c>
      <c r="BU9232">
        <v>0.96</v>
      </c>
      <c r="CF9232">
        <v>20</v>
      </c>
    </row>
    <row r="9233" spans="1:88" x14ac:dyDescent="0.25">
      <c r="G9233" t="s">
        <v>9380</v>
      </c>
      <c r="R9233">
        <v>2</v>
      </c>
      <c r="Y9233">
        <v>25</v>
      </c>
      <c r="AF9233">
        <v>15</v>
      </c>
      <c r="AM9233">
        <v>15</v>
      </c>
      <c r="AU9233" t="s">
        <v>2324</v>
      </c>
      <c r="BE9233" t="s">
        <v>9028</v>
      </c>
      <c r="BO9233" t="s">
        <v>9031</v>
      </c>
      <c r="BU9233">
        <v>0.96</v>
      </c>
      <c r="CF9233">
        <v>20</v>
      </c>
    </row>
    <row r="9234" spans="1:88" x14ac:dyDescent="0.25">
      <c r="G9234" t="s">
        <v>9381</v>
      </c>
      <c r="R9234">
        <v>2</v>
      </c>
      <c r="Y9234">
        <v>25</v>
      </c>
      <c r="AF9234">
        <v>15</v>
      </c>
      <c r="AM9234">
        <v>15</v>
      </c>
      <c r="AU9234" t="s">
        <v>2324</v>
      </c>
      <c r="BE9234" t="s">
        <v>9029</v>
      </c>
      <c r="BO9234" t="s">
        <v>9031</v>
      </c>
      <c r="BU9234">
        <v>0.96</v>
      </c>
      <c r="CF9234">
        <v>20</v>
      </c>
    </row>
    <row r="9235" spans="1:88" x14ac:dyDescent="0.25">
      <c r="A9235" t="s">
        <v>9646</v>
      </c>
    </row>
    <row r="9236" spans="1:88" x14ac:dyDescent="0.25">
      <c r="G9236" t="s">
        <v>9601</v>
      </c>
      <c r="R9236">
        <v>2</v>
      </c>
      <c r="Y9236">
        <v>30</v>
      </c>
      <c r="AF9236">
        <v>30</v>
      </c>
      <c r="AM9236">
        <v>10</v>
      </c>
      <c r="AU9236">
        <v>20</v>
      </c>
      <c r="BE9236" t="s">
        <v>9647</v>
      </c>
      <c r="BO9236" t="s">
        <v>9648</v>
      </c>
      <c r="BU9236">
        <v>0.95</v>
      </c>
      <c r="CF9236">
        <v>20</v>
      </c>
    </row>
    <row r="9237" spans="1:88" x14ac:dyDescent="0.25">
      <c r="G9237" t="s">
        <v>9602</v>
      </c>
      <c r="R9237">
        <v>2</v>
      </c>
      <c r="Y9237">
        <v>30</v>
      </c>
      <c r="AF9237">
        <v>30</v>
      </c>
      <c r="AM9237">
        <v>10</v>
      </c>
      <c r="AU9237">
        <v>20</v>
      </c>
      <c r="BE9237" t="s">
        <v>9647</v>
      </c>
      <c r="BO9237" t="s">
        <v>9648</v>
      </c>
      <c r="BU9237">
        <v>1.2</v>
      </c>
      <c r="CF9237">
        <v>20</v>
      </c>
    </row>
    <row r="9238" spans="1:88" x14ac:dyDescent="0.25">
      <c r="G9238" t="s">
        <v>9603</v>
      </c>
      <c r="R9238">
        <v>2</v>
      </c>
      <c r="Y9238">
        <v>50</v>
      </c>
      <c r="AF9238">
        <v>50</v>
      </c>
      <c r="AM9238">
        <v>10</v>
      </c>
      <c r="AU9238">
        <v>25</v>
      </c>
      <c r="BE9238" t="s">
        <v>9649</v>
      </c>
      <c r="BO9238" t="s">
        <v>9650</v>
      </c>
      <c r="BU9238">
        <v>1.25</v>
      </c>
      <c r="CF9238">
        <v>20</v>
      </c>
    </row>
    <row r="9239" spans="1:88" x14ac:dyDescent="0.25">
      <c r="G9239" t="s">
        <v>9604</v>
      </c>
      <c r="R9239">
        <v>2</v>
      </c>
      <c r="Y9239">
        <v>70</v>
      </c>
      <c r="AF9239">
        <v>40</v>
      </c>
      <c r="AM9239">
        <v>15</v>
      </c>
      <c r="AU9239">
        <v>25</v>
      </c>
      <c r="BE9239" t="s">
        <v>9651</v>
      </c>
      <c r="BO9239" t="s">
        <v>9650</v>
      </c>
      <c r="BU9239">
        <v>1.9</v>
      </c>
      <c r="CF9239">
        <v>20</v>
      </c>
    </row>
    <row r="9240" spans="1:88" x14ac:dyDescent="0.25">
      <c r="G9240" t="s">
        <v>9624</v>
      </c>
      <c r="R9240">
        <v>3</v>
      </c>
      <c r="Y9240">
        <v>70</v>
      </c>
      <c r="AF9240">
        <v>40</v>
      </c>
      <c r="AM9240">
        <v>15</v>
      </c>
      <c r="AU9240">
        <v>25</v>
      </c>
      <c r="BE9240" t="s">
        <v>9652</v>
      </c>
      <c r="BO9240" t="s">
        <v>9653</v>
      </c>
      <c r="BU9240">
        <v>2.0499999999999998</v>
      </c>
      <c r="CF9240">
        <v>20</v>
      </c>
    </row>
    <row r="9241" spans="1:88" x14ac:dyDescent="0.25">
      <c r="G9241" t="s">
        <v>9625</v>
      </c>
      <c r="R9241">
        <v>3</v>
      </c>
      <c r="Y9241">
        <v>80</v>
      </c>
      <c r="AF9241">
        <v>40</v>
      </c>
      <c r="AM9241">
        <v>15</v>
      </c>
      <c r="AU9241">
        <v>25</v>
      </c>
      <c r="BE9241" t="s">
        <v>9654</v>
      </c>
      <c r="BO9241" t="s">
        <v>9655</v>
      </c>
      <c r="BU9241">
        <v>2.39</v>
      </c>
      <c r="CF9241">
        <v>20</v>
      </c>
    </row>
    <row r="9242" spans="1:88" x14ac:dyDescent="0.25">
      <c r="A9242" t="s">
        <v>9656</v>
      </c>
    </row>
    <row r="9244" spans="1:88" x14ac:dyDescent="0.25">
      <c r="A9244" t="s">
        <v>9657</v>
      </c>
      <c r="CJ9244" t="s">
        <v>8862</v>
      </c>
    </row>
    <row r="9248" spans="1:88" x14ac:dyDescent="0.25">
      <c r="A9248" t="s">
        <v>9658</v>
      </c>
    </row>
    <row r="9250" spans="1:75" x14ac:dyDescent="0.25">
      <c r="A9250" t="s">
        <v>9659</v>
      </c>
    </row>
    <row r="9252" spans="1:75" x14ac:dyDescent="0.25">
      <c r="A9252" t="s">
        <v>9015</v>
      </c>
      <c r="L9252" t="s">
        <v>2324</v>
      </c>
      <c r="U9252" t="s">
        <v>2324</v>
      </c>
      <c r="AB9252" t="s">
        <v>9660</v>
      </c>
      <c r="AK9252" t="s">
        <v>9661</v>
      </c>
      <c r="AX9252" t="s">
        <v>5272</v>
      </c>
      <c r="BE9252" t="s">
        <v>2443</v>
      </c>
      <c r="BM9252" t="s">
        <v>2444</v>
      </c>
      <c r="BW9252" t="s">
        <v>2439</v>
      </c>
    </row>
    <row r="9253" spans="1:75" x14ac:dyDescent="0.25">
      <c r="A9253" t="s">
        <v>9016</v>
      </c>
      <c r="L9253" t="s">
        <v>2324</v>
      </c>
      <c r="U9253" t="s">
        <v>2324</v>
      </c>
      <c r="AB9253" t="s">
        <v>9662</v>
      </c>
      <c r="AK9253" t="s">
        <v>9663</v>
      </c>
      <c r="AX9253" t="s">
        <v>5272</v>
      </c>
      <c r="BE9253" t="s">
        <v>2443</v>
      </c>
      <c r="BM9253" t="s">
        <v>2444</v>
      </c>
      <c r="BW9253" t="s">
        <v>2439</v>
      </c>
    </row>
    <row r="9254" spans="1:75" x14ac:dyDescent="0.25">
      <c r="A9254" t="s">
        <v>9017</v>
      </c>
      <c r="L9254" t="s">
        <v>2324</v>
      </c>
      <c r="U9254" t="s">
        <v>2324</v>
      </c>
      <c r="AB9254" t="s">
        <v>9664</v>
      </c>
      <c r="AK9254" t="s">
        <v>9665</v>
      </c>
      <c r="AX9254" t="s">
        <v>5272</v>
      </c>
      <c r="BE9254" t="s">
        <v>2443</v>
      </c>
      <c r="BM9254" t="s">
        <v>2444</v>
      </c>
      <c r="BW9254" t="s">
        <v>2439</v>
      </c>
    </row>
    <row r="9255" spans="1:75" x14ac:dyDescent="0.25">
      <c r="A9255" t="s">
        <v>9018</v>
      </c>
      <c r="L9255" t="s">
        <v>2324</v>
      </c>
      <c r="U9255" t="s">
        <v>2324</v>
      </c>
      <c r="AB9255" t="s">
        <v>9666</v>
      </c>
      <c r="AK9255" t="s">
        <v>9667</v>
      </c>
      <c r="AX9255" t="s">
        <v>5272</v>
      </c>
      <c r="BE9255" t="s">
        <v>2443</v>
      </c>
      <c r="BM9255" t="s">
        <v>2444</v>
      </c>
      <c r="BW9255" t="s">
        <v>2439</v>
      </c>
    </row>
    <row r="9256" spans="1:75" x14ac:dyDescent="0.25">
      <c r="A9256" t="s">
        <v>9019</v>
      </c>
      <c r="L9256" t="s">
        <v>2324</v>
      </c>
      <c r="U9256" t="s">
        <v>2324</v>
      </c>
      <c r="AB9256" t="s">
        <v>9668</v>
      </c>
      <c r="AK9256" t="s">
        <v>9669</v>
      </c>
      <c r="AX9256" t="s">
        <v>5272</v>
      </c>
      <c r="BE9256" t="s">
        <v>2443</v>
      </c>
      <c r="BM9256" t="s">
        <v>2444</v>
      </c>
      <c r="BW9256" t="s">
        <v>2439</v>
      </c>
    </row>
    <row r="9257" spans="1:75" x14ac:dyDescent="0.25">
      <c r="A9257" t="s">
        <v>9020</v>
      </c>
      <c r="L9257" t="s">
        <v>2324</v>
      </c>
      <c r="U9257" t="s">
        <v>2324</v>
      </c>
      <c r="AB9257" t="s">
        <v>9670</v>
      </c>
      <c r="AK9257" t="s">
        <v>9671</v>
      </c>
      <c r="AX9257" t="s">
        <v>3750</v>
      </c>
      <c r="BE9257" t="s">
        <v>2443</v>
      </c>
      <c r="BM9257" t="s">
        <v>9672</v>
      </c>
      <c r="BW9257" t="s">
        <v>2439</v>
      </c>
    </row>
    <row r="9258" spans="1:75" x14ac:dyDescent="0.25">
      <c r="A9258" t="s">
        <v>8875</v>
      </c>
    </row>
    <row r="9259" spans="1:75" x14ac:dyDescent="0.25">
      <c r="A9259" t="s">
        <v>9124</v>
      </c>
      <c r="L9259" t="s">
        <v>5541</v>
      </c>
      <c r="U9259">
        <v>3.3</v>
      </c>
      <c r="AB9259" t="s">
        <v>9673</v>
      </c>
      <c r="AK9259" t="s">
        <v>9661</v>
      </c>
      <c r="AX9259" t="s">
        <v>5272</v>
      </c>
      <c r="BE9259" t="s">
        <v>2443</v>
      </c>
      <c r="BM9259" t="s">
        <v>2444</v>
      </c>
      <c r="BW9259" t="s">
        <v>2439</v>
      </c>
    </row>
    <row r="9260" spans="1:75" x14ac:dyDescent="0.25">
      <c r="A9260" t="s">
        <v>9125</v>
      </c>
      <c r="L9260" t="s">
        <v>4997</v>
      </c>
      <c r="U9260">
        <v>4.3</v>
      </c>
      <c r="AB9260" t="s">
        <v>9674</v>
      </c>
      <c r="AK9260" t="s">
        <v>9675</v>
      </c>
      <c r="AX9260" t="s">
        <v>5272</v>
      </c>
      <c r="BE9260" t="s">
        <v>2443</v>
      </c>
      <c r="BM9260" t="s">
        <v>2444</v>
      </c>
      <c r="BW9260" t="s">
        <v>2439</v>
      </c>
    </row>
    <row r="9261" spans="1:75" x14ac:dyDescent="0.25">
      <c r="A9261" t="s">
        <v>9126</v>
      </c>
      <c r="L9261" t="s">
        <v>9676</v>
      </c>
      <c r="U9261">
        <v>5.38</v>
      </c>
      <c r="AB9261" t="s">
        <v>9677</v>
      </c>
      <c r="AK9261" t="s">
        <v>9678</v>
      </c>
      <c r="AX9261" t="s">
        <v>5272</v>
      </c>
      <c r="BE9261" t="s">
        <v>2443</v>
      </c>
      <c r="BM9261" t="s">
        <v>2444</v>
      </c>
      <c r="BW9261" t="s">
        <v>2439</v>
      </c>
    </row>
    <row r="9262" spans="1:75" x14ac:dyDescent="0.25">
      <c r="A9262" t="s">
        <v>9643</v>
      </c>
      <c r="L9262" t="s">
        <v>5035</v>
      </c>
      <c r="U9262">
        <v>6.34</v>
      </c>
      <c r="AB9262" t="s">
        <v>9679</v>
      </c>
      <c r="AK9262" t="s">
        <v>9680</v>
      </c>
      <c r="AX9262" t="s">
        <v>5272</v>
      </c>
      <c r="BE9262" t="s">
        <v>2443</v>
      </c>
      <c r="BM9262" t="s">
        <v>2444</v>
      </c>
      <c r="BW9262" t="s">
        <v>2439</v>
      </c>
    </row>
    <row r="9263" spans="1:75" x14ac:dyDescent="0.25">
      <c r="A9263" t="s">
        <v>9127</v>
      </c>
      <c r="L9263" t="s">
        <v>5552</v>
      </c>
      <c r="U9263">
        <v>6.13</v>
      </c>
      <c r="AB9263" t="s">
        <v>9681</v>
      </c>
      <c r="AK9263" t="s">
        <v>9682</v>
      </c>
      <c r="AX9263" t="s">
        <v>3750</v>
      </c>
      <c r="BE9263" t="s">
        <v>2443</v>
      </c>
      <c r="BM9263" t="s">
        <v>2444</v>
      </c>
      <c r="BW9263" t="s">
        <v>2439</v>
      </c>
    </row>
    <row r="9264" spans="1:75" x14ac:dyDescent="0.25">
      <c r="A9264" t="s">
        <v>9128</v>
      </c>
      <c r="L9264" t="s">
        <v>5276</v>
      </c>
      <c r="U9264">
        <v>8.81</v>
      </c>
      <c r="AB9264" t="s">
        <v>9683</v>
      </c>
      <c r="AK9264" t="s">
        <v>9684</v>
      </c>
      <c r="AX9264" t="s">
        <v>3750</v>
      </c>
      <c r="BE9264" t="s">
        <v>2443</v>
      </c>
      <c r="BM9264" t="s">
        <v>2444</v>
      </c>
      <c r="BW9264" t="s">
        <v>2439</v>
      </c>
    </row>
    <row r="9265" spans="1:75" x14ac:dyDescent="0.25">
      <c r="A9265" t="s">
        <v>9644</v>
      </c>
    </row>
    <row r="9266" spans="1:75" x14ac:dyDescent="0.25">
      <c r="A9266" t="s">
        <v>9197</v>
      </c>
      <c r="L9266" t="s">
        <v>9526</v>
      </c>
      <c r="U9266" t="s">
        <v>2324</v>
      </c>
      <c r="AB9266" t="s">
        <v>9685</v>
      </c>
      <c r="AK9266" t="s">
        <v>9686</v>
      </c>
      <c r="AX9266" t="s">
        <v>5272</v>
      </c>
      <c r="BE9266" t="s">
        <v>2443</v>
      </c>
      <c r="BM9266" t="s">
        <v>2444</v>
      </c>
      <c r="BW9266" t="s">
        <v>2439</v>
      </c>
    </row>
    <row r="9267" spans="1:75" x14ac:dyDescent="0.25">
      <c r="A9267" t="s">
        <v>9198</v>
      </c>
      <c r="L9267" t="s">
        <v>9687</v>
      </c>
      <c r="U9267">
        <v>2.4500000000000002</v>
      </c>
      <c r="AB9267" t="s">
        <v>9262</v>
      </c>
      <c r="AK9267" t="s">
        <v>9688</v>
      </c>
      <c r="AX9267" t="s">
        <v>5272</v>
      </c>
      <c r="BE9267" t="s">
        <v>2443</v>
      </c>
      <c r="BM9267" t="s">
        <v>2444</v>
      </c>
      <c r="BW9267" t="s">
        <v>2439</v>
      </c>
    </row>
    <row r="9268" spans="1:75" x14ac:dyDescent="0.25">
      <c r="A9268" t="s">
        <v>9199</v>
      </c>
      <c r="L9268" t="s">
        <v>9689</v>
      </c>
      <c r="U9268">
        <v>3.89</v>
      </c>
      <c r="AB9268" t="s">
        <v>9690</v>
      </c>
      <c r="AK9268" t="s">
        <v>9269</v>
      </c>
      <c r="AX9268" t="s">
        <v>5272</v>
      </c>
      <c r="BE9268" t="s">
        <v>2443</v>
      </c>
      <c r="BM9268" t="s">
        <v>2444</v>
      </c>
      <c r="BW9268" t="s">
        <v>2439</v>
      </c>
    </row>
    <row r="9269" spans="1:75" x14ac:dyDescent="0.25">
      <c r="A9269" t="s">
        <v>9252</v>
      </c>
      <c r="L9269" t="s">
        <v>9691</v>
      </c>
      <c r="U9269">
        <v>5.61</v>
      </c>
      <c r="AB9269" t="s">
        <v>9264</v>
      </c>
      <c r="AK9269" t="s">
        <v>9692</v>
      </c>
      <c r="AX9269" t="s">
        <v>5272</v>
      </c>
      <c r="BE9269" t="s">
        <v>2443</v>
      </c>
      <c r="BM9269" t="s">
        <v>2444</v>
      </c>
      <c r="BW9269" t="s">
        <v>2439</v>
      </c>
    </row>
    <row r="9270" spans="1:75" x14ac:dyDescent="0.25">
      <c r="A9270" t="s">
        <v>9200</v>
      </c>
      <c r="L9270" t="s">
        <v>9691</v>
      </c>
      <c r="U9270" t="s">
        <v>2324</v>
      </c>
      <c r="AB9270" t="s">
        <v>9693</v>
      </c>
      <c r="AK9270" t="s">
        <v>9694</v>
      </c>
      <c r="AX9270" t="s">
        <v>3750</v>
      </c>
      <c r="BE9270" t="s">
        <v>2443</v>
      </c>
      <c r="BM9270" t="s">
        <v>2444</v>
      </c>
      <c r="BW9270" t="s">
        <v>2439</v>
      </c>
    </row>
    <row r="9271" spans="1:75" x14ac:dyDescent="0.25">
      <c r="A9271" t="s">
        <v>9201</v>
      </c>
      <c r="L9271" t="s">
        <v>5439</v>
      </c>
      <c r="U9271" t="s">
        <v>2324</v>
      </c>
      <c r="AB9271" t="s">
        <v>9695</v>
      </c>
      <c r="AK9271" t="s">
        <v>9696</v>
      </c>
      <c r="AX9271" t="s">
        <v>3750</v>
      </c>
      <c r="BE9271" t="s">
        <v>2443</v>
      </c>
      <c r="BM9271" t="s">
        <v>2444</v>
      </c>
      <c r="BW9271" t="s">
        <v>2439</v>
      </c>
    </row>
    <row r="9272" spans="1:75" x14ac:dyDescent="0.25">
      <c r="A9272" t="s">
        <v>9202</v>
      </c>
      <c r="L9272" t="s">
        <v>9697</v>
      </c>
      <c r="U9272" t="s">
        <v>2324</v>
      </c>
      <c r="AB9272" t="s">
        <v>9698</v>
      </c>
      <c r="AK9272" t="s">
        <v>9699</v>
      </c>
      <c r="AX9272" t="s">
        <v>3750</v>
      </c>
      <c r="BE9272" t="s">
        <v>2443</v>
      </c>
      <c r="BM9272" t="s">
        <v>9672</v>
      </c>
      <c r="BW9272" t="s">
        <v>2439</v>
      </c>
    </row>
    <row r="9273" spans="1:75" x14ac:dyDescent="0.25">
      <c r="A9273" t="s">
        <v>8879</v>
      </c>
    </row>
    <row r="9274" spans="1:75" x14ac:dyDescent="0.25">
      <c r="A9274" t="s">
        <v>9334</v>
      </c>
      <c r="L9274" t="s">
        <v>9700</v>
      </c>
      <c r="U9274">
        <v>3.12</v>
      </c>
      <c r="AB9274" t="s">
        <v>9313</v>
      </c>
      <c r="AK9274" t="s">
        <v>9319</v>
      </c>
      <c r="AX9274" t="s">
        <v>5272</v>
      </c>
      <c r="BE9274" t="s">
        <v>2443</v>
      </c>
      <c r="BM9274" t="s">
        <v>2444</v>
      </c>
      <c r="BW9274" t="s">
        <v>2439</v>
      </c>
    </row>
    <row r="9275" spans="1:75" x14ac:dyDescent="0.25">
      <c r="A9275" t="s">
        <v>9335</v>
      </c>
      <c r="L9275" t="s">
        <v>9701</v>
      </c>
      <c r="U9275">
        <v>3.39</v>
      </c>
      <c r="AB9275" t="s">
        <v>9314</v>
      </c>
      <c r="AK9275" t="s">
        <v>9320</v>
      </c>
      <c r="AX9275" t="s">
        <v>5272</v>
      </c>
      <c r="BE9275" t="s">
        <v>2443</v>
      </c>
      <c r="BM9275" t="s">
        <v>2444</v>
      </c>
      <c r="BW9275" t="s">
        <v>2439</v>
      </c>
    </row>
    <row r="9276" spans="1:75" x14ac:dyDescent="0.25">
      <c r="A9276" t="s">
        <v>9336</v>
      </c>
      <c r="L9276" t="s">
        <v>9702</v>
      </c>
      <c r="U9276">
        <v>5.63</v>
      </c>
      <c r="AB9276" t="s">
        <v>9315</v>
      </c>
      <c r="AK9276" t="s">
        <v>9321</v>
      </c>
      <c r="AX9276" t="s">
        <v>3750</v>
      </c>
      <c r="BE9276" t="s">
        <v>2443</v>
      </c>
      <c r="BM9276" t="s">
        <v>9672</v>
      </c>
      <c r="BW9276" t="s">
        <v>2439</v>
      </c>
    </row>
    <row r="9277" spans="1:75" x14ac:dyDescent="0.25">
      <c r="A9277" t="s">
        <v>9645</v>
      </c>
    </row>
    <row r="9278" spans="1:75" x14ac:dyDescent="0.25">
      <c r="A9278" t="s">
        <v>9379</v>
      </c>
      <c r="L9278" t="s">
        <v>2324</v>
      </c>
      <c r="U9278" t="s">
        <v>2324</v>
      </c>
      <c r="AB9278" t="s">
        <v>9349</v>
      </c>
      <c r="AK9278" t="s">
        <v>9355</v>
      </c>
      <c r="AX9278" t="s">
        <v>5272</v>
      </c>
      <c r="BE9278" t="s">
        <v>2443</v>
      </c>
      <c r="BM9278" t="s">
        <v>2444</v>
      </c>
      <c r="BW9278" t="s">
        <v>2439</v>
      </c>
    </row>
    <row r="9279" spans="1:75" x14ac:dyDescent="0.25">
      <c r="A9279" t="s">
        <v>9380</v>
      </c>
      <c r="L9279" t="s">
        <v>2324</v>
      </c>
      <c r="U9279" t="s">
        <v>2324</v>
      </c>
      <c r="AB9279" t="s">
        <v>9350</v>
      </c>
      <c r="AK9279" t="s">
        <v>9356</v>
      </c>
      <c r="AX9279" t="s">
        <v>5272</v>
      </c>
      <c r="BE9279" t="s">
        <v>2443</v>
      </c>
      <c r="BM9279" t="s">
        <v>2444</v>
      </c>
      <c r="BW9279" t="s">
        <v>2439</v>
      </c>
    </row>
    <row r="9280" spans="1:75" x14ac:dyDescent="0.25">
      <c r="A9280" t="s">
        <v>9381</v>
      </c>
      <c r="L9280" t="s">
        <v>2324</v>
      </c>
      <c r="U9280" t="s">
        <v>2324</v>
      </c>
      <c r="AB9280" t="s">
        <v>9351</v>
      </c>
      <c r="AK9280" t="s">
        <v>9357</v>
      </c>
      <c r="AX9280" t="s">
        <v>5272</v>
      </c>
      <c r="BE9280" t="s">
        <v>2443</v>
      </c>
      <c r="BM9280" t="s">
        <v>2444</v>
      </c>
      <c r="BW9280" t="s">
        <v>2439</v>
      </c>
    </row>
    <row r="9281" spans="1:75" x14ac:dyDescent="0.25">
      <c r="A9281" t="s">
        <v>9646</v>
      </c>
    </row>
    <row r="9282" spans="1:75" x14ac:dyDescent="0.25">
      <c r="A9282" t="s">
        <v>9601</v>
      </c>
      <c r="L9282" t="s">
        <v>5439</v>
      </c>
      <c r="U9282">
        <v>4.2</v>
      </c>
      <c r="AB9282" t="s">
        <v>9703</v>
      </c>
      <c r="AK9282">
        <v>0.9</v>
      </c>
      <c r="AX9282" t="s">
        <v>5272</v>
      </c>
      <c r="BE9282" t="s">
        <v>2443</v>
      </c>
      <c r="BM9282" t="s">
        <v>2444</v>
      </c>
      <c r="BW9282" t="s">
        <v>2439</v>
      </c>
    </row>
    <row r="9283" spans="1:75" x14ac:dyDescent="0.25">
      <c r="A9283" t="s">
        <v>9602</v>
      </c>
      <c r="L9283" t="s">
        <v>9704</v>
      </c>
      <c r="U9283">
        <v>5.5</v>
      </c>
      <c r="AB9283" t="s">
        <v>9705</v>
      </c>
      <c r="AK9283">
        <v>1.1399999999999999</v>
      </c>
      <c r="AX9283" t="s">
        <v>3750</v>
      </c>
      <c r="BE9283" t="s">
        <v>2443</v>
      </c>
      <c r="BM9283" t="s">
        <v>9672</v>
      </c>
      <c r="BW9283" t="s">
        <v>2439</v>
      </c>
    </row>
    <row r="9284" spans="1:75" x14ac:dyDescent="0.25">
      <c r="A9284" t="s">
        <v>9603</v>
      </c>
      <c r="L9284" t="s">
        <v>9706</v>
      </c>
      <c r="U9284">
        <v>6.4</v>
      </c>
      <c r="AB9284" t="s">
        <v>4401</v>
      </c>
      <c r="AK9284">
        <v>1.45</v>
      </c>
      <c r="AX9284" t="s">
        <v>3750</v>
      </c>
      <c r="BE9284" t="s">
        <v>2443</v>
      </c>
      <c r="BM9284" t="s">
        <v>9672</v>
      </c>
      <c r="BW9284" t="s">
        <v>2439</v>
      </c>
    </row>
    <row r="9285" spans="1:75" x14ac:dyDescent="0.25">
      <c r="A9285" t="s">
        <v>9604</v>
      </c>
      <c r="L9285" t="s">
        <v>9707</v>
      </c>
      <c r="U9285">
        <v>9.4700000000000006</v>
      </c>
      <c r="AB9285" t="s">
        <v>9708</v>
      </c>
      <c r="AK9285">
        <v>2</v>
      </c>
      <c r="AX9285" t="s">
        <v>3750</v>
      </c>
      <c r="BE9285" t="s">
        <v>2443</v>
      </c>
      <c r="BM9285" t="s">
        <v>9672</v>
      </c>
      <c r="BW9285" t="s">
        <v>2439</v>
      </c>
    </row>
    <row r="9286" spans="1:75" x14ac:dyDescent="0.25">
      <c r="A9286" t="s">
        <v>9624</v>
      </c>
      <c r="L9286" t="s">
        <v>9709</v>
      </c>
      <c r="U9286">
        <v>10.46</v>
      </c>
      <c r="AB9286" t="s">
        <v>8952</v>
      </c>
      <c r="AK9286">
        <v>1.9</v>
      </c>
      <c r="AX9286" t="s">
        <v>3756</v>
      </c>
      <c r="BE9286" t="s">
        <v>2443</v>
      </c>
      <c r="BM9286" t="s">
        <v>9672</v>
      </c>
      <c r="BW9286" t="s">
        <v>2439</v>
      </c>
    </row>
    <row r="9287" spans="1:75" x14ac:dyDescent="0.25">
      <c r="A9287" t="s">
        <v>9625</v>
      </c>
      <c r="L9287" t="s">
        <v>9540</v>
      </c>
      <c r="U9287">
        <v>11.9</v>
      </c>
      <c r="AB9287" t="s">
        <v>1859</v>
      </c>
      <c r="AK9287">
        <v>2.8</v>
      </c>
      <c r="AX9287" t="s">
        <v>3756</v>
      </c>
      <c r="BE9287" t="s">
        <v>2443</v>
      </c>
      <c r="BM9287" t="s">
        <v>9672</v>
      </c>
      <c r="BW9287" t="s">
        <v>2439</v>
      </c>
    </row>
    <row r="9288" spans="1:75" x14ac:dyDescent="0.25">
      <c r="A9288" t="s">
        <v>9710</v>
      </c>
    </row>
    <row r="9289" spans="1:75" x14ac:dyDescent="0.25">
      <c r="A9289" t="s">
        <v>8862</v>
      </c>
      <c r="G9289" t="s">
        <v>9711</v>
      </c>
    </row>
    <row r="9291" spans="1:75" x14ac:dyDescent="0.25">
      <c r="G9291" t="s">
        <v>9712</v>
      </c>
      <c r="S9291" t="s">
        <v>4973</v>
      </c>
      <c r="AH9291" t="s">
        <v>4973</v>
      </c>
      <c r="AX9291" t="s">
        <v>8996</v>
      </c>
      <c r="BT9291" t="s">
        <v>8996</v>
      </c>
    </row>
    <row r="9292" spans="1:75" x14ac:dyDescent="0.25">
      <c r="G9292" t="s">
        <v>8874</v>
      </c>
      <c r="S9292" t="s">
        <v>2427</v>
      </c>
      <c r="AH9292" t="s">
        <v>2427</v>
      </c>
      <c r="AX9292" t="s">
        <v>2427</v>
      </c>
      <c r="BT9292" t="s">
        <v>2427</v>
      </c>
    </row>
    <row r="9293" spans="1:75" x14ac:dyDescent="0.25">
      <c r="G9293" t="s">
        <v>9015</v>
      </c>
      <c r="R9293">
        <v>62</v>
      </c>
      <c r="AJ9293">
        <v>64</v>
      </c>
      <c r="BA9293" t="s">
        <v>9021</v>
      </c>
      <c r="BT9293" t="s">
        <v>9025</v>
      </c>
    </row>
    <row r="9294" spans="1:75" x14ac:dyDescent="0.25">
      <c r="G9294" t="s">
        <v>9016</v>
      </c>
      <c r="R9294">
        <v>62</v>
      </c>
      <c r="AJ9294">
        <v>64</v>
      </c>
      <c r="BA9294" t="s">
        <v>9021</v>
      </c>
      <c r="BT9294" t="s">
        <v>9025</v>
      </c>
    </row>
    <row r="9295" spans="1:75" x14ac:dyDescent="0.25">
      <c r="G9295" t="s">
        <v>9017</v>
      </c>
      <c r="R9295">
        <v>63</v>
      </c>
      <c r="AJ9295">
        <v>65</v>
      </c>
      <c r="BA9295" t="s">
        <v>9022</v>
      </c>
      <c r="BT9295" t="s">
        <v>9023</v>
      </c>
    </row>
    <row r="9296" spans="1:75" x14ac:dyDescent="0.25">
      <c r="G9296" t="s">
        <v>9018</v>
      </c>
      <c r="R9296">
        <v>65</v>
      </c>
      <c r="AJ9296">
        <v>66</v>
      </c>
      <c r="BA9296" t="s">
        <v>9023</v>
      </c>
      <c r="BT9296" t="s">
        <v>9026</v>
      </c>
    </row>
    <row r="9298" spans="1:72" x14ac:dyDescent="0.25">
      <c r="G9298" t="s">
        <v>9019</v>
      </c>
      <c r="R9298">
        <v>65</v>
      </c>
      <c r="AJ9298">
        <v>66</v>
      </c>
      <c r="BA9298" t="s">
        <v>9023</v>
      </c>
      <c r="BT9298" t="s">
        <v>9026</v>
      </c>
    </row>
    <row r="9299" spans="1:72" x14ac:dyDescent="0.25">
      <c r="G9299" t="s">
        <v>9020</v>
      </c>
      <c r="R9299">
        <v>69</v>
      </c>
      <c r="AJ9299">
        <v>70</v>
      </c>
      <c r="BA9299" t="s">
        <v>9024</v>
      </c>
      <c r="BT9299" t="s">
        <v>9027</v>
      </c>
    </row>
    <row r="9300" spans="1:72" x14ac:dyDescent="0.25">
      <c r="A9300" t="s">
        <v>8875</v>
      </c>
    </row>
    <row r="9301" spans="1:72" x14ac:dyDescent="0.25">
      <c r="G9301" t="s">
        <v>9124</v>
      </c>
      <c r="R9301">
        <v>60</v>
      </c>
      <c r="AJ9301">
        <v>62</v>
      </c>
      <c r="BA9301" t="s">
        <v>9129</v>
      </c>
      <c r="BT9301" t="s">
        <v>9021</v>
      </c>
    </row>
    <row r="9302" spans="1:72" x14ac:dyDescent="0.25">
      <c r="G9302" t="s">
        <v>9125</v>
      </c>
      <c r="R9302">
        <v>60</v>
      </c>
      <c r="AJ9302">
        <v>62</v>
      </c>
      <c r="BA9302" t="s">
        <v>9129</v>
      </c>
      <c r="BT9302" t="s">
        <v>9021</v>
      </c>
    </row>
    <row r="9303" spans="1:72" x14ac:dyDescent="0.25">
      <c r="G9303" t="s">
        <v>9126</v>
      </c>
      <c r="R9303">
        <v>61</v>
      </c>
      <c r="AJ9303">
        <v>62</v>
      </c>
      <c r="BA9303" t="s">
        <v>9130</v>
      </c>
      <c r="BT9303" t="s">
        <v>9021</v>
      </c>
    </row>
    <row r="9304" spans="1:72" x14ac:dyDescent="0.25">
      <c r="G9304" t="s">
        <v>9643</v>
      </c>
      <c r="R9304">
        <v>63</v>
      </c>
      <c r="AJ9304">
        <v>64</v>
      </c>
      <c r="BA9304" t="s">
        <v>9022</v>
      </c>
      <c r="BT9304" t="s">
        <v>9025</v>
      </c>
    </row>
    <row r="9305" spans="1:72" x14ac:dyDescent="0.25">
      <c r="G9305" t="s">
        <v>9127</v>
      </c>
      <c r="R9305">
        <v>63</v>
      </c>
      <c r="AJ9305">
        <v>64</v>
      </c>
      <c r="BA9305" t="s">
        <v>9022</v>
      </c>
      <c r="BT9305" t="s">
        <v>9025</v>
      </c>
    </row>
    <row r="9306" spans="1:72" x14ac:dyDescent="0.25">
      <c r="G9306" t="s">
        <v>9128</v>
      </c>
      <c r="R9306">
        <v>67</v>
      </c>
      <c r="AJ9306">
        <v>67</v>
      </c>
      <c r="BA9306" t="s">
        <v>9131</v>
      </c>
      <c r="BT9306" t="s">
        <v>9131</v>
      </c>
    </row>
    <row r="9307" spans="1:72" x14ac:dyDescent="0.25">
      <c r="A9307" t="s">
        <v>9644</v>
      </c>
    </row>
    <row r="9308" spans="1:72" x14ac:dyDescent="0.25">
      <c r="G9308" t="s">
        <v>9197</v>
      </c>
      <c r="R9308">
        <v>57</v>
      </c>
      <c r="AJ9308">
        <v>59</v>
      </c>
      <c r="BA9308" t="s">
        <v>9203</v>
      </c>
      <c r="BT9308" t="s">
        <v>9208</v>
      </c>
    </row>
    <row r="9309" spans="1:72" x14ac:dyDescent="0.25">
      <c r="G9309" t="s">
        <v>9198</v>
      </c>
      <c r="R9309">
        <v>57</v>
      </c>
      <c r="AJ9309">
        <v>59</v>
      </c>
      <c r="BA9309" t="s">
        <v>9713</v>
      </c>
      <c r="BT9309" t="s">
        <v>9204</v>
      </c>
    </row>
    <row r="9310" spans="1:72" x14ac:dyDescent="0.25">
      <c r="G9310" t="s">
        <v>9199</v>
      </c>
      <c r="R9310">
        <v>59</v>
      </c>
      <c r="AJ9310">
        <v>61</v>
      </c>
      <c r="BA9310" t="s">
        <v>9204</v>
      </c>
      <c r="BT9310" t="s">
        <v>9209</v>
      </c>
    </row>
    <row r="9311" spans="1:72" x14ac:dyDescent="0.25">
      <c r="G9311" t="s">
        <v>9252</v>
      </c>
      <c r="R9311">
        <v>61</v>
      </c>
      <c r="AJ9311">
        <v>63</v>
      </c>
      <c r="BA9311" t="s">
        <v>9253</v>
      </c>
      <c r="BT9311" t="s">
        <v>9207</v>
      </c>
    </row>
    <row r="9312" spans="1:72" x14ac:dyDescent="0.25">
      <c r="G9312" t="s">
        <v>9200</v>
      </c>
      <c r="R9312">
        <v>61</v>
      </c>
      <c r="AJ9312">
        <v>63</v>
      </c>
      <c r="BA9312" t="s">
        <v>9205</v>
      </c>
      <c r="BT9312" t="s">
        <v>9210</v>
      </c>
    </row>
    <row r="9313" spans="1:72" x14ac:dyDescent="0.25">
      <c r="G9313" t="s">
        <v>9201</v>
      </c>
      <c r="R9313">
        <v>62</v>
      </c>
      <c r="AJ9313">
        <v>64</v>
      </c>
      <c r="BA9313" t="s">
        <v>9206</v>
      </c>
      <c r="BT9313" t="s">
        <v>9211</v>
      </c>
    </row>
    <row r="9314" spans="1:72" x14ac:dyDescent="0.25">
      <c r="G9314" t="s">
        <v>9202</v>
      </c>
      <c r="R9314">
        <v>63</v>
      </c>
      <c r="AJ9314">
        <v>65</v>
      </c>
      <c r="BA9314" t="s">
        <v>9207</v>
      </c>
      <c r="BT9314" t="s">
        <v>9212</v>
      </c>
    </row>
    <row r="9315" spans="1:72" x14ac:dyDescent="0.25">
      <c r="A9315" t="s">
        <v>8879</v>
      </c>
    </row>
    <row r="9316" spans="1:72" x14ac:dyDescent="0.25">
      <c r="G9316" t="s">
        <v>9334</v>
      </c>
      <c r="R9316">
        <v>61</v>
      </c>
      <c r="AJ9316">
        <v>62</v>
      </c>
      <c r="BA9316">
        <v>46</v>
      </c>
      <c r="BT9316">
        <v>47</v>
      </c>
    </row>
    <row r="9317" spans="1:72" x14ac:dyDescent="0.25">
      <c r="G9317" t="s">
        <v>9335</v>
      </c>
      <c r="R9317">
        <v>63</v>
      </c>
      <c r="AJ9317">
        <v>65</v>
      </c>
      <c r="BA9317">
        <v>48</v>
      </c>
      <c r="BT9317">
        <v>50</v>
      </c>
    </row>
    <row r="9318" spans="1:72" x14ac:dyDescent="0.25">
      <c r="G9318" t="s">
        <v>9336</v>
      </c>
      <c r="R9318">
        <v>64</v>
      </c>
      <c r="AJ9318">
        <v>65</v>
      </c>
      <c r="BA9318">
        <v>49</v>
      </c>
      <c r="BT9318">
        <v>50</v>
      </c>
    </row>
    <row r="9319" spans="1:72" x14ac:dyDescent="0.25">
      <c r="A9319" t="s">
        <v>9645</v>
      </c>
    </row>
    <row r="9320" spans="1:72" x14ac:dyDescent="0.25">
      <c r="G9320" t="s">
        <v>9379</v>
      </c>
      <c r="R9320">
        <v>57</v>
      </c>
      <c r="AJ9320">
        <v>58</v>
      </c>
      <c r="BA9320" t="s">
        <v>9382</v>
      </c>
      <c r="BT9320" t="s">
        <v>9383</v>
      </c>
    </row>
    <row r="9321" spans="1:72" x14ac:dyDescent="0.25">
      <c r="G9321" t="s">
        <v>9380</v>
      </c>
      <c r="R9321">
        <v>58</v>
      </c>
      <c r="AJ9321">
        <v>59</v>
      </c>
      <c r="BA9321" t="s">
        <v>9383</v>
      </c>
      <c r="BT9321" t="s">
        <v>9384</v>
      </c>
    </row>
    <row r="9322" spans="1:72" x14ac:dyDescent="0.25">
      <c r="G9322" t="s">
        <v>9381</v>
      </c>
      <c r="R9322">
        <v>60</v>
      </c>
      <c r="AJ9322">
        <v>62</v>
      </c>
      <c r="BA9322" t="s">
        <v>9129</v>
      </c>
      <c r="BT9322" t="s">
        <v>9021</v>
      </c>
    </row>
    <row r="9323" spans="1:72" x14ac:dyDescent="0.25">
      <c r="A9323" t="s">
        <v>9646</v>
      </c>
    </row>
    <row r="9324" spans="1:72" x14ac:dyDescent="0.25">
      <c r="G9324" t="s">
        <v>9601</v>
      </c>
      <c r="R9324">
        <v>59</v>
      </c>
      <c r="AJ9324">
        <v>65</v>
      </c>
      <c r="BA9324">
        <v>49</v>
      </c>
      <c r="BT9324">
        <v>52</v>
      </c>
    </row>
    <row r="9325" spans="1:72" x14ac:dyDescent="0.25">
      <c r="G9325" t="s">
        <v>9602</v>
      </c>
      <c r="R9325">
        <v>61</v>
      </c>
      <c r="AJ9325">
        <v>63</v>
      </c>
      <c r="BA9325">
        <v>48</v>
      </c>
      <c r="BT9325">
        <v>50</v>
      </c>
    </row>
    <row r="9326" spans="1:72" x14ac:dyDescent="0.25">
      <c r="G9326" t="s">
        <v>9603</v>
      </c>
      <c r="R9326">
        <v>61</v>
      </c>
      <c r="AJ9326">
        <v>65</v>
      </c>
      <c r="BA9326">
        <v>48</v>
      </c>
      <c r="BT9326">
        <v>52</v>
      </c>
    </row>
    <row r="9327" spans="1:72" x14ac:dyDescent="0.25">
      <c r="G9327" t="s">
        <v>9604</v>
      </c>
      <c r="R9327">
        <v>63</v>
      </c>
      <c r="AJ9327">
        <v>65</v>
      </c>
      <c r="BA9327">
        <v>50</v>
      </c>
      <c r="BT9327">
        <v>52</v>
      </c>
    </row>
    <row r="9328" spans="1:72" x14ac:dyDescent="0.25">
      <c r="G9328" t="s">
        <v>9624</v>
      </c>
      <c r="R9328">
        <v>63</v>
      </c>
      <c r="AJ9328">
        <v>62</v>
      </c>
      <c r="BA9328">
        <v>50</v>
      </c>
      <c r="BT9328">
        <v>52</v>
      </c>
    </row>
    <row r="9329" spans="1:105" x14ac:dyDescent="0.25">
      <c r="G9329" t="s">
        <v>9625</v>
      </c>
      <c r="R9329">
        <v>65</v>
      </c>
      <c r="AJ9329">
        <v>69</v>
      </c>
      <c r="BA9329">
        <v>52</v>
      </c>
      <c r="BT9329">
        <v>56</v>
      </c>
    </row>
    <row r="9330" spans="1:105" x14ac:dyDescent="0.25">
      <c r="A9330" t="s">
        <v>9714</v>
      </c>
    </row>
    <row r="9333" spans="1:105" x14ac:dyDescent="0.25">
      <c r="DA9333" t="s">
        <v>8862</v>
      </c>
    </row>
    <row r="9334" spans="1:105" x14ac:dyDescent="0.25">
      <c r="A9334" t="s">
        <v>8862</v>
      </c>
    </row>
    <row r="9335" spans="1:105" x14ac:dyDescent="0.25">
      <c r="G9335" t="s">
        <v>9715</v>
      </c>
    </row>
    <row r="9336" spans="1:105" x14ac:dyDescent="0.25">
      <c r="G9336" t="s">
        <v>9716</v>
      </c>
    </row>
    <row r="9340" spans="1:105" x14ac:dyDescent="0.25">
      <c r="G9340" t="s">
        <v>9717</v>
      </c>
    </row>
    <row r="9341" spans="1:105" x14ac:dyDescent="0.25">
      <c r="G9341" t="s">
        <v>3768</v>
      </c>
      <c r="W9341" t="s">
        <v>9049</v>
      </c>
      <c r="BS9341" t="s">
        <v>9051</v>
      </c>
    </row>
    <row r="9342" spans="1:105" x14ac:dyDescent="0.25">
      <c r="G9342" t="s">
        <v>9054</v>
      </c>
      <c r="W9342" t="s">
        <v>9055</v>
      </c>
      <c r="BS9342" t="s">
        <v>9056</v>
      </c>
    </row>
    <row r="9343" spans="1:105" x14ac:dyDescent="0.25">
      <c r="G9343" t="s">
        <v>9057</v>
      </c>
      <c r="W9343" t="s">
        <v>9058</v>
      </c>
      <c r="BS9343" t="s">
        <v>9059</v>
      </c>
    </row>
    <row r="9344" spans="1:105" x14ac:dyDescent="0.25">
      <c r="G9344" t="s">
        <v>9060</v>
      </c>
      <c r="W9344" t="s">
        <v>9061</v>
      </c>
      <c r="BS9344" t="s">
        <v>9062</v>
      </c>
    </row>
    <row r="9345" spans="7:71" x14ac:dyDescent="0.25">
      <c r="G9345" t="s">
        <v>9440</v>
      </c>
      <c r="W9345" t="s">
        <v>9441</v>
      </c>
      <c r="BS9345" t="s">
        <v>9059</v>
      </c>
    </row>
    <row r="9346" spans="7:71" x14ac:dyDescent="0.25">
      <c r="G9346" t="s">
        <v>9066</v>
      </c>
      <c r="W9346" t="s">
        <v>9067</v>
      </c>
      <c r="BS9346" t="s">
        <v>9068</v>
      </c>
    </row>
    <row r="9347" spans="7:71" x14ac:dyDescent="0.25">
      <c r="G9347" t="s">
        <v>9063</v>
      </c>
      <c r="W9347" t="s">
        <v>9064</v>
      </c>
      <c r="BS9347" t="s">
        <v>9065</v>
      </c>
    </row>
    <row r="9348" spans="7:71" x14ac:dyDescent="0.25">
      <c r="G9348" t="s">
        <v>9069</v>
      </c>
      <c r="W9348" t="s">
        <v>9070</v>
      </c>
      <c r="BS9348" t="s">
        <v>9071</v>
      </c>
    </row>
    <row r="9349" spans="7:71" x14ac:dyDescent="0.25">
      <c r="G9349" t="s">
        <v>9072</v>
      </c>
      <c r="W9349" t="s">
        <v>9073</v>
      </c>
      <c r="BS9349" t="s">
        <v>9074</v>
      </c>
    </row>
    <row r="9350" spans="7:71" x14ac:dyDescent="0.25">
      <c r="G9350" t="s">
        <v>9075</v>
      </c>
      <c r="W9350" t="s">
        <v>9076</v>
      </c>
      <c r="BS9350" t="s">
        <v>9077</v>
      </c>
    </row>
    <row r="9351" spans="7:71" x14ac:dyDescent="0.25">
      <c r="G9351" t="s">
        <v>9718</v>
      </c>
    </row>
    <row r="9352" spans="7:71" x14ac:dyDescent="0.25">
      <c r="G9352" t="s">
        <v>3768</v>
      </c>
      <c r="W9352" t="s">
        <v>9049</v>
      </c>
      <c r="BS9352" t="s">
        <v>9051</v>
      </c>
    </row>
    <row r="9353" spans="7:71" x14ac:dyDescent="0.25">
      <c r="G9353" t="s">
        <v>9054</v>
      </c>
      <c r="W9353" t="s">
        <v>9055</v>
      </c>
      <c r="BS9353" t="s">
        <v>9056</v>
      </c>
    </row>
    <row r="9354" spans="7:71" x14ac:dyDescent="0.25">
      <c r="G9354" t="s">
        <v>9440</v>
      </c>
      <c r="W9354" t="s">
        <v>9441</v>
      </c>
      <c r="BS9354" t="s">
        <v>9059</v>
      </c>
    </row>
    <row r="9355" spans="7:71" x14ac:dyDescent="0.25">
      <c r="G9355" t="s">
        <v>9066</v>
      </c>
      <c r="W9355" t="s">
        <v>9067</v>
      </c>
      <c r="BS9355" t="s">
        <v>9068</v>
      </c>
    </row>
    <row r="9356" spans="7:71" x14ac:dyDescent="0.25">
      <c r="G9356" t="s">
        <v>9063</v>
      </c>
      <c r="W9356" t="s">
        <v>9064</v>
      </c>
      <c r="BS9356" t="s">
        <v>9065</v>
      </c>
    </row>
    <row r="9357" spans="7:71" x14ac:dyDescent="0.25">
      <c r="G9357" t="s">
        <v>9442</v>
      </c>
      <c r="W9357" t="s">
        <v>9443</v>
      </c>
      <c r="BS9357" t="s">
        <v>9444</v>
      </c>
    </row>
    <row r="9358" spans="7:71" x14ac:dyDescent="0.25">
      <c r="G9358" t="s">
        <v>9072</v>
      </c>
      <c r="W9358" t="s">
        <v>9073</v>
      </c>
      <c r="BS9358" t="s">
        <v>9074</v>
      </c>
    </row>
    <row r="9359" spans="7:71" x14ac:dyDescent="0.25">
      <c r="G9359" t="s">
        <v>9075</v>
      </c>
      <c r="W9359" t="s">
        <v>9076</v>
      </c>
      <c r="BS9359" t="s">
        <v>9077</v>
      </c>
    </row>
    <row r="9360" spans="7:71" x14ac:dyDescent="0.25">
      <c r="G9360" t="s">
        <v>9719</v>
      </c>
    </row>
    <row r="9361" spans="7:72" x14ac:dyDescent="0.25">
      <c r="G9361" t="s">
        <v>3768</v>
      </c>
      <c r="W9361" t="s">
        <v>9049</v>
      </c>
      <c r="BT9361" t="s">
        <v>9051</v>
      </c>
    </row>
    <row r="9362" spans="7:72" x14ac:dyDescent="0.25">
      <c r="G9362" t="s">
        <v>9510</v>
      </c>
      <c r="W9362" t="s">
        <v>9511</v>
      </c>
      <c r="BT9362" t="s">
        <v>9512</v>
      </c>
    </row>
    <row r="9363" spans="7:72" x14ac:dyDescent="0.25">
      <c r="G9363" t="s">
        <v>9516</v>
      </c>
      <c r="W9363" t="s">
        <v>9517</v>
      </c>
      <c r="BT9363" t="s">
        <v>9518</v>
      </c>
    </row>
    <row r="9364" spans="7:72" x14ac:dyDescent="0.25">
      <c r="G9364" t="s">
        <v>9513</v>
      </c>
      <c r="W9364" t="s">
        <v>9514</v>
      </c>
      <c r="BT9364" t="s">
        <v>9515</v>
      </c>
    </row>
    <row r="9365" spans="7:72" x14ac:dyDescent="0.25">
      <c r="G9365" t="s">
        <v>9720</v>
      </c>
      <c r="W9365" t="s">
        <v>9721</v>
      </c>
      <c r="BT9365" t="s">
        <v>9722</v>
      </c>
    </row>
    <row r="9366" spans="7:72" x14ac:dyDescent="0.25">
      <c r="G9366" t="s">
        <v>9723</v>
      </c>
      <c r="W9366" t="s">
        <v>9724</v>
      </c>
      <c r="BT9366" t="s">
        <v>9011</v>
      </c>
    </row>
    <row r="9367" spans="7:72" x14ac:dyDescent="0.25">
      <c r="G9367" t="s">
        <v>9725</v>
      </c>
      <c r="W9367" t="s">
        <v>9726</v>
      </c>
      <c r="BT9367" t="s">
        <v>9727</v>
      </c>
    </row>
    <row r="9368" spans="7:72" x14ac:dyDescent="0.25">
      <c r="G9368" t="s">
        <v>9072</v>
      </c>
      <c r="W9368" t="s">
        <v>9073</v>
      </c>
      <c r="BT9368" t="s">
        <v>9074</v>
      </c>
    </row>
    <row r="9369" spans="7:72" x14ac:dyDescent="0.25">
      <c r="G9369" t="s">
        <v>9728</v>
      </c>
    </row>
    <row r="9370" spans="7:72" x14ac:dyDescent="0.25">
      <c r="G9370" t="s">
        <v>3768</v>
      </c>
      <c r="W9370" t="s">
        <v>9049</v>
      </c>
      <c r="BT9370" t="s">
        <v>9051</v>
      </c>
    </row>
    <row r="9371" spans="7:72" x14ac:dyDescent="0.25">
      <c r="G9371" t="s">
        <v>9516</v>
      </c>
      <c r="W9371" t="s">
        <v>9517</v>
      </c>
      <c r="BT9371" t="s">
        <v>9518</v>
      </c>
    </row>
    <row r="9372" spans="7:72" x14ac:dyDescent="0.25">
      <c r="G9372" t="s">
        <v>9723</v>
      </c>
      <c r="W9372" t="s">
        <v>9724</v>
      </c>
      <c r="BT9372" t="s">
        <v>9011</v>
      </c>
    </row>
    <row r="9373" spans="7:72" x14ac:dyDescent="0.25">
      <c r="G9373" t="s">
        <v>9729</v>
      </c>
      <c r="W9373" t="s">
        <v>9730</v>
      </c>
      <c r="BT9373" t="s">
        <v>9059</v>
      </c>
    </row>
    <row r="9374" spans="7:72" x14ac:dyDescent="0.25">
      <c r="G9374" t="s">
        <v>9731</v>
      </c>
      <c r="W9374" t="s">
        <v>9732</v>
      </c>
      <c r="BT9374" t="s">
        <v>9733</v>
      </c>
    </row>
    <row r="9375" spans="7:72" x14ac:dyDescent="0.25">
      <c r="G9375" t="s">
        <v>9734</v>
      </c>
      <c r="W9375" t="s">
        <v>9735</v>
      </c>
      <c r="BT9375" t="s">
        <v>9736</v>
      </c>
    </row>
    <row r="9376" spans="7:72" x14ac:dyDescent="0.25">
      <c r="G9376" t="s">
        <v>9737</v>
      </c>
      <c r="W9376" t="s">
        <v>9738</v>
      </c>
      <c r="BT9376" t="s">
        <v>9739</v>
      </c>
    </row>
    <row r="9377" spans="1:88" x14ac:dyDescent="0.25">
      <c r="G9377" t="s">
        <v>9740</v>
      </c>
      <c r="W9377" t="s">
        <v>9741</v>
      </c>
      <c r="BT9377" t="s">
        <v>5154</v>
      </c>
    </row>
    <row r="9378" spans="1:88" x14ac:dyDescent="0.25">
      <c r="G9378" t="s">
        <v>9742</v>
      </c>
      <c r="W9378" t="s">
        <v>9743</v>
      </c>
      <c r="BT9378" t="s">
        <v>9744</v>
      </c>
    </row>
    <row r="9379" spans="1:88" x14ac:dyDescent="0.25">
      <c r="G9379" t="s">
        <v>9745</v>
      </c>
      <c r="W9379" t="s">
        <v>9746</v>
      </c>
      <c r="BT9379" t="s">
        <v>5150</v>
      </c>
    </row>
    <row r="9380" spans="1:88" x14ac:dyDescent="0.25">
      <c r="G9380" t="s">
        <v>9747</v>
      </c>
      <c r="W9380" t="s">
        <v>9748</v>
      </c>
      <c r="BT9380" t="s">
        <v>9744</v>
      </c>
    </row>
    <row r="9381" spans="1:88" x14ac:dyDescent="0.25">
      <c r="G9381" t="s">
        <v>9749</v>
      </c>
      <c r="W9381" t="s">
        <v>9750</v>
      </c>
      <c r="BT9381" t="s">
        <v>9751</v>
      </c>
    </row>
    <row r="9382" spans="1:88" x14ac:dyDescent="0.25">
      <c r="G9382" t="s">
        <v>9752</v>
      </c>
      <c r="W9382" t="s">
        <v>9753</v>
      </c>
      <c r="BT9382" t="s">
        <v>9754</v>
      </c>
    </row>
    <row r="9383" spans="1:88" x14ac:dyDescent="0.25">
      <c r="G9383" t="s">
        <v>9072</v>
      </c>
      <c r="W9383" t="s">
        <v>9073</v>
      </c>
      <c r="BT9383" t="s">
        <v>9074</v>
      </c>
    </row>
    <row r="9384" spans="1:88" x14ac:dyDescent="0.25">
      <c r="A9384" t="s">
        <v>9755</v>
      </c>
    </row>
    <row r="9385" spans="1:88" x14ac:dyDescent="0.25">
      <c r="A9385" t="s">
        <v>9756</v>
      </c>
      <c r="CJ9385" t="s">
        <v>8862</v>
      </c>
    </row>
    <row r="9389" spans="1:88" x14ac:dyDescent="0.25">
      <c r="A9389" t="s">
        <v>9757</v>
      </c>
    </row>
    <row r="9391" spans="1:88" x14ac:dyDescent="0.25">
      <c r="BZ9391" t="s">
        <v>9056</v>
      </c>
    </row>
    <row r="9392" spans="1:88" x14ac:dyDescent="0.25">
      <c r="A9392" t="s">
        <v>9758</v>
      </c>
    </row>
    <row r="9395" spans="1:84" x14ac:dyDescent="0.25">
      <c r="BZ9395" t="s">
        <v>9059</v>
      </c>
    </row>
    <row r="9396" spans="1:84" x14ac:dyDescent="0.25">
      <c r="A9396" t="s">
        <v>9759</v>
      </c>
    </row>
    <row r="9398" spans="1:84" x14ac:dyDescent="0.25">
      <c r="BZ9398" t="s">
        <v>9518</v>
      </c>
    </row>
    <row r="9399" spans="1:84" x14ac:dyDescent="0.25">
      <c r="A9399" t="s">
        <v>9760</v>
      </c>
    </row>
    <row r="9401" spans="1:84" x14ac:dyDescent="0.25">
      <c r="A9401" t="s">
        <v>9761</v>
      </c>
      <c r="BZ9401" t="s">
        <v>9074</v>
      </c>
    </row>
    <row r="9403" spans="1:84" x14ac:dyDescent="0.25">
      <c r="A9403" t="s">
        <v>9762</v>
      </c>
      <c r="BZ9403" t="s">
        <v>9077</v>
      </c>
    </row>
    <row r="9405" spans="1:84" x14ac:dyDescent="0.25">
      <c r="A9405" t="s">
        <v>9763</v>
      </c>
      <c r="BM9405" t="s">
        <v>9764</v>
      </c>
      <c r="CF9405" t="s">
        <v>9765</v>
      </c>
    </row>
    <row r="9409" spans="1:23" x14ac:dyDescent="0.25">
      <c r="A9409" t="s">
        <v>9766</v>
      </c>
    </row>
    <row r="9411" spans="1:23" x14ac:dyDescent="0.25">
      <c r="A9411" t="s">
        <v>9767</v>
      </c>
    </row>
    <row r="9412" spans="1:23" x14ac:dyDescent="0.25">
      <c r="A9412" t="s">
        <v>9768</v>
      </c>
    </row>
    <row r="9413" spans="1:23" x14ac:dyDescent="0.25">
      <c r="A9413" t="s">
        <v>9769</v>
      </c>
    </row>
    <row r="9416" spans="1:23" x14ac:dyDescent="0.25">
      <c r="A9416" t="s">
        <v>9770</v>
      </c>
    </row>
    <row r="9417" spans="1:23" x14ac:dyDescent="0.25">
      <c r="A9417" t="s">
        <v>9771</v>
      </c>
      <c r="W9417" t="s">
        <v>9772</v>
      </c>
    </row>
    <row r="9418" spans="1:23" x14ac:dyDescent="0.25">
      <c r="A9418" t="s">
        <v>9773</v>
      </c>
      <c r="E9418" t="s">
        <v>9774</v>
      </c>
    </row>
    <row r="9421" spans="1:23" x14ac:dyDescent="0.25">
      <c r="W9421" t="s">
        <v>9775</v>
      </c>
    </row>
    <row r="9422" spans="1:23" x14ac:dyDescent="0.25">
      <c r="A9422" t="s">
        <v>9776</v>
      </c>
    </row>
    <row r="9429" spans="1:93" x14ac:dyDescent="0.25">
      <c r="A9429" t="s">
        <v>9777</v>
      </c>
      <c r="AB9429" t="s">
        <v>9778</v>
      </c>
    </row>
    <row r="9430" spans="1:93" x14ac:dyDescent="0.25">
      <c r="A9430" t="s">
        <v>9779</v>
      </c>
    </row>
    <row r="9431" spans="1:93" x14ac:dyDescent="0.25">
      <c r="A9431" t="s">
        <v>9780</v>
      </c>
      <c r="AB9431" t="s">
        <v>9781</v>
      </c>
    </row>
    <row r="9432" spans="1:93" x14ac:dyDescent="0.25">
      <c r="AB9432" t="s">
        <v>9782</v>
      </c>
      <c r="CO9432" t="s">
        <v>9773</v>
      </c>
    </row>
    <row r="9433" spans="1:93" x14ac:dyDescent="0.25">
      <c r="V9433" t="s">
        <v>9783</v>
      </c>
    </row>
    <row r="9435" spans="1:93" x14ac:dyDescent="0.25">
      <c r="A9435" t="s">
        <v>9784</v>
      </c>
      <c r="R9435" t="s">
        <v>9785</v>
      </c>
      <c r="V9435" t="s">
        <v>9786</v>
      </c>
      <c r="AB9435" t="s">
        <v>9787</v>
      </c>
    </row>
    <row r="9436" spans="1:93" x14ac:dyDescent="0.25">
      <c r="AB9436" t="s">
        <v>9788</v>
      </c>
    </row>
    <row r="9437" spans="1:93" x14ac:dyDescent="0.25">
      <c r="AB9437" t="s">
        <v>9789</v>
      </c>
    </row>
    <row r="9438" spans="1:93" x14ac:dyDescent="0.25">
      <c r="A9438" t="s">
        <v>9790</v>
      </c>
    </row>
    <row r="9439" spans="1:93" x14ac:dyDescent="0.25">
      <c r="A9439" t="s">
        <v>9791</v>
      </c>
    </row>
    <row r="9440" spans="1:93" x14ac:dyDescent="0.25">
      <c r="A9440" t="s">
        <v>9792</v>
      </c>
    </row>
    <row r="9445" spans="1:75" x14ac:dyDescent="0.25">
      <c r="A9445" t="s">
        <v>9717</v>
      </c>
    </row>
    <row r="9447" spans="1:75" x14ac:dyDescent="0.25">
      <c r="A9447" t="s">
        <v>9793</v>
      </c>
    </row>
    <row r="9449" spans="1:75" x14ac:dyDescent="0.25">
      <c r="G9449" t="s">
        <v>8930</v>
      </c>
      <c r="AF9449" t="s">
        <v>9794</v>
      </c>
      <c r="AT9449" t="s">
        <v>9795</v>
      </c>
      <c r="BJ9449" t="s">
        <v>9796</v>
      </c>
      <c r="BW9449" t="s">
        <v>9797</v>
      </c>
    </row>
    <row r="9450" spans="1:75" x14ac:dyDescent="0.25">
      <c r="G9450" t="s">
        <v>8937</v>
      </c>
      <c r="W9450" t="s">
        <v>2424</v>
      </c>
      <c r="AF9450">
        <v>5</v>
      </c>
      <c r="AT9450">
        <v>6.7</v>
      </c>
      <c r="BJ9450">
        <v>9.5</v>
      </c>
      <c r="BW9450">
        <v>9.5</v>
      </c>
    </row>
    <row r="9451" spans="1:75" x14ac:dyDescent="0.25">
      <c r="G9451" t="s">
        <v>8938</v>
      </c>
      <c r="W9451" t="s">
        <v>2424</v>
      </c>
      <c r="AF9451" t="s">
        <v>9798</v>
      </c>
      <c r="AT9451" t="s">
        <v>9799</v>
      </c>
      <c r="BJ9451" t="s">
        <v>9800</v>
      </c>
      <c r="BW9451" t="s">
        <v>9801</v>
      </c>
    </row>
    <row r="9452" spans="1:75" x14ac:dyDescent="0.25">
      <c r="G9452" t="s">
        <v>8945</v>
      </c>
      <c r="W9452" t="s">
        <v>2424</v>
      </c>
      <c r="AF9452" t="s">
        <v>9802</v>
      </c>
      <c r="AT9452" t="s">
        <v>9803</v>
      </c>
      <c r="BJ9452" t="s">
        <v>9804</v>
      </c>
      <c r="BW9452" t="s">
        <v>9805</v>
      </c>
    </row>
    <row r="9453" spans="1:75" x14ac:dyDescent="0.25">
      <c r="G9453" t="s">
        <v>8953</v>
      </c>
      <c r="W9453" t="s">
        <v>4905</v>
      </c>
      <c r="AF9453">
        <v>3.45</v>
      </c>
      <c r="AT9453">
        <v>3.05</v>
      </c>
      <c r="BJ9453">
        <v>2.5</v>
      </c>
      <c r="BW9453">
        <v>2.79</v>
      </c>
    </row>
    <row r="9454" spans="1:75" x14ac:dyDescent="0.25">
      <c r="G9454" t="s">
        <v>8955</v>
      </c>
      <c r="AF9454">
        <v>6.2</v>
      </c>
      <c r="AT9454">
        <v>5.75</v>
      </c>
      <c r="BJ9454">
        <v>6</v>
      </c>
      <c r="BW9454">
        <v>3.1</v>
      </c>
    </row>
    <row r="9455" spans="1:75" x14ac:dyDescent="0.25">
      <c r="G9455" t="s">
        <v>4977</v>
      </c>
      <c r="AF9455" t="s">
        <v>2880</v>
      </c>
      <c r="AT9455" t="s">
        <v>9104</v>
      </c>
      <c r="BJ9455" t="s">
        <v>9104</v>
      </c>
      <c r="BW9455" t="s">
        <v>2880</v>
      </c>
    </row>
    <row r="9456" spans="1:75" x14ac:dyDescent="0.25">
      <c r="G9456" t="s">
        <v>4979</v>
      </c>
      <c r="W9456" t="s">
        <v>4918</v>
      </c>
      <c r="AF9456" t="s">
        <v>9806</v>
      </c>
      <c r="AT9456" t="s">
        <v>9806</v>
      </c>
      <c r="BJ9456" t="s">
        <v>9806</v>
      </c>
      <c r="BW9456" t="s">
        <v>9806</v>
      </c>
    </row>
    <row r="9457" spans="1:75" x14ac:dyDescent="0.25">
      <c r="G9457" t="s">
        <v>8957</v>
      </c>
      <c r="W9457" t="s">
        <v>2424</v>
      </c>
      <c r="AF9457">
        <v>5.3</v>
      </c>
      <c r="AT9457">
        <v>7</v>
      </c>
      <c r="BJ9457">
        <v>10</v>
      </c>
      <c r="BW9457">
        <v>10</v>
      </c>
    </row>
    <row r="9458" spans="1:75" x14ac:dyDescent="0.25">
      <c r="G9458" t="s">
        <v>8958</v>
      </c>
      <c r="W9458" t="s">
        <v>2424</v>
      </c>
      <c r="AF9458" t="s">
        <v>9807</v>
      </c>
      <c r="AT9458" t="s">
        <v>9808</v>
      </c>
      <c r="BJ9458" t="s">
        <v>9809</v>
      </c>
      <c r="BW9458" t="s">
        <v>9809</v>
      </c>
    </row>
    <row r="9459" spans="1:75" x14ac:dyDescent="0.25">
      <c r="G9459" t="s">
        <v>8945</v>
      </c>
      <c r="W9459" t="s">
        <v>2424</v>
      </c>
      <c r="AF9459" t="s">
        <v>9810</v>
      </c>
      <c r="AT9459" t="s">
        <v>9803</v>
      </c>
      <c r="BJ9459" t="s">
        <v>9811</v>
      </c>
      <c r="BW9459" t="s">
        <v>9812</v>
      </c>
    </row>
    <row r="9460" spans="1:75" x14ac:dyDescent="0.25">
      <c r="A9460" t="s">
        <v>9773</v>
      </c>
      <c r="G9460" t="s">
        <v>8971</v>
      </c>
      <c r="W9460" t="s">
        <v>4905</v>
      </c>
      <c r="AF9460">
        <v>3.53</v>
      </c>
      <c r="AT9460">
        <v>3.18</v>
      </c>
      <c r="BJ9460">
        <v>3.03</v>
      </c>
      <c r="BW9460">
        <v>3.13</v>
      </c>
    </row>
    <row r="9461" spans="1:75" x14ac:dyDescent="0.25">
      <c r="G9461" t="s">
        <v>8973</v>
      </c>
      <c r="AF9461">
        <v>3.9</v>
      </c>
      <c r="AT9461">
        <v>3.9</v>
      </c>
      <c r="BJ9461">
        <v>4</v>
      </c>
      <c r="BW9461">
        <v>4.0999999999999996</v>
      </c>
    </row>
    <row r="9462" spans="1:75" x14ac:dyDescent="0.25">
      <c r="G9462" t="s">
        <v>4977</v>
      </c>
      <c r="AF9462" t="s">
        <v>4911</v>
      </c>
      <c r="AT9462" t="s">
        <v>4911</v>
      </c>
      <c r="BJ9462" t="s">
        <v>9104</v>
      </c>
      <c r="BW9462" t="s">
        <v>9104</v>
      </c>
    </row>
    <row r="9463" spans="1:75" x14ac:dyDescent="0.25">
      <c r="G9463" t="s">
        <v>4979</v>
      </c>
      <c r="W9463" t="s">
        <v>4918</v>
      </c>
      <c r="AF9463" t="s">
        <v>9813</v>
      </c>
      <c r="AT9463" t="s">
        <v>9813</v>
      </c>
      <c r="BJ9463" t="s">
        <v>9813</v>
      </c>
      <c r="BW9463" t="s">
        <v>9813</v>
      </c>
    </row>
    <row r="9464" spans="1:75" x14ac:dyDescent="0.25">
      <c r="G9464" t="s">
        <v>8975</v>
      </c>
      <c r="W9464" t="s">
        <v>2442</v>
      </c>
      <c r="AF9464" t="s">
        <v>2443</v>
      </c>
      <c r="AT9464" t="s">
        <v>2443</v>
      </c>
      <c r="BJ9464" t="s">
        <v>2443</v>
      </c>
      <c r="BW9464" t="s">
        <v>4910</v>
      </c>
    </row>
    <row r="9465" spans="1:75" x14ac:dyDescent="0.25">
      <c r="G9465" t="s">
        <v>4982</v>
      </c>
      <c r="W9465" t="s">
        <v>4911</v>
      </c>
      <c r="AF9465">
        <v>16</v>
      </c>
      <c r="AT9465">
        <v>16</v>
      </c>
      <c r="BJ9465">
        <v>20</v>
      </c>
      <c r="BW9465" t="s">
        <v>4917</v>
      </c>
    </row>
    <row r="9466" spans="1:75" x14ac:dyDescent="0.25">
      <c r="G9466" t="s">
        <v>8977</v>
      </c>
      <c r="W9466" t="s">
        <v>4986</v>
      </c>
      <c r="AF9466" t="s">
        <v>4987</v>
      </c>
      <c r="AT9466" t="s">
        <v>9814</v>
      </c>
      <c r="BJ9466" t="s">
        <v>9815</v>
      </c>
      <c r="BW9466" t="s">
        <v>9816</v>
      </c>
    </row>
    <row r="9468" spans="1:75" x14ac:dyDescent="0.25">
      <c r="G9468" t="s">
        <v>4988</v>
      </c>
      <c r="AF9468" t="s">
        <v>9817</v>
      </c>
      <c r="AT9468" t="s">
        <v>9818</v>
      </c>
      <c r="BJ9468" t="s">
        <v>9819</v>
      </c>
      <c r="BW9468" t="s">
        <v>9819</v>
      </c>
    </row>
    <row r="9469" spans="1:75" x14ac:dyDescent="0.25">
      <c r="G9469" t="s">
        <v>7870</v>
      </c>
      <c r="W9469" t="s">
        <v>2431</v>
      </c>
      <c r="AF9469" t="s">
        <v>9820</v>
      </c>
      <c r="AT9469" t="s">
        <v>9821</v>
      </c>
      <c r="BJ9469" t="s">
        <v>9822</v>
      </c>
      <c r="BW9469" t="s">
        <v>9822</v>
      </c>
    </row>
    <row r="9470" spans="1:75" x14ac:dyDescent="0.25">
      <c r="G9470" t="s">
        <v>8996</v>
      </c>
      <c r="W9470" t="s">
        <v>2427</v>
      </c>
      <c r="AF9470" t="s">
        <v>9823</v>
      </c>
      <c r="AT9470" t="s">
        <v>9824</v>
      </c>
      <c r="BJ9470" t="s">
        <v>9825</v>
      </c>
      <c r="BW9470" t="s">
        <v>9825</v>
      </c>
    </row>
    <row r="9471" spans="1:75" x14ac:dyDescent="0.25">
      <c r="G9471" t="s">
        <v>8996</v>
      </c>
      <c r="W9471" t="s">
        <v>2427</v>
      </c>
      <c r="AF9471" t="s">
        <v>9823</v>
      </c>
      <c r="AT9471" t="s">
        <v>9824</v>
      </c>
      <c r="BJ9471" t="s">
        <v>9825</v>
      </c>
      <c r="BW9471" t="s">
        <v>9825</v>
      </c>
    </row>
    <row r="9472" spans="1:75" x14ac:dyDescent="0.25">
      <c r="G9472" t="s">
        <v>4984</v>
      </c>
      <c r="W9472" t="s">
        <v>2433</v>
      </c>
      <c r="AF9472" t="s">
        <v>9119</v>
      </c>
      <c r="AT9472" t="s">
        <v>9119</v>
      </c>
      <c r="BJ9472" t="s">
        <v>9826</v>
      </c>
      <c r="BW9472" t="s">
        <v>9827</v>
      </c>
    </row>
    <row r="9473" spans="7:75" x14ac:dyDescent="0.25">
      <c r="G9473" t="s">
        <v>9010</v>
      </c>
      <c r="W9473" t="s">
        <v>713</v>
      </c>
      <c r="AF9473">
        <v>14</v>
      </c>
      <c r="AT9473">
        <v>14</v>
      </c>
      <c r="BJ9473">
        <v>19</v>
      </c>
      <c r="BW9473">
        <v>19</v>
      </c>
    </row>
    <row r="9474" spans="7:75" x14ac:dyDescent="0.25">
      <c r="G9474" t="s">
        <v>1001</v>
      </c>
      <c r="W9474" t="s">
        <v>4986</v>
      </c>
      <c r="AF9474" t="s">
        <v>9828</v>
      </c>
      <c r="AT9474" t="s">
        <v>9829</v>
      </c>
      <c r="BJ9474" t="s">
        <v>9830</v>
      </c>
      <c r="BW9474" t="s">
        <v>9830</v>
      </c>
    </row>
    <row r="9476" spans="7:75" x14ac:dyDescent="0.25">
      <c r="G9476" t="s">
        <v>5025</v>
      </c>
      <c r="AF9476" t="s">
        <v>9831</v>
      </c>
      <c r="AT9476" t="s">
        <v>9832</v>
      </c>
      <c r="BJ9476" t="s">
        <v>9833</v>
      </c>
      <c r="BW9476" t="s">
        <v>9834</v>
      </c>
    </row>
    <row r="9477" spans="7:75" x14ac:dyDescent="0.25">
      <c r="G9477" t="s">
        <v>8996</v>
      </c>
      <c r="W9477" t="s">
        <v>2427</v>
      </c>
      <c r="AF9477">
        <v>46</v>
      </c>
      <c r="AT9477">
        <v>48</v>
      </c>
      <c r="BJ9477">
        <v>53</v>
      </c>
      <c r="BW9477">
        <v>53</v>
      </c>
    </row>
    <row r="9478" spans="7:75" x14ac:dyDescent="0.25">
      <c r="G9478" t="s">
        <v>8996</v>
      </c>
      <c r="W9478" t="s">
        <v>2427</v>
      </c>
      <c r="AF9478">
        <v>48</v>
      </c>
      <c r="AT9478">
        <v>51</v>
      </c>
      <c r="BJ9478">
        <v>55</v>
      </c>
      <c r="BW9478">
        <v>55</v>
      </c>
    </row>
    <row r="9479" spans="7:75" x14ac:dyDescent="0.25">
      <c r="G9479" t="s">
        <v>2435</v>
      </c>
      <c r="W9479" t="s">
        <v>2436</v>
      </c>
      <c r="AF9479" t="s">
        <v>9029</v>
      </c>
      <c r="AT9479" t="s">
        <v>2437</v>
      </c>
      <c r="BJ9479" t="s">
        <v>9835</v>
      </c>
      <c r="BW9479" t="s">
        <v>9835</v>
      </c>
    </row>
    <row r="9480" spans="7:75" x14ac:dyDescent="0.25">
      <c r="G9480" t="s">
        <v>9030</v>
      </c>
      <c r="W9480" t="s">
        <v>2436</v>
      </c>
      <c r="AF9480" t="s">
        <v>9836</v>
      </c>
      <c r="AT9480" t="s">
        <v>9028</v>
      </c>
      <c r="BJ9480" t="s">
        <v>9028</v>
      </c>
      <c r="BW9480" t="s">
        <v>9028</v>
      </c>
    </row>
    <row r="9481" spans="7:75" x14ac:dyDescent="0.25">
      <c r="G9481" t="s">
        <v>9032</v>
      </c>
      <c r="W9481" t="s">
        <v>551</v>
      </c>
      <c r="AF9481">
        <v>5</v>
      </c>
      <c r="AT9481">
        <v>5</v>
      </c>
      <c r="BJ9481">
        <v>5</v>
      </c>
      <c r="BW9481">
        <v>5</v>
      </c>
    </row>
    <row r="9482" spans="7:75" x14ac:dyDescent="0.25">
      <c r="G9482" t="s">
        <v>9033</v>
      </c>
      <c r="W9482" t="s">
        <v>551</v>
      </c>
      <c r="AF9482">
        <v>20</v>
      </c>
      <c r="AT9482">
        <v>20</v>
      </c>
      <c r="BJ9482">
        <v>30</v>
      </c>
      <c r="BW9482">
        <v>30</v>
      </c>
    </row>
    <row r="9483" spans="7:75" x14ac:dyDescent="0.25">
      <c r="G9483" t="s">
        <v>9034</v>
      </c>
      <c r="W9483" t="s">
        <v>551</v>
      </c>
      <c r="AF9483">
        <v>20</v>
      </c>
      <c r="AT9483">
        <v>30</v>
      </c>
      <c r="BJ9483">
        <v>30</v>
      </c>
      <c r="BW9483">
        <v>30</v>
      </c>
    </row>
    <row r="9484" spans="7:75" x14ac:dyDescent="0.25">
      <c r="G9484" t="s">
        <v>9035</v>
      </c>
      <c r="AF9484" t="s">
        <v>9037</v>
      </c>
      <c r="AT9484" t="s">
        <v>9037</v>
      </c>
      <c r="BJ9484" t="s">
        <v>9037</v>
      </c>
      <c r="BW9484" t="s">
        <v>9037</v>
      </c>
    </row>
    <row r="9485" spans="7:75" x14ac:dyDescent="0.25">
      <c r="G9485" t="s">
        <v>4983</v>
      </c>
      <c r="AF9485" t="s">
        <v>2440</v>
      </c>
      <c r="AT9485" t="s">
        <v>2440</v>
      </c>
      <c r="BJ9485" t="s">
        <v>2440</v>
      </c>
      <c r="BW9485" t="s">
        <v>2440</v>
      </c>
    </row>
    <row r="9486" spans="7:75" x14ac:dyDescent="0.25">
      <c r="G9486" t="s">
        <v>9038</v>
      </c>
      <c r="W9486" t="s">
        <v>713</v>
      </c>
      <c r="AF9486">
        <v>0.9</v>
      </c>
      <c r="AT9486">
        <v>1.4</v>
      </c>
      <c r="BJ9486">
        <v>1.7</v>
      </c>
      <c r="BW9486">
        <v>1.7</v>
      </c>
    </row>
    <row r="9487" spans="7:75" x14ac:dyDescent="0.25">
      <c r="G9487" t="s">
        <v>4984</v>
      </c>
      <c r="W9487" t="s">
        <v>2433</v>
      </c>
      <c r="AF9487" t="s">
        <v>9041</v>
      </c>
      <c r="AT9487" t="s">
        <v>9041</v>
      </c>
      <c r="BJ9487" t="s">
        <v>4985</v>
      </c>
      <c r="BW9487" t="s">
        <v>9837</v>
      </c>
    </row>
    <row r="9488" spans="7:75" x14ac:dyDescent="0.25">
      <c r="G9488" t="s">
        <v>9010</v>
      </c>
      <c r="W9488" t="s">
        <v>713</v>
      </c>
      <c r="AF9488">
        <v>36</v>
      </c>
      <c r="AT9488">
        <v>39</v>
      </c>
      <c r="BJ9488">
        <v>45</v>
      </c>
      <c r="BW9488">
        <v>60</v>
      </c>
    </row>
    <row r="9489" spans="1:78" x14ac:dyDescent="0.25">
      <c r="G9489" t="s">
        <v>1001</v>
      </c>
      <c r="W9489" t="s">
        <v>4986</v>
      </c>
      <c r="AF9489" t="s">
        <v>9256</v>
      </c>
      <c r="AT9489" t="s">
        <v>9271</v>
      </c>
      <c r="BJ9489" t="s">
        <v>9838</v>
      </c>
      <c r="BW9489" t="s">
        <v>9839</v>
      </c>
    </row>
    <row r="9491" spans="1:78" x14ac:dyDescent="0.25">
      <c r="G9491" t="s">
        <v>3768</v>
      </c>
      <c r="W9491" t="s">
        <v>9049</v>
      </c>
      <c r="AX9491" t="s">
        <v>9050</v>
      </c>
      <c r="BZ9491" t="s">
        <v>9051</v>
      </c>
    </row>
    <row r="9492" spans="1:78" x14ac:dyDescent="0.25">
      <c r="G9492" t="s">
        <v>9052</v>
      </c>
      <c r="W9492" t="s">
        <v>9053</v>
      </c>
    </row>
    <row r="9493" spans="1:78" x14ac:dyDescent="0.25">
      <c r="G9493" t="s">
        <v>9840</v>
      </c>
      <c r="W9493" t="s">
        <v>9841</v>
      </c>
      <c r="BZ9493" t="s">
        <v>9842</v>
      </c>
    </row>
    <row r="9494" spans="1:78" x14ac:dyDescent="0.25">
      <c r="A9494" t="s">
        <v>9843</v>
      </c>
    </row>
    <row r="9495" spans="1:78" x14ac:dyDescent="0.25">
      <c r="A9495" t="s">
        <v>9844</v>
      </c>
    </row>
    <row r="9499" spans="1:78" x14ac:dyDescent="0.25">
      <c r="A9499" t="s">
        <v>9717</v>
      </c>
    </row>
    <row r="9501" spans="1:78" x14ac:dyDescent="0.25">
      <c r="A9501" t="s">
        <v>9845</v>
      </c>
    </row>
    <row r="9503" spans="1:78" x14ac:dyDescent="0.25">
      <c r="A9503" t="s">
        <v>8930</v>
      </c>
      <c r="Z9503" t="s">
        <v>9846</v>
      </c>
      <c r="AI9503" t="s">
        <v>9847</v>
      </c>
      <c r="AP9503" t="s">
        <v>9848</v>
      </c>
      <c r="BH9503" t="s">
        <v>9849</v>
      </c>
      <c r="BP9503" t="s">
        <v>9850</v>
      </c>
      <c r="BW9503" t="s">
        <v>9851</v>
      </c>
    </row>
    <row r="9504" spans="1:78" x14ac:dyDescent="0.25">
      <c r="A9504" t="s">
        <v>8937</v>
      </c>
      <c r="R9504" t="s">
        <v>2424</v>
      </c>
      <c r="Z9504">
        <v>2.5</v>
      </c>
      <c r="AI9504">
        <v>3.6</v>
      </c>
      <c r="AP9504">
        <v>5</v>
      </c>
      <c r="AY9504">
        <v>6.7</v>
      </c>
      <c r="BH9504">
        <v>8</v>
      </c>
      <c r="BP9504">
        <v>9.5</v>
      </c>
      <c r="BW9504">
        <v>9.5</v>
      </c>
    </row>
    <row r="9505" spans="1:88" x14ac:dyDescent="0.25">
      <c r="A9505" t="s">
        <v>8938</v>
      </c>
      <c r="R9505" t="s">
        <v>2424</v>
      </c>
      <c r="Z9505" t="s">
        <v>9852</v>
      </c>
      <c r="AI9505" t="s">
        <v>9853</v>
      </c>
      <c r="AP9505" t="s">
        <v>9798</v>
      </c>
      <c r="AY9505" t="s">
        <v>9854</v>
      </c>
      <c r="BH9505" t="s">
        <v>9855</v>
      </c>
      <c r="BP9505" t="s">
        <v>9801</v>
      </c>
      <c r="BW9505" t="s">
        <v>9801</v>
      </c>
    </row>
    <row r="9506" spans="1:88" x14ac:dyDescent="0.25">
      <c r="A9506" t="s">
        <v>8945</v>
      </c>
      <c r="R9506" t="s">
        <v>2424</v>
      </c>
      <c r="Z9506" t="s">
        <v>9856</v>
      </c>
      <c r="AI9506" t="s">
        <v>9857</v>
      </c>
      <c r="AP9506" t="s">
        <v>9858</v>
      </c>
      <c r="AY9506" t="s">
        <v>9859</v>
      </c>
      <c r="BH9506" t="s">
        <v>9860</v>
      </c>
      <c r="BP9506" t="s">
        <v>9861</v>
      </c>
      <c r="BW9506" t="s">
        <v>9862</v>
      </c>
    </row>
    <row r="9507" spans="1:88" x14ac:dyDescent="0.25">
      <c r="Z9507">
        <v>0.86</v>
      </c>
      <c r="AI9507">
        <v>2</v>
      </c>
      <c r="AP9507">
        <v>1.86</v>
      </c>
      <c r="AY9507">
        <v>2.86</v>
      </c>
      <c r="BH9507">
        <v>3.16</v>
      </c>
      <c r="BP9507">
        <v>3.95</v>
      </c>
      <c r="BW9507">
        <v>3.91</v>
      </c>
    </row>
    <row r="9508" spans="1:88" x14ac:dyDescent="0.25">
      <c r="A9508" t="s">
        <v>8953</v>
      </c>
      <c r="R9508" t="s">
        <v>4905</v>
      </c>
      <c r="Z9508">
        <v>4.0999999999999996</v>
      </c>
      <c r="AI9508">
        <v>3.19</v>
      </c>
      <c r="AP9508">
        <v>3.01</v>
      </c>
      <c r="AY9508">
        <v>3.25</v>
      </c>
      <c r="BH9508">
        <v>3</v>
      </c>
      <c r="BP9508">
        <v>3.21</v>
      </c>
      <c r="BW9508">
        <v>3.22</v>
      </c>
    </row>
    <row r="9509" spans="1:88" x14ac:dyDescent="0.25">
      <c r="A9509" t="s">
        <v>8955</v>
      </c>
      <c r="Z9509">
        <v>7</v>
      </c>
      <c r="AI9509">
        <v>6.7</v>
      </c>
      <c r="AP9509">
        <v>6.69</v>
      </c>
      <c r="AY9509">
        <v>6.6</v>
      </c>
      <c r="BH9509">
        <v>6.6</v>
      </c>
      <c r="BP9509">
        <v>6.4</v>
      </c>
      <c r="BW9509">
        <v>6.1</v>
      </c>
    </row>
    <row r="9510" spans="1:88" x14ac:dyDescent="0.25">
      <c r="A9510" t="s">
        <v>4977</v>
      </c>
      <c r="Z9510" t="s">
        <v>2880</v>
      </c>
      <c r="AI9510" t="s">
        <v>2880</v>
      </c>
      <c r="AP9510" t="s">
        <v>2880</v>
      </c>
      <c r="AY9510" t="s">
        <v>2880</v>
      </c>
      <c r="BH9510" t="s">
        <v>2880</v>
      </c>
      <c r="BP9510" t="s">
        <v>2880</v>
      </c>
      <c r="BW9510" t="s">
        <v>2880</v>
      </c>
    </row>
    <row r="9511" spans="1:88" x14ac:dyDescent="0.25">
      <c r="A9511" t="s">
        <v>4979</v>
      </c>
      <c r="R9511" t="s">
        <v>4918</v>
      </c>
      <c r="Z9511" t="s">
        <v>9806</v>
      </c>
      <c r="AI9511" t="s">
        <v>9806</v>
      </c>
      <c r="AP9511" t="s">
        <v>9806</v>
      </c>
      <c r="AY9511" t="s">
        <v>9806</v>
      </c>
      <c r="BH9511" t="s">
        <v>9806</v>
      </c>
      <c r="BP9511" t="s">
        <v>9806</v>
      </c>
      <c r="BW9511" t="s">
        <v>9806</v>
      </c>
    </row>
    <row r="9512" spans="1:88" x14ac:dyDescent="0.25">
      <c r="A9512" t="s">
        <v>8957</v>
      </c>
      <c r="R9512" t="s">
        <v>2424</v>
      </c>
      <c r="Z9512">
        <v>3.4</v>
      </c>
      <c r="AI9512">
        <v>4</v>
      </c>
      <c r="AP9512">
        <v>5.3</v>
      </c>
      <c r="AY9512">
        <v>7.7</v>
      </c>
      <c r="BH9512">
        <v>8.6</v>
      </c>
      <c r="BP9512">
        <v>11.2</v>
      </c>
      <c r="BW9512">
        <v>11.2</v>
      </c>
    </row>
    <row r="9513" spans="1:88" x14ac:dyDescent="0.25">
      <c r="A9513" t="s">
        <v>8958</v>
      </c>
      <c r="R9513" t="s">
        <v>2424</v>
      </c>
      <c r="Z9513" t="s">
        <v>9863</v>
      </c>
      <c r="AI9513" t="s">
        <v>9864</v>
      </c>
      <c r="AP9513" t="s">
        <v>9807</v>
      </c>
      <c r="AY9513" t="s">
        <v>9865</v>
      </c>
      <c r="BH9513" t="s">
        <v>9866</v>
      </c>
      <c r="BP9513" t="s">
        <v>9809</v>
      </c>
      <c r="BW9513" t="s">
        <v>9809</v>
      </c>
    </row>
    <row r="9514" spans="1:88" x14ac:dyDescent="0.25">
      <c r="A9514" t="s">
        <v>8945</v>
      </c>
      <c r="R9514" t="s">
        <v>2424</v>
      </c>
      <c r="Z9514" t="s">
        <v>9867</v>
      </c>
      <c r="AI9514" t="s">
        <v>9868</v>
      </c>
      <c r="AP9514" t="s">
        <v>9869</v>
      </c>
      <c r="AY9514" t="s">
        <v>9870</v>
      </c>
      <c r="BH9514" t="s">
        <v>9871</v>
      </c>
      <c r="BP9514" t="s">
        <v>9872</v>
      </c>
      <c r="BW9514" t="s">
        <v>9873</v>
      </c>
    </row>
    <row r="9515" spans="1:88" x14ac:dyDescent="0.25">
      <c r="Z9515">
        <v>1.4</v>
      </c>
      <c r="AI9515">
        <v>1.7</v>
      </c>
      <c r="AP9515">
        <v>2.4</v>
      </c>
      <c r="AY9515">
        <v>3.04</v>
      </c>
      <c r="BH9515">
        <v>3.27</v>
      </c>
      <c r="BP9515">
        <v>4.33</v>
      </c>
      <c r="BW9515">
        <v>4.29</v>
      </c>
    </row>
    <row r="9516" spans="1:88" x14ac:dyDescent="0.25">
      <c r="A9516" t="s">
        <v>8971</v>
      </c>
      <c r="R9516" t="s">
        <v>4905</v>
      </c>
      <c r="Z9516">
        <v>4</v>
      </c>
      <c r="AI9516">
        <v>3.57</v>
      </c>
      <c r="AP9516">
        <v>3.42</v>
      </c>
      <c r="AY9516">
        <v>3.35</v>
      </c>
      <c r="BH9516">
        <v>3.3</v>
      </c>
      <c r="BP9516">
        <v>3.26</v>
      </c>
      <c r="BW9516">
        <v>3.31</v>
      </c>
      <c r="CJ9516" t="s">
        <v>9773</v>
      </c>
    </row>
    <row r="9517" spans="1:88" x14ac:dyDescent="0.25">
      <c r="A9517" t="s">
        <v>8973</v>
      </c>
      <c r="Z9517">
        <v>4.12</v>
      </c>
      <c r="AI9517">
        <v>4.24</v>
      </c>
      <c r="AP9517">
        <v>4.0199999999999996</v>
      </c>
      <c r="AY9517">
        <v>4.05</v>
      </c>
      <c r="BH9517">
        <v>4.0999999999999996</v>
      </c>
      <c r="BP9517">
        <v>4.2</v>
      </c>
      <c r="BW9517">
        <v>4.2</v>
      </c>
    </row>
    <row r="9518" spans="1:88" x14ac:dyDescent="0.25">
      <c r="A9518" t="s">
        <v>4977</v>
      </c>
      <c r="Z9518" t="s">
        <v>9104</v>
      </c>
      <c r="AI9518" t="s">
        <v>9104</v>
      </c>
      <c r="AP9518" t="s">
        <v>9104</v>
      </c>
      <c r="AY9518" t="s">
        <v>9104</v>
      </c>
      <c r="BH9518" t="s">
        <v>9104</v>
      </c>
      <c r="BP9518" t="s">
        <v>9104</v>
      </c>
      <c r="BW9518" t="s">
        <v>9104</v>
      </c>
    </row>
    <row r="9519" spans="1:88" x14ac:dyDescent="0.25">
      <c r="A9519" t="s">
        <v>4979</v>
      </c>
      <c r="R9519" t="s">
        <v>4918</v>
      </c>
      <c r="Z9519" t="s">
        <v>9813</v>
      </c>
      <c r="AI9519" t="s">
        <v>9813</v>
      </c>
      <c r="AP9519" t="s">
        <v>9813</v>
      </c>
      <c r="AY9519" t="s">
        <v>9813</v>
      </c>
      <c r="BH9519" t="s">
        <v>9813</v>
      </c>
      <c r="BP9519" t="s">
        <v>9813</v>
      </c>
      <c r="BW9519" t="s">
        <v>9813</v>
      </c>
    </row>
    <row r="9520" spans="1:88" x14ac:dyDescent="0.25">
      <c r="A9520" t="s">
        <v>8975</v>
      </c>
      <c r="R9520" t="s">
        <v>2442</v>
      </c>
      <c r="Z9520" t="s">
        <v>8976</v>
      </c>
      <c r="AI9520" t="s">
        <v>8976</v>
      </c>
      <c r="AP9520" t="s">
        <v>8976</v>
      </c>
      <c r="AY9520" t="s">
        <v>8976</v>
      </c>
      <c r="BH9520" t="s">
        <v>8976</v>
      </c>
      <c r="BP9520" t="s">
        <v>8976</v>
      </c>
      <c r="BW9520" t="s">
        <v>9874</v>
      </c>
    </row>
    <row r="9521" spans="1:75" x14ac:dyDescent="0.25">
      <c r="Z9521">
        <v>50</v>
      </c>
      <c r="AI9521">
        <v>50</v>
      </c>
      <c r="AP9521">
        <v>50</v>
      </c>
      <c r="AY9521">
        <v>50</v>
      </c>
      <c r="BH9521">
        <v>50</v>
      </c>
      <c r="BP9521">
        <v>50</v>
      </c>
      <c r="BW9521">
        <v>50</v>
      </c>
    </row>
    <row r="9522" spans="1:75" x14ac:dyDescent="0.25">
      <c r="A9522" t="s">
        <v>4982</v>
      </c>
      <c r="R9522" t="s">
        <v>4911</v>
      </c>
      <c r="Z9522">
        <v>10</v>
      </c>
      <c r="AI9522">
        <v>10</v>
      </c>
      <c r="AP9522">
        <v>16</v>
      </c>
      <c r="AY9522">
        <v>16</v>
      </c>
      <c r="BH9522">
        <v>16</v>
      </c>
      <c r="BP9522">
        <v>25</v>
      </c>
      <c r="BW9522" t="s">
        <v>4917</v>
      </c>
    </row>
    <row r="9523" spans="1:75" x14ac:dyDescent="0.25">
      <c r="A9523" t="s">
        <v>8977</v>
      </c>
      <c r="R9523" t="s">
        <v>4986</v>
      </c>
      <c r="Z9523" t="s">
        <v>9875</v>
      </c>
      <c r="AI9523" t="s">
        <v>9876</v>
      </c>
      <c r="AP9523" t="s">
        <v>9877</v>
      </c>
      <c r="AY9523" t="s">
        <v>9878</v>
      </c>
      <c r="BH9523" t="s">
        <v>9879</v>
      </c>
      <c r="BP9523" t="s">
        <v>9880</v>
      </c>
      <c r="BW9523" t="s">
        <v>9881</v>
      </c>
    </row>
    <row r="9525" spans="1:75" x14ac:dyDescent="0.25">
      <c r="A9525" t="s">
        <v>4988</v>
      </c>
      <c r="Z9525" t="s">
        <v>9882</v>
      </c>
      <c r="AI9525" t="s">
        <v>9883</v>
      </c>
      <c r="AP9525" t="s">
        <v>9817</v>
      </c>
      <c r="AY9525" t="s">
        <v>9818</v>
      </c>
      <c r="BH9525" t="s">
        <v>9884</v>
      </c>
      <c r="BP9525" t="s">
        <v>9819</v>
      </c>
      <c r="BW9525" t="s">
        <v>9819</v>
      </c>
    </row>
    <row r="9526" spans="1:75" x14ac:dyDescent="0.25">
      <c r="A9526" t="s">
        <v>7870</v>
      </c>
      <c r="R9526" t="s">
        <v>2431</v>
      </c>
      <c r="Z9526" t="s">
        <v>9885</v>
      </c>
      <c r="AI9526" t="s">
        <v>9886</v>
      </c>
      <c r="AP9526" t="s">
        <v>9887</v>
      </c>
      <c r="AY9526" t="s">
        <v>9888</v>
      </c>
      <c r="BH9526" t="s">
        <v>9887</v>
      </c>
      <c r="BP9526" t="s">
        <v>9889</v>
      </c>
      <c r="BW9526" t="s">
        <v>9889</v>
      </c>
    </row>
    <row r="9527" spans="1:75" x14ac:dyDescent="0.25">
      <c r="Z9527">
        <v>670</v>
      </c>
      <c r="AI9527">
        <v>700</v>
      </c>
      <c r="AP9527">
        <v>960</v>
      </c>
      <c r="AY9527">
        <v>1040</v>
      </c>
      <c r="BH9527">
        <v>1180</v>
      </c>
      <c r="BP9527">
        <v>1610</v>
      </c>
      <c r="BW9527">
        <v>1610</v>
      </c>
    </row>
    <row r="9528" spans="1:75" x14ac:dyDescent="0.25">
      <c r="A9528" t="s">
        <v>8996</v>
      </c>
      <c r="R9528" t="s">
        <v>2427</v>
      </c>
      <c r="Z9528" t="s">
        <v>9890</v>
      </c>
      <c r="AI9528" t="s">
        <v>9891</v>
      </c>
      <c r="AP9528" t="s">
        <v>9823</v>
      </c>
      <c r="AY9528" t="s">
        <v>9824</v>
      </c>
      <c r="BH9528" t="s">
        <v>9892</v>
      </c>
      <c r="BP9528" t="s">
        <v>9825</v>
      </c>
      <c r="BW9528" t="s">
        <v>9825</v>
      </c>
    </row>
    <row r="9529" spans="1:75" x14ac:dyDescent="0.25">
      <c r="A9529" t="s">
        <v>8996</v>
      </c>
      <c r="R9529" t="s">
        <v>2427</v>
      </c>
      <c r="Z9529" t="s">
        <v>9890</v>
      </c>
      <c r="AI9529" t="s">
        <v>9891</v>
      </c>
      <c r="AP9529" t="s">
        <v>9823</v>
      </c>
      <c r="AY9529" t="s">
        <v>9824</v>
      </c>
      <c r="BH9529" t="s">
        <v>9892</v>
      </c>
      <c r="BP9529" t="s">
        <v>9825</v>
      </c>
      <c r="BW9529" t="s">
        <v>9825</v>
      </c>
    </row>
    <row r="9530" spans="1:75" x14ac:dyDescent="0.25">
      <c r="A9530" t="s">
        <v>4984</v>
      </c>
      <c r="R9530" t="s">
        <v>2433</v>
      </c>
      <c r="Z9530" t="s">
        <v>9008</v>
      </c>
      <c r="AI9530" t="s">
        <v>9008</v>
      </c>
      <c r="AP9530" t="s">
        <v>9119</v>
      </c>
      <c r="AY9530" t="s">
        <v>9119</v>
      </c>
      <c r="BH9530" t="s">
        <v>9119</v>
      </c>
      <c r="BP9530" t="s">
        <v>9826</v>
      </c>
      <c r="BW9530" t="s">
        <v>9826</v>
      </c>
    </row>
    <row r="9531" spans="1:75" x14ac:dyDescent="0.25">
      <c r="A9531" t="s">
        <v>9010</v>
      </c>
      <c r="R9531" t="s">
        <v>713</v>
      </c>
      <c r="Z9531">
        <v>10</v>
      </c>
      <c r="AI9531">
        <v>10</v>
      </c>
      <c r="AP9531">
        <v>14</v>
      </c>
      <c r="AY9531">
        <v>14</v>
      </c>
      <c r="BH9531">
        <v>14</v>
      </c>
      <c r="BP9531">
        <v>19</v>
      </c>
      <c r="BW9531">
        <v>19</v>
      </c>
    </row>
    <row r="9532" spans="1:75" x14ac:dyDescent="0.25">
      <c r="A9532" t="s">
        <v>1001</v>
      </c>
      <c r="R9532" t="s">
        <v>4986</v>
      </c>
      <c r="Z9532" t="s">
        <v>9893</v>
      </c>
      <c r="AI9532" t="s">
        <v>9894</v>
      </c>
      <c r="AP9532" t="s">
        <v>9828</v>
      </c>
      <c r="AY9532" t="s">
        <v>9829</v>
      </c>
      <c r="BH9532" t="s">
        <v>9460</v>
      </c>
      <c r="BP9532" t="s">
        <v>9830</v>
      </c>
      <c r="BW9532" t="s">
        <v>9830</v>
      </c>
    </row>
    <row r="9535" spans="1:75" x14ac:dyDescent="0.25">
      <c r="A9535" t="s">
        <v>5025</v>
      </c>
      <c r="Z9535" t="s">
        <v>9895</v>
      </c>
      <c r="AI9535" t="s">
        <v>9896</v>
      </c>
      <c r="AP9535" t="s">
        <v>9897</v>
      </c>
      <c r="AY9535" t="s">
        <v>9898</v>
      </c>
      <c r="BH9535" t="s">
        <v>9899</v>
      </c>
      <c r="BP9535" t="s">
        <v>9900</v>
      </c>
      <c r="BW9535" t="s">
        <v>9901</v>
      </c>
    </row>
    <row r="9536" spans="1:75" x14ac:dyDescent="0.25">
      <c r="A9536" t="s">
        <v>8996</v>
      </c>
      <c r="R9536" t="s">
        <v>2427</v>
      </c>
      <c r="Z9536">
        <v>46</v>
      </c>
      <c r="AI9536">
        <v>49</v>
      </c>
      <c r="AP9536">
        <v>46</v>
      </c>
      <c r="AY9536">
        <v>50</v>
      </c>
      <c r="BH9536">
        <v>52</v>
      </c>
      <c r="BP9536">
        <v>53</v>
      </c>
      <c r="BW9536">
        <v>53</v>
      </c>
    </row>
    <row r="9537" spans="1:75" x14ac:dyDescent="0.25">
      <c r="A9537" t="s">
        <v>8996</v>
      </c>
      <c r="R9537" t="s">
        <v>2427</v>
      </c>
      <c r="Z9537">
        <v>47</v>
      </c>
      <c r="AI9537">
        <v>50</v>
      </c>
      <c r="AP9537">
        <v>48</v>
      </c>
      <c r="AY9537">
        <v>52</v>
      </c>
      <c r="BH9537">
        <v>55</v>
      </c>
      <c r="BP9537">
        <v>56</v>
      </c>
      <c r="BW9537">
        <v>56</v>
      </c>
    </row>
    <row r="9538" spans="1:75" x14ac:dyDescent="0.25">
      <c r="A9538" t="s">
        <v>2435</v>
      </c>
      <c r="R9538" t="s">
        <v>2436</v>
      </c>
      <c r="Z9538" t="s">
        <v>9028</v>
      </c>
      <c r="AI9538" t="s">
        <v>9029</v>
      </c>
      <c r="AP9538" t="s">
        <v>9029</v>
      </c>
      <c r="AY9538" t="s">
        <v>2437</v>
      </c>
      <c r="BH9538" t="s">
        <v>2437</v>
      </c>
      <c r="BP9538" t="s">
        <v>2437</v>
      </c>
      <c r="BW9538" t="s">
        <v>2437</v>
      </c>
    </row>
    <row r="9539" spans="1:75" x14ac:dyDescent="0.25">
      <c r="A9539" t="s">
        <v>9030</v>
      </c>
      <c r="R9539" t="s">
        <v>2436</v>
      </c>
      <c r="Z9539" t="s">
        <v>9836</v>
      </c>
      <c r="AI9539" t="s">
        <v>9836</v>
      </c>
      <c r="AP9539" t="s">
        <v>9836</v>
      </c>
      <c r="AY9539" t="s">
        <v>9028</v>
      </c>
      <c r="BH9539" t="s">
        <v>9028</v>
      </c>
      <c r="BP9539" t="s">
        <v>9028</v>
      </c>
      <c r="BW9539" t="s">
        <v>9028</v>
      </c>
    </row>
    <row r="9540" spans="1:75" x14ac:dyDescent="0.25">
      <c r="A9540" t="s">
        <v>9032</v>
      </c>
      <c r="R9540" t="s">
        <v>551</v>
      </c>
      <c r="Z9540">
        <v>2</v>
      </c>
      <c r="AI9540">
        <v>2</v>
      </c>
      <c r="AP9540">
        <v>5</v>
      </c>
      <c r="AY9540">
        <v>5</v>
      </c>
      <c r="BH9540">
        <v>5</v>
      </c>
      <c r="BP9540">
        <v>5</v>
      </c>
      <c r="BW9540">
        <v>5</v>
      </c>
    </row>
    <row r="9541" spans="1:75" x14ac:dyDescent="0.25">
      <c r="A9541" t="s">
        <v>9033</v>
      </c>
      <c r="R9541" t="s">
        <v>551</v>
      </c>
      <c r="Z9541">
        <v>20</v>
      </c>
      <c r="AI9541">
        <v>20</v>
      </c>
      <c r="AP9541">
        <v>30</v>
      </c>
      <c r="AY9541">
        <v>50</v>
      </c>
      <c r="BH9541">
        <v>50</v>
      </c>
      <c r="BP9541">
        <v>50</v>
      </c>
      <c r="BW9541">
        <v>50</v>
      </c>
    </row>
    <row r="9542" spans="1:75" x14ac:dyDescent="0.25">
      <c r="A9542" t="s">
        <v>9034</v>
      </c>
      <c r="R9542" t="s">
        <v>551</v>
      </c>
      <c r="Z9542">
        <v>10</v>
      </c>
      <c r="AI9542">
        <v>10</v>
      </c>
      <c r="AP9542">
        <v>30</v>
      </c>
      <c r="AY9542">
        <v>30</v>
      </c>
      <c r="BH9542">
        <v>30</v>
      </c>
      <c r="BP9542">
        <v>30</v>
      </c>
      <c r="BW9542">
        <v>30</v>
      </c>
    </row>
    <row r="9543" spans="1:75" x14ac:dyDescent="0.25">
      <c r="A9543" t="s">
        <v>9035</v>
      </c>
      <c r="Z9543" t="s">
        <v>9037</v>
      </c>
      <c r="AI9543" t="s">
        <v>9037</v>
      </c>
      <c r="AP9543" t="s">
        <v>9037</v>
      </c>
      <c r="AY9543" t="s">
        <v>9037</v>
      </c>
      <c r="BH9543" t="s">
        <v>9037</v>
      </c>
      <c r="BP9543" t="s">
        <v>9037</v>
      </c>
      <c r="BW9543" t="s">
        <v>9037</v>
      </c>
    </row>
    <row r="9544" spans="1:75" x14ac:dyDescent="0.25">
      <c r="A9544" t="s">
        <v>4983</v>
      </c>
      <c r="Z9544" t="s">
        <v>2440</v>
      </c>
      <c r="AI9544" t="s">
        <v>2440</v>
      </c>
      <c r="AP9544" t="s">
        <v>2440</v>
      </c>
      <c r="AY9544" t="s">
        <v>2440</v>
      </c>
      <c r="BH9544" t="s">
        <v>2440</v>
      </c>
      <c r="BP9544" t="s">
        <v>2440</v>
      </c>
      <c r="BW9544" t="s">
        <v>2440</v>
      </c>
    </row>
    <row r="9545" spans="1:75" x14ac:dyDescent="0.25">
      <c r="A9545" t="s">
        <v>9213</v>
      </c>
      <c r="R9545" t="s">
        <v>713</v>
      </c>
      <c r="Z9545">
        <v>0.6</v>
      </c>
      <c r="AI9545">
        <v>0.9</v>
      </c>
      <c r="AP9545">
        <v>0.9</v>
      </c>
      <c r="AY9545">
        <v>1.9</v>
      </c>
      <c r="BH9545">
        <v>1.9</v>
      </c>
      <c r="BP9545">
        <v>2.4</v>
      </c>
      <c r="BW9545">
        <v>2.4</v>
      </c>
    </row>
    <row r="9546" spans="1:75" x14ac:dyDescent="0.25">
      <c r="A9546" t="s">
        <v>4984</v>
      </c>
      <c r="R9546" t="s">
        <v>2433</v>
      </c>
      <c r="Z9546" t="s">
        <v>9041</v>
      </c>
      <c r="AI9546" t="s">
        <v>9041</v>
      </c>
      <c r="AP9546" t="s">
        <v>9041</v>
      </c>
      <c r="AY9546" t="s">
        <v>9902</v>
      </c>
      <c r="BH9546" t="s">
        <v>9902</v>
      </c>
      <c r="BP9546" t="s">
        <v>4926</v>
      </c>
      <c r="BW9546" t="s">
        <v>4926</v>
      </c>
    </row>
    <row r="9547" spans="1:75" x14ac:dyDescent="0.25">
      <c r="A9547" t="s">
        <v>9010</v>
      </c>
      <c r="R9547" t="s">
        <v>713</v>
      </c>
      <c r="Z9547">
        <v>29</v>
      </c>
      <c r="AI9547">
        <v>34</v>
      </c>
      <c r="AP9547">
        <v>40</v>
      </c>
      <c r="AY9547">
        <v>47</v>
      </c>
      <c r="BH9547">
        <v>47</v>
      </c>
      <c r="BP9547">
        <v>85</v>
      </c>
      <c r="BW9547">
        <v>85</v>
      </c>
    </row>
    <row r="9548" spans="1:75" x14ac:dyDescent="0.25">
      <c r="A9548" t="s">
        <v>1001</v>
      </c>
      <c r="R9548" t="s">
        <v>4986</v>
      </c>
      <c r="Z9548" t="s">
        <v>9435</v>
      </c>
      <c r="AI9548" t="s">
        <v>9135</v>
      </c>
      <c r="AP9548" t="s">
        <v>8982</v>
      </c>
      <c r="AY9548" t="s">
        <v>9903</v>
      </c>
      <c r="BH9548" t="s">
        <v>9904</v>
      </c>
      <c r="BP9548" t="s">
        <v>9905</v>
      </c>
      <c r="BW9548" t="s">
        <v>9906</v>
      </c>
    </row>
    <row r="9550" spans="1:75" x14ac:dyDescent="0.25">
      <c r="A9550" t="s">
        <v>3768</v>
      </c>
      <c r="R9550" t="s">
        <v>9049</v>
      </c>
      <c r="AP9550" t="s">
        <v>9050</v>
      </c>
      <c r="BW9550" t="s">
        <v>9051</v>
      </c>
    </row>
    <row r="9551" spans="1:75" x14ac:dyDescent="0.25">
      <c r="A9551" t="s">
        <v>9052</v>
      </c>
      <c r="R9551" t="s">
        <v>9053</v>
      </c>
    </row>
    <row r="9552" spans="1:75" x14ac:dyDescent="0.25">
      <c r="A9552" t="s">
        <v>9840</v>
      </c>
      <c r="R9552" t="s">
        <v>9841</v>
      </c>
      <c r="BW9552" t="s">
        <v>9842</v>
      </c>
    </row>
    <row r="9553" spans="1:75" x14ac:dyDescent="0.25">
      <c r="A9553" t="s">
        <v>9843</v>
      </c>
    </row>
    <row r="9554" spans="1:75" x14ac:dyDescent="0.25">
      <c r="A9554" t="s">
        <v>9907</v>
      </c>
    </row>
    <row r="9555" spans="1:75" x14ac:dyDescent="0.25">
      <c r="A9555" t="s">
        <v>9908</v>
      </c>
    </row>
    <row r="9558" spans="1:75" x14ac:dyDescent="0.25">
      <c r="A9558" t="s">
        <v>9909</v>
      </c>
    </row>
    <row r="9559" spans="1:75" x14ac:dyDescent="0.25">
      <c r="G9559" t="s">
        <v>8930</v>
      </c>
      <c r="AF9559" t="s">
        <v>9910</v>
      </c>
      <c r="AT9559" t="s">
        <v>9911</v>
      </c>
      <c r="BJ9559" t="s">
        <v>9912</v>
      </c>
      <c r="BW9559" t="s">
        <v>9913</v>
      </c>
    </row>
    <row r="9560" spans="1:75" x14ac:dyDescent="0.25">
      <c r="G9560" t="s">
        <v>8937</v>
      </c>
      <c r="W9560" t="s">
        <v>2424</v>
      </c>
      <c r="AF9560">
        <v>5</v>
      </c>
      <c r="AT9560">
        <v>7.1</v>
      </c>
      <c r="BJ9560">
        <v>10</v>
      </c>
      <c r="BW9560">
        <v>10</v>
      </c>
    </row>
    <row r="9561" spans="1:75" x14ac:dyDescent="0.25">
      <c r="G9561" t="s">
        <v>8938</v>
      </c>
      <c r="W9561" t="s">
        <v>2424</v>
      </c>
      <c r="AF9561" t="s">
        <v>9408</v>
      </c>
      <c r="AT9561" t="s">
        <v>9854</v>
      </c>
      <c r="BJ9561" t="s">
        <v>9914</v>
      </c>
      <c r="BW9561" t="s">
        <v>9915</v>
      </c>
    </row>
    <row r="9562" spans="1:75" x14ac:dyDescent="0.25">
      <c r="G9562" t="s">
        <v>8945</v>
      </c>
      <c r="W9562" t="s">
        <v>2424</v>
      </c>
      <c r="AF9562" t="s">
        <v>9916</v>
      </c>
      <c r="AT9562" t="s">
        <v>9917</v>
      </c>
      <c r="BJ9562" t="s">
        <v>9918</v>
      </c>
      <c r="BW9562" t="s">
        <v>9919</v>
      </c>
    </row>
    <row r="9563" spans="1:75" x14ac:dyDescent="0.25">
      <c r="G9563" t="s">
        <v>8953</v>
      </c>
      <c r="W9563" t="s">
        <v>4905</v>
      </c>
      <c r="AF9563">
        <v>3.5</v>
      </c>
      <c r="AT9563">
        <v>3.45</v>
      </c>
      <c r="BJ9563">
        <v>3.61</v>
      </c>
      <c r="BW9563">
        <v>3.5</v>
      </c>
    </row>
    <row r="9564" spans="1:75" x14ac:dyDescent="0.25">
      <c r="G9564" t="s">
        <v>8955</v>
      </c>
      <c r="AF9564">
        <v>7.84</v>
      </c>
      <c r="AT9564">
        <v>7.56</v>
      </c>
      <c r="BJ9564">
        <v>7.36</v>
      </c>
      <c r="BW9564">
        <v>6.53</v>
      </c>
    </row>
    <row r="9565" spans="1:75" x14ac:dyDescent="0.25">
      <c r="G9565" t="s">
        <v>4977</v>
      </c>
      <c r="AF9565" t="s">
        <v>2880</v>
      </c>
      <c r="AT9565" t="s">
        <v>2880</v>
      </c>
      <c r="BJ9565" t="s">
        <v>2880</v>
      </c>
      <c r="BW9565" t="s">
        <v>2880</v>
      </c>
    </row>
    <row r="9566" spans="1:75" x14ac:dyDescent="0.25">
      <c r="G9566" t="s">
        <v>9920</v>
      </c>
      <c r="W9566" t="s">
        <v>4918</v>
      </c>
      <c r="AF9566" t="s">
        <v>9921</v>
      </c>
      <c r="AT9566" t="s">
        <v>9921</v>
      </c>
      <c r="BJ9566" t="s">
        <v>9921</v>
      </c>
      <c r="BW9566" t="s">
        <v>9806</v>
      </c>
    </row>
    <row r="9567" spans="1:75" x14ac:dyDescent="0.25">
      <c r="G9567" t="s">
        <v>8957</v>
      </c>
      <c r="W9567" t="s">
        <v>2424</v>
      </c>
      <c r="AF9567">
        <v>5.6</v>
      </c>
      <c r="AT9567">
        <v>8</v>
      </c>
      <c r="BJ9567">
        <v>11.2</v>
      </c>
      <c r="BW9567">
        <v>11.2</v>
      </c>
    </row>
    <row r="9568" spans="1:75" x14ac:dyDescent="0.25">
      <c r="G9568" t="s">
        <v>8958</v>
      </c>
      <c r="W9568" t="s">
        <v>2424</v>
      </c>
      <c r="AF9568" t="s">
        <v>9922</v>
      </c>
      <c r="AT9568" t="s">
        <v>9923</v>
      </c>
      <c r="BJ9568" t="s">
        <v>9924</v>
      </c>
      <c r="BW9568" t="s">
        <v>9925</v>
      </c>
    </row>
    <row r="9569" spans="1:75" x14ac:dyDescent="0.25">
      <c r="G9569" t="s">
        <v>8945</v>
      </c>
      <c r="W9569" t="s">
        <v>2424</v>
      </c>
      <c r="AF9569" t="s">
        <v>9926</v>
      </c>
      <c r="AT9569" t="s">
        <v>9927</v>
      </c>
      <c r="BJ9569" t="s">
        <v>9928</v>
      </c>
      <c r="BW9569" t="s">
        <v>9929</v>
      </c>
    </row>
    <row r="9570" spans="1:75" x14ac:dyDescent="0.25">
      <c r="G9570" t="s">
        <v>8971</v>
      </c>
      <c r="W9570" t="s">
        <v>4905</v>
      </c>
      <c r="AF9570">
        <v>4.03</v>
      </c>
      <c r="AT9570">
        <v>3.56</v>
      </c>
      <c r="BJ9570">
        <v>3.58</v>
      </c>
      <c r="BW9570">
        <v>3.45</v>
      </c>
    </row>
    <row r="9571" spans="1:75" x14ac:dyDescent="0.25">
      <c r="A9571" t="s">
        <v>9773</v>
      </c>
    </row>
    <row r="9572" spans="1:75" x14ac:dyDescent="0.25">
      <c r="G9572" t="s">
        <v>8973</v>
      </c>
      <c r="AF9572">
        <v>4.1900000000000004</v>
      </c>
      <c r="AT9572">
        <v>4.16</v>
      </c>
      <c r="BJ9572">
        <v>4.42</v>
      </c>
      <c r="BW9572">
        <v>4.22</v>
      </c>
    </row>
    <row r="9573" spans="1:75" x14ac:dyDescent="0.25">
      <c r="G9573" t="s">
        <v>4977</v>
      </c>
      <c r="AF9573" t="s">
        <v>9104</v>
      </c>
      <c r="AT9573" t="s">
        <v>9104</v>
      </c>
      <c r="BJ9573" t="s">
        <v>9104</v>
      </c>
      <c r="BW9573" t="s">
        <v>9104</v>
      </c>
    </row>
    <row r="9574" spans="1:75" x14ac:dyDescent="0.25">
      <c r="G9574" t="s">
        <v>9920</v>
      </c>
      <c r="W9574" t="s">
        <v>4918</v>
      </c>
      <c r="AF9574" t="s">
        <v>9930</v>
      </c>
      <c r="AT9574" t="s">
        <v>9931</v>
      </c>
      <c r="BJ9574" t="s">
        <v>9930</v>
      </c>
      <c r="BW9574" t="s">
        <v>9932</v>
      </c>
    </row>
    <row r="9575" spans="1:75" x14ac:dyDescent="0.25">
      <c r="G9575" t="s">
        <v>8975</v>
      </c>
      <c r="W9575" t="s">
        <v>2442</v>
      </c>
      <c r="AF9575" t="s">
        <v>2443</v>
      </c>
      <c r="AT9575" t="s">
        <v>2443</v>
      </c>
      <c r="BJ9575" t="s">
        <v>2443</v>
      </c>
      <c r="BW9575" t="s">
        <v>4910</v>
      </c>
    </row>
    <row r="9576" spans="1:75" x14ac:dyDescent="0.25">
      <c r="G9576" t="s">
        <v>4982</v>
      </c>
      <c r="W9576" t="s">
        <v>4911</v>
      </c>
      <c r="AF9576">
        <v>16</v>
      </c>
      <c r="AT9576">
        <v>20</v>
      </c>
      <c r="BJ9576">
        <v>25</v>
      </c>
      <c r="BW9576" t="s">
        <v>4917</v>
      </c>
    </row>
    <row r="9577" spans="1:75" x14ac:dyDescent="0.25">
      <c r="G9577" t="s">
        <v>8977</v>
      </c>
      <c r="W9577" t="s">
        <v>4986</v>
      </c>
      <c r="AF9577" t="s">
        <v>9393</v>
      </c>
      <c r="AT9577" t="s">
        <v>9816</v>
      </c>
      <c r="BJ9577" t="s">
        <v>9933</v>
      </c>
      <c r="BW9577" t="s">
        <v>9934</v>
      </c>
    </row>
    <row r="9579" spans="1:75" x14ac:dyDescent="0.25">
      <c r="G9579" t="s">
        <v>4988</v>
      </c>
      <c r="AF9579" t="s">
        <v>9817</v>
      </c>
      <c r="AT9579" t="s">
        <v>9818</v>
      </c>
      <c r="BJ9579" t="s">
        <v>9819</v>
      </c>
      <c r="BW9579" t="s">
        <v>9819</v>
      </c>
    </row>
    <row r="9580" spans="1:75" x14ac:dyDescent="0.25">
      <c r="G9580" t="s">
        <v>7870</v>
      </c>
      <c r="W9580" t="s">
        <v>2431</v>
      </c>
      <c r="AF9580" t="s">
        <v>9820</v>
      </c>
      <c r="AT9580" t="s">
        <v>9821</v>
      </c>
      <c r="BJ9580" t="s">
        <v>9822</v>
      </c>
      <c r="BW9580" t="s">
        <v>9822</v>
      </c>
    </row>
    <row r="9581" spans="1:75" x14ac:dyDescent="0.25">
      <c r="G9581" t="s">
        <v>8996</v>
      </c>
      <c r="W9581" t="s">
        <v>2427</v>
      </c>
      <c r="AF9581" t="s">
        <v>9823</v>
      </c>
      <c r="AT9581" t="s">
        <v>9824</v>
      </c>
      <c r="BJ9581" t="s">
        <v>9825</v>
      </c>
      <c r="BW9581" t="s">
        <v>9825</v>
      </c>
    </row>
    <row r="9582" spans="1:75" x14ac:dyDescent="0.25">
      <c r="G9582" t="s">
        <v>8996</v>
      </c>
      <c r="W9582" t="s">
        <v>2427</v>
      </c>
      <c r="AF9582" t="s">
        <v>9823</v>
      </c>
      <c r="AT9582" t="s">
        <v>9824</v>
      </c>
      <c r="BJ9582" t="s">
        <v>9825</v>
      </c>
      <c r="BW9582" t="s">
        <v>9825</v>
      </c>
    </row>
    <row r="9583" spans="1:75" x14ac:dyDescent="0.25">
      <c r="G9583" t="s">
        <v>4984</v>
      </c>
      <c r="W9583" t="s">
        <v>2433</v>
      </c>
      <c r="AF9583" t="s">
        <v>9119</v>
      </c>
      <c r="AT9583" t="s">
        <v>9119</v>
      </c>
      <c r="BJ9583" t="s">
        <v>9826</v>
      </c>
      <c r="BW9583" t="s">
        <v>9826</v>
      </c>
    </row>
    <row r="9584" spans="1:75" x14ac:dyDescent="0.25">
      <c r="G9584" t="s">
        <v>9010</v>
      </c>
      <c r="W9584" t="s">
        <v>713</v>
      </c>
      <c r="AF9584">
        <v>14</v>
      </c>
      <c r="AT9584">
        <v>14</v>
      </c>
      <c r="BJ9584">
        <v>19</v>
      </c>
      <c r="BW9584">
        <v>19</v>
      </c>
    </row>
    <row r="9585" spans="7:75" x14ac:dyDescent="0.25">
      <c r="G9585" t="s">
        <v>1001</v>
      </c>
      <c r="W9585" t="s">
        <v>4986</v>
      </c>
      <c r="AF9585" t="s">
        <v>9828</v>
      </c>
      <c r="AT9585" t="s">
        <v>9829</v>
      </c>
      <c r="BJ9585" t="s">
        <v>9830</v>
      </c>
      <c r="BW9585" t="s">
        <v>9830</v>
      </c>
    </row>
    <row r="9587" spans="7:75" x14ac:dyDescent="0.25">
      <c r="G9587" t="s">
        <v>5025</v>
      </c>
      <c r="AF9587" t="s">
        <v>9935</v>
      </c>
      <c r="AT9587" t="s">
        <v>9936</v>
      </c>
      <c r="BJ9587" t="s">
        <v>9937</v>
      </c>
      <c r="BW9587" t="s">
        <v>9938</v>
      </c>
    </row>
    <row r="9588" spans="7:75" x14ac:dyDescent="0.25">
      <c r="G9588" t="s">
        <v>8996</v>
      </c>
      <c r="W9588" t="s">
        <v>2427</v>
      </c>
      <c r="AF9588">
        <v>46</v>
      </c>
      <c r="AT9588">
        <v>46</v>
      </c>
      <c r="BJ9588">
        <v>49</v>
      </c>
      <c r="BW9588">
        <v>49</v>
      </c>
    </row>
    <row r="9589" spans="7:75" x14ac:dyDescent="0.25">
      <c r="G9589" t="s">
        <v>8996</v>
      </c>
      <c r="W9589" t="s">
        <v>2427</v>
      </c>
      <c r="AF9589">
        <v>48</v>
      </c>
      <c r="AT9589">
        <v>48</v>
      </c>
      <c r="BJ9589">
        <v>50</v>
      </c>
      <c r="BW9589">
        <v>50</v>
      </c>
    </row>
    <row r="9590" spans="7:75" x14ac:dyDescent="0.25">
      <c r="G9590" t="s">
        <v>2435</v>
      </c>
      <c r="W9590" t="s">
        <v>2436</v>
      </c>
      <c r="AF9590" t="s">
        <v>9029</v>
      </c>
      <c r="AT9590" t="s">
        <v>2437</v>
      </c>
      <c r="BJ9590" t="s">
        <v>9835</v>
      </c>
      <c r="BW9590" t="s">
        <v>9835</v>
      </c>
    </row>
    <row r="9591" spans="7:75" x14ac:dyDescent="0.25">
      <c r="G9591" t="s">
        <v>9030</v>
      </c>
      <c r="W9591" t="s">
        <v>2436</v>
      </c>
      <c r="AF9591" t="s">
        <v>9836</v>
      </c>
      <c r="AT9591" t="s">
        <v>9028</v>
      </c>
      <c r="BJ9591" t="s">
        <v>9028</v>
      </c>
      <c r="BW9591" t="s">
        <v>9028</v>
      </c>
    </row>
    <row r="9592" spans="7:75" x14ac:dyDescent="0.25">
      <c r="G9592" t="s">
        <v>9032</v>
      </c>
      <c r="W9592" t="s">
        <v>551</v>
      </c>
      <c r="AF9592">
        <v>5</v>
      </c>
      <c r="AT9592">
        <v>5</v>
      </c>
      <c r="BJ9592">
        <v>5</v>
      </c>
      <c r="BW9592">
        <v>5</v>
      </c>
    </row>
    <row r="9593" spans="7:75" x14ac:dyDescent="0.25">
      <c r="G9593" t="s">
        <v>9033</v>
      </c>
      <c r="W9593" t="s">
        <v>551</v>
      </c>
      <c r="AF9593">
        <v>50</v>
      </c>
      <c r="AT9593">
        <v>50</v>
      </c>
      <c r="BJ9593">
        <v>75</v>
      </c>
      <c r="BW9593">
        <v>75</v>
      </c>
    </row>
    <row r="9594" spans="7:75" x14ac:dyDescent="0.25">
      <c r="G9594" t="s">
        <v>9034</v>
      </c>
      <c r="W9594" t="s">
        <v>551</v>
      </c>
      <c r="AF9594">
        <v>30</v>
      </c>
      <c r="AT9594">
        <v>30</v>
      </c>
      <c r="BJ9594">
        <v>30</v>
      </c>
      <c r="BW9594">
        <v>30</v>
      </c>
    </row>
    <row r="9595" spans="7:75" x14ac:dyDescent="0.25">
      <c r="G9595" t="s">
        <v>9035</v>
      </c>
      <c r="AF9595" t="s">
        <v>9037</v>
      </c>
      <c r="AT9595" t="s">
        <v>9037</v>
      </c>
      <c r="BJ9595" t="s">
        <v>9037</v>
      </c>
      <c r="BW9595" t="s">
        <v>9037</v>
      </c>
    </row>
    <row r="9596" spans="7:75" x14ac:dyDescent="0.25">
      <c r="G9596" t="s">
        <v>4983</v>
      </c>
      <c r="AF9596" t="s">
        <v>2440</v>
      </c>
      <c r="AT9596" t="s">
        <v>2440</v>
      </c>
      <c r="BJ9596" t="s">
        <v>2440</v>
      </c>
      <c r="BW9596" t="s">
        <v>2440</v>
      </c>
    </row>
    <row r="9597" spans="7:75" x14ac:dyDescent="0.25">
      <c r="G9597" t="s">
        <v>9038</v>
      </c>
      <c r="W9597" t="s">
        <v>713</v>
      </c>
      <c r="AF9597">
        <v>1.35</v>
      </c>
      <c r="AT9597">
        <v>1.3</v>
      </c>
      <c r="BJ9597">
        <v>3.1</v>
      </c>
      <c r="BW9597">
        <v>2.6</v>
      </c>
    </row>
    <row r="9598" spans="7:75" x14ac:dyDescent="0.25">
      <c r="G9598" t="s">
        <v>4984</v>
      </c>
      <c r="W9598" t="s">
        <v>2433</v>
      </c>
      <c r="AF9598" t="s">
        <v>9902</v>
      </c>
      <c r="AT9598" t="s">
        <v>4926</v>
      </c>
      <c r="BJ9598" t="s">
        <v>9939</v>
      </c>
      <c r="BW9598" t="s">
        <v>5071</v>
      </c>
    </row>
    <row r="9599" spans="7:75" x14ac:dyDescent="0.25">
      <c r="G9599" t="s">
        <v>9010</v>
      </c>
      <c r="W9599" t="s">
        <v>713</v>
      </c>
      <c r="AF9599">
        <v>45</v>
      </c>
      <c r="AT9599">
        <v>74</v>
      </c>
      <c r="BJ9599">
        <v>104</v>
      </c>
      <c r="BW9599">
        <v>95</v>
      </c>
    </row>
    <row r="9600" spans="7:75" x14ac:dyDescent="0.25">
      <c r="G9600" t="s">
        <v>1001</v>
      </c>
      <c r="W9600" t="s">
        <v>4986</v>
      </c>
      <c r="AF9600" t="s">
        <v>9322</v>
      </c>
      <c r="AT9600" t="s">
        <v>9940</v>
      </c>
      <c r="BJ9600" t="s">
        <v>9941</v>
      </c>
      <c r="BW9600" t="s">
        <v>9942</v>
      </c>
    </row>
    <row r="9602" spans="1:78" x14ac:dyDescent="0.25">
      <c r="G9602" t="s">
        <v>3768</v>
      </c>
      <c r="W9602" t="s">
        <v>9049</v>
      </c>
      <c r="AX9602" t="s">
        <v>9050</v>
      </c>
      <c r="BZ9602" t="s">
        <v>9051</v>
      </c>
    </row>
    <row r="9603" spans="1:78" x14ac:dyDescent="0.25">
      <c r="G9603" t="s">
        <v>9052</v>
      </c>
      <c r="W9603" t="s">
        <v>9053</v>
      </c>
    </row>
    <row r="9604" spans="1:78" x14ac:dyDescent="0.25">
      <c r="G9604" t="s">
        <v>9840</v>
      </c>
      <c r="W9604" t="s">
        <v>9841</v>
      </c>
      <c r="BZ9604" t="s">
        <v>9842</v>
      </c>
    </row>
    <row r="9605" spans="1:78" x14ac:dyDescent="0.25">
      <c r="A9605" t="s">
        <v>9843</v>
      </c>
    </row>
    <row r="9606" spans="1:78" x14ac:dyDescent="0.25">
      <c r="A9606" t="s">
        <v>9943</v>
      </c>
    </row>
    <row r="9609" spans="1:78" x14ac:dyDescent="0.25">
      <c r="A9609" t="s">
        <v>9944</v>
      </c>
    </row>
    <row r="9611" spans="1:78" x14ac:dyDescent="0.25">
      <c r="A9611" t="s">
        <v>9945</v>
      </c>
    </row>
    <row r="9613" spans="1:78" x14ac:dyDescent="0.25">
      <c r="A9613" t="s">
        <v>9946</v>
      </c>
    </row>
    <row r="9614" spans="1:78" x14ac:dyDescent="0.25">
      <c r="A9614" t="s">
        <v>8930</v>
      </c>
      <c r="Z9614" t="s">
        <v>9947</v>
      </c>
      <c r="AI9614" t="s">
        <v>9948</v>
      </c>
      <c r="AP9614" t="s">
        <v>9949</v>
      </c>
      <c r="AY9614" t="s">
        <v>9950</v>
      </c>
      <c r="BH9614" t="s">
        <v>9951</v>
      </c>
      <c r="BP9614" t="s">
        <v>9952</v>
      </c>
      <c r="BX9614" t="s">
        <v>9953</v>
      </c>
    </row>
    <row r="9615" spans="1:78" x14ac:dyDescent="0.25">
      <c r="A9615" t="s">
        <v>8937</v>
      </c>
      <c r="R9615" t="s">
        <v>2424</v>
      </c>
      <c r="Z9615">
        <v>3.6</v>
      </c>
      <c r="AI9615">
        <v>5</v>
      </c>
      <c r="AP9615">
        <v>6.9</v>
      </c>
      <c r="AY9615">
        <v>8</v>
      </c>
      <c r="BH9615">
        <v>9.5</v>
      </c>
      <c r="BP9615">
        <v>12.1</v>
      </c>
      <c r="BX9615">
        <v>14</v>
      </c>
    </row>
    <row r="9616" spans="1:78" x14ac:dyDescent="0.25">
      <c r="A9616" t="s">
        <v>8938</v>
      </c>
      <c r="R9616" t="s">
        <v>2424</v>
      </c>
      <c r="Z9616" t="s">
        <v>9853</v>
      </c>
      <c r="AI9616" t="s">
        <v>9798</v>
      </c>
      <c r="AP9616" t="s">
        <v>9854</v>
      </c>
      <c r="AY9616" t="s">
        <v>9855</v>
      </c>
      <c r="BH9616" t="s">
        <v>9801</v>
      </c>
      <c r="BP9616" t="s">
        <v>9954</v>
      </c>
      <c r="BX9616" t="s">
        <v>9955</v>
      </c>
    </row>
    <row r="9617" spans="1:88" x14ac:dyDescent="0.25">
      <c r="A9617" t="s">
        <v>8945</v>
      </c>
      <c r="R9617" t="s">
        <v>2424</v>
      </c>
      <c r="Z9617" t="s">
        <v>9956</v>
      </c>
      <c r="AI9617" t="s">
        <v>9957</v>
      </c>
      <c r="AP9617" t="s">
        <v>9958</v>
      </c>
      <c r="AY9617" t="s">
        <v>9959</v>
      </c>
      <c r="BH9617" t="s">
        <v>9960</v>
      </c>
      <c r="BP9617" t="s">
        <v>9961</v>
      </c>
      <c r="BX9617" t="s">
        <v>9962</v>
      </c>
    </row>
    <row r="9618" spans="1:88" x14ac:dyDescent="0.25">
      <c r="Z9618">
        <v>2</v>
      </c>
      <c r="AI9618">
        <v>1.95</v>
      </c>
      <c r="AP9618">
        <v>2.66</v>
      </c>
      <c r="AY9618">
        <v>2.75</v>
      </c>
      <c r="BH9618">
        <v>3.29</v>
      </c>
      <c r="BP9618">
        <v>4.3899999999999997</v>
      </c>
      <c r="BX9618">
        <v>6.12</v>
      </c>
    </row>
    <row r="9619" spans="1:88" x14ac:dyDescent="0.25">
      <c r="A9619" t="s">
        <v>8953</v>
      </c>
      <c r="R9619" t="s">
        <v>4905</v>
      </c>
      <c r="Z9619">
        <v>4.34</v>
      </c>
      <c r="AI9619">
        <v>3.11</v>
      </c>
      <c r="AP9619">
        <v>3.35</v>
      </c>
      <c r="AY9619">
        <v>3.36</v>
      </c>
      <c r="BH9619">
        <v>3.67</v>
      </c>
      <c r="BP9619">
        <v>3.02</v>
      </c>
      <c r="BX9619">
        <v>2.78</v>
      </c>
    </row>
    <row r="9620" spans="1:88" x14ac:dyDescent="0.25">
      <c r="A9620" t="s">
        <v>8955</v>
      </c>
      <c r="Z9620">
        <v>7.2</v>
      </c>
      <c r="AI9620">
        <v>6</v>
      </c>
      <c r="AP9620">
        <v>7.03</v>
      </c>
      <c r="AY9620">
        <v>7</v>
      </c>
      <c r="BH9620">
        <v>7</v>
      </c>
      <c r="BP9620">
        <v>6.16</v>
      </c>
      <c r="BX9620">
        <v>6.25</v>
      </c>
    </row>
    <row r="9621" spans="1:88" x14ac:dyDescent="0.25">
      <c r="A9621" t="s">
        <v>4977</v>
      </c>
      <c r="Z9621" t="s">
        <v>2880</v>
      </c>
      <c r="AI9621" t="s">
        <v>9104</v>
      </c>
      <c r="AP9621" t="s">
        <v>2880</v>
      </c>
      <c r="AY9621" t="s">
        <v>2880</v>
      </c>
      <c r="BH9621" t="s">
        <v>2880</v>
      </c>
      <c r="BP9621" t="s">
        <v>9963</v>
      </c>
      <c r="BX9621" t="s">
        <v>9963</v>
      </c>
    </row>
    <row r="9622" spans="1:88" x14ac:dyDescent="0.25">
      <c r="A9622" t="s">
        <v>4979</v>
      </c>
      <c r="R9622" t="s">
        <v>4918</v>
      </c>
      <c r="Z9622" t="s">
        <v>9806</v>
      </c>
      <c r="AI9622" t="s">
        <v>9806</v>
      </c>
      <c r="AP9622" t="s">
        <v>9806</v>
      </c>
      <c r="AY9622" t="s">
        <v>9806</v>
      </c>
      <c r="BH9622" t="s">
        <v>9806</v>
      </c>
      <c r="BP9622" t="s">
        <v>9806</v>
      </c>
      <c r="BX9622" t="s">
        <v>9806</v>
      </c>
    </row>
    <row r="9623" spans="1:88" x14ac:dyDescent="0.25">
      <c r="A9623" t="s">
        <v>8957</v>
      </c>
      <c r="R9623" t="s">
        <v>2424</v>
      </c>
      <c r="Z9623">
        <v>4</v>
      </c>
      <c r="AI9623">
        <v>5.3</v>
      </c>
      <c r="AP9623">
        <v>7.7</v>
      </c>
      <c r="AY9623">
        <v>8.6</v>
      </c>
      <c r="BH9623">
        <v>11.2</v>
      </c>
      <c r="BP9623">
        <v>13</v>
      </c>
      <c r="BX9623">
        <v>16</v>
      </c>
    </row>
    <row r="9624" spans="1:88" x14ac:dyDescent="0.25">
      <c r="A9624" t="s">
        <v>8958</v>
      </c>
      <c r="R9624" t="s">
        <v>2424</v>
      </c>
      <c r="Z9624" t="s">
        <v>9864</v>
      </c>
      <c r="AI9624" t="s">
        <v>9807</v>
      </c>
      <c r="AP9624" t="s">
        <v>9865</v>
      </c>
      <c r="AY9624" t="s">
        <v>9866</v>
      </c>
      <c r="BH9624" t="s">
        <v>9809</v>
      </c>
      <c r="BP9624" t="s">
        <v>9964</v>
      </c>
      <c r="BX9624" t="s">
        <v>9965</v>
      </c>
    </row>
    <row r="9625" spans="1:88" x14ac:dyDescent="0.25">
      <c r="A9625" t="s">
        <v>8945</v>
      </c>
      <c r="R9625" t="s">
        <v>2424</v>
      </c>
      <c r="Z9625" t="s">
        <v>9966</v>
      </c>
      <c r="AI9625" t="s">
        <v>9967</v>
      </c>
      <c r="AP9625" t="s">
        <v>9968</v>
      </c>
      <c r="AY9625" t="s">
        <v>9969</v>
      </c>
      <c r="BH9625" t="s">
        <v>9970</v>
      </c>
      <c r="BP9625" t="s">
        <v>9971</v>
      </c>
      <c r="BX9625" t="s">
        <v>9972</v>
      </c>
    </row>
    <row r="9626" spans="1:88" x14ac:dyDescent="0.25">
      <c r="Z9626">
        <v>1.7</v>
      </c>
      <c r="AI9626">
        <v>2.4</v>
      </c>
      <c r="AP9626">
        <v>2.57</v>
      </c>
      <c r="AY9626">
        <v>2.62</v>
      </c>
      <c r="BH9626">
        <v>3.49</v>
      </c>
      <c r="BP9626">
        <v>4.6100000000000003</v>
      </c>
      <c r="BX9626">
        <v>5.78</v>
      </c>
    </row>
    <row r="9627" spans="1:88" x14ac:dyDescent="0.25">
      <c r="A9627" t="s">
        <v>8971</v>
      </c>
      <c r="R9627" t="s">
        <v>4905</v>
      </c>
      <c r="Z9627">
        <v>5.13</v>
      </c>
      <c r="AI9627">
        <v>3.9</v>
      </c>
      <c r="AP9627">
        <v>3.87</v>
      </c>
      <c r="AY9627">
        <v>4</v>
      </c>
      <c r="BH9627">
        <v>3.91</v>
      </c>
      <c r="BP9627">
        <v>3.74</v>
      </c>
      <c r="BX9627">
        <v>3.37</v>
      </c>
    </row>
    <row r="9628" spans="1:88" x14ac:dyDescent="0.25">
      <c r="CJ9628" t="s">
        <v>9773</v>
      </c>
    </row>
    <row r="9629" spans="1:88" x14ac:dyDescent="0.25">
      <c r="A9629" t="s">
        <v>8973</v>
      </c>
      <c r="Z9629">
        <v>5.13</v>
      </c>
      <c r="AI9629">
        <v>4.34</v>
      </c>
      <c r="AP9629">
        <v>4.4800000000000004</v>
      </c>
      <c r="AY9629">
        <v>4.5999999999999996</v>
      </c>
      <c r="BH9629">
        <v>4.3</v>
      </c>
      <c r="BP9629">
        <v>4.28</v>
      </c>
      <c r="BX9629">
        <v>4.3</v>
      </c>
    </row>
    <row r="9630" spans="1:88" x14ac:dyDescent="0.25">
      <c r="A9630" t="s">
        <v>4977</v>
      </c>
      <c r="Z9630" t="s">
        <v>2879</v>
      </c>
      <c r="AI9630" t="s">
        <v>9104</v>
      </c>
      <c r="AP9630" t="s">
        <v>9104</v>
      </c>
      <c r="AY9630" t="s">
        <v>2880</v>
      </c>
      <c r="BH9630" t="s">
        <v>9104</v>
      </c>
      <c r="BP9630" t="s">
        <v>9963</v>
      </c>
      <c r="BX9630" t="s">
        <v>9963</v>
      </c>
    </row>
    <row r="9631" spans="1:88" x14ac:dyDescent="0.25">
      <c r="A9631" t="s">
        <v>4979</v>
      </c>
      <c r="R9631" t="s">
        <v>4918</v>
      </c>
      <c r="Z9631" t="s">
        <v>9813</v>
      </c>
      <c r="AI9631" t="s">
        <v>9813</v>
      </c>
      <c r="AP9631" t="s">
        <v>9813</v>
      </c>
      <c r="AY9631" t="s">
        <v>9813</v>
      </c>
      <c r="BH9631" t="s">
        <v>9813</v>
      </c>
      <c r="BP9631" t="s">
        <v>9813</v>
      </c>
      <c r="BX9631" t="s">
        <v>9813</v>
      </c>
    </row>
    <row r="9632" spans="1:88" x14ac:dyDescent="0.25">
      <c r="A9632" t="s">
        <v>8975</v>
      </c>
      <c r="R9632" t="s">
        <v>2442</v>
      </c>
      <c r="Z9632" t="s">
        <v>8976</v>
      </c>
      <c r="AI9632" t="s">
        <v>8976</v>
      </c>
      <c r="AP9632" t="s">
        <v>8976</v>
      </c>
      <c r="AY9632" t="s">
        <v>8976</v>
      </c>
      <c r="BH9632" t="s">
        <v>8976</v>
      </c>
      <c r="BP9632" t="s">
        <v>8976</v>
      </c>
      <c r="BX9632" t="s">
        <v>8976</v>
      </c>
    </row>
    <row r="9633" spans="1:76" x14ac:dyDescent="0.25">
      <c r="Z9633">
        <v>50</v>
      </c>
      <c r="AI9633">
        <v>50</v>
      </c>
      <c r="AP9633">
        <v>50</v>
      </c>
      <c r="AY9633">
        <v>50</v>
      </c>
      <c r="BH9633">
        <v>50</v>
      </c>
      <c r="BP9633">
        <v>50</v>
      </c>
      <c r="BX9633">
        <v>50</v>
      </c>
    </row>
    <row r="9634" spans="1:76" x14ac:dyDescent="0.25">
      <c r="A9634" t="s">
        <v>4982</v>
      </c>
      <c r="R9634" t="s">
        <v>4911</v>
      </c>
      <c r="Z9634">
        <v>10</v>
      </c>
      <c r="AI9634">
        <v>16</v>
      </c>
      <c r="AP9634">
        <v>16</v>
      </c>
      <c r="AY9634">
        <v>16</v>
      </c>
      <c r="BH9634">
        <v>25</v>
      </c>
      <c r="BP9634">
        <v>25</v>
      </c>
      <c r="BX9634">
        <v>32</v>
      </c>
    </row>
    <row r="9635" spans="1:76" x14ac:dyDescent="0.25">
      <c r="A9635" t="s">
        <v>9973</v>
      </c>
      <c r="R9635" t="s">
        <v>4986</v>
      </c>
      <c r="Z9635" t="s">
        <v>9974</v>
      </c>
      <c r="AI9635" t="s">
        <v>9975</v>
      </c>
      <c r="AP9635" t="s">
        <v>9976</v>
      </c>
      <c r="AY9635" t="s">
        <v>9977</v>
      </c>
      <c r="BH9635" t="s">
        <v>9978</v>
      </c>
      <c r="BP9635" t="s">
        <v>5113</v>
      </c>
      <c r="BX9635" t="s">
        <v>9979</v>
      </c>
    </row>
    <row r="9637" spans="1:76" x14ac:dyDescent="0.25">
      <c r="A9637" t="s">
        <v>4988</v>
      </c>
      <c r="Z9637" t="s">
        <v>9980</v>
      </c>
      <c r="AI9637" t="s">
        <v>9981</v>
      </c>
      <c r="AP9637" t="s">
        <v>9982</v>
      </c>
      <c r="AY9637" t="s">
        <v>9983</v>
      </c>
      <c r="BH9637" t="s">
        <v>9984</v>
      </c>
      <c r="BP9637" t="s">
        <v>9985</v>
      </c>
      <c r="BX9637" t="s">
        <v>2422</v>
      </c>
    </row>
    <row r="9638" spans="1:76" x14ac:dyDescent="0.25">
      <c r="A9638" t="s">
        <v>7870</v>
      </c>
      <c r="R9638" t="s">
        <v>2431</v>
      </c>
      <c r="Z9638" t="s">
        <v>9986</v>
      </c>
      <c r="AI9638" t="s">
        <v>9986</v>
      </c>
      <c r="AP9638" t="s">
        <v>9987</v>
      </c>
      <c r="AY9638" t="s">
        <v>9988</v>
      </c>
      <c r="BH9638" t="s">
        <v>9989</v>
      </c>
      <c r="BP9638" t="s">
        <v>9990</v>
      </c>
      <c r="BX9638" t="s">
        <v>9991</v>
      </c>
    </row>
    <row r="9639" spans="1:76" x14ac:dyDescent="0.25">
      <c r="Z9639">
        <v>900</v>
      </c>
      <c r="AI9639">
        <v>900</v>
      </c>
      <c r="AP9639">
        <v>1410</v>
      </c>
      <c r="AY9639">
        <v>1600</v>
      </c>
      <c r="BH9639">
        <v>1860</v>
      </c>
      <c r="BP9639">
        <v>2040</v>
      </c>
      <c r="BX9639">
        <v>2040</v>
      </c>
    </row>
    <row r="9640" spans="1:76" x14ac:dyDescent="0.25">
      <c r="A9640" t="s">
        <v>8996</v>
      </c>
      <c r="R9640" t="s">
        <v>2427</v>
      </c>
      <c r="Z9640" t="s">
        <v>9992</v>
      </c>
      <c r="AI9640" t="s">
        <v>9992</v>
      </c>
      <c r="AP9640" t="s">
        <v>9993</v>
      </c>
      <c r="AY9640" t="s">
        <v>9994</v>
      </c>
      <c r="BH9640" t="s">
        <v>9995</v>
      </c>
      <c r="BP9640" t="s">
        <v>9996</v>
      </c>
      <c r="BX9640" t="s">
        <v>2428</v>
      </c>
    </row>
    <row r="9641" spans="1:76" x14ac:dyDescent="0.25">
      <c r="A9641" t="s">
        <v>8996</v>
      </c>
      <c r="R9641" t="s">
        <v>2427</v>
      </c>
      <c r="Z9641" t="s">
        <v>9992</v>
      </c>
      <c r="AI9641" t="s">
        <v>9992</v>
      </c>
      <c r="AP9641" t="s">
        <v>9993</v>
      </c>
      <c r="AY9641" t="s">
        <v>9994</v>
      </c>
      <c r="BH9641" t="s">
        <v>9995</v>
      </c>
      <c r="BP9641" t="s">
        <v>9996</v>
      </c>
      <c r="BX9641" t="s">
        <v>2428</v>
      </c>
    </row>
    <row r="9642" spans="1:76" x14ac:dyDescent="0.25">
      <c r="A9642" t="s">
        <v>4984</v>
      </c>
      <c r="R9642" t="s">
        <v>2433</v>
      </c>
      <c r="Z9642" t="s">
        <v>9997</v>
      </c>
      <c r="AI9642" t="s">
        <v>9997</v>
      </c>
      <c r="AP9642" t="s">
        <v>9998</v>
      </c>
      <c r="AY9642" t="s">
        <v>2441</v>
      </c>
      <c r="BH9642" t="s">
        <v>2441</v>
      </c>
      <c r="BP9642" t="s">
        <v>2441</v>
      </c>
      <c r="BX9642" t="s">
        <v>2441</v>
      </c>
    </row>
    <row r="9643" spans="1:76" x14ac:dyDescent="0.25">
      <c r="A9643" t="s">
        <v>9010</v>
      </c>
      <c r="R9643" t="s">
        <v>713</v>
      </c>
      <c r="Z9643">
        <v>23</v>
      </c>
      <c r="AI9643">
        <v>23</v>
      </c>
      <c r="AP9643">
        <v>29</v>
      </c>
      <c r="AY9643">
        <v>37</v>
      </c>
      <c r="BH9643">
        <v>37</v>
      </c>
      <c r="BP9643">
        <v>37</v>
      </c>
      <c r="BX9643">
        <v>37</v>
      </c>
    </row>
    <row r="9644" spans="1:76" x14ac:dyDescent="0.25">
      <c r="A9644" t="s">
        <v>1001</v>
      </c>
      <c r="R9644" t="s">
        <v>4986</v>
      </c>
      <c r="Z9644" t="s">
        <v>9377</v>
      </c>
      <c r="AI9644" t="s">
        <v>9107</v>
      </c>
      <c r="AP9644" t="s">
        <v>9542</v>
      </c>
      <c r="AY9644" t="s">
        <v>9436</v>
      </c>
      <c r="BH9644" t="s">
        <v>8981</v>
      </c>
      <c r="BP9644" t="s">
        <v>9545</v>
      </c>
      <c r="BX9644" t="s">
        <v>9999</v>
      </c>
    </row>
    <row r="9647" spans="1:76" x14ac:dyDescent="0.25">
      <c r="A9647" t="s">
        <v>5025</v>
      </c>
      <c r="Z9647" t="s">
        <v>9896</v>
      </c>
      <c r="AI9647" t="s">
        <v>9897</v>
      </c>
      <c r="AP9647" t="s">
        <v>9898</v>
      </c>
      <c r="AY9647" t="s">
        <v>9899</v>
      </c>
      <c r="BH9647" t="s">
        <v>9900</v>
      </c>
      <c r="BP9647" t="s">
        <v>10000</v>
      </c>
      <c r="BX9647" t="s">
        <v>10001</v>
      </c>
    </row>
    <row r="9648" spans="1:76" x14ac:dyDescent="0.25">
      <c r="A9648" t="s">
        <v>8996</v>
      </c>
      <c r="R9648" t="s">
        <v>2427</v>
      </c>
      <c r="Z9648">
        <v>49</v>
      </c>
      <c r="AI9648">
        <v>46</v>
      </c>
      <c r="AP9648">
        <v>50</v>
      </c>
      <c r="AY9648">
        <v>52</v>
      </c>
      <c r="BH9648">
        <v>53</v>
      </c>
      <c r="BP9648">
        <v>56</v>
      </c>
      <c r="BX9648">
        <v>57</v>
      </c>
    </row>
    <row r="9649" spans="1:76" x14ac:dyDescent="0.25">
      <c r="A9649" t="s">
        <v>8996</v>
      </c>
      <c r="R9649" t="s">
        <v>2427</v>
      </c>
      <c r="Z9649">
        <v>50</v>
      </c>
      <c r="AI9649">
        <v>48</v>
      </c>
      <c r="AP9649">
        <v>52</v>
      </c>
      <c r="AY9649">
        <v>55</v>
      </c>
      <c r="BH9649">
        <v>56</v>
      </c>
      <c r="BP9649">
        <v>56</v>
      </c>
      <c r="BX9649">
        <v>56</v>
      </c>
    </row>
    <row r="9650" spans="1:76" x14ac:dyDescent="0.25">
      <c r="A9650" t="s">
        <v>2435</v>
      </c>
      <c r="R9650" t="s">
        <v>2436</v>
      </c>
      <c r="Z9650" t="s">
        <v>9029</v>
      </c>
      <c r="AI9650" t="s">
        <v>9029</v>
      </c>
      <c r="AP9650" t="s">
        <v>2437</v>
      </c>
      <c r="AY9650" t="s">
        <v>2437</v>
      </c>
      <c r="BH9650" t="s">
        <v>2437</v>
      </c>
      <c r="BP9650" t="s">
        <v>2437</v>
      </c>
      <c r="BX9650" t="s">
        <v>2437</v>
      </c>
    </row>
    <row r="9651" spans="1:76" x14ac:dyDescent="0.25">
      <c r="A9651" t="s">
        <v>9030</v>
      </c>
      <c r="R9651" t="s">
        <v>2436</v>
      </c>
      <c r="Z9651" t="s">
        <v>9836</v>
      </c>
      <c r="AI9651" t="s">
        <v>9836</v>
      </c>
      <c r="AP9651" t="s">
        <v>9028</v>
      </c>
      <c r="AY9651" t="s">
        <v>9028</v>
      </c>
      <c r="BH9651" t="s">
        <v>9028</v>
      </c>
      <c r="BP9651" t="s">
        <v>9028</v>
      </c>
      <c r="BX9651" t="s">
        <v>9028</v>
      </c>
    </row>
    <row r="9652" spans="1:76" x14ac:dyDescent="0.25">
      <c r="A9652" t="s">
        <v>9032</v>
      </c>
      <c r="R9652" t="s">
        <v>551</v>
      </c>
      <c r="Z9652">
        <v>2</v>
      </c>
      <c r="AI9652">
        <v>5</v>
      </c>
      <c r="AP9652">
        <v>5</v>
      </c>
      <c r="AY9652">
        <v>5</v>
      </c>
      <c r="BH9652">
        <v>5</v>
      </c>
      <c r="BP9652">
        <v>5</v>
      </c>
      <c r="BX9652">
        <v>5</v>
      </c>
    </row>
    <row r="9653" spans="1:76" x14ac:dyDescent="0.25">
      <c r="A9653" t="s">
        <v>9033</v>
      </c>
      <c r="R9653" t="s">
        <v>551</v>
      </c>
      <c r="Z9653">
        <v>20</v>
      </c>
      <c r="AI9653">
        <v>30</v>
      </c>
      <c r="AP9653">
        <v>50</v>
      </c>
      <c r="AY9653">
        <v>50</v>
      </c>
      <c r="BH9653">
        <v>50</v>
      </c>
      <c r="BP9653">
        <v>50</v>
      </c>
      <c r="BX9653">
        <v>50</v>
      </c>
    </row>
    <row r="9654" spans="1:76" x14ac:dyDescent="0.25">
      <c r="A9654" t="s">
        <v>9034</v>
      </c>
      <c r="R9654" t="s">
        <v>551</v>
      </c>
      <c r="Z9654">
        <v>10</v>
      </c>
      <c r="AI9654">
        <v>30</v>
      </c>
      <c r="AP9654">
        <v>30</v>
      </c>
      <c r="AY9654">
        <v>30</v>
      </c>
      <c r="BH9654">
        <v>30</v>
      </c>
      <c r="BP9654">
        <v>30</v>
      </c>
      <c r="BX9654">
        <v>30</v>
      </c>
    </row>
    <row r="9655" spans="1:76" x14ac:dyDescent="0.25">
      <c r="A9655" t="s">
        <v>9035</v>
      </c>
      <c r="Z9655" t="s">
        <v>9037</v>
      </c>
      <c r="AI9655" t="s">
        <v>9037</v>
      </c>
      <c r="AP9655" t="s">
        <v>9037</v>
      </c>
      <c r="AY9655" t="s">
        <v>9037</v>
      </c>
      <c r="BH9655" t="s">
        <v>9037</v>
      </c>
      <c r="BP9655" t="s">
        <v>9037</v>
      </c>
      <c r="BX9655" t="s">
        <v>9037</v>
      </c>
    </row>
    <row r="9656" spans="1:76" x14ac:dyDescent="0.25">
      <c r="A9656" t="s">
        <v>4983</v>
      </c>
      <c r="Z9656" t="s">
        <v>2440</v>
      </c>
      <c r="AI9656" t="s">
        <v>2440</v>
      </c>
      <c r="AP9656" t="s">
        <v>2440</v>
      </c>
      <c r="AY9656" t="s">
        <v>2440</v>
      </c>
      <c r="BH9656" t="s">
        <v>2440</v>
      </c>
      <c r="BP9656" t="s">
        <v>2440</v>
      </c>
      <c r="BX9656" t="s">
        <v>2440</v>
      </c>
    </row>
    <row r="9657" spans="1:76" x14ac:dyDescent="0.25">
      <c r="A9657" t="s">
        <v>9213</v>
      </c>
      <c r="R9657" t="s">
        <v>713</v>
      </c>
      <c r="Z9657">
        <v>0.9</v>
      </c>
      <c r="AI9657">
        <v>0.9</v>
      </c>
      <c r="AP9657">
        <v>1.9</v>
      </c>
      <c r="AY9657">
        <v>1.9</v>
      </c>
      <c r="BH9657">
        <v>2.4</v>
      </c>
      <c r="BP9657">
        <v>2.4</v>
      </c>
      <c r="BX9657">
        <v>2.4</v>
      </c>
    </row>
    <row r="9658" spans="1:76" x14ac:dyDescent="0.25">
      <c r="A9658" t="s">
        <v>4984</v>
      </c>
      <c r="R9658" t="s">
        <v>2433</v>
      </c>
      <c r="Z9658" t="s">
        <v>9041</v>
      </c>
      <c r="AI9658" t="s">
        <v>9041</v>
      </c>
      <c r="AP9658" t="s">
        <v>9902</v>
      </c>
      <c r="AY9658" t="s">
        <v>9902</v>
      </c>
      <c r="BH9658" t="s">
        <v>4926</v>
      </c>
      <c r="BP9658" t="s">
        <v>4926</v>
      </c>
      <c r="BX9658" t="s">
        <v>4926</v>
      </c>
    </row>
    <row r="9659" spans="1:76" x14ac:dyDescent="0.25">
      <c r="A9659" t="s">
        <v>9010</v>
      </c>
      <c r="R9659" t="s">
        <v>713</v>
      </c>
      <c r="Z9659">
        <v>34</v>
      </c>
      <c r="AI9659">
        <v>40</v>
      </c>
      <c r="AP9659">
        <v>47</v>
      </c>
      <c r="AY9659">
        <v>47</v>
      </c>
      <c r="BH9659">
        <v>85</v>
      </c>
      <c r="BP9659">
        <v>85</v>
      </c>
      <c r="BX9659">
        <v>88</v>
      </c>
    </row>
    <row r="9660" spans="1:76" x14ac:dyDescent="0.25">
      <c r="A9660" t="s">
        <v>1001</v>
      </c>
      <c r="R9660" t="s">
        <v>4986</v>
      </c>
      <c r="Z9660" t="s">
        <v>9135</v>
      </c>
      <c r="AI9660" t="s">
        <v>8982</v>
      </c>
      <c r="AP9660" t="s">
        <v>9903</v>
      </c>
      <c r="AY9660" t="s">
        <v>9904</v>
      </c>
      <c r="BH9660" t="s">
        <v>9905</v>
      </c>
      <c r="BP9660" t="s">
        <v>9816</v>
      </c>
      <c r="BX9660" t="s">
        <v>10002</v>
      </c>
    </row>
    <row r="9661" spans="1:76" x14ac:dyDescent="0.25">
      <c r="A9661" t="s">
        <v>9843</v>
      </c>
    </row>
    <row r="9662" spans="1:76" x14ac:dyDescent="0.25">
      <c r="A9662" t="s">
        <v>10003</v>
      </c>
    </row>
    <row r="9663" spans="1:76" x14ac:dyDescent="0.25">
      <c r="A9663" t="s">
        <v>10004</v>
      </c>
    </row>
    <row r="9664" spans="1:76" x14ac:dyDescent="0.25">
      <c r="G9664" t="s">
        <v>8930</v>
      </c>
      <c r="AF9664" t="s">
        <v>10005</v>
      </c>
      <c r="AY9664" t="s">
        <v>10006</v>
      </c>
      <c r="BT9664" t="s">
        <v>10007</v>
      </c>
    </row>
    <row r="9665" spans="7:72" x14ac:dyDescent="0.25">
      <c r="G9665" t="s">
        <v>8937</v>
      </c>
      <c r="W9665" t="s">
        <v>2424</v>
      </c>
      <c r="AF9665">
        <v>9.5</v>
      </c>
      <c r="AY9665">
        <v>12.1</v>
      </c>
      <c r="BT9665">
        <v>14</v>
      </c>
    </row>
    <row r="9666" spans="7:72" x14ac:dyDescent="0.25">
      <c r="G9666" t="s">
        <v>8938</v>
      </c>
      <c r="W9666" t="s">
        <v>2424</v>
      </c>
      <c r="AF9666" t="s">
        <v>9801</v>
      </c>
      <c r="AY9666" t="s">
        <v>9954</v>
      </c>
      <c r="BT9666" t="s">
        <v>9955</v>
      </c>
    </row>
    <row r="9667" spans="7:72" x14ac:dyDescent="0.25">
      <c r="G9667" t="s">
        <v>8945</v>
      </c>
      <c r="W9667" t="s">
        <v>2424</v>
      </c>
      <c r="AF9667" t="s">
        <v>10008</v>
      </c>
      <c r="AY9667" t="s">
        <v>10009</v>
      </c>
      <c r="BT9667" t="s">
        <v>10010</v>
      </c>
    </row>
    <row r="9668" spans="7:72" x14ac:dyDescent="0.25">
      <c r="G9668" t="s">
        <v>8953</v>
      </c>
      <c r="W9668" t="s">
        <v>4905</v>
      </c>
      <c r="AF9668">
        <v>3.72</v>
      </c>
      <c r="AY9668">
        <v>3.07</v>
      </c>
      <c r="BT9668">
        <v>2.83</v>
      </c>
    </row>
    <row r="9669" spans="7:72" x14ac:dyDescent="0.25">
      <c r="G9669" t="s">
        <v>8955</v>
      </c>
      <c r="AF9669">
        <v>6.46</v>
      </c>
      <c r="AY9669">
        <v>5.87</v>
      </c>
      <c r="BT9669">
        <v>6.12</v>
      </c>
    </row>
    <row r="9670" spans="7:72" x14ac:dyDescent="0.25">
      <c r="G9670" t="s">
        <v>4977</v>
      </c>
      <c r="AF9670" t="s">
        <v>2880</v>
      </c>
      <c r="AY9670" t="s">
        <v>9963</v>
      </c>
      <c r="BT9670" t="s">
        <v>9963</v>
      </c>
    </row>
    <row r="9671" spans="7:72" x14ac:dyDescent="0.25">
      <c r="G9671" t="s">
        <v>4979</v>
      </c>
      <c r="W9671" t="s">
        <v>4918</v>
      </c>
      <c r="AF9671" t="s">
        <v>9806</v>
      </c>
      <c r="AY9671" t="s">
        <v>9806</v>
      </c>
      <c r="BT9671" t="s">
        <v>9806</v>
      </c>
    </row>
    <row r="9672" spans="7:72" x14ac:dyDescent="0.25">
      <c r="G9672" t="s">
        <v>8957</v>
      </c>
      <c r="W9672" t="s">
        <v>2424</v>
      </c>
      <c r="AF9672">
        <v>11.2</v>
      </c>
      <c r="AY9672">
        <v>13</v>
      </c>
      <c r="BT9672">
        <v>16</v>
      </c>
    </row>
    <row r="9673" spans="7:72" x14ac:dyDescent="0.25">
      <c r="G9673" t="s">
        <v>8958</v>
      </c>
      <c r="W9673" t="s">
        <v>2424</v>
      </c>
      <c r="AF9673" t="s">
        <v>9809</v>
      </c>
      <c r="AY9673" t="s">
        <v>9964</v>
      </c>
      <c r="BT9673" t="s">
        <v>10011</v>
      </c>
    </row>
    <row r="9674" spans="7:72" x14ac:dyDescent="0.25">
      <c r="G9674" t="s">
        <v>8945</v>
      </c>
      <c r="W9674" t="s">
        <v>2424</v>
      </c>
      <c r="AF9674" t="s">
        <v>10012</v>
      </c>
      <c r="AY9674" t="s">
        <v>10013</v>
      </c>
      <c r="BT9674" t="s">
        <v>10014</v>
      </c>
    </row>
    <row r="9675" spans="7:72" x14ac:dyDescent="0.25">
      <c r="G9675" t="s">
        <v>8971</v>
      </c>
      <c r="W9675" t="s">
        <v>4905</v>
      </c>
      <c r="AF9675">
        <v>3.95</v>
      </c>
      <c r="AY9675">
        <v>3.79</v>
      </c>
      <c r="BT9675">
        <v>3.41</v>
      </c>
    </row>
    <row r="9676" spans="7:72" x14ac:dyDescent="0.25">
      <c r="G9676" t="s">
        <v>8973</v>
      </c>
      <c r="AF9676">
        <v>4.29</v>
      </c>
      <c r="AY9676">
        <v>4.2</v>
      </c>
      <c r="BT9676">
        <v>4.22</v>
      </c>
    </row>
    <row r="9677" spans="7:72" x14ac:dyDescent="0.25">
      <c r="G9677" t="s">
        <v>4977</v>
      </c>
      <c r="AF9677" t="s">
        <v>9104</v>
      </c>
      <c r="AY9677" t="s">
        <v>9963</v>
      </c>
      <c r="BT9677" t="s">
        <v>9963</v>
      </c>
    </row>
    <row r="9678" spans="7:72" x14ac:dyDescent="0.25">
      <c r="G9678" t="s">
        <v>4979</v>
      </c>
      <c r="W9678" t="s">
        <v>4918</v>
      </c>
      <c r="AF9678" t="s">
        <v>9813</v>
      </c>
      <c r="AY9678" t="s">
        <v>9813</v>
      </c>
      <c r="BT9678" t="s">
        <v>9813</v>
      </c>
    </row>
    <row r="9679" spans="7:72" x14ac:dyDescent="0.25">
      <c r="G9679" t="s">
        <v>8975</v>
      </c>
      <c r="W9679" t="s">
        <v>2442</v>
      </c>
      <c r="AF9679" t="s">
        <v>4910</v>
      </c>
      <c r="AY9679" t="s">
        <v>4910</v>
      </c>
      <c r="BT9679" t="s">
        <v>4910</v>
      </c>
    </row>
    <row r="9680" spans="7:72" x14ac:dyDescent="0.25">
      <c r="G9680" t="s">
        <v>4982</v>
      </c>
      <c r="W9680" t="s">
        <v>4911</v>
      </c>
      <c r="AF9680" t="s">
        <v>4917</v>
      </c>
      <c r="AY9680" t="s">
        <v>4917</v>
      </c>
      <c r="BT9680" t="s">
        <v>4917</v>
      </c>
    </row>
    <row r="9681" spans="1:72" x14ac:dyDescent="0.25">
      <c r="G9681" t="s">
        <v>9973</v>
      </c>
      <c r="W9681" t="s">
        <v>4986</v>
      </c>
      <c r="AF9681" t="s">
        <v>10015</v>
      </c>
      <c r="AY9681" t="s">
        <v>10016</v>
      </c>
      <c r="BT9681" t="s">
        <v>10017</v>
      </c>
    </row>
    <row r="9683" spans="1:72" x14ac:dyDescent="0.25">
      <c r="G9683" t="s">
        <v>4988</v>
      </c>
      <c r="AF9683" t="s">
        <v>9984</v>
      </c>
      <c r="AY9683" t="s">
        <v>9985</v>
      </c>
      <c r="BT9683" t="s">
        <v>2422</v>
      </c>
    </row>
    <row r="9684" spans="1:72" x14ac:dyDescent="0.25">
      <c r="G9684" t="s">
        <v>7870</v>
      </c>
      <c r="W9684" t="s">
        <v>2431</v>
      </c>
      <c r="AF9684" t="s">
        <v>10018</v>
      </c>
      <c r="AY9684" t="s">
        <v>10019</v>
      </c>
      <c r="BT9684" t="s">
        <v>2432</v>
      </c>
    </row>
    <row r="9685" spans="1:72" x14ac:dyDescent="0.25">
      <c r="G9685" t="s">
        <v>8996</v>
      </c>
      <c r="W9685" t="s">
        <v>2427</v>
      </c>
      <c r="AF9685" t="s">
        <v>9995</v>
      </c>
      <c r="AY9685" t="s">
        <v>9996</v>
      </c>
      <c r="BT9685" t="s">
        <v>2428</v>
      </c>
    </row>
    <row r="9686" spans="1:72" x14ac:dyDescent="0.25">
      <c r="A9686" t="s">
        <v>9773</v>
      </c>
    </row>
    <row r="9687" spans="1:72" x14ac:dyDescent="0.25">
      <c r="G9687" t="s">
        <v>8996</v>
      </c>
      <c r="W9687" t="s">
        <v>2427</v>
      </c>
      <c r="AF9687" t="s">
        <v>9995</v>
      </c>
      <c r="AY9687" t="s">
        <v>9996</v>
      </c>
      <c r="BT9687" t="s">
        <v>2428</v>
      </c>
    </row>
    <row r="9688" spans="1:72" x14ac:dyDescent="0.25">
      <c r="G9688" t="s">
        <v>4984</v>
      </c>
      <c r="W9688" t="s">
        <v>2433</v>
      </c>
      <c r="AF9688" t="s">
        <v>2441</v>
      </c>
      <c r="AY9688" t="s">
        <v>2441</v>
      </c>
      <c r="BT9688" t="s">
        <v>2441</v>
      </c>
    </row>
    <row r="9689" spans="1:72" x14ac:dyDescent="0.25">
      <c r="G9689" t="s">
        <v>9010</v>
      </c>
      <c r="W9689" t="s">
        <v>713</v>
      </c>
      <c r="AF9689">
        <v>37</v>
      </c>
      <c r="AY9689">
        <v>37</v>
      </c>
      <c r="BT9689">
        <v>37</v>
      </c>
    </row>
    <row r="9690" spans="1:72" x14ac:dyDescent="0.25">
      <c r="G9690" t="s">
        <v>1001</v>
      </c>
      <c r="W9690" t="s">
        <v>4986</v>
      </c>
      <c r="AF9690" t="s">
        <v>8981</v>
      </c>
      <c r="AY9690" t="s">
        <v>9545</v>
      </c>
      <c r="BT9690" t="s">
        <v>9999</v>
      </c>
    </row>
    <row r="9692" spans="1:72" x14ac:dyDescent="0.25">
      <c r="G9692" t="s">
        <v>5025</v>
      </c>
      <c r="AF9692" t="s">
        <v>9901</v>
      </c>
      <c r="AY9692" t="s">
        <v>10020</v>
      </c>
      <c r="BT9692" t="s">
        <v>10021</v>
      </c>
    </row>
    <row r="9693" spans="1:72" x14ac:dyDescent="0.25">
      <c r="G9693" t="s">
        <v>8996</v>
      </c>
      <c r="W9693" t="s">
        <v>2427</v>
      </c>
      <c r="AF9693">
        <v>53</v>
      </c>
      <c r="AY9693">
        <v>56</v>
      </c>
      <c r="BT9693">
        <v>57</v>
      </c>
    </row>
    <row r="9694" spans="1:72" x14ac:dyDescent="0.25">
      <c r="G9694" t="s">
        <v>8996</v>
      </c>
      <c r="W9694" t="s">
        <v>2427</v>
      </c>
      <c r="AF9694">
        <v>56</v>
      </c>
      <c r="AY9694">
        <v>56</v>
      </c>
      <c r="BT9694">
        <v>56</v>
      </c>
    </row>
    <row r="9695" spans="1:72" x14ac:dyDescent="0.25">
      <c r="G9695" t="s">
        <v>2435</v>
      </c>
      <c r="W9695" t="s">
        <v>2436</v>
      </c>
      <c r="AF9695" t="s">
        <v>2437</v>
      </c>
      <c r="AY9695" t="s">
        <v>2437</v>
      </c>
      <c r="BT9695" t="s">
        <v>2437</v>
      </c>
    </row>
    <row r="9696" spans="1:72" x14ac:dyDescent="0.25">
      <c r="G9696" t="s">
        <v>9030</v>
      </c>
      <c r="W9696" t="s">
        <v>2436</v>
      </c>
      <c r="AF9696" t="s">
        <v>9028</v>
      </c>
      <c r="AY9696" t="s">
        <v>9028</v>
      </c>
      <c r="BT9696" t="s">
        <v>9028</v>
      </c>
    </row>
    <row r="9697" spans="7:77" x14ac:dyDescent="0.25">
      <c r="G9697" t="s">
        <v>9032</v>
      </c>
      <c r="W9697" t="s">
        <v>551</v>
      </c>
      <c r="AF9697">
        <v>5</v>
      </c>
      <c r="AY9697">
        <v>5</v>
      </c>
      <c r="BT9697">
        <v>5</v>
      </c>
    </row>
    <row r="9698" spans="7:77" x14ac:dyDescent="0.25">
      <c r="G9698" t="s">
        <v>9033</v>
      </c>
      <c r="W9698" t="s">
        <v>551</v>
      </c>
      <c r="AF9698">
        <v>50</v>
      </c>
      <c r="AY9698">
        <v>50</v>
      </c>
      <c r="BT9698">
        <v>50</v>
      </c>
    </row>
    <row r="9699" spans="7:77" x14ac:dyDescent="0.25">
      <c r="G9699" t="s">
        <v>9034</v>
      </c>
      <c r="W9699" t="s">
        <v>551</v>
      </c>
      <c r="AF9699">
        <v>30</v>
      </c>
      <c r="AY9699">
        <v>30</v>
      </c>
      <c r="BT9699">
        <v>30</v>
      </c>
    </row>
    <row r="9700" spans="7:77" x14ac:dyDescent="0.25">
      <c r="G9700" t="s">
        <v>9035</v>
      </c>
      <c r="AF9700" t="s">
        <v>9037</v>
      </c>
      <c r="AY9700" t="s">
        <v>9037</v>
      </c>
      <c r="BT9700" t="s">
        <v>9037</v>
      </c>
    </row>
    <row r="9701" spans="7:77" x14ac:dyDescent="0.25">
      <c r="G9701" t="s">
        <v>4983</v>
      </c>
      <c r="AF9701" t="s">
        <v>2440</v>
      </c>
      <c r="AY9701" t="s">
        <v>2440</v>
      </c>
      <c r="BT9701" t="s">
        <v>2440</v>
      </c>
    </row>
    <row r="9702" spans="7:77" x14ac:dyDescent="0.25">
      <c r="G9702" t="s">
        <v>9038</v>
      </c>
      <c r="W9702" t="s">
        <v>713</v>
      </c>
      <c r="AF9702">
        <v>2.4</v>
      </c>
      <c r="AY9702">
        <v>2.4</v>
      </c>
      <c r="BT9702">
        <v>2.4</v>
      </c>
    </row>
    <row r="9704" spans="7:77" x14ac:dyDescent="0.25">
      <c r="G9704" t="s">
        <v>4984</v>
      </c>
      <c r="W9704" t="s">
        <v>2433</v>
      </c>
      <c r="AF9704" t="s">
        <v>4926</v>
      </c>
      <c r="AY9704" t="s">
        <v>4926</v>
      </c>
      <c r="BT9704" t="s">
        <v>4926</v>
      </c>
    </row>
    <row r="9705" spans="7:77" x14ac:dyDescent="0.25">
      <c r="G9705" t="s">
        <v>9010</v>
      </c>
      <c r="W9705" t="s">
        <v>713</v>
      </c>
      <c r="AF9705">
        <v>85</v>
      </c>
      <c r="AY9705">
        <v>85</v>
      </c>
      <c r="BT9705">
        <v>88</v>
      </c>
    </row>
    <row r="9706" spans="7:77" x14ac:dyDescent="0.25">
      <c r="G9706" t="s">
        <v>1001</v>
      </c>
      <c r="W9706" t="s">
        <v>4986</v>
      </c>
      <c r="AF9706" t="s">
        <v>9906</v>
      </c>
      <c r="AY9706" t="s">
        <v>10022</v>
      </c>
      <c r="BT9706" t="s">
        <v>5108</v>
      </c>
    </row>
    <row r="9708" spans="7:77" x14ac:dyDescent="0.25">
      <c r="G9708" t="s">
        <v>3768</v>
      </c>
      <c r="W9708" t="s">
        <v>9049</v>
      </c>
      <c r="BY9708" t="s">
        <v>9051</v>
      </c>
    </row>
    <row r="9709" spans="7:77" x14ac:dyDescent="0.25">
      <c r="G9709" t="s">
        <v>10023</v>
      </c>
      <c r="W9709" t="s">
        <v>10024</v>
      </c>
      <c r="BY9709" t="s">
        <v>5150</v>
      </c>
    </row>
    <row r="9710" spans="7:77" x14ac:dyDescent="0.25">
      <c r="G9710" t="s">
        <v>10025</v>
      </c>
      <c r="W9710" t="s">
        <v>10026</v>
      </c>
      <c r="BY9710" t="s">
        <v>10027</v>
      </c>
    </row>
    <row r="9711" spans="7:77" x14ac:dyDescent="0.25">
      <c r="G9711" t="s">
        <v>10028</v>
      </c>
      <c r="W9711" t="s">
        <v>10029</v>
      </c>
      <c r="BY9711" t="s">
        <v>9512</v>
      </c>
    </row>
    <row r="9712" spans="7:77" x14ac:dyDescent="0.25">
      <c r="G9712" t="s">
        <v>10030</v>
      </c>
      <c r="W9712" t="s">
        <v>10031</v>
      </c>
      <c r="BY9712" t="s">
        <v>9059</v>
      </c>
    </row>
    <row r="9713" spans="1:77" x14ac:dyDescent="0.25">
      <c r="G9713" t="s">
        <v>10032</v>
      </c>
      <c r="W9713" t="s">
        <v>10033</v>
      </c>
      <c r="BY9713" t="s">
        <v>5150</v>
      </c>
    </row>
    <row r="9714" spans="1:77" x14ac:dyDescent="0.25">
      <c r="G9714" t="s">
        <v>10034</v>
      </c>
      <c r="W9714" t="s">
        <v>10035</v>
      </c>
      <c r="BY9714" t="s">
        <v>10036</v>
      </c>
    </row>
    <row r="9715" spans="1:77" x14ac:dyDescent="0.25">
      <c r="G9715" t="s">
        <v>9725</v>
      </c>
      <c r="W9715" t="s">
        <v>9726</v>
      </c>
      <c r="BY9715" t="s">
        <v>9727</v>
      </c>
    </row>
    <row r="9716" spans="1:77" x14ac:dyDescent="0.25">
      <c r="A9716" t="s">
        <v>9843</v>
      </c>
    </row>
    <row r="9717" spans="1:77" x14ac:dyDescent="0.25">
      <c r="A9717" t="s">
        <v>10037</v>
      </c>
    </row>
    <row r="9720" spans="1:77" x14ac:dyDescent="0.25">
      <c r="A9720" t="s">
        <v>9944</v>
      </c>
    </row>
    <row r="9722" spans="1:77" x14ac:dyDescent="0.25">
      <c r="A9722" t="s">
        <v>10038</v>
      </c>
    </row>
    <row r="9724" spans="1:77" x14ac:dyDescent="0.25">
      <c r="A9724" t="s">
        <v>10039</v>
      </c>
    </row>
    <row r="9725" spans="1:77" x14ac:dyDescent="0.25">
      <c r="A9725" t="s">
        <v>8930</v>
      </c>
      <c r="Z9725" t="s">
        <v>10040</v>
      </c>
      <c r="AM9725" t="s">
        <v>10041</v>
      </c>
      <c r="BS9725" t="s">
        <v>10042</v>
      </c>
    </row>
    <row r="9726" spans="1:77" x14ac:dyDescent="0.25">
      <c r="A9726" t="s">
        <v>8937</v>
      </c>
      <c r="R9726" t="s">
        <v>2424</v>
      </c>
      <c r="Z9726">
        <v>5</v>
      </c>
      <c r="AM9726">
        <v>7.1</v>
      </c>
      <c r="BC9726">
        <v>10</v>
      </c>
      <c r="BS9726" t="s">
        <v>9697</v>
      </c>
    </row>
    <row r="9727" spans="1:77" x14ac:dyDescent="0.25">
      <c r="A9727" t="s">
        <v>8938</v>
      </c>
      <c r="R9727" t="s">
        <v>2424</v>
      </c>
      <c r="Z9727" t="s">
        <v>9408</v>
      </c>
      <c r="AM9727" t="s">
        <v>9854</v>
      </c>
      <c r="BS9727" t="s">
        <v>10043</v>
      </c>
    </row>
    <row r="9728" spans="1:77" x14ac:dyDescent="0.25">
      <c r="A9728" t="s">
        <v>8945</v>
      </c>
      <c r="R9728" t="s">
        <v>2424</v>
      </c>
      <c r="Z9728" t="s">
        <v>10044</v>
      </c>
      <c r="AM9728" t="s">
        <v>10045</v>
      </c>
      <c r="BS9728" t="s">
        <v>10046</v>
      </c>
    </row>
    <row r="9729" spans="1:88" x14ac:dyDescent="0.25">
      <c r="A9729" t="s">
        <v>8953</v>
      </c>
      <c r="R9729" t="s">
        <v>4905</v>
      </c>
      <c r="Z9729">
        <v>3.65</v>
      </c>
      <c r="AM9729">
        <v>4.4400000000000004</v>
      </c>
      <c r="BC9729">
        <v>4.4800000000000004</v>
      </c>
      <c r="BS9729" t="s">
        <v>5465</v>
      </c>
    </row>
    <row r="9730" spans="1:88" x14ac:dyDescent="0.25">
      <c r="A9730" t="s">
        <v>8955</v>
      </c>
      <c r="Z9730">
        <v>6.93</v>
      </c>
      <c r="AM9730">
        <v>8.35</v>
      </c>
      <c r="BC9730">
        <v>8.58</v>
      </c>
      <c r="BS9730" t="s">
        <v>7052</v>
      </c>
    </row>
    <row r="9731" spans="1:88" x14ac:dyDescent="0.25">
      <c r="A9731" t="s">
        <v>4977</v>
      </c>
      <c r="Z9731" t="s">
        <v>2880</v>
      </c>
      <c r="AM9731" t="s">
        <v>2880</v>
      </c>
      <c r="BS9731" t="s">
        <v>9963</v>
      </c>
    </row>
    <row r="9732" spans="1:88" x14ac:dyDescent="0.25">
      <c r="A9732" t="s">
        <v>4979</v>
      </c>
      <c r="R9732" t="s">
        <v>4918</v>
      </c>
      <c r="Z9732" t="s">
        <v>9921</v>
      </c>
      <c r="AM9732" t="s">
        <v>9921</v>
      </c>
      <c r="BS9732" t="s">
        <v>9921</v>
      </c>
    </row>
    <row r="9733" spans="1:88" x14ac:dyDescent="0.25">
      <c r="A9733" t="s">
        <v>8957</v>
      </c>
      <c r="R9733" t="s">
        <v>2424</v>
      </c>
      <c r="Z9733">
        <v>5.6</v>
      </c>
      <c r="AM9733">
        <v>8</v>
      </c>
      <c r="BC9733">
        <v>11.2</v>
      </c>
      <c r="BS9733" t="s">
        <v>10047</v>
      </c>
    </row>
    <row r="9734" spans="1:88" x14ac:dyDescent="0.25">
      <c r="A9734" t="s">
        <v>8958</v>
      </c>
      <c r="R9734" t="s">
        <v>2424</v>
      </c>
      <c r="Z9734" t="s">
        <v>10048</v>
      </c>
      <c r="AM9734" t="s">
        <v>9923</v>
      </c>
      <c r="BS9734" t="s">
        <v>10049</v>
      </c>
    </row>
    <row r="9735" spans="1:88" x14ac:dyDescent="0.25">
      <c r="A9735" t="s">
        <v>8945</v>
      </c>
      <c r="R9735" t="s">
        <v>2424</v>
      </c>
      <c r="Z9735" t="s">
        <v>9926</v>
      </c>
      <c r="AM9735" t="s">
        <v>10050</v>
      </c>
      <c r="BS9735" t="s">
        <v>10051</v>
      </c>
    </row>
    <row r="9736" spans="1:88" x14ac:dyDescent="0.25">
      <c r="A9736" t="s">
        <v>8971</v>
      </c>
      <c r="R9736" t="s">
        <v>4905</v>
      </c>
      <c r="Z9736">
        <v>4.03</v>
      </c>
      <c r="AM9736">
        <v>4.4400000000000004</v>
      </c>
      <c r="BC9736">
        <v>4.71</v>
      </c>
      <c r="BS9736" t="s">
        <v>10052</v>
      </c>
    </row>
    <row r="9737" spans="1:88" x14ac:dyDescent="0.25">
      <c r="A9737" t="s">
        <v>8973</v>
      </c>
      <c r="Z9737">
        <v>4.7300000000000004</v>
      </c>
      <c r="AM9737">
        <v>5.0999999999999996</v>
      </c>
      <c r="BC9737">
        <v>4.75</v>
      </c>
      <c r="BS9737" t="s">
        <v>10053</v>
      </c>
    </row>
    <row r="9738" spans="1:88" x14ac:dyDescent="0.25">
      <c r="CJ9738" t="s">
        <v>9773</v>
      </c>
    </row>
    <row r="9739" spans="1:88" x14ac:dyDescent="0.25">
      <c r="A9739" t="s">
        <v>4977</v>
      </c>
      <c r="Z9739" t="s">
        <v>2880</v>
      </c>
      <c r="AM9739" t="s">
        <v>2880</v>
      </c>
      <c r="BS9739" t="s">
        <v>9963</v>
      </c>
    </row>
    <row r="9740" spans="1:88" x14ac:dyDescent="0.25">
      <c r="A9740" t="s">
        <v>4979</v>
      </c>
      <c r="R9740" t="s">
        <v>4918</v>
      </c>
      <c r="Z9740" t="s">
        <v>9930</v>
      </c>
      <c r="AM9740" t="s">
        <v>9931</v>
      </c>
      <c r="BS9740" t="s">
        <v>9930</v>
      </c>
    </row>
    <row r="9741" spans="1:88" x14ac:dyDescent="0.25">
      <c r="A9741" t="s">
        <v>8975</v>
      </c>
      <c r="R9741" t="s">
        <v>2442</v>
      </c>
      <c r="Z9741" t="s">
        <v>2443</v>
      </c>
      <c r="AM9741" t="s">
        <v>2443</v>
      </c>
      <c r="BS9741" t="s">
        <v>2443</v>
      </c>
    </row>
    <row r="9742" spans="1:88" x14ac:dyDescent="0.25">
      <c r="A9742" t="s">
        <v>4982</v>
      </c>
      <c r="R9742" t="s">
        <v>4911</v>
      </c>
      <c r="Z9742">
        <v>16</v>
      </c>
      <c r="AM9742">
        <v>20</v>
      </c>
      <c r="BC9742">
        <v>25</v>
      </c>
      <c r="BS9742" t="s">
        <v>7051</v>
      </c>
    </row>
    <row r="9743" spans="1:88" x14ac:dyDescent="0.25">
      <c r="A9743" t="s">
        <v>9973</v>
      </c>
      <c r="R9743" t="s">
        <v>4986</v>
      </c>
      <c r="Z9743" t="s">
        <v>10054</v>
      </c>
      <c r="AM9743" t="s">
        <v>10055</v>
      </c>
      <c r="BS9743" t="s">
        <v>10056</v>
      </c>
    </row>
    <row r="9745" spans="1:71" x14ac:dyDescent="0.25">
      <c r="A9745" t="s">
        <v>4988</v>
      </c>
      <c r="Z9745" t="s">
        <v>9981</v>
      </c>
      <c r="AM9745" t="s">
        <v>9982</v>
      </c>
      <c r="BS9745" t="s">
        <v>9985</v>
      </c>
    </row>
    <row r="9746" spans="1:71" x14ac:dyDescent="0.25">
      <c r="A9746" t="s">
        <v>7870</v>
      </c>
      <c r="R9746" t="s">
        <v>2431</v>
      </c>
      <c r="Z9746" t="s">
        <v>10057</v>
      </c>
      <c r="AM9746" t="s">
        <v>10058</v>
      </c>
      <c r="BS9746" t="s">
        <v>10019</v>
      </c>
    </row>
    <row r="9747" spans="1:71" x14ac:dyDescent="0.25">
      <c r="A9747" t="s">
        <v>8996</v>
      </c>
      <c r="R9747" t="s">
        <v>2427</v>
      </c>
      <c r="Z9747" t="s">
        <v>9992</v>
      </c>
      <c r="AM9747" t="s">
        <v>9993</v>
      </c>
      <c r="BS9747" t="s">
        <v>9996</v>
      </c>
    </row>
    <row r="9748" spans="1:71" x14ac:dyDescent="0.25">
      <c r="A9748" t="s">
        <v>8996</v>
      </c>
      <c r="R9748" t="s">
        <v>2427</v>
      </c>
      <c r="Z9748" t="s">
        <v>9992</v>
      </c>
      <c r="AM9748" t="s">
        <v>9993</v>
      </c>
      <c r="BS9748" t="s">
        <v>9996</v>
      </c>
    </row>
    <row r="9749" spans="1:71" x14ac:dyDescent="0.25">
      <c r="A9749" t="s">
        <v>4984</v>
      </c>
      <c r="R9749" t="s">
        <v>2433</v>
      </c>
      <c r="Z9749" t="s">
        <v>9997</v>
      </c>
      <c r="AM9749" t="s">
        <v>9998</v>
      </c>
      <c r="BS9749" t="s">
        <v>2441</v>
      </c>
    </row>
    <row r="9750" spans="1:71" x14ac:dyDescent="0.25">
      <c r="A9750" t="s">
        <v>9010</v>
      </c>
      <c r="R9750" t="s">
        <v>713</v>
      </c>
      <c r="Z9750">
        <v>23</v>
      </c>
      <c r="AM9750">
        <v>29</v>
      </c>
      <c r="BC9750">
        <v>37</v>
      </c>
      <c r="BS9750" t="s">
        <v>10059</v>
      </c>
    </row>
    <row r="9751" spans="1:71" x14ac:dyDescent="0.25">
      <c r="A9751" t="s">
        <v>1001</v>
      </c>
      <c r="R9751" t="s">
        <v>4986</v>
      </c>
      <c r="Z9751" t="s">
        <v>9107</v>
      </c>
      <c r="AM9751" t="s">
        <v>9542</v>
      </c>
      <c r="BS9751" t="s">
        <v>9545</v>
      </c>
    </row>
    <row r="9753" spans="1:71" x14ac:dyDescent="0.25">
      <c r="A9753" t="s">
        <v>5025</v>
      </c>
      <c r="Z9753" t="s">
        <v>9935</v>
      </c>
      <c r="AM9753" t="s">
        <v>9936</v>
      </c>
      <c r="BS9753" t="s">
        <v>10060</v>
      </c>
    </row>
    <row r="9754" spans="1:71" x14ac:dyDescent="0.25">
      <c r="A9754" t="s">
        <v>8996</v>
      </c>
      <c r="R9754" t="s">
        <v>2427</v>
      </c>
      <c r="Z9754">
        <v>46</v>
      </c>
      <c r="AM9754">
        <v>46</v>
      </c>
      <c r="BC9754">
        <v>49</v>
      </c>
      <c r="BS9754" t="s">
        <v>7054</v>
      </c>
    </row>
    <row r="9756" spans="1:71" x14ac:dyDescent="0.25">
      <c r="A9756" t="s">
        <v>8996</v>
      </c>
      <c r="R9756" t="s">
        <v>2427</v>
      </c>
      <c r="Z9756">
        <v>48</v>
      </c>
      <c r="AM9756">
        <v>48</v>
      </c>
      <c r="BC9756">
        <v>50</v>
      </c>
      <c r="BS9756" t="s">
        <v>10061</v>
      </c>
    </row>
    <row r="9757" spans="1:71" x14ac:dyDescent="0.25">
      <c r="A9757" t="s">
        <v>2435</v>
      </c>
      <c r="R9757" t="s">
        <v>2436</v>
      </c>
      <c r="Z9757" t="s">
        <v>9029</v>
      </c>
      <c r="AM9757" t="s">
        <v>2437</v>
      </c>
      <c r="BS9757" t="s">
        <v>9835</v>
      </c>
    </row>
    <row r="9758" spans="1:71" x14ac:dyDescent="0.25">
      <c r="A9758" t="s">
        <v>9030</v>
      </c>
      <c r="R9758" t="s">
        <v>2436</v>
      </c>
      <c r="Z9758" t="s">
        <v>9836</v>
      </c>
      <c r="AM9758" t="s">
        <v>9028</v>
      </c>
      <c r="BS9758" t="s">
        <v>9028</v>
      </c>
    </row>
    <row r="9759" spans="1:71" x14ac:dyDescent="0.25">
      <c r="A9759" t="s">
        <v>9032</v>
      </c>
      <c r="R9759" t="s">
        <v>551</v>
      </c>
      <c r="Z9759">
        <v>5</v>
      </c>
      <c r="AM9759">
        <v>5</v>
      </c>
      <c r="BC9759">
        <v>5</v>
      </c>
      <c r="BS9759" t="s">
        <v>5541</v>
      </c>
    </row>
    <row r="9760" spans="1:71" x14ac:dyDescent="0.25">
      <c r="A9760" t="s">
        <v>9033</v>
      </c>
      <c r="R9760" t="s">
        <v>551</v>
      </c>
      <c r="Z9760">
        <v>50</v>
      </c>
      <c r="AM9760">
        <v>50</v>
      </c>
      <c r="BC9760">
        <v>75</v>
      </c>
      <c r="BS9760" t="s">
        <v>10062</v>
      </c>
    </row>
    <row r="9761" spans="1:72" x14ac:dyDescent="0.25">
      <c r="A9761" t="s">
        <v>9034</v>
      </c>
      <c r="R9761" t="s">
        <v>551</v>
      </c>
      <c r="Z9761">
        <v>30</v>
      </c>
      <c r="AM9761">
        <v>30</v>
      </c>
      <c r="BC9761">
        <v>30</v>
      </c>
      <c r="BS9761" t="s">
        <v>5240</v>
      </c>
    </row>
    <row r="9762" spans="1:72" x14ac:dyDescent="0.25">
      <c r="A9762" t="s">
        <v>9035</v>
      </c>
      <c r="Z9762" t="s">
        <v>9037</v>
      </c>
      <c r="AM9762" t="s">
        <v>9037</v>
      </c>
      <c r="BS9762" t="s">
        <v>9037</v>
      </c>
    </row>
    <row r="9763" spans="1:72" x14ac:dyDescent="0.25">
      <c r="A9763" t="s">
        <v>4983</v>
      </c>
      <c r="Z9763" t="s">
        <v>2440</v>
      </c>
      <c r="AM9763" t="s">
        <v>2440</v>
      </c>
      <c r="BS9763" t="s">
        <v>2440</v>
      </c>
    </row>
    <row r="9764" spans="1:72" x14ac:dyDescent="0.25">
      <c r="A9764" t="s">
        <v>9038</v>
      </c>
      <c r="R9764" t="s">
        <v>713</v>
      </c>
      <c r="Z9764">
        <v>1.35</v>
      </c>
      <c r="AM9764">
        <v>1.3</v>
      </c>
      <c r="BC9764">
        <v>3.1</v>
      </c>
      <c r="BS9764" t="s">
        <v>5245</v>
      </c>
    </row>
    <row r="9765" spans="1:72" x14ac:dyDescent="0.25">
      <c r="A9765" t="s">
        <v>4984</v>
      </c>
      <c r="R9765" t="s">
        <v>2433</v>
      </c>
      <c r="Z9765" t="s">
        <v>9902</v>
      </c>
      <c r="AM9765" t="s">
        <v>4926</v>
      </c>
      <c r="BS9765" t="s">
        <v>9939</v>
      </c>
    </row>
    <row r="9766" spans="1:72" x14ac:dyDescent="0.25">
      <c r="A9766" t="s">
        <v>9010</v>
      </c>
      <c r="R9766" t="s">
        <v>713</v>
      </c>
      <c r="Z9766">
        <v>45</v>
      </c>
      <c r="AM9766">
        <v>74</v>
      </c>
      <c r="BC9766">
        <v>104</v>
      </c>
      <c r="BS9766" t="s">
        <v>10063</v>
      </c>
    </row>
    <row r="9767" spans="1:72" x14ac:dyDescent="0.25">
      <c r="A9767" t="s">
        <v>1001</v>
      </c>
      <c r="R9767" t="s">
        <v>4986</v>
      </c>
      <c r="Z9767" t="s">
        <v>9322</v>
      </c>
      <c r="AM9767" t="s">
        <v>9940</v>
      </c>
      <c r="BS9767" t="s">
        <v>10064</v>
      </c>
    </row>
    <row r="9768" spans="1:72" x14ac:dyDescent="0.25">
      <c r="A9768" t="s">
        <v>9843</v>
      </c>
    </row>
    <row r="9769" spans="1:72" x14ac:dyDescent="0.25">
      <c r="A9769" t="s">
        <v>10065</v>
      </c>
    </row>
    <row r="9770" spans="1:72" x14ac:dyDescent="0.25">
      <c r="A9770" t="s">
        <v>10066</v>
      </c>
    </row>
    <row r="9771" spans="1:72" x14ac:dyDescent="0.25">
      <c r="G9771" t="s">
        <v>8930</v>
      </c>
      <c r="AF9771" t="s">
        <v>10067</v>
      </c>
      <c r="AY9771" t="s">
        <v>10068</v>
      </c>
      <c r="BT9771" t="s">
        <v>10069</v>
      </c>
    </row>
    <row r="9772" spans="1:72" x14ac:dyDescent="0.25">
      <c r="G9772" t="s">
        <v>8937</v>
      </c>
      <c r="W9772" t="s">
        <v>2424</v>
      </c>
      <c r="AF9772">
        <v>10</v>
      </c>
      <c r="AY9772">
        <v>12.5</v>
      </c>
      <c r="BT9772">
        <v>14</v>
      </c>
    </row>
    <row r="9773" spans="1:72" x14ac:dyDescent="0.25">
      <c r="G9773" t="s">
        <v>8938</v>
      </c>
      <c r="W9773" t="s">
        <v>2424</v>
      </c>
      <c r="AF9773" t="s">
        <v>10070</v>
      </c>
      <c r="AY9773" t="s">
        <v>10071</v>
      </c>
      <c r="BT9773" t="s">
        <v>2425</v>
      </c>
    </row>
    <row r="9774" spans="1:72" x14ac:dyDescent="0.25">
      <c r="G9774" t="s">
        <v>8945</v>
      </c>
      <c r="W9774" t="s">
        <v>2424</v>
      </c>
      <c r="AF9774" t="s">
        <v>10072</v>
      </c>
      <c r="AY9774" t="s">
        <v>10073</v>
      </c>
      <c r="BT9774" t="s">
        <v>10074</v>
      </c>
    </row>
    <row r="9775" spans="1:72" x14ac:dyDescent="0.25">
      <c r="G9775" t="s">
        <v>8953</v>
      </c>
      <c r="W9775" t="s">
        <v>4905</v>
      </c>
      <c r="AF9775">
        <v>3.91</v>
      </c>
      <c r="AY9775">
        <v>3.4</v>
      </c>
      <c r="BT9775">
        <v>3.04</v>
      </c>
    </row>
    <row r="9776" spans="1:72" x14ac:dyDescent="0.25">
      <c r="G9776" t="s">
        <v>8955</v>
      </c>
      <c r="AF9776">
        <v>6.8</v>
      </c>
      <c r="AY9776">
        <v>6.6</v>
      </c>
      <c r="BT9776">
        <v>6.24</v>
      </c>
    </row>
    <row r="9777" spans="7:72" x14ac:dyDescent="0.25">
      <c r="G9777" t="s">
        <v>4977</v>
      </c>
      <c r="AF9777" t="s">
        <v>2880</v>
      </c>
      <c r="AY9777" t="s">
        <v>9963</v>
      </c>
      <c r="BT9777" t="s">
        <v>9963</v>
      </c>
    </row>
    <row r="9778" spans="7:72" x14ac:dyDescent="0.25">
      <c r="G9778" t="s">
        <v>4979</v>
      </c>
      <c r="W9778" t="s">
        <v>4918</v>
      </c>
      <c r="AF9778" t="s">
        <v>9806</v>
      </c>
      <c r="AY9778" t="s">
        <v>9806</v>
      </c>
      <c r="BT9778" t="s">
        <v>9806</v>
      </c>
    </row>
    <row r="9779" spans="7:72" x14ac:dyDescent="0.25">
      <c r="G9779" t="s">
        <v>8957</v>
      </c>
      <c r="W9779" t="s">
        <v>2424</v>
      </c>
      <c r="AF9779">
        <v>11.2</v>
      </c>
      <c r="AY9779">
        <v>14</v>
      </c>
      <c r="BT9779">
        <v>16</v>
      </c>
    </row>
    <row r="9780" spans="7:72" x14ac:dyDescent="0.25">
      <c r="G9780" t="s">
        <v>8958</v>
      </c>
      <c r="W9780" t="s">
        <v>2424</v>
      </c>
      <c r="AF9780" t="s">
        <v>10075</v>
      </c>
      <c r="AY9780" t="s">
        <v>10076</v>
      </c>
      <c r="BT9780" t="s">
        <v>2426</v>
      </c>
    </row>
    <row r="9781" spans="7:72" x14ac:dyDescent="0.25">
      <c r="G9781" t="s">
        <v>8945</v>
      </c>
      <c r="W9781" t="s">
        <v>2424</v>
      </c>
      <c r="AF9781" t="s">
        <v>10077</v>
      </c>
      <c r="AY9781" t="s">
        <v>10078</v>
      </c>
      <c r="BT9781" t="s">
        <v>10079</v>
      </c>
    </row>
    <row r="9782" spans="7:72" x14ac:dyDescent="0.25">
      <c r="G9782" t="s">
        <v>8971</v>
      </c>
      <c r="W9782" t="s">
        <v>4905</v>
      </c>
      <c r="AF9782">
        <v>4.46</v>
      </c>
      <c r="AY9782">
        <v>4.0199999999999996</v>
      </c>
      <c r="BT9782">
        <v>3.72</v>
      </c>
    </row>
    <row r="9783" spans="7:72" x14ac:dyDescent="0.25">
      <c r="G9783" t="s">
        <v>8973</v>
      </c>
      <c r="AF9783">
        <v>4.2300000000000004</v>
      </c>
      <c r="AY9783">
        <v>4.22</v>
      </c>
      <c r="BT9783">
        <v>4.21</v>
      </c>
    </row>
    <row r="9784" spans="7:72" x14ac:dyDescent="0.25">
      <c r="G9784" t="s">
        <v>4977</v>
      </c>
      <c r="AF9784" t="s">
        <v>9104</v>
      </c>
      <c r="AY9784" t="s">
        <v>9963</v>
      </c>
      <c r="BT9784" t="s">
        <v>9963</v>
      </c>
    </row>
    <row r="9785" spans="7:72" x14ac:dyDescent="0.25">
      <c r="G9785" t="s">
        <v>4979</v>
      </c>
      <c r="W9785" t="s">
        <v>4918</v>
      </c>
      <c r="AF9785" t="s">
        <v>9932</v>
      </c>
      <c r="AY9785" t="s">
        <v>9932</v>
      </c>
      <c r="BT9785" t="s">
        <v>9932</v>
      </c>
    </row>
    <row r="9786" spans="7:72" x14ac:dyDescent="0.25">
      <c r="G9786" t="s">
        <v>8975</v>
      </c>
      <c r="W9786" t="s">
        <v>2442</v>
      </c>
      <c r="AF9786" t="s">
        <v>4910</v>
      </c>
      <c r="AY9786" t="s">
        <v>4910</v>
      </c>
      <c r="BT9786" t="s">
        <v>4910</v>
      </c>
    </row>
    <row r="9787" spans="7:72" x14ac:dyDescent="0.25">
      <c r="G9787" t="s">
        <v>4982</v>
      </c>
      <c r="W9787" t="s">
        <v>4911</v>
      </c>
      <c r="AF9787" t="s">
        <v>4917</v>
      </c>
      <c r="AY9787" t="s">
        <v>4917</v>
      </c>
      <c r="BT9787" t="s">
        <v>4917</v>
      </c>
    </row>
    <row r="9788" spans="7:72" x14ac:dyDescent="0.25">
      <c r="G9788" t="s">
        <v>9973</v>
      </c>
      <c r="W9788" t="s">
        <v>4986</v>
      </c>
      <c r="AF9788" t="s">
        <v>10080</v>
      </c>
      <c r="AY9788" t="s">
        <v>10081</v>
      </c>
      <c r="BT9788" t="s">
        <v>10082</v>
      </c>
    </row>
    <row r="9790" spans="7:72" x14ac:dyDescent="0.25">
      <c r="G9790" t="s">
        <v>4988</v>
      </c>
      <c r="AF9790" t="s">
        <v>9984</v>
      </c>
      <c r="AY9790" t="s">
        <v>9985</v>
      </c>
      <c r="BT9790" t="s">
        <v>2422</v>
      </c>
    </row>
    <row r="9791" spans="7:72" x14ac:dyDescent="0.25">
      <c r="G9791" t="s">
        <v>7870</v>
      </c>
      <c r="W9791" t="s">
        <v>2431</v>
      </c>
      <c r="AF9791" t="s">
        <v>10018</v>
      </c>
      <c r="AY9791" t="s">
        <v>10019</v>
      </c>
      <c r="BT9791" t="s">
        <v>2432</v>
      </c>
    </row>
    <row r="9792" spans="7:72" x14ac:dyDescent="0.25">
      <c r="G9792" t="s">
        <v>8996</v>
      </c>
      <c r="W9792" t="s">
        <v>2427</v>
      </c>
      <c r="AF9792" t="s">
        <v>9995</v>
      </c>
      <c r="AY9792" t="s">
        <v>9996</v>
      </c>
      <c r="BT9792" t="s">
        <v>2428</v>
      </c>
    </row>
    <row r="9793" spans="1:72" x14ac:dyDescent="0.25">
      <c r="A9793" t="s">
        <v>9773</v>
      </c>
    </row>
    <row r="9794" spans="1:72" x14ac:dyDescent="0.25">
      <c r="G9794" t="s">
        <v>8996</v>
      </c>
      <c r="W9794" t="s">
        <v>2427</v>
      </c>
      <c r="AF9794" t="s">
        <v>9995</v>
      </c>
      <c r="AY9794" t="s">
        <v>9996</v>
      </c>
      <c r="BT9794" t="s">
        <v>2428</v>
      </c>
    </row>
    <row r="9795" spans="1:72" x14ac:dyDescent="0.25">
      <c r="G9795" t="s">
        <v>4984</v>
      </c>
      <c r="W9795" t="s">
        <v>2433</v>
      </c>
      <c r="AF9795" t="s">
        <v>2441</v>
      </c>
      <c r="AY9795" t="s">
        <v>2441</v>
      </c>
      <c r="BT9795" t="s">
        <v>2441</v>
      </c>
    </row>
    <row r="9796" spans="1:72" x14ac:dyDescent="0.25">
      <c r="G9796" t="s">
        <v>9010</v>
      </c>
      <c r="W9796" t="s">
        <v>713</v>
      </c>
      <c r="AF9796">
        <v>37</v>
      </c>
      <c r="AY9796">
        <v>37</v>
      </c>
      <c r="BT9796">
        <v>37</v>
      </c>
    </row>
    <row r="9797" spans="1:72" x14ac:dyDescent="0.25">
      <c r="G9797" t="s">
        <v>1001</v>
      </c>
      <c r="W9797" t="s">
        <v>4986</v>
      </c>
      <c r="AF9797" t="s">
        <v>8981</v>
      </c>
      <c r="AY9797" t="s">
        <v>9545</v>
      </c>
      <c r="BT9797" t="s">
        <v>9999</v>
      </c>
    </row>
    <row r="9799" spans="1:72" x14ac:dyDescent="0.25">
      <c r="G9799" t="s">
        <v>5025</v>
      </c>
      <c r="AF9799" t="s">
        <v>9938</v>
      </c>
      <c r="AY9799" t="s">
        <v>10083</v>
      </c>
      <c r="BT9799" t="s">
        <v>10084</v>
      </c>
    </row>
    <row r="9800" spans="1:72" x14ac:dyDescent="0.25">
      <c r="G9800" t="s">
        <v>8996</v>
      </c>
      <c r="W9800" t="s">
        <v>2427</v>
      </c>
      <c r="AF9800">
        <v>49</v>
      </c>
      <c r="AY9800">
        <v>51</v>
      </c>
      <c r="BT9800">
        <v>51</v>
      </c>
    </row>
    <row r="9801" spans="1:72" x14ac:dyDescent="0.25">
      <c r="G9801" t="s">
        <v>8996</v>
      </c>
      <c r="W9801" t="s">
        <v>2427</v>
      </c>
      <c r="AF9801">
        <v>50</v>
      </c>
      <c r="AY9801">
        <v>52</v>
      </c>
      <c r="BT9801">
        <v>53</v>
      </c>
    </row>
    <row r="9802" spans="1:72" x14ac:dyDescent="0.25">
      <c r="G9802" t="s">
        <v>2435</v>
      </c>
      <c r="W9802" t="s">
        <v>2436</v>
      </c>
      <c r="AF9802" t="s">
        <v>9835</v>
      </c>
      <c r="AY9802" t="s">
        <v>2437</v>
      </c>
      <c r="BT9802" t="s">
        <v>2437</v>
      </c>
    </row>
    <row r="9803" spans="1:72" x14ac:dyDescent="0.25">
      <c r="G9803" t="s">
        <v>9030</v>
      </c>
      <c r="W9803" t="s">
        <v>2436</v>
      </c>
      <c r="AF9803" t="s">
        <v>9028</v>
      </c>
      <c r="AY9803" t="s">
        <v>9028</v>
      </c>
      <c r="BT9803" t="s">
        <v>9028</v>
      </c>
    </row>
    <row r="9804" spans="1:72" x14ac:dyDescent="0.25">
      <c r="G9804" t="s">
        <v>9032</v>
      </c>
      <c r="W9804" t="s">
        <v>551</v>
      </c>
      <c r="AF9804">
        <v>5</v>
      </c>
      <c r="AY9804">
        <v>5</v>
      </c>
      <c r="BT9804">
        <v>5</v>
      </c>
    </row>
    <row r="9805" spans="1:72" x14ac:dyDescent="0.25">
      <c r="G9805" t="s">
        <v>9033</v>
      </c>
      <c r="W9805" t="s">
        <v>551</v>
      </c>
      <c r="AF9805">
        <v>75</v>
      </c>
      <c r="AY9805">
        <v>75</v>
      </c>
      <c r="BT9805">
        <v>75</v>
      </c>
    </row>
    <row r="9806" spans="1:72" x14ac:dyDescent="0.25">
      <c r="G9806" t="s">
        <v>9034</v>
      </c>
      <c r="W9806" t="s">
        <v>551</v>
      </c>
      <c r="AF9806">
        <v>30</v>
      </c>
      <c r="AY9806">
        <v>30</v>
      </c>
      <c r="BT9806">
        <v>30</v>
      </c>
    </row>
    <row r="9807" spans="1:72" x14ac:dyDescent="0.25">
      <c r="G9807" t="s">
        <v>9035</v>
      </c>
      <c r="AF9807" t="s">
        <v>9037</v>
      </c>
      <c r="AY9807" t="s">
        <v>9037</v>
      </c>
      <c r="BT9807" t="s">
        <v>9037</v>
      </c>
    </row>
    <row r="9808" spans="1:72" x14ac:dyDescent="0.25">
      <c r="G9808" t="s">
        <v>4983</v>
      </c>
      <c r="AF9808" t="s">
        <v>2440</v>
      </c>
      <c r="AY9808" t="s">
        <v>2440</v>
      </c>
      <c r="BT9808" t="s">
        <v>2440</v>
      </c>
    </row>
    <row r="9809" spans="1:77" x14ac:dyDescent="0.25">
      <c r="G9809" t="s">
        <v>9038</v>
      </c>
      <c r="W9809" t="s">
        <v>713</v>
      </c>
      <c r="AF9809">
        <v>2.6</v>
      </c>
      <c r="AY9809">
        <v>2.6</v>
      </c>
      <c r="BT9809">
        <v>2.6</v>
      </c>
    </row>
    <row r="9811" spans="1:77" x14ac:dyDescent="0.25">
      <c r="G9811" t="s">
        <v>4984</v>
      </c>
      <c r="W9811" t="s">
        <v>2433</v>
      </c>
      <c r="AF9811" t="s">
        <v>5071</v>
      </c>
      <c r="AY9811" t="s">
        <v>5071</v>
      </c>
      <c r="BT9811" t="s">
        <v>5071</v>
      </c>
    </row>
    <row r="9812" spans="1:77" x14ac:dyDescent="0.25">
      <c r="G9812" t="s">
        <v>9010</v>
      </c>
      <c r="W9812" t="s">
        <v>713</v>
      </c>
      <c r="AF9812">
        <v>95</v>
      </c>
      <c r="AY9812">
        <v>95</v>
      </c>
      <c r="BT9812">
        <v>95</v>
      </c>
    </row>
    <row r="9813" spans="1:77" x14ac:dyDescent="0.25">
      <c r="G9813" t="s">
        <v>1001</v>
      </c>
      <c r="W9813" t="s">
        <v>4986</v>
      </c>
      <c r="AF9813" t="s">
        <v>9942</v>
      </c>
      <c r="AY9813" t="s">
        <v>10085</v>
      </c>
      <c r="BT9813" t="s">
        <v>5109</v>
      </c>
    </row>
    <row r="9815" spans="1:77" x14ac:dyDescent="0.25">
      <c r="G9815" t="s">
        <v>3768</v>
      </c>
      <c r="W9815" t="s">
        <v>9049</v>
      </c>
      <c r="BY9815" t="s">
        <v>9051</v>
      </c>
    </row>
    <row r="9816" spans="1:77" x14ac:dyDescent="0.25">
      <c r="G9816" t="s">
        <v>10023</v>
      </c>
      <c r="W9816" t="s">
        <v>10024</v>
      </c>
      <c r="BY9816" t="s">
        <v>5150</v>
      </c>
    </row>
    <row r="9817" spans="1:77" x14ac:dyDescent="0.25">
      <c r="G9817" t="s">
        <v>10025</v>
      </c>
      <c r="W9817" t="s">
        <v>10026</v>
      </c>
      <c r="BY9817" t="s">
        <v>10027</v>
      </c>
    </row>
    <row r="9818" spans="1:77" x14ac:dyDescent="0.25">
      <c r="G9818" t="s">
        <v>9840</v>
      </c>
      <c r="W9818" t="s">
        <v>9841</v>
      </c>
      <c r="BY9818" t="s">
        <v>9842</v>
      </c>
    </row>
    <row r="9819" spans="1:77" x14ac:dyDescent="0.25">
      <c r="G9819" t="s">
        <v>10028</v>
      </c>
      <c r="W9819" t="s">
        <v>10029</v>
      </c>
      <c r="BY9819" t="s">
        <v>9512</v>
      </c>
    </row>
    <row r="9820" spans="1:77" x14ac:dyDescent="0.25">
      <c r="G9820" t="s">
        <v>10030</v>
      </c>
      <c r="W9820" t="s">
        <v>10031</v>
      </c>
      <c r="BY9820" t="s">
        <v>9059</v>
      </c>
    </row>
    <row r="9821" spans="1:77" x14ac:dyDescent="0.25">
      <c r="G9821" t="s">
        <v>10032</v>
      </c>
      <c r="W9821" t="s">
        <v>10033</v>
      </c>
      <c r="BY9821" t="s">
        <v>5150</v>
      </c>
    </row>
    <row r="9822" spans="1:77" x14ac:dyDescent="0.25">
      <c r="G9822" t="s">
        <v>10034</v>
      </c>
      <c r="W9822" t="s">
        <v>10035</v>
      </c>
      <c r="BY9822" t="s">
        <v>10036</v>
      </c>
    </row>
    <row r="9823" spans="1:77" x14ac:dyDescent="0.25">
      <c r="G9823" t="s">
        <v>9725</v>
      </c>
      <c r="W9823" t="s">
        <v>9726</v>
      </c>
      <c r="BY9823" t="s">
        <v>9727</v>
      </c>
    </row>
    <row r="9824" spans="1:77" x14ac:dyDescent="0.25">
      <c r="A9824" t="s">
        <v>9843</v>
      </c>
    </row>
    <row r="9825" spans="1:65" x14ac:dyDescent="0.25">
      <c r="A9825" t="s">
        <v>10086</v>
      </c>
    </row>
    <row r="9829" spans="1:65" x14ac:dyDescent="0.25">
      <c r="A9829" t="s">
        <v>10087</v>
      </c>
    </row>
    <row r="9831" spans="1:65" x14ac:dyDescent="0.25">
      <c r="A9831" t="s">
        <v>10088</v>
      </c>
    </row>
    <row r="9832" spans="1:65" x14ac:dyDescent="0.25">
      <c r="A9832" t="s">
        <v>8930</v>
      </c>
      <c r="Z9832" t="s">
        <v>10089</v>
      </c>
      <c r="AT9832" t="s">
        <v>10090</v>
      </c>
      <c r="BM9832" t="s">
        <v>10091</v>
      </c>
    </row>
    <row r="9833" spans="1:65" x14ac:dyDescent="0.25">
      <c r="A9833" t="s">
        <v>8937</v>
      </c>
      <c r="R9833" t="s">
        <v>2424</v>
      </c>
      <c r="Z9833">
        <v>2.5</v>
      </c>
      <c r="AT9833">
        <v>3.6</v>
      </c>
      <c r="BM9833">
        <v>5</v>
      </c>
    </row>
    <row r="9834" spans="1:65" x14ac:dyDescent="0.25">
      <c r="A9834" t="s">
        <v>8938</v>
      </c>
      <c r="R9834" t="s">
        <v>2424</v>
      </c>
      <c r="Z9834" t="s">
        <v>9852</v>
      </c>
      <c r="AT9834" t="s">
        <v>9853</v>
      </c>
      <c r="BM9834" t="s">
        <v>9798</v>
      </c>
    </row>
    <row r="9835" spans="1:65" x14ac:dyDescent="0.25">
      <c r="A9835" t="s">
        <v>8945</v>
      </c>
      <c r="R9835" t="s">
        <v>2424</v>
      </c>
      <c r="Z9835" t="s">
        <v>10092</v>
      </c>
      <c r="AT9835" t="s">
        <v>10093</v>
      </c>
      <c r="BM9835" t="s">
        <v>10094</v>
      </c>
    </row>
    <row r="9836" spans="1:65" x14ac:dyDescent="0.25">
      <c r="A9836" t="s">
        <v>8953</v>
      </c>
      <c r="R9836" t="s">
        <v>4905</v>
      </c>
      <c r="Z9836">
        <v>4.24</v>
      </c>
      <c r="AT9836">
        <v>4</v>
      </c>
      <c r="BM9836">
        <v>3.05</v>
      </c>
    </row>
    <row r="9837" spans="1:65" x14ac:dyDescent="0.25">
      <c r="A9837" t="s">
        <v>8955</v>
      </c>
      <c r="Z9837">
        <v>6.86</v>
      </c>
      <c r="AT9837">
        <v>6.7</v>
      </c>
      <c r="BM9837">
        <v>6.19</v>
      </c>
    </row>
    <row r="9838" spans="1:65" x14ac:dyDescent="0.25">
      <c r="A9838" t="s">
        <v>4977</v>
      </c>
      <c r="Z9838" t="s">
        <v>2880</v>
      </c>
      <c r="AT9838" t="s">
        <v>2880</v>
      </c>
      <c r="BM9838" t="s">
        <v>2880</v>
      </c>
    </row>
    <row r="9839" spans="1:65" x14ac:dyDescent="0.25">
      <c r="A9839" t="s">
        <v>4979</v>
      </c>
      <c r="R9839" t="s">
        <v>4918</v>
      </c>
      <c r="Z9839" t="s">
        <v>9806</v>
      </c>
      <c r="AT9839" t="s">
        <v>9806</v>
      </c>
      <c r="BM9839" t="s">
        <v>9806</v>
      </c>
    </row>
    <row r="9840" spans="1:65" x14ac:dyDescent="0.25">
      <c r="A9840" t="s">
        <v>8957</v>
      </c>
      <c r="R9840" t="s">
        <v>2424</v>
      </c>
      <c r="Z9840">
        <v>3.4</v>
      </c>
      <c r="AT9840">
        <v>4</v>
      </c>
      <c r="BM9840">
        <v>5.3</v>
      </c>
    </row>
    <row r="9841" spans="1:88" x14ac:dyDescent="0.25">
      <c r="A9841" t="s">
        <v>8958</v>
      </c>
      <c r="R9841" t="s">
        <v>2424</v>
      </c>
      <c r="Z9841" t="s">
        <v>9863</v>
      </c>
      <c r="AT9841" t="s">
        <v>9864</v>
      </c>
      <c r="BM9841" t="s">
        <v>9807</v>
      </c>
    </row>
    <row r="9842" spans="1:88" x14ac:dyDescent="0.25">
      <c r="A9842" t="s">
        <v>8945</v>
      </c>
      <c r="R9842" t="s">
        <v>2424</v>
      </c>
      <c r="Z9842" t="s">
        <v>10095</v>
      </c>
      <c r="AT9842" t="s">
        <v>10096</v>
      </c>
      <c r="BM9842" t="s">
        <v>10097</v>
      </c>
    </row>
    <row r="9843" spans="1:88" x14ac:dyDescent="0.25">
      <c r="A9843" t="s">
        <v>8971</v>
      </c>
      <c r="R9843" t="s">
        <v>4905</v>
      </c>
      <c r="Z9843">
        <v>4.47</v>
      </c>
      <c r="AT9843">
        <v>4.21</v>
      </c>
      <c r="BM9843">
        <v>3.61</v>
      </c>
    </row>
    <row r="9844" spans="1:88" x14ac:dyDescent="0.25">
      <c r="A9844" t="s">
        <v>8973</v>
      </c>
      <c r="Z9844">
        <v>4.7300000000000004</v>
      </c>
      <c r="AT9844">
        <v>4.46</v>
      </c>
      <c r="BM9844">
        <v>4.4000000000000004</v>
      </c>
    </row>
    <row r="9845" spans="1:88" x14ac:dyDescent="0.25">
      <c r="A9845" t="s">
        <v>4977</v>
      </c>
      <c r="Z9845" t="s">
        <v>2880</v>
      </c>
      <c r="AT9845" t="s">
        <v>9104</v>
      </c>
      <c r="BM9845" t="s">
        <v>9104</v>
      </c>
    </row>
    <row r="9846" spans="1:88" x14ac:dyDescent="0.25">
      <c r="CJ9846" t="s">
        <v>9773</v>
      </c>
    </row>
    <row r="9847" spans="1:88" x14ac:dyDescent="0.25">
      <c r="A9847" t="s">
        <v>4979</v>
      </c>
      <c r="R9847" t="s">
        <v>4918</v>
      </c>
      <c r="Z9847" t="s">
        <v>9813</v>
      </c>
      <c r="AT9847" t="s">
        <v>9813</v>
      </c>
      <c r="BM9847" t="s">
        <v>9813</v>
      </c>
    </row>
    <row r="9848" spans="1:88" x14ac:dyDescent="0.25">
      <c r="A9848" t="s">
        <v>8975</v>
      </c>
      <c r="R9848" t="s">
        <v>2442</v>
      </c>
      <c r="Z9848" t="s">
        <v>2443</v>
      </c>
      <c r="AT9848" t="s">
        <v>2443</v>
      </c>
      <c r="BM9848" t="s">
        <v>2443</v>
      </c>
    </row>
    <row r="9849" spans="1:88" x14ac:dyDescent="0.25">
      <c r="A9849" t="s">
        <v>4982</v>
      </c>
      <c r="R9849" t="s">
        <v>4911</v>
      </c>
      <c r="Z9849">
        <v>10</v>
      </c>
      <c r="AT9849">
        <v>10</v>
      </c>
      <c r="BM9849">
        <v>16</v>
      </c>
    </row>
    <row r="9850" spans="1:88" x14ac:dyDescent="0.25">
      <c r="A9850" t="s">
        <v>10098</v>
      </c>
      <c r="R9850" t="s">
        <v>4986</v>
      </c>
      <c r="Z9850" t="s">
        <v>10099</v>
      </c>
      <c r="AT9850" t="s">
        <v>10100</v>
      </c>
      <c r="BM9850" t="s">
        <v>10101</v>
      </c>
    </row>
    <row r="9852" spans="1:88" x14ac:dyDescent="0.25">
      <c r="A9852" t="s">
        <v>4988</v>
      </c>
      <c r="Z9852" t="s">
        <v>10102</v>
      </c>
      <c r="AT9852" t="s">
        <v>10103</v>
      </c>
      <c r="BM9852" t="s">
        <v>10104</v>
      </c>
    </row>
    <row r="9853" spans="1:88" x14ac:dyDescent="0.25">
      <c r="A9853" t="s">
        <v>7870</v>
      </c>
      <c r="R9853" t="s">
        <v>2431</v>
      </c>
      <c r="Z9853" t="s">
        <v>10105</v>
      </c>
      <c r="AT9853" t="s">
        <v>10106</v>
      </c>
      <c r="BM9853" t="s">
        <v>10107</v>
      </c>
    </row>
    <row r="9854" spans="1:88" x14ac:dyDescent="0.25">
      <c r="A9854" t="s">
        <v>8996</v>
      </c>
      <c r="R9854" t="s">
        <v>2427</v>
      </c>
      <c r="Z9854" t="s">
        <v>10108</v>
      </c>
      <c r="AT9854" t="s">
        <v>10109</v>
      </c>
      <c r="BM9854" t="s">
        <v>10110</v>
      </c>
    </row>
    <row r="9855" spans="1:88" x14ac:dyDescent="0.25">
      <c r="A9855" t="s">
        <v>8996</v>
      </c>
      <c r="R9855" t="s">
        <v>2427</v>
      </c>
      <c r="Z9855" t="s">
        <v>10108</v>
      </c>
      <c r="AT9855" t="s">
        <v>10109</v>
      </c>
      <c r="BM9855" t="s">
        <v>10110</v>
      </c>
    </row>
    <row r="9856" spans="1:88" x14ac:dyDescent="0.25">
      <c r="A9856" t="s">
        <v>4984</v>
      </c>
      <c r="R9856" t="s">
        <v>2433</v>
      </c>
      <c r="Z9856" t="s">
        <v>9503</v>
      </c>
      <c r="AT9856" t="s">
        <v>9503</v>
      </c>
      <c r="BM9856" t="s">
        <v>9503</v>
      </c>
    </row>
    <row r="9857" spans="1:65" x14ac:dyDescent="0.25">
      <c r="A9857" t="s">
        <v>9010</v>
      </c>
      <c r="R9857" t="s">
        <v>713</v>
      </c>
      <c r="Z9857">
        <v>15</v>
      </c>
      <c r="AT9857">
        <v>15</v>
      </c>
      <c r="BM9857">
        <v>15</v>
      </c>
    </row>
    <row r="9858" spans="1:65" x14ac:dyDescent="0.25">
      <c r="A9858" t="s">
        <v>1001</v>
      </c>
      <c r="R9858" t="s">
        <v>4986</v>
      </c>
      <c r="Z9858" t="s">
        <v>10111</v>
      </c>
      <c r="AT9858" t="s">
        <v>10112</v>
      </c>
      <c r="BM9858" t="s">
        <v>9108</v>
      </c>
    </row>
    <row r="9860" spans="1:65" x14ac:dyDescent="0.25">
      <c r="A9860" t="s">
        <v>5025</v>
      </c>
      <c r="Z9860" t="s">
        <v>9895</v>
      </c>
      <c r="AT9860" t="s">
        <v>9896</v>
      </c>
      <c r="BM9860" t="s">
        <v>9897</v>
      </c>
    </row>
    <row r="9861" spans="1:65" x14ac:dyDescent="0.25">
      <c r="A9861" t="s">
        <v>8996</v>
      </c>
      <c r="R9861" t="s">
        <v>2427</v>
      </c>
      <c r="Z9861">
        <v>46</v>
      </c>
      <c r="AT9861">
        <v>49</v>
      </c>
      <c r="BM9861">
        <v>46</v>
      </c>
    </row>
    <row r="9863" spans="1:65" x14ac:dyDescent="0.25">
      <c r="A9863" t="s">
        <v>8996</v>
      </c>
      <c r="R9863" t="s">
        <v>2427</v>
      </c>
      <c r="Z9863">
        <v>47</v>
      </c>
      <c r="AT9863">
        <v>50</v>
      </c>
      <c r="BM9863">
        <v>48</v>
      </c>
    </row>
    <row r="9864" spans="1:65" x14ac:dyDescent="0.25">
      <c r="A9864" t="s">
        <v>2435</v>
      </c>
      <c r="R9864" t="s">
        <v>2436</v>
      </c>
      <c r="Z9864" t="s">
        <v>9028</v>
      </c>
      <c r="AT9864" t="s">
        <v>9029</v>
      </c>
      <c r="BM9864" t="s">
        <v>9029</v>
      </c>
    </row>
    <row r="9865" spans="1:65" x14ac:dyDescent="0.25">
      <c r="A9865" t="s">
        <v>9030</v>
      </c>
      <c r="R9865" t="s">
        <v>2436</v>
      </c>
      <c r="Z9865" t="s">
        <v>9836</v>
      </c>
      <c r="AT9865" t="s">
        <v>9836</v>
      </c>
      <c r="BM9865" t="s">
        <v>9836</v>
      </c>
    </row>
    <row r="9866" spans="1:65" x14ac:dyDescent="0.25">
      <c r="A9866" t="s">
        <v>9032</v>
      </c>
      <c r="R9866" t="s">
        <v>551</v>
      </c>
      <c r="Z9866">
        <v>2</v>
      </c>
      <c r="AT9866">
        <v>2</v>
      </c>
      <c r="BM9866">
        <v>5</v>
      </c>
    </row>
    <row r="9867" spans="1:65" x14ac:dyDescent="0.25">
      <c r="A9867" t="s">
        <v>9033</v>
      </c>
      <c r="R9867" t="s">
        <v>551</v>
      </c>
      <c r="Z9867">
        <v>20</v>
      </c>
      <c r="AT9867">
        <v>20</v>
      </c>
      <c r="BM9867">
        <v>30</v>
      </c>
    </row>
    <row r="9868" spans="1:65" x14ac:dyDescent="0.25">
      <c r="A9868" t="s">
        <v>9034</v>
      </c>
      <c r="R9868" t="s">
        <v>551</v>
      </c>
      <c r="Z9868">
        <v>10</v>
      </c>
      <c r="AT9868">
        <v>10</v>
      </c>
      <c r="BM9868">
        <v>30</v>
      </c>
    </row>
    <row r="9869" spans="1:65" x14ac:dyDescent="0.25">
      <c r="A9869" t="s">
        <v>9035</v>
      </c>
      <c r="Z9869" t="s">
        <v>9037</v>
      </c>
      <c r="AT9869" t="s">
        <v>9037</v>
      </c>
      <c r="BM9869" t="s">
        <v>9037</v>
      </c>
    </row>
    <row r="9870" spans="1:65" x14ac:dyDescent="0.25">
      <c r="A9870" t="s">
        <v>4983</v>
      </c>
      <c r="Z9870" t="s">
        <v>2440</v>
      </c>
      <c r="AT9870" t="s">
        <v>2440</v>
      </c>
      <c r="BM9870" t="s">
        <v>2440</v>
      </c>
    </row>
    <row r="9871" spans="1:65" x14ac:dyDescent="0.25">
      <c r="A9871" t="s">
        <v>9038</v>
      </c>
      <c r="R9871" t="s">
        <v>713</v>
      </c>
      <c r="Z9871">
        <v>0.6</v>
      </c>
      <c r="AT9871">
        <v>0.9</v>
      </c>
      <c r="BM9871">
        <v>0.9</v>
      </c>
    </row>
    <row r="9872" spans="1:65" x14ac:dyDescent="0.25">
      <c r="A9872" t="s">
        <v>4984</v>
      </c>
      <c r="R9872" t="s">
        <v>2433</v>
      </c>
      <c r="Z9872" t="s">
        <v>9041</v>
      </c>
      <c r="AT9872" t="s">
        <v>9041</v>
      </c>
      <c r="BM9872" t="s">
        <v>9041</v>
      </c>
    </row>
    <row r="9873" spans="1:65" x14ac:dyDescent="0.25">
      <c r="A9873" t="s">
        <v>9010</v>
      </c>
      <c r="R9873" t="s">
        <v>713</v>
      </c>
      <c r="Z9873">
        <v>29</v>
      </c>
      <c r="AT9873">
        <v>34</v>
      </c>
      <c r="BM9873">
        <v>40</v>
      </c>
    </row>
    <row r="9874" spans="1:65" x14ac:dyDescent="0.25">
      <c r="A9874" t="s">
        <v>1001</v>
      </c>
      <c r="R9874" t="s">
        <v>4986</v>
      </c>
      <c r="Z9874" t="s">
        <v>9435</v>
      </c>
      <c r="AT9874" t="s">
        <v>9135</v>
      </c>
      <c r="BM9874" t="s">
        <v>8982</v>
      </c>
    </row>
    <row r="9876" spans="1:65" x14ac:dyDescent="0.25">
      <c r="A9876" t="s">
        <v>3768</v>
      </c>
      <c r="R9876" t="s">
        <v>9049</v>
      </c>
      <c r="BH9876" t="s">
        <v>9051</v>
      </c>
    </row>
    <row r="9877" spans="1:65" x14ac:dyDescent="0.25">
      <c r="A9877" t="s">
        <v>9510</v>
      </c>
      <c r="R9877" t="s">
        <v>9511</v>
      </c>
      <c r="BH9877" t="s">
        <v>9512</v>
      </c>
    </row>
    <row r="9878" spans="1:65" x14ac:dyDescent="0.25">
      <c r="A9878" t="s">
        <v>10023</v>
      </c>
      <c r="R9878" t="s">
        <v>10024</v>
      </c>
      <c r="BH9878" t="s">
        <v>5150</v>
      </c>
    </row>
    <row r="9879" spans="1:65" x14ac:dyDescent="0.25">
      <c r="A9879" t="s">
        <v>9513</v>
      </c>
      <c r="R9879" t="s">
        <v>9514</v>
      </c>
      <c r="BH9879" t="s">
        <v>9515</v>
      </c>
    </row>
    <row r="9880" spans="1:65" x14ac:dyDescent="0.25">
      <c r="A9880" t="s">
        <v>9720</v>
      </c>
      <c r="R9880" t="s">
        <v>9721</v>
      </c>
      <c r="BH9880" t="s">
        <v>9722</v>
      </c>
    </row>
    <row r="9881" spans="1:65" x14ac:dyDescent="0.25">
      <c r="A9881" t="s">
        <v>9725</v>
      </c>
      <c r="R9881" t="s">
        <v>9726</v>
      </c>
      <c r="BH9881" t="s">
        <v>9727</v>
      </c>
    </row>
    <row r="9882" spans="1:65" x14ac:dyDescent="0.25">
      <c r="A9882" t="s">
        <v>9843</v>
      </c>
    </row>
    <row r="9883" spans="1:65" x14ac:dyDescent="0.25">
      <c r="A9883" t="s">
        <v>10113</v>
      </c>
    </row>
    <row r="9885" spans="1:65" x14ac:dyDescent="0.25">
      <c r="A9885" t="s">
        <v>10114</v>
      </c>
    </row>
    <row r="9887" spans="1:65" x14ac:dyDescent="0.25">
      <c r="A9887" t="s">
        <v>10115</v>
      </c>
    </row>
    <row r="9888" spans="1:65" x14ac:dyDescent="0.25">
      <c r="G9888" t="s">
        <v>10116</v>
      </c>
    </row>
    <row r="9889" spans="1:32" x14ac:dyDescent="0.25">
      <c r="G9889" t="s">
        <v>8937</v>
      </c>
      <c r="W9889" t="s">
        <v>2424</v>
      </c>
      <c r="AF9889">
        <v>5</v>
      </c>
    </row>
    <row r="9890" spans="1:32" x14ac:dyDescent="0.25">
      <c r="G9890" t="s">
        <v>8938</v>
      </c>
      <c r="W9890" t="s">
        <v>2424</v>
      </c>
      <c r="AF9890" t="s">
        <v>9408</v>
      </c>
    </row>
    <row r="9891" spans="1:32" x14ac:dyDescent="0.25">
      <c r="G9891" t="s">
        <v>8945</v>
      </c>
      <c r="W9891" t="s">
        <v>2424</v>
      </c>
      <c r="AF9891" t="s">
        <v>10117</v>
      </c>
    </row>
    <row r="9892" spans="1:32" x14ac:dyDescent="0.25">
      <c r="G9892" t="s">
        <v>8953</v>
      </c>
      <c r="W9892" t="s">
        <v>4905</v>
      </c>
      <c r="AF9892">
        <v>3.21</v>
      </c>
    </row>
    <row r="9893" spans="1:32" x14ac:dyDescent="0.25">
      <c r="G9893" t="s">
        <v>8955</v>
      </c>
      <c r="AF9893">
        <v>6.27</v>
      </c>
    </row>
    <row r="9894" spans="1:32" x14ac:dyDescent="0.25">
      <c r="G9894" t="s">
        <v>4977</v>
      </c>
      <c r="AF9894" t="s">
        <v>2880</v>
      </c>
    </row>
    <row r="9895" spans="1:32" x14ac:dyDescent="0.25">
      <c r="G9895" t="s">
        <v>4979</v>
      </c>
      <c r="W9895" t="s">
        <v>4918</v>
      </c>
      <c r="AF9895" t="s">
        <v>9921</v>
      </c>
    </row>
    <row r="9896" spans="1:32" x14ac:dyDescent="0.25">
      <c r="G9896" t="s">
        <v>8957</v>
      </c>
      <c r="W9896" t="s">
        <v>2424</v>
      </c>
      <c r="AF9896">
        <v>5.6</v>
      </c>
    </row>
    <row r="9897" spans="1:32" x14ac:dyDescent="0.25">
      <c r="G9897" t="s">
        <v>8958</v>
      </c>
      <c r="W9897" t="s">
        <v>2424</v>
      </c>
      <c r="AF9897" t="s">
        <v>10118</v>
      </c>
    </row>
    <row r="9898" spans="1:32" x14ac:dyDescent="0.25">
      <c r="G9898" t="s">
        <v>8945</v>
      </c>
      <c r="W9898" t="s">
        <v>2424</v>
      </c>
      <c r="AF9898" t="s">
        <v>10119</v>
      </c>
    </row>
    <row r="9899" spans="1:32" x14ac:dyDescent="0.25">
      <c r="G9899" t="s">
        <v>8971</v>
      </c>
      <c r="W9899" t="s">
        <v>4905</v>
      </c>
      <c r="AF9899">
        <v>3.5</v>
      </c>
    </row>
    <row r="9900" spans="1:32" x14ac:dyDescent="0.25">
      <c r="G9900" t="s">
        <v>8973</v>
      </c>
      <c r="AF9900">
        <v>4.32</v>
      </c>
    </row>
    <row r="9901" spans="1:32" x14ac:dyDescent="0.25">
      <c r="A9901" t="s">
        <v>9773</v>
      </c>
    </row>
    <row r="9902" spans="1:32" x14ac:dyDescent="0.25">
      <c r="G9902" t="s">
        <v>4977</v>
      </c>
      <c r="AF9902" t="s">
        <v>9104</v>
      </c>
    </row>
    <row r="9903" spans="1:32" x14ac:dyDescent="0.25">
      <c r="G9903" t="s">
        <v>9920</v>
      </c>
      <c r="W9903" t="s">
        <v>4918</v>
      </c>
      <c r="AF9903" t="s">
        <v>9930</v>
      </c>
    </row>
    <row r="9904" spans="1:32" x14ac:dyDescent="0.25">
      <c r="G9904" t="s">
        <v>8975</v>
      </c>
      <c r="W9904" t="s">
        <v>2442</v>
      </c>
      <c r="AF9904" t="s">
        <v>2443</v>
      </c>
    </row>
    <row r="9905" spans="7:32" x14ac:dyDescent="0.25">
      <c r="G9905" t="s">
        <v>4982</v>
      </c>
      <c r="W9905" t="s">
        <v>4911</v>
      </c>
      <c r="AF9905">
        <v>16</v>
      </c>
    </row>
    <row r="9906" spans="7:32" x14ac:dyDescent="0.25">
      <c r="G9906" t="s">
        <v>10120</v>
      </c>
      <c r="W9906" t="s">
        <v>4986</v>
      </c>
      <c r="AF9906" t="s">
        <v>10121</v>
      </c>
    </row>
    <row r="9908" spans="7:32" x14ac:dyDescent="0.25">
      <c r="G9908" t="s">
        <v>10122</v>
      </c>
    </row>
    <row r="9909" spans="7:32" x14ac:dyDescent="0.25">
      <c r="G9909" t="s">
        <v>7870</v>
      </c>
      <c r="W9909" t="s">
        <v>2431</v>
      </c>
      <c r="AF9909" t="s">
        <v>10107</v>
      </c>
    </row>
    <row r="9910" spans="7:32" x14ac:dyDescent="0.25">
      <c r="G9910" t="s">
        <v>8996</v>
      </c>
      <c r="W9910" t="s">
        <v>2427</v>
      </c>
      <c r="AF9910" t="s">
        <v>10123</v>
      </c>
    </row>
    <row r="9911" spans="7:32" x14ac:dyDescent="0.25">
      <c r="G9911" t="s">
        <v>8996</v>
      </c>
      <c r="W9911" t="s">
        <v>2427</v>
      </c>
      <c r="AF9911" t="s">
        <v>10123</v>
      </c>
    </row>
    <row r="9912" spans="7:32" x14ac:dyDescent="0.25">
      <c r="G9912" t="s">
        <v>4984</v>
      </c>
      <c r="W9912" t="s">
        <v>2433</v>
      </c>
      <c r="AF9912" t="s">
        <v>9503</v>
      </c>
    </row>
    <row r="9913" spans="7:32" x14ac:dyDescent="0.25">
      <c r="G9913" t="s">
        <v>9010</v>
      </c>
      <c r="W9913" t="s">
        <v>713</v>
      </c>
      <c r="AF9913">
        <v>15</v>
      </c>
    </row>
    <row r="9914" spans="7:32" x14ac:dyDescent="0.25">
      <c r="G9914" t="s">
        <v>9504</v>
      </c>
      <c r="W9914" t="s">
        <v>2433</v>
      </c>
      <c r="AF9914" t="s">
        <v>10124</v>
      </c>
    </row>
    <row r="9915" spans="7:32" x14ac:dyDescent="0.25">
      <c r="G9915" t="s">
        <v>9506</v>
      </c>
      <c r="W9915" t="s">
        <v>713</v>
      </c>
      <c r="AF9915">
        <v>2.5</v>
      </c>
    </row>
    <row r="9916" spans="7:32" x14ac:dyDescent="0.25">
      <c r="G9916" t="s">
        <v>1001</v>
      </c>
      <c r="W9916" t="s">
        <v>4986</v>
      </c>
      <c r="AF9916" t="s">
        <v>9108</v>
      </c>
    </row>
    <row r="9919" spans="7:32" x14ac:dyDescent="0.25">
      <c r="G9919" t="s">
        <v>10125</v>
      </c>
    </row>
    <row r="9920" spans="7:32" x14ac:dyDescent="0.25">
      <c r="G9920" t="s">
        <v>8996</v>
      </c>
      <c r="W9920" t="s">
        <v>2427</v>
      </c>
      <c r="AF9920">
        <v>46</v>
      </c>
    </row>
    <row r="9921" spans="7:65" x14ac:dyDescent="0.25">
      <c r="G9921" t="s">
        <v>8996</v>
      </c>
      <c r="W9921" t="s">
        <v>2427</v>
      </c>
      <c r="AF9921">
        <v>48</v>
      </c>
    </row>
    <row r="9922" spans="7:65" x14ac:dyDescent="0.25">
      <c r="G9922" t="s">
        <v>2435</v>
      </c>
      <c r="W9922" t="s">
        <v>2436</v>
      </c>
      <c r="AF9922" t="s">
        <v>9029</v>
      </c>
    </row>
    <row r="9923" spans="7:65" x14ac:dyDescent="0.25">
      <c r="G9923" t="s">
        <v>9030</v>
      </c>
      <c r="W9923" t="s">
        <v>2436</v>
      </c>
      <c r="AF9923" t="s">
        <v>9836</v>
      </c>
    </row>
    <row r="9924" spans="7:65" x14ac:dyDescent="0.25">
      <c r="G9924" t="s">
        <v>9032</v>
      </c>
      <c r="W9924" t="s">
        <v>551</v>
      </c>
      <c r="AF9924">
        <v>5</v>
      </c>
    </row>
    <row r="9925" spans="7:65" x14ac:dyDescent="0.25">
      <c r="G9925" t="s">
        <v>9033</v>
      </c>
      <c r="W9925" t="s">
        <v>551</v>
      </c>
      <c r="AF9925">
        <v>50</v>
      </c>
    </row>
    <row r="9926" spans="7:65" x14ac:dyDescent="0.25">
      <c r="G9926" t="s">
        <v>9034</v>
      </c>
      <c r="W9926" t="s">
        <v>551</v>
      </c>
      <c r="AF9926">
        <v>30</v>
      </c>
    </row>
    <row r="9927" spans="7:65" x14ac:dyDescent="0.25">
      <c r="G9927" t="s">
        <v>9035</v>
      </c>
      <c r="AF9927" t="s">
        <v>9037</v>
      </c>
    </row>
    <row r="9928" spans="7:65" x14ac:dyDescent="0.25">
      <c r="G9928" t="s">
        <v>4983</v>
      </c>
      <c r="AF9928" t="s">
        <v>2440</v>
      </c>
    </row>
    <row r="9929" spans="7:65" x14ac:dyDescent="0.25">
      <c r="G9929" t="s">
        <v>9213</v>
      </c>
      <c r="W9929" t="s">
        <v>713</v>
      </c>
      <c r="AF9929">
        <v>1.35</v>
      </c>
    </row>
    <row r="9930" spans="7:65" x14ac:dyDescent="0.25">
      <c r="G9930" t="s">
        <v>4984</v>
      </c>
      <c r="W9930" t="s">
        <v>2433</v>
      </c>
      <c r="AF9930" t="s">
        <v>9902</v>
      </c>
    </row>
    <row r="9931" spans="7:65" x14ac:dyDescent="0.25">
      <c r="G9931" t="s">
        <v>9010</v>
      </c>
      <c r="W9931" t="s">
        <v>713</v>
      </c>
      <c r="AF9931">
        <v>45</v>
      </c>
    </row>
    <row r="9932" spans="7:65" x14ac:dyDescent="0.25">
      <c r="G9932" t="s">
        <v>1001</v>
      </c>
      <c r="W9932" t="s">
        <v>4986</v>
      </c>
      <c r="AF9932" t="s">
        <v>9322</v>
      </c>
    </row>
    <row r="9934" spans="7:65" x14ac:dyDescent="0.25">
      <c r="G9934" t="s">
        <v>3768</v>
      </c>
      <c r="W9934" t="s">
        <v>9049</v>
      </c>
      <c r="BM9934" t="s">
        <v>9051</v>
      </c>
    </row>
    <row r="9935" spans="7:65" x14ac:dyDescent="0.25">
      <c r="G9935" t="s">
        <v>9510</v>
      </c>
      <c r="W9935" t="s">
        <v>9511</v>
      </c>
      <c r="BM9935" t="s">
        <v>9512</v>
      </c>
    </row>
    <row r="9936" spans="7:65" x14ac:dyDescent="0.25">
      <c r="G9936" t="s">
        <v>10023</v>
      </c>
      <c r="W9936" t="s">
        <v>10024</v>
      </c>
      <c r="BM9936" t="s">
        <v>5150</v>
      </c>
    </row>
    <row r="9937" spans="1:67" x14ac:dyDescent="0.25">
      <c r="G9937" t="s">
        <v>9513</v>
      </c>
      <c r="W9937" t="s">
        <v>9514</v>
      </c>
      <c r="BM9937" t="s">
        <v>9515</v>
      </c>
    </row>
    <row r="9938" spans="1:67" x14ac:dyDescent="0.25">
      <c r="G9938" t="s">
        <v>9720</v>
      </c>
      <c r="W9938" t="s">
        <v>9721</v>
      </c>
      <c r="BM9938" t="s">
        <v>9722</v>
      </c>
    </row>
    <row r="9939" spans="1:67" x14ac:dyDescent="0.25">
      <c r="G9939" t="s">
        <v>9725</v>
      </c>
      <c r="W9939" t="s">
        <v>9726</v>
      </c>
      <c r="BM9939" t="s">
        <v>9727</v>
      </c>
    </row>
    <row r="9940" spans="1:67" x14ac:dyDescent="0.25">
      <c r="A9940" t="s">
        <v>9843</v>
      </c>
    </row>
    <row r="9941" spans="1:67" x14ac:dyDescent="0.25">
      <c r="A9941" t="s">
        <v>10126</v>
      </c>
    </row>
    <row r="9944" spans="1:67" x14ac:dyDescent="0.25">
      <c r="A9944" t="s">
        <v>10127</v>
      </c>
    </row>
    <row r="9946" spans="1:67" x14ac:dyDescent="0.25">
      <c r="A9946" t="s">
        <v>10128</v>
      </c>
    </row>
    <row r="9947" spans="1:67" x14ac:dyDescent="0.25">
      <c r="A9947" t="s">
        <v>8930</v>
      </c>
      <c r="Y9947" t="s">
        <v>10129</v>
      </c>
      <c r="AM9947" t="s">
        <v>10130</v>
      </c>
      <c r="BA9947" t="s">
        <v>10131</v>
      </c>
      <c r="BO9947" t="s">
        <v>10132</v>
      </c>
    </row>
    <row r="9948" spans="1:67" x14ac:dyDescent="0.25">
      <c r="A9948" t="s">
        <v>8937</v>
      </c>
      <c r="R9948" t="s">
        <v>2424</v>
      </c>
      <c r="Y9948">
        <v>5</v>
      </c>
      <c r="AM9948">
        <v>7.1</v>
      </c>
      <c r="BA9948">
        <v>10</v>
      </c>
      <c r="BO9948">
        <v>12.5</v>
      </c>
    </row>
    <row r="9949" spans="1:67" x14ac:dyDescent="0.25">
      <c r="A9949" t="s">
        <v>8938</v>
      </c>
      <c r="R9949" t="s">
        <v>2424</v>
      </c>
      <c r="Y9949" t="s">
        <v>9408</v>
      </c>
      <c r="AM9949" t="s">
        <v>9854</v>
      </c>
      <c r="BA9949" t="s">
        <v>9914</v>
      </c>
      <c r="BO9949" t="s">
        <v>10043</v>
      </c>
    </row>
    <row r="9950" spans="1:67" x14ac:dyDescent="0.25">
      <c r="A9950" t="s">
        <v>8945</v>
      </c>
      <c r="R9950" t="s">
        <v>2424</v>
      </c>
      <c r="Y9950" t="s">
        <v>10133</v>
      </c>
      <c r="AM9950" t="s">
        <v>10134</v>
      </c>
      <c r="BA9950" t="s">
        <v>10135</v>
      </c>
      <c r="BO9950" t="s">
        <v>10136</v>
      </c>
    </row>
    <row r="9951" spans="1:67" x14ac:dyDescent="0.25">
      <c r="A9951" t="s">
        <v>8953</v>
      </c>
      <c r="R9951" t="s">
        <v>4905</v>
      </c>
      <c r="Y9951">
        <v>4.17</v>
      </c>
      <c r="AM9951">
        <v>5.18</v>
      </c>
      <c r="BA9951">
        <v>5.26</v>
      </c>
      <c r="BO9951">
        <v>4.3</v>
      </c>
    </row>
    <row r="9952" spans="1:67" x14ac:dyDescent="0.25">
      <c r="A9952" t="s">
        <v>8955</v>
      </c>
      <c r="Y9952">
        <v>8.17</v>
      </c>
      <c r="AM9952">
        <v>9.7200000000000006</v>
      </c>
      <c r="BA9952">
        <v>9.25</v>
      </c>
      <c r="BO9952">
        <v>8.8699999999999992</v>
      </c>
    </row>
    <row r="9953" spans="1:88" x14ac:dyDescent="0.25">
      <c r="A9953" t="s">
        <v>4977</v>
      </c>
      <c r="Y9953" t="s">
        <v>2880</v>
      </c>
      <c r="AM9953" t="s">
        <v>2879</v>
      </c>
      <c r="BA9953" t="s">
        <v>2324</v>
      </c>
      <c r="BO9953" t="s">
        <v>9963</v>
      </c>
    </row>
    <row r="9954" spans="1:88" x14ac:dyDescent="0.25">
      <c r="A9954" t="s">
        <v>4979</v>
      </c>
      <c r="R9954" t="s">
        <v>4918</v>
      </c>
      <c r="Y9954" t="s">
        <v>9921</v>
      </c>
      <c r="AM9954" t="s">
        <v>9921</v>
      </c>
      <c r="BA9954" t="s">
        <v>9921</v>
      </c>
      <c r="BO9954" t="s">
        <v>9921</v>
      </c>
    </row>
    <row r="9955" spans="1:88" x14ac:dyDescent="0.25">
      <c r="A9955" t="s">
        <v>8957</v>
      </c>
      <c r="R9955" t="s">
        <v>2424</v>
      </c>
      <c r="Y9955">
        <v>5.6</v>
      </c>
      <c r="AM9955">
        <v>8</v>
      </c>
      <c r="BA9955">
        <v>11.2</v>
      </c>
      <c r="BO9955">
        <v>14</v>
      </c>
    </row>
    <row r="9956" spans="1:88" x14ac:dyDescent="0.25">
      <c r="A9956" t="s">
        <v>8958</v>
      </c>
      <c r="R9956" t="s">
        <v>2424</v>
      </c>
      <c r="Y9956" t="s">
        <v>10137</v>
      </c>
      <c r="AM9956" t="s">
        <v>9923</v>
      </c>
      <c r="BA9956" t="s">
        <v>9924</v>
      </c>
      <c r="BO9956" t="s">
        <v>10049</v>
      </c>
    </row>
    <row r="9957" spans="1:88" x14ac:dyDescent="0.25">
      <c r="A9957" t="s">
        <v>8945</v>
      </c>
      <c r="R9957" t="s">
        <v>2424</v>
      </c>
      <c r="Y9957" t="s">
        <v>10138</v>
      </c>
      <c r="AM9957" t="s">
        <v>10139</v>
      </c>
      <c r="BA9957" t="s">
        <v>10140</v>
      </c>
      <c r="BO9957" t="s">
        <v>10141</v>
      </c>
    </row>
    <row r="9958" spans="1:88" x14ac:dyDescent="0.25">
      <c r="A9958" t="s">
        <v>8971</v>
      </c>
      <c r="R9958" t="s">
        <v>4905</v>
      </c>
      <c r="Y9958">
        <v>4.34</v>
      </c>
      <c r="AM9958">
        <v>5.52</v>
      </c>
      <c r="BA9958">
        <v>5.14</v>
      </c>
      <c r="BO9958">
        <v>4.6100000000000003</v>
      </c>
    </row>
    <row r="9959" spans="1:88" x14ac:dyDescent="0.25">
      <c r="A9959" t="s">
        <v>8973</v>
      </c>
      <c r="Y9959">
        <v>5.0199999999999996</v>
      </c>
      <c r="AM9959">
        <v>5.54</v>
      </c>
      <c r="BA9959">
        <v>5.03</v>
      </c>
      <c r="BO9959">
        <v>5</v>
      </c>
    </row>
    <row r="9960" spans="1:88" x14ac:dyDescent="0.25">
      <c r="A9960" t="s">
        <v>4977</v>
      </c>
      <c r="Y9960" t="s">
        <v>2880</v>
      </c>
      <c r="AM9960" t="s">
        <v>2879</v>
      </c>
      <c r="BA9960" t="s">
        <v>2324</v>
      </c>
      <c r="BO9960" t="s">
        <v>9963</v>
      </c>
      <c r="CJ9960" t="s">
        <v>9773</v>
      </c>
    </row>
    <row r="9961" spans="1:88" x14ac:dyDescent="0.25">
      <c r="A9961" t="s">
        <v>9920</v>
      </c>
      <c r="R9961" t="s">
        <v>4918</v>
      </c>
      <c r="Y9961" t="s">
        <v>9930</v>
      </c>
      <c r="AM9961" t="s">
        <v>9931</v>
      </c>
      <c r="BA9961" t="s">
        <v>9930</v>
      </c>
      <c r="BO9961" t="s">
        <v>9930</v>
      </c>
    </row>
    <row r="9962" spans="1:88" x14ac:dyDescent="0.25">
      <c r="A9962" t="s">
        <v>8975</v>
      </c>
      <c r="R9962" t="s">
        <v>2442</v>
      </c>
      <c r="Y9962" t="s">
        <v>2443</v>
      </c>
      <c r="AM9962" t="s">
        <v>2443</v>
      </c>
      <c r="BA9962" t="s">
        <v>2443</v>
      </c>
      <c r="BO9962" t="s">
        <v>2443</v>
      </c>
    </row>
    <row r="9963" spans="1:88" x14ac:dyDescent="0.25">
      <c r="A9963" t="s">
        <v>4982</v>
      </c>
      <c r="R9963" t="s">
        <v>4911</v>
      </c>
      <c r="Y9963">
        <v>16</v>
      </c>
      <c r="AM9963">
        <v>20</v>
      </c>
      <c r="BA9963">
        <v>25</v>
      </c>
      <c r="BO9963">
        <v>25</v>
      </c>
    </row>
    <row r="9964" spans="1:88" x14ac:dyDescent="0.25">
      <c r="A9964" t="s">
        <v>10142</v>
      </c>
      <c r="R9964" t="s">
        <v>4986</v>
      </c>
      <c r="Y9964" t="s">
        <v>10143</v>
      </c>
      <c r="AM9964" t="s">
        <v>10144</v>
      </c>
      <c r="BA9964" t="s">
        <v>10145</v>
      </c>
      <c r="BO9964" t="s">
        <v>10146</v>
      </c>
    </row>
    <row r="9966" spans="1:88" x14ac:dyDescent="0.25">
      <c r="A9966" t="s">
        <v>4988</v>
      </c>
      <c r="Y9966" t="s">
        <v>10147</v>
      </c>
      <c r="AM9966" t="s">
        <v>10148</v>
      </c>
      <c r="BA9966" t="s">
        <v>10149</v>
      </c>
      <c r="BO9966" t="s">
        <v>10150</v>
      </c>
    </row>
    <row r="9967" spans="1:88" x14ac:dyDescent="0.25">
      <c r="A9967" t="s">
        <v>7870</v>
      </c>
      <c r="R9967" t="s">
        <v>2431</v>
      </c>
      <c r="Y9967" t="s">
        <v>10151</v>
      </c>
      <c r="AM9967" t="s">
        <v>10152</v>
      </c>
      <c r="BA9967" t="s">
        <v>10153</v>
      </c>
      <c r="BO9967" t="s">
        <v>10154</v>
      </c>
    </row>
    <row r="9968" spans="1:88" x14ac:dyDescent="0.25">
      <c r="A9968" t="s">
        <v>8996</v>
      </c>
      <c r="R9968" t="s">
        <v>2427</v>
      </c>
      <c r="Y9968" t="s">
        <v>10155</v>
      </c>
      <c r="AM9968" t="s">
        <v>10156</v>
      </c>
      <c r="BA9968" t="s">
        <v>10157</v>
      </c>
      <c r="BO9968" t="s">
        <v>10158</v>
      </c>
    </row>
    <row r="9969" spans="1:67" x14ac:dyDescent="0.25">
      <c r="A9969" t="s">
        <v>8996</v>
      </c>
      <c r="R9969" t="s">
        <v>2427</v>
      </c>
      <c r="Y9969" t="s">
        <v>10155</v>
      </c>
      <c r="AM9969" t="s">
        <v>10156</v>
      </c>
      <c r="BA9969" t="s">
        <v>10157</v>
      </c>
      <c r="BO9969" t="s">
        <v>10158</v>
      </c>
    </row>
    <row r="9970" spans="1:67" x14ac:dyDescent="0.25">
      <c r="A9970" t="s">
        <v>4984</v>
      </c>
      <c r="R9970" t="s">
        <v>2433</v>
      </c>
      <c r="Y9970" t="s">
        <v>10159</v>
      </c>
      <c r="AM9970" t="s">
        <v>10160</v>
      </c>
      <c r="BA9970" t="s">
        <v>10161</v>
      </c>
      <c r="BO9970" t="s">
        <v>10161</v>
      </c>
    </row>
    <row r="9971" spans="1:67" x14ac:dyDescent="0.25">
      <c r="A9971" t="s">
        <v>9010</v>
      </c>
      <c r="R9971" t="s">
        <v>713</v>
      </c>
      <c r="Y9971">
        <v>20</v>
      </c>
      <c r="AM9971">
        <v>25</v>
      </c>
      <c r="BA9971">
        <v>25</v>
      </c>
      <c r="BO9971">
        <v>25</v>
      </c>
    </row>
    <row r="9972" spans="1:67" x14ac:dyDescent="0.25">
      <c r="A9972" t="s">
        <v>9504</v>
      </c>
      <c r="R9972" t="s">
        <v>2433</v>
      </c>
      <c r="Y9972" t="s">
        <v>10162</v>
      </c>
      <c r="AM9972" t="s">
        <v>10162</v>
      </c>
      <c r="BA9972" t="s">
        <v>10162</v>
      </c>
      <c r="BO9972" t="s">
        <v>10162</v>
      </c>
    </row>
    <row r="9973" spans="1:67" x14ac:dyDescent="0.25">
      <c r="A9973" t="s">
        <v>9506</v>
      </c>
      <c r="R9973" t="s">
        <v>713</v>
      </c>
      <c r="Y9973">
        <v>5</v>
      </c>
      <c r="AM9973">
        <v>5</v>
      </c>
      <c r="BA9973">
        <v>5</v>
      </c>
      <c r="BO9973">
        <v>5</v>
      </c>
    </row>
    <row r="9974" spans="1:67" x14ac:dyDescent="0.25">
      <c r="A9974" t="s">
        <v>1001</v>
      </c>
      <c r="R9974" t="s">
        <v>4986</v>
      </c>
      <c r="Y9974" t="s">
        <v>9435</v>
      </c>
      <c r="AM9974" t="s">
        <v>10163</v>
      </c>
      <c r="BA9974" t="s">
        <v>10164</v>
      </c>
      <c r="BO9974" t="s">
        <v>10165</v>
      </c>
    </row>
    <row r="9977" spans="1:67" x14ac:dyDescent="0.25">
      <c r="A9977" t="s">
        <v>5025</v>
      </c>
      <c r="Y9977" t="s">
        <v>9935</v>
      </c>
      <c r="AM9977" t="s">
        <v>9936</v>
      </c>
      <c r="BA9977" t="s">
        <v>9937</v>
      </c>
      <c r="BO9977" t="s">
        <v>10060</v>
      </c>
    </row>
    <row r="9978" spans="1:67" x14ac:dyDescent="0.25">
      <c r="A9978" t="s">
        <v>8996</v>
      </c>
      <c r="R9978" t="s">
        <v>2427</v>
      </c>
      <c r="Y9978">
        <v>46</v>
      </c>
      <c r="AM9978">
        <v>46</v>
      </c>
      <c r="BA9978">
        <v>49</v>
      </c>
      <c r="BO9978">
        <v>50</v>
      </c>
    </row>
    <row r="9979" spans="1:67" x14ac:dyDescent="0.25">
      <c r="A9979" t="s">
        <v>8996</v>
      </c>
      <c r="R9979" t="s">
        <v>2427</v>
      </c>
      <c r="Y9979">
        <v>48</v>
      </c>
      <c r="AM9979">
        <v>48</v>
      </c>
      <c r="BA9979">
        <v>50</v>
      </c>
      <c r="BO9979">
        <v>51</v>
      </c>
    </row>
    <row r="9980" spans="1:67" x14ac:dyDescent="0.25">
      <c r="A9980" t="s">
        <v>2435</v>
      </c>
      <c r="R9980" t="s">
        <v>2436</v>
      </c>
      <c r="Y9980" t="s">
        <v>9029</v>
      </c>
      <c r="AM9980" t="s">
        <v>2437</v>
      </c>
      <c r="BA9980" t="s">
        <v>9835</v>
      </c>
      <c r="BO9980" t="s">
        <v>9835</v>
      </c>
    </row>
    <row r="9981" spans="1:67" x14ac:dyDescent="0.25">
      <c r="A9981" t="s">
        <v>9030</v>
      </c>
      <c r="R9981" t="s">
        <v>2436</v>
      </c>
      <c r="Y9981" t="s">
        <v>9836</v>
      </c>
      <c r="AM9981" t="s">
        <v>9028</v>
      </c>
      <c r="BA9981" t="s">
        <v>9028</v>
      </c>
      <c r="BO9981" t="s">
        <v>9028</v>
      </c>
    </row>
    <row r="9982" spans="1:67" x14ac:dyDescent="0.25">
      <c r="A9982" t="s">
        <v>9032</v>
      </c>
      <c r="R9982" t="s">
        <v>551</v>
      </c>
      <c r="Y9982">
        <v>5</v>
      </c>
      <c r="AM9982">
        <v>5</v>
      </c>
      <c r="BA9982">
        <v>5</v>
      </c>
      <c r="BO9982">
        <v>5</v>
      </c>
    </row>
    <row r="9983" spans="1:67" x14ac:dyDescent="0.25">
      <c r="A9983" t="s">
        <v>9033</v>
      </c>
      <c r="R9983" t="s">
        <v>551</v>
      </c>
      <c r="Y9983">
        <v>50</v>
      </c>
      <c r="AM9983">
        <v>50</v>
      </c>
      <c r="BA9983">
        <v>75</v>
      </c>
      <c r="BO9983">
        <v>75</v>
      </c>
    </row>
    <row r="9984" spans="1:67" x14ac:dyDescent="0.25">
      <c r="A9984" t="s">
        <v>9034</v>
      </c>
      <c r="R9984" t="s">
        <v>551</v>
      </c>
      <c r="Y9984">
        <v>30</v>
      </c>
      <c r="AM9984">
        <v>30</v>
      </c>
      <c r="BA9984">
        <v>30</v>
      </c>
      <c r="BO9984">
        <v>30</v>
      </c>
    </row>
    <row r="9985" spans="1:67" x14ac:dyDescent="0.25">
      <c r="A9985" t="s">
        <v>9035</v>
      </c>
      <c r="Y9985" t="s">
        <v>9037</v>
      </c>
      <c r="AM9985" t="s">
        <v>9037</v>
      </c>
      <c r="BA9985" t="s">
        <v>9037</v>
      </c>
      <c r="BO9985" t="s">
        <v>9037</v>
      </c>
    </row>
    <row r="9986" spans="1:67" x14ac:dyDescent="0.25">
      <c r="A9986" t="s">
        <v>4983</v>
      </c>
      <c r="Y9986" t="s">
        <v>2440</v>
      </c>
      <c r="AM9986" t="s">
        <v>2440</v>
      </c>
      <c r="BA9986" t="s">
        <v>2440</v>
      </c>
      <c r="BO9986" t="s">
        <v>2440</v>
      </c>
    </row>
    <row r="9987" spans="1:67" x14ac:dyDescent="0.25">
      <c r="A9987" t="s">
        <v>9038</v>
      </c>
      <c r="R9987" t="s">
        <v>713</v>
      </c>
      <c r="Y9987">
        <v>1.35</v>
      </c>
      <c r="AM9987">
        <v>1.3</v>
      </c>
      <c r="BA9987">
        <v>3.1</v>
      </c>
      <c r="BO9987">
        <v>3.1</v>
      </c>
    </row>
    <row r="9988" spans="1:67" x14ac:dyDescent="0.25">
      <c r="A9988" t="s">
        <v>4984</v>
      </c>
      <c r="R9988" t="s">
        <v>2433</v>
      </c>
      <c r="Y9988" t="s">
        <v>9902</v>
      </c>
      <c r="AM9988" t="s">
        <v>4926</v>
      </c>
      <c r="BA9988" t="s">
        <v>9939</v>
      </c>
      <c r="BO9988" t="s">
        <v>9939</v>
      </c>
    </row>
    <row r="9989" spans="1:67" x14ac:dyDescent="0.25">
      <c r="A9989" t="s">
        <v>9010</v>
      </c>
      <c r="R9989" t="s">
        <v>713</v>
      </c>
      <c r="Y9989">
        <v>45</v>
      </c>
      <c r="AM9989">
        <v>74</v>
      </c>
      <c r="BA9989">
        <v>104</v>
      </c>
      <c r="BO9989">
        <v>104</v>
      </c>
    </row>
    <row r="9990" spans="1:67" x14ac:dyDescent="0.25">
      <c r="A9990" t="s">
        <v>1001</v>
      </c>
      <c r="R9990" t="s">
        <v>4986</v>
      </c>
      <c r="Y9990" t="s">
        <v>9322</v>
      </c>
      <c r="AM9990" t="s">
        <v>9940</v>
      </c>
      <c r="BA9990" t="s">
        <v>9941</v>
      </c>
      <c r="BO9990" t="s">
        <v>10064</v>
      </c>
    </row>
    <row r="9992" spans="1:67" x14ac:dyDescent="0.25">
      <c r="A9992" t="s">
        <v>3768</v>
      </c>
      <c r="N9992" t="s">
        <v>9049</v>
      </c>
      <c r="AY9992" t="s">
        <v>9051</v>
      </c>
    </row>
    <row r="9993" spans="1:67" x14ac:dyDescent="0.25">
      <c r="A9993" t="s">
        <v>10166</v>
      </c>
      <c r="N9993" t="s">
        <v>10167</v>
      </c>
      <c r="AY9993" t="s">
        <v>10168</v>
      </c>
    </row>
    <row r="9994" spans="1:67" x14ac:dyDescent="0.25">
      <c r="A9994" t="s">
        <v>10023</v>
      </c>
      <c r="N9994" t="s">
        <v>10024</v>
      </c>
      <c r="AY9994" t="s">
        <v>5150</v>
      </c>
    </row>
    <row r="9995" spans="1:67" x14ac:dyDescent="0.25">
      <c r="A9995" t="s">
        <v>10169</v>
      </c>
      <c r="N9995" t="s">
        <v>10170</v>
      </c>
      <c r="AY9995" t="s">
        <v>9739</v>
      </c>
    </row>
    <row r="9996" spans="1:67" x14ac:dyDescent="0.25">
      <c r="A9996" t="s">
        <v>10171</v>
      </c>
      <c r="N9996" t="s">
        <v>10172</v>
      </c>
      <c r="AY9996" t="s">
        <v>9722</v>
      </c>
    </row>
    <row r="9997" spans="1:67" x14ac:dyDescent="0.25">
      <c r="A9997" t="s">
        <v>10173</v>
      </c>
      <c r="N9997" t="s">
        <v>10174</v>
      </c>
      <c r="AY9997" t="s">
        <v>10175</v>
      </c>
    </row>
    <row r="9998" spans="1:67" x14ac:dyDescent="0.25">
      <c r="A9998" t="s">
        <v>10176</v>
      </c>
      <c r="N9998" t="s">
        <v>10177</v>
      </c>
      <c r="AY9998" t="s">
        <v>10178</v>
      </c>
    </row>
    <row r="9999" spans="1:67" x14ac:dyDescent="0.25">
      <c r="A9999" t="s">
        <v>10179</v>
      </c>
      <c r="N9999" t="s">
        <v>10180</v>
      </c>
      <c r="AY9999" t="s">
        <v>9074</v>
      </c>
    </row>
    <row r="10000" spans="1:67" x14ac:dyDescent="0.25">
      <c r="A10000" t="s">
        <v>9725</v>
      </c>
      <c r="N10000" t="s">
        <v>9726</v>
      </c>
      <c r="AY10000" t="s">
        <v>9727</v>
      </c>
    </row>
    <row r="10001" spans="1:73" x14ac:dyDescent="0.25">
      <c r="A10001" t="s">
        <v>10034</v>
      </c>
      <c r="N10001" t="s">
        <v>10035</v>
      </c>
      <c r="AY10001" t="s">
        <v>10036</v>
      </c>
    </row>
    <row r="10002" spans="1:73" x14ac:dyDescent="0.25">
      <c r="A10002" t="s">
        <v>10181</v>
      </c>
    </row>
    <row r="10003" spans="1:73" x14ac:dyDescent="0.25">
      <c r="A10003" t="s">
        <v>10182</v>
      </c>
    </row>
    <row r="10005" spans="1:73" x14ac:dyDescent="0.25">
      <c r="A10005" t="s">
        <v>8930</v>
      </c>
      <c r="Z10005" t="s">
        <v>10183</v>
      </c>
      <c r="AK10005" t="s">
        <v>10184</v>
      </c>
      <c r="AX10005" t="s">
        <v>10185</v>
      </c>
      <c r="BJ10005" t="s">
        <v>10186</v>
      </c>
      <c r="BU10005" t="s">
        <v>10187</v>
      </c>
    </row>
    <row r="10006" spans="1:73" x14ac:dyDescent="0.25">
      <c r="A10006" t="s">
        <v>8937</v>
      </c>
      <c r="R10006" t="s">
        <v>2424</v>
      </c>
      <c r="Z10006">
        <v>5</v>
      </c>
      <c r="AK10006">
        <v>6.7</v>
      </c>
      <c r="AX10006" t="s">
        <v>9691</v>
      </c>
      <c r="BJ10006">
        <v>11.5</v>
      </c>
      <c r="BU10006">
        <v>13</v>
      </c>
    </row>
    <row r="10007" spans="1:73" x14ac:dyDescent="0.25">
      <c r="A10007" t="s">
        <v>8938</v>
      </c>
      <c r="R10007" t="s">
        <v>2424</v>
      </c>
      <c r="Z10007" t="s">
        <v>9798</v>
      </c>
      <c r="AK10007" t="s">
        <v>9799</v>
      </c>
      <c r="AX10007" t="s">
        <v>9801</v>
      </c>
      <c r="BJ10007" t="s">
        <v>10188</v>
      </c>
      <c r="BU10007" t="s">
        <v>10189</v>
      </c>
    </row>
    <row r="10008" spans="1:73" x14ac:dyDescent="0.25">
      <c r="A10008" t="s">
        <v>8945</v>
      </c>
      <c r="R10008" t="s">
        <v>2424</v>
      </c>
      <c r="Z10008" t="s">
        <v>10190</v>
      </c>
      <c r="AK10008" t="s">
        <v>10191</v>
      </c>
      <c r="AX10008" t="s">
        <v>10192</v>
      </c>
      <c r="BJ10008" t="s">
        <v>10193</v>
      </c>
      <c r="BU10008" t="s">
        <v>10194</v>
      </c>
    </row>
    <row r="10009" spans="1:73" x14ac:dyDescent="0.25">
      <c r="A10009" t="s">
        <v>8953</v>
      </c>
      <c r="R10009" t="s">
        <v>4905</v>
      </c>
      <c r="Z10009">
        <v>3.13</v>
      </c>
      <c r="AK10009">
        <v>3.02</v>
      </c>
      <c r="AX10009" t="s">
        <v>5528</v>
      </c>
      <c r="BJ10009">
        <v>2.5</v>
      </c>
      <c r="BU10009">
        <v>2.41</v>
      </c>
    </row>
    <row r="10010" spans="1:73" x14ac:dyDescent="0.25">
      <c r="A10010" t="s">
        <v>8955</v>
      </c>
      <c r="Z10010">
        <v>6.2</v>
      </c>
      <c r="AK10010">
        <v>5.81</v>
      </c>
      <c r="AX10010" t="s">
        <v>3043</v>
      </c>
      <c r="BJ10010">
        <v>5.0999999999999996</v>
      </c>
      <c r="BU10010">
        <v>5.9</v>
      </c>
    </row>
    <row r="10011" spans="1:73" x14ac:dyDescent="0.25">
      <c r="A10011" t="s">
        <v>4977</v>
      </c>
      <c r="Z10011" t="s">
        <v>2880</v>
      </c>
      <c r="AK10011" t="s">
        <v>9104</v>
      </c>
      <c r="AX10011" t="s">
        <v>9104</v>
      </c>
      <c r="BJ10011" t="s">
        <v>9963</v>
      </c>
      <c r="BU10011" t="s">
        <v>9963</v>
      </c>
    </row>
    <row r="10012" spans="1:73" x14ac:dyDescent="0.25">
      <c r="A10012" t="s">
        <v>4979</v>
      </c>
      <c r="R10012" t="s">
        <v>4918</v>
      </c>
      <c r="Z10012" t="s">
        <v>9806</v>
      </c>
      <c r="AK10012" t="s">
        <v>9806</v>
      </c>
      <c r="AX10012" t="s">
        <v>9806</v>
      </c>
      <c r="BJ10012" t="s">
        <v>9806</v>
      </c>
      <c r="BU10012" t="s">
        <v>9806</v>
      </c>
    </row>
    <row r="10013" spans="1:73" x14ac:dyDescent="0.25">
      <c r="A10013" t="s">
        <v>8957</v>
      </c>
      <c r="R10013" t="s">
        <v>2424</v>
      </c>
      <c r="Z10013">
        <v>5.3</v>
      </c>
      <c r="AK10013">
        <v>7.7</v>
      </c>
      <c r="AX10013" t="s">
        <v>5272</v>
      </c>
      <c r="BJ10013">
        <v>11.9</v>
      </c>
      <c r="BU10013">
        <v>13.5</v>
      </c>
    </row>
    <row r="10014" spans="1:73" x14ac:dyDescent="0.25">
      <c r="A10014" t="s">
        <v>8958</v>
      </c>
      <c r="R10014" t="s">
        <v>2424</v>
      </c>
      <c r="Z10014" t="s">
        <v>9807</v>
      </c>
      <c r="AK10014" t="s">
        <v>9808</v>
      </c>
      <c r="AX10014" t="s">
        <v>9809</v>
      </c>
      <c r="BJ10014" t="s">
        <v>9964</v>
      </c>
      <c r="BU10014" t="s">
        <v>10011</v>
      </c>
    </row>
    <row r="10015" spans="1:73" x14ac:dyDescent="0.25">
      <c r="A10015" t="s">
        <v>8945</v>
      </c>
      <c r="R10015" t="s">
        <v>2424</v>
      </c>
      <c r="Z10015" t="s">
        <v>10195</v>
      </c>
      <c r="AK10015" t="s">
        <v>10196</v>
      </c>
      <c r="AX10015" t="s">
        <v>10197</v>
      </c>
      <c r="BJ10015" t="s">
        <v>9804</v>
      </c>
      <c r="BU10015" t="s">
        <v>10198</v>
      </c>
    </row>
    <row r="10016" spans="1:73" x14ac:dyDescent="0.25">
      <c r="A10016" t="s">
        <v>8971</v>
      </c>
      <c r="R10016" t="s">
        <v>4905</v>
      </c>
      <c r="Z10016">
        <v>3.79</v>
      </c>
      <c r="AK10016">
        <v>3.62</v>
      </c>
      <c r="AX10016" t="s">
        <v>10199</v>
      </c>
      <c r="BJ10016">
        <v>3.13</v>
      </c>
      <c r="BU10016">
        <v>3.46</v>
      </c>
    </row>
    <row r="10017" spans="1:73" x14ac:dyDescent="0.25">
      <c r="A10017" t="s">
        <v>8973</v>
      </c>
      <c r="Z10017">
        <v>4.2</v>
      </c>
      <c r="AK10017">
        <v>4.42</v>
      </c>
      <c r="AX10017" t="s">
        <v>5194</v>
      </c>
      <c r="BJ10017">
        <v>3.9</v>
      </c>
      <c r="BU10017">
        <v>4.2</v>
      </c>
    </row>
    <row r="10018" spans="1:73" x14ac:dyDescent="0.25">
      <c r="A10018" t="s">
        <v>4977</v>
      </c>
      <c r="Z10018" t="s">
        <v>9104</v>
      </c>
      <c r="AK10018" t="s">
        <v>9104</v>
      </c>
      <c r="AX10018" t="s">
        <v>9104</v>
      </c>
      <c r="BJ10018" t="s">
        <v>9963</v>
      </c>
      <c r="BU10018" t="s">
        <v>9963</v>
      </c>
    </row>
    <row r="10019" spans="1:73" x14ac:dyDescent="0.25">
      <c r="A10019" t="s">
        <v>4979</v>
      </c>
      <c r="R10019" t="s">
        <v>4918</v>
      </c>
      <c r="Z10019" t="s">
        <v>9813</v>
      </c>
      <c r="AK10019" t="s">
        <v>9813</v>
      </c>
      <c r="AX10019" t="s">
        <v>9813</v>
      </c>
      <c r="BJ10019" t="s">
        <v>9813</v>
      </c>
      <c r="BU10019" t="s">
        <v>9813</v>
      </c>
    </row>
    <row r="10020" spans="1:73" x14ac:dyDescent="0.25">
      <c r="A10020" t="s">
        <v>8975</v>
      </c>
      <c r="R10020" t="s">
        <v>2442</v>
      </c>
      <c r="Z10020" t="s">
        <v>9165</v>
      </c>
      <c r="AK10020" t="s">
        <v>9165</v>
      </c>
      <c r="AX10020" t="s">
        <v>9165</v>
      </c>
      <c r="BJ10020" t="s">
        <v>9165</v>
      </c>
      <c r="BU10020" t="s">
        <v>9165</v>
      </c>
    </row>
    <row r="10021" spans="1:73" x14ac:dyDescent="0.25">
      <c r="A10021" t="s">
        <v>4982</v>
      </c>
      <c r="R10021" t="s">
        <v>4911</v>
      </c>
      <c r="Z10021">
        <v>16</v>
      </c>
      <c r="AK10021">
        <v>16</v>
      </c>
      <c r="AX10021" t="s">
        <v>3756</v>
      </c>
      <c r="BJ10021">
        <v>25</v>
      </c>
      <c r="BU10021">
        <v>25</v>
      </c>
    </row>
    <row r="10022" spans="1:73" x14ac:dyDescent="0.25">
      <c r="A10022" t="s">
        <v>10200</v>
      </c>
      <c r="R10022" t="s">
        <v>4986</v>
      </c>
      <c r="Z10022" t="s">
        <v>10201</v>
      </c>
      <c r="AK10022" t="s">
        <v>10054</v>
      </c>
      <c r="AX10022" t="s">
        <v>9977</v>
      </c>
      <c r="BJ10022" t="s">
        <v>5038</v>
      </c>
      <c r="BU10022" t="s">
        <v>10202</v>
      </c>
    </row>
    <row r="10023" spans="1:73" x14ac:dyDescent="0.25">
      <c r="A10023" t="s">
        <v>9773</v>
      </c>
    </row>
    <row r="10024" spans="1:73" x14ac:dyDescent="0.25">
      <c r="A10024" t="s">
        <v>4988</v>
      </c>
      <c r="Z10024" t="s">
        <v>10203</v>
      </c>
      <c r="AK10024" t="s">
        <v>10204</v>
      </c>
      <c r="AX10024" t="s">
        <v>10205</v>
      </c>
      <c r="BJ10024" t="s">
        <v>10206</v>
      </c>
      <c r="BU10024" t="s">
        <v>10207</v>
      </c>
    </row>
    <row r="10025" spans="1:73" x14ac:dyDescent="0.25">
      <c r="A10025" t="s">
        <v>7870</v>
      </c>
      <c r="R10025" t="s">
        <v>2431</v>
      </c>
      <c r="Z10025" t="s">
        <v>10208</v>
      </c>
      <c r="AK10025" t="s">
        <v>10209</v>
      </c>
      <c r="AX10025" t="s">
        <v>10210</v>
      </c>
      <c r="BJ10025" t="s">
        <v>10211</v>
      </c>
      <c r="BU10025" t="s">
        <v>10212</v>
      </c>
    </row>
    <row r="10026" spans="1:73" x14ac:dyDescent="0.25">
      <c r="Z10026">
        <v>1050</v>
      </c>
      <c r="AK10026">
        <v>1230</v>
      </c>
      <c r="AX10026" t="s">
        <v>10213</v>
      </c>
      <c r="BJ10026">
        <v>2100</v>
      </c>
      <c r="BU10026">
        <v>2130</v>
      </c>
    </row>
    <row r="10027" spans="1:73" x14ac:dyDescent="0.25">
      <c r="A10027" t="s">
        <v>8996</v>
      </c>
      <c r="R10027" t="s">
        <v>2427</v>
      </c>
      <c r="Z10027" t="s">
        <v>10214</v>
      </c>
      <c r="AK10027" t="s">
        <v>10215</v>
      </c>
      <c r="AX10027" t="s">
        <v>10216</v>
      </c>
      <c r="BJ10027" t="s">
        <v>10217</v>
      </c>
      <c r="BU10027" t="s">
        <v>10218</v>
      </c>
    </row>
    <row r="10028" spans="1:73" x14ac:dyDescent="0.25">
      <c r="A10028" t="s">
        <v>8996</v>
      </c>
      <c r="R10028" t="s">
        <v>2427</v>
      </c>
      <c r="Z10028" t="s">
        <v>10214</v>
      </c>
      <c r="AK10028" t="s">
        <v>10215</v>
      </c>
      <c r="AX10028" t="s">
        <v>10216</v>
      </c>
      <c r="BJ10028" t="s">
        <v>10217</v>
      </c>
      <c r="BU10028" t="s">
        <v>10218</v>
      </c>
    </row>
    <row r="10029" spans="1:73" x14ac:dyDescent="0.25">
      <c r="A10029" t="s">
        <v>4984</v>
      </c>
      <c r="R10029" t="s">
        <v>2433</v>
      </c>
      <c r="Z10029" t="s">
        <v>10159</v>
      </c>
      <c r="AK10029" t="s">
        <v>10219</v>
      </c>
      <c r="AX10029" t="s">
        <v>10160</v>
      </c>
      <c r="BJ10029" t="s">
        <v>10161</v>
      </c>
      <c r="BU10029" t="s">
        <v>10160</v>
      </c>
    </row>
    <row r="10030" spans="1:73" x14ac:dyDescent="0.25">
      <c r="A10030" t="s">
        <v>9010</v>
      </c>
      <c r="R10030" t="s">
        <v>713</v>
      </c>
      <c r="Z10030">
        <v>20</v>
      </c>
      <c r="AK10030">
        <v>20</v>
      </c>
      <c r="AX10030" t="s">
        <v>8894</v>
      </c>
      <c r="BJ10030">
        <v>24</v>
      </c>
      <c r="BU10030">
        <v>24</v>
      </c>
    </row>
    <row r="10031" spans="1:73" x14ac:dyDescent="0.25">
      <c r="A10031" t="s">
        <v>9504</v>
      </c>
      <c r="R10031" t="s">
        <v>2433</v>
      </c>
      <c r="Z10031" t="s">
        <v>10162</v>
      </c>
      <c r="AK10031" t="s">
        <v>10162</v>
      </c>
      <c r="AX10031" t="s">
        <v>10162</v>
      </c>
      <c r="BJ10031" t="s">
        <v>10162</v>
      </c>
      <c r="BU10031" t="s">
        <v>10162</v>
      </c>
    </row>
    <row r="10032" spans="1:73" x14ac:dyDescent="0.25">
      <c r="A10032" t="s">
        <v>9506</v>
      </c>
      <c r="R10032" t="s">
        <v>713</v>
      </c>
      <c r="Z10032">
        <v>4.2</v>
      </c>
      <c r="AK10032">
        <v>4.2</v>
      </c>
      <c r="AX10032" t="s">
        <v>9152</v>
      </c>
      <c r="BJ10032">
        <v>4.2</v>
      </c>
      <c r="BU10032">
        <v>4.2</v>
      </c>
    </row>
    <row r="10033" spans="1:73" x14ac:dyDescent="0.25">
      <c r="A10033" t="s">
        <v>1001</v>
      </c>
      <c r="R10033" t="s">
        <v>4986</v>
      </c>
      <c r="Z10033" t="s">
        <v>8979</v>
      </c>
      <c r="AK10033" t="s">
        <v>10220</v>
      </c>
      <c r="AX10033" t="s">
        <v>9135</v>
      </c>
      <c r="BJ10033" t="s">
        <v>10221</v>
      </c>
      <c r="BU10033" t="s">
        <v>9235</v>
      </c>
    </row>
    <row r="10034" spans="1:73" x14ac:dyDescent="0.25">
      <c r="A10034" t="s">
        <v>5025</v>
      </c>
      <c r="Z10034" t="s">
        <v>9831</v>
      </c>
      <c r="AK10034" t="s">
        <v>9832</v>
      </c>
      <c r="AX10034" t="s">
        <v>9833</v>
      </c>
      <c r="BJ10034" t="s">
        <v>10222</v>
      </c>
      <c r="BU10034" t="s">
        <v>10223</v>
      </c>
    </row>
    <row r="10035" spans="1:73" x14ac:dyDescent="0.25">
      <c r="A10035" t="s">
        <v>8996</v>
      </c>
      <c r="R10035" t="s">
        <v>2427</v>
      </c>
      <c r="Z10035">
        <v>46</v>
      </c>
      <c r="AK10035">
        <v>48</v>
      </c>
      <c r="AX10035" t="s">
        <v>10224</v>
      </c>
      <c r="BJ10035">
        <v>53</v>
      </c>
      <c r="BU10035">
        <v>57</v>
      </c>
    </row>
    <row r="10036" spans="1:73" x14ac:dyDescent="0.25">
      <c r="A10036" t="s">
        <v>8996</v>
      </c>
      <c r="R10036" t="s">
        <v>2427</v>
      </c>
      <c r="Z10036">
        <v>48</v>
      </c>
      <c r="AK10036">
        <v>51</v>
      </c>
      <c r="AX10036" t="s">
        <v>10225</v>
      </c>
      <c r="BJ10036">
        <v>60</v>
      </c>
      <c r="BU10036">
        <v>59</v>
      </c>
    </row>
    <row r="10037" spans="1:73" x14ac:dyDescent="0.25">
      <c r="A10037" t="s">
        <v>2435</v>
      </c>
      <c r="R10037" t="s">
        <v>2436</v>
      </c>
      <c r="Z10037" t="s">
        <v>9029</v>
      </c>
      <c r="AK10037" t="s">
        <v>2437</v>
      </c>
      <c r="AX10037" t="s">
        <v>2437</v>
      </c>
      <c r="BJ10037" t="s">
        <v>2437</v>
      </c>
      <c r="BU10037" t="s">
        <v>2437</v>
      </c>
    </row>
    <row r="10038" spans="1:73" x14ac:dyDescent="0.25">
      <c r="A10038" t="s">
        <v>9030</v>
      </c>
      <c r="R10038" t="s">
        <v>2436</v>
      </c>
      <c r="Z10038" t="s">
        <v>9836</v>
      </c>
      <c r="AK10038" t="s">
        <v>9028</v>
      </c>
      <c r="AX10038" t="s">
        <v>9028</v>
      </c>
      <c r="BJ10038" t="s">
        <v>9028</v>
      </c>
      <c r="BU10038" t="s">
        <v>9028</v>
      </c>
    </row>
    <row r="10039" spans="1:73" x14ac:dyDescent="0.25">
      <c r="A10039" t="s">
        <v>9032</v>
      </c>
      <c r="R10039" t="s">
        <v>551</v>
      </c>
      <c r="Z10039">
        <v>5</v>
      </c>
      <c r="AK10039">
        <v>5</v>
      </c>
      <c r="AX10039" t="s">
        <v>5541</v>
      </c>
      <c r="BJ10039">
        <v>5</v>
      </c>
      <c r="BU10039">
        <v>5</v>
      </c>
    </row>
    <row r="10040" spans="1:73" x14ac:dyDescent="0.25">
      <c r="A10040" t="s">
        <v>9033</v>
      </c>
      <c r="R10040" t="s">
        <v>551</v>
      </c>
      <c r="Z10040">
        <v>20</v>
      </c>
      <c r="AK10040">
        <v>20</v>
      </c>
      <c r="AX10040" t="s">
        <v>5240</v>
      </c>
      <c r="BJ10040">
        <v>30</v>
      </c>
      <c r="BU10040">
        <v>30</v>
      </c>
    </row>
    <row r="10041" spans="1:73" x14ac:dyDescent="0.25">
      <c r="A10041" t="s">
        <v>9034</v>
      </c>
      <c r="R10041" t="s">
        <v>551</v>
      </c>
      <c r="Z10041">
        <v>20</v>
      </c>
      <c r="AK10041">
        <v>20</v>
      </c>
      <c r="AX10041" t="s">
        <v>5240</v>
      </c>
      <c r="BJ10041">
        <v>30</v>
      </c>
      <c r="BU10041">
        <v>30</v>
      </c>
    </row>
    <row r="10042" spans="1:73" x14ac:dyDescent="0.25">
      <c r="A10042" t="s">
        <v>9035</v>
      </c>
      <c r="Z10042" t="s">
        <v>9037</v>
      </c>
      <c r="AK10042" t="s">
        <v>9037</v>
      </c>
      <c r="AX10042" t="s">
        <v>9037</v>
      </c>
      <c r="BJ10042" t="s">
        <v>9037</v>
      </c>
      <c r="BU10042" t="s">
        <v>9037</v>
      </c>
    </row>
    <row r="10043" spans="1:73" x14ac:dyDescent="0.25">
      <c r="A10043" t="s">
        <v>4983</v>
      </c>
      <c r="Z10043" t="s">
        <v>2440</v>
      </c>
      <c r="AK10043" t="s">
        <v>2440</v>
      </c>
      <c r="AX10043" t="s">
        <v>2440</v>
      </c>
      <c r="BJ10043" t="s">
        <v>2440</v>
      </c>
      <c r="BU10043" t="s">
        <v>2440</v>
      </c>
    </row>
    <row r="10044" spans="1:73" x14ac:dyDescent="0.25">
      <c r="A10044" t="s">
        <v>9038</v>
      </c>
      <c r="R10044" t="s">
        <v>713</v>
      </c>
      <c r="Z10044">
        <v>0.9</v>
      </c>
      <c r="AK10044">
        <v>1.4</v>
      </c>
      <c r="AX10044" t="s">
        <v>10226</v>
      </c>
      <c r="BJ10044">
        <v>1.9</v>
      </c>
      <c r="BU10044">
        <v>2.2000000000000002</v>
      </c>
    </row>
    <row r="10045" spans="1:73" x14ac:dyDescent="0.25">
      <c r="A10045" t="s">
        <v>4984</v>
      </c>
      <c r="R10045" t="s">
        <v>2433</v>
      </c>
      <c r="Z10045" t="s">
        <v>9041</v>
      </c>
      <c r="AK10045" t="s">
        <v>9041</v>
      </c>
      <c r="AX10045" t="s">
        <v>4985</v>
      </c>
      <c r="BJ10045" t="s">
        <v>9837</v>
      </c>
      <c r="BU10045" t="s">
        <v>9567</v>
      </c>
    </row>
    <row r="10046" spans="1:73" x14ac:dyDescent="0.25">
      <c r="A10046" t="s">
        <v>9010</v>
      </c>
      <c r="R10046" t="s">
        <v>713</v>
      </c>
      <c r="Z10046">
        <v>36</v>
      </c>
      <c r="AK10046">
        <v>39</v>
      </c>
      <c r="AX10046" t="s">
        <v>6993</v>
      </c>
      <c r="BJ10046">
        <v>57</v>
      </c>
      <c r="BU10046">
        <v>64</v>
      </c>
    </row>
    <row r="10047" spans="1:73" x14ac:dyDescent="0.25">
      <c r="A10047" t="s">
        <v>1001</v>
      </c>
      <c r="R10047" t="s">
        <v>4986</v>
      </c>
      <c r="Z10047" t="s">
        <v>9256</v>
      </c>
      <c r="AK10047" t="s">
        <v>9271</v>
      </c>
      <c r="AX10047" t="s">
        <v>9838</v>
      </c>
      <c r="BJ10047" t="s">
        <v>10227</v>
      </c>
      <c r="BU10047" t="s">
        <v>10228</v>
      </c>
    </row>
    <row r="10048" spans="1:73" x14ac:dyDescent="0.25">
      <c r="A10048" t="s">
        <v>9843</v>
      </c>
    </row>
    <row r="10049" spans="1:65" x14ac:dyDescent="0.25">
      <c r="A10049" t="s">
        <v>10229</v>
      </c>
    </row>
    <row r="10051" spans="1:65" x14ac:dyDescent="0.25">
      <c r="A10051" t="s">
        <v>10230</v>
      </c>
    </row>
    <row r="10052" spans="1:65" x14ac:dyDescent="0.25">
      <c r="A10052" t="s">
        <v>8930</v>
      </c>
      <c r="Z10052" t="s">
        <v>10231</v>
      </c>
      <c r="AT10052" t="s">
        <v>10232</v>
      </c>
      <c r="BM10052" t="s">
        <v>10233</v>
      </c>
    </row>
    <row r="10053" spans="1:65" x14ac:dyDescent="0.25">
      <c r="A10053" t="s">
        <v>8937</v>
      </c>
      <c r="R10053" t="s">
        <v>2424</v>
      </c>
      <c r="Z10053">
        <v>9.5</v>
      </c>
      <c r="AT10053">
        <v>12.1</v>
      </c>
      <c r="BM10053">
        <v>14</v>
      </c>
    </row>
    <row r="10054" spans="1:65" x14ac:dyDescent="0.25">
      <c r="A10054" t="s">
        <v>8938</v>
      </c>
      <c r="R10054" t="s">
        <v>2424</v>
      </c>
      <c r="Z10054" t="s">
        <v>9801</v>
      </c>
      <c r="AT10054" t="s">
        <v>10189</v>
      </c>
      <c r="BM10054" t="s">
        <v>9964</v>
      </c>
    </row>
    <row r="10055" spans="1:65" x14ac:dyDescent="0.25">
      <c r="A10055" t="s">
        <v>8945</v>
      </c>
      <c r="R10055" t="s">
        <v>2424</v>
      </c>
      <c r="Z10055" t="s">
        <v>10197</v>
      </c>
      <c r="AT10055" t="s">
        <v>10234</v>
      </c>
      <c r="BM10055" t="s">
        <v>10235</v>
      </c>
    </row>
    <row r="10056" spans="1:65" x14ac:dyDescent="0.25">
      <c r="A10056" t="s">
        <v>8953</v>
      </c>
      <c r="R10056" t="s">
        <v>4905</v>
      </c>
      <c r="Z10056">
        <v>3.06</v>
      </c>
      <c r="AT10056">
        <v>2.52</v>
      </c>
      <c r="BM10056">
        <v>3.12</v>
      </c>
    </row>
    <row r="10057" spans="1:65" x14ac:dyDescent="0.25">
      <c r="A10057" t="s">
        <v>8955</v>
      </c>
      <c r="Z10057">
        <v>6.2</v>
      </c>
      <c r="AT10057">
        <v>5.0999999999999996</v>
      </c>
      <c r="BM10057">
        <v>6.3</v>
      </c>
    </row>
    <row r="10058" spans="1:65" x14ac:dyDescent="0.25">
      <c r="A10058" t="s">
        <v>4977</v>
      </c>
      <c r="Z10058" t="s">
        <v>2880</v>
      </c>
      <c r="AT10058" t="s">
        <v>9963</v>
      </c>
      <c r="BM10058" t="s">
        <v>9963</v>
      </c>
    </row>
    <row r="10059" spans="1:65" x14ac:dyDescent="0.25">
      <c r="A10059" t="s">
        <v>4979</v>
      </c>
      <c r="R10059" t="s">
        <v>4918</v>
      </c>
      <c r="Z10059" t="s">
        <v>9806</v>
      </c>
      <c r="AT10059" t="s">
        <v>9806</v>
      </c>
      <c r="BM10059" t="s">
        <v>9806</v>
      </c>
    </row>
    <row r="10060" spans="1:65" x14ac:dyDescent="0.25">
      <c r="A10060" t="s">
        <v>8957</v>
      </c>
      <c r="R10060" t="s">
        <v>2424</v>
      </c>
      <c r="Z10060">
        <v>10</v>
      </c>
      <c r="AT10060">
        <v>12.3</v>
      </c>
      <c r="BM10060">
        <v>16</v>
      </c>
    </row>
    <row r="10061" spans="1:65" x14ac:dyDescent="0.25">
      <c r="A10061" t="s">
        <v>8958</v>
      </c>
      <c r="R10061" t="s">
        <v>2424</v>
      </c>
      <c r="Z10061" t="s">
        <v>9809</v>
      </c>
      <c r="AT10061" t="s">
        <v>9964</v>
      </c>
      <c r="BM10061" t="s">
        <v>10011</v>
      </c>
    </row>
    <row r="10062" spans="1:65" x14ac:dyDescent="0.25">
      <c r="A10062" t="s">
        <v>8945</v>
      </c>
      <c r="R10062" t="s">
        <v>2424</v>
      </c>
      <c r="Z10062" t="s">
        <v>10236</v>
      </c>
      <c r="AT10062" t="s">
        <v>10237</v>
      </c>
      <c r="BM10062" t="s">
        <v>10238</v>
      </c>
    </row>
    <row r="10063" spans="1:65" x14ac:dyDescent="0.25">
      <c r="A10063" t="s">
        <v>8971</v>
      </c>
      <c r="R10063" t="s">
        <v>4905</v>
      </c>
      <c r="Z10063">
        <v>3.33</v>
      </c>
      <c r="AT10063">
        <v>3</v>
      </c>
      <c r="BM10063">
        <v>3.61</v>
      </c>
    </row>
    <row r="10064" spans="1:65" x14ac:dyDescent="0.25">
      <c r="A10064" t="s">
        <v>8973</v>
      </c>
      <c r="Z10064">
        <v>4.0999999999999996</v>
      </c>
      <c r="AT10064">
        <v>3.9</v>
      </c>
      <c r="BM10064">
        <v>4.3499999999999996</v>
      </c>
    </row>
    <row r="10065" spans="1:88" x14ac:dyDescent="0.25">
      <c r="A10065" t="s">
        <v>4977</v>
      </c>
      <c r="Z10065" t="s">
        <v>9104</v>
      </c>
      <c r="AT10065" t="s">
        <v>9963</v>
      </c>
      <c r="BM10065" t="s">
        <v>9963</v>
      </c>
    </row>
    <row r="10066" spans="1:88" x14ac:dyDescent="0.25">
      <c r="A10066" t="s">
        <v>4979</v>
      </c>
      <c r="R10066" t="s">
        <v>4918</v>
      </c>
      <c r="Z10066" t="s">
        <v>9813</v>
      </c>
      <c r="AT10066" t="s">
        <v>9813</v>
      </c>
      <c r="BM10066" t="s">
        <v>9813</v>
      </c>
    </row>
    <row r="10067" spans="1:88" x14ac:dyDescent="0.25">
      <c r="A10067" t="s">
        <v>8975</v>
      </c>
      <c r="R10067" t="s">
        <v>2442</v>
      </c>
      <c r="Z10067" t="s">
        <v>4910</v>
      </c>
      <c r="AT10067" t="s">
        <v>4910</v>
      </c>
      <c r="BM10067" t="s">
        <v>4910</v>
      </c>
    </row>
    <row r="10068" spans="1:88" x14ac:dyDescent="0.25">
      <c r="A10068" t="s">
        <v>4982</v>
      </c>
      <c r="R10068" t="s">
        <v>4911</v>
      </c>
      <c r="Z10068" t="s">
        <v>4917</v>
      </c>
      <c r="AT10068" t="s">
        <v>4917</v>
      </c>
      <c r="BM10068" t="s">
        <v>4917</v>
      </c>
    </row>
    <row r="10069" spans="1:88" x14ac:dyDescent="0.25">
      <c r="A10069" t="s">
        <v>10239</v>
      </c>
      <c r="R10069" t="s">
        <v>4986</v>
      </c>
      <c r="Z10069" t="s">
        <v>10240</v>
      </c>
      <c r="AT10069" t="s">
        <v>9934</v>
      </c>
      <c r="BM10069" t="s">
        <v>10241</v>
      </c>
    </row>
    <row r="10071" spans="1:88" x14ac:dyDescent="0.25">
      <c r="A10071" t="s">
        <v>4988</v>
      </c>
      <c r="Z10071" t="s">
        <v>10205</v>
      </c>
      <c r="AT10071" t="s">
        <v>10206</v>
      </c>
      <c r="BM10071" t="s">
        <v>10207</v>
      </c>
    </row>
    <row r="10072" spans="1:88" x14ac:dyDescent="0.25">
      <c r="A10072" t="s">
        <v>7870</v>
      </c>
      <c r="R10072" t="s">
        <v>2431</v>
      </c>
      <c r="Z10072" t="s">
        <v>10242</v>
      </c>
      <c r="AT10072" t="s">
        <v>10243</v>
      </c>
      <c r="BM10072" t="s">
        <v>10244</v>
      </c>
    </row>
    <row r="10073" spans="1:88" x14ac:dyDescent="0.25">
      <c r="A10073" t="s">
        <v>8996</v>
      </c>
      <c r="R10073" t="s">
        <v>2427</v>
      </c>
      <c r="Z10073" t="s">
        <v>10216</v>
      </c>
      <c r="AT10073" t="s">
        <v>10217</v>
      </c>
      <c r="BM10073" t="s">
        <v>10218</v>
      </c>
    </row>
    <row r="10074" spans="1:88" x14ac:dyDescent="0.25">
      <c r="CJ10074" t="s">
        <v>9773</v>
      </c>
    </row>
    <row r="10075" spans="1:88" x14ac:dyDescent="0.25">
      <c r="A10075" t="s">
        <v>8996</v>
      </c>
      <c r="R10075" t="s">
        <v>2427</v>
      </c>
      <c r="Z10075" t="s">
        <v>10216</v>
      </c>
      <c r="AT10075" t="s">
        <v>10217</v>
      </c>
      <c r="BM10075" t="s">
        <v>10218</v>
      </c>
    </row>
    <row r="10076" spans="1:88" x14ac:dyDescent="0.25">
      <c r="A10076" t="s">
        <v>4984</v>
      </c>
      <c r="R10076" t="s">
        <v>2433</v>
      </c>
      <c r="Z10076" t="s">
        <v>10160</v>
      </c>
      <c r="AT10076" t="s">
        <v>10161</v>
      </c>
      <c r="BM10076" t="s">
        <v>10160</v>
      </c>
    </row>
    <row r="10077" spans="1:88" x14ac:dyDescent="0.25">
      <c r="A10077" t="s">
        <v>9010</v>
      </c>
      <c r="R10077" t="s">
        <v>713</v>
      </c>
      <c r="Z10077">
        <v>24</v>
      </c>
      <c r="AT10077">
        <v>24</v>
      </c>
      <c r="BM10077">
        <v>24</v>
      </c>
    </row>
    <row r="10078" spans="1:88" x14ac:dyDescent="0.25">
      <c r="A10078" t="s">
        <v>9504</v>
      </c>
      <c r="R10078" t="s">
        <v>2433</v>
      </c>
      <c r="Z10078" t="s">
        <v>10162</v>
      </c>
      <c r="AT10078" t="s">
        <v>10162</v>
      </c>
      <c r="BM10078" t="s">
        <v>10162</v>
      </c>
    </row>
    <row r="10079" spans="1:88" x14ac:dyDescent="0.25">
      <c r="A10079" t="s">
        <v>9506</v>
      </c>
      <c r="R10079" t="s">
        <v>713</v>
      </c>
      <c r="Z10079">
        <v>4.2</v>
      </c>
      <c r="AT10079">
        <v>4.2</v>
      </c>
      <c r="BM10079">
        <v>4.2</v>
      </c>
    </row>
    <row r="10080" spans="1:88" x14ac:dyDescent="0.25">
      <c r="A10080" t="s">
        <v>1001</v>
      </c>
      <c r="R10080" t="s">
        <v>4986</v>
      </c>
      <c r="Z10080" t="s">
        <v>9135</v>
      </c>
      <c r="AT10080" t="s">
        <v>10221</v>
      </c>
      <c r="BM10080" t="s">
        <v>9235</v>
      </c>
    </row>
    <row r="10082" spans="1:65" x14ac:dyDescent="0.25">
      <c r="A10082" t="s">
        <v>5025</v>
      </c>
      <c r="Z10082" t="s">
        <v>9834</v>
      </c>
      <c r="AT10082" t="s">
        <v>10245</v>
      </c>
      <c r="BM10082" t="s">
        <v>10246</v>
      </c>
    </row>
    <row r="10083" spans="1:65" x14ac:dyDescent="0.25">
      <c r="A10083" t="s">
        <v>8996</v>
      </c>
      <c r="R10083" t="s">
        <v>2427</v>
      </c>
      <c r="Z10083">
        <v>53</v>
      </c>
      <c r="AT10083">
        <v>53</v>
      </c>
      <c r="BM10083">
        <v>57</v>
      </c>
    </row>
    <row r="10084" spans="1:65" x14ac:dyDescent="0.25">
      <c r="A10084" t="s">
        <v>8996</v>
      </c>
      <c r="R10084" t="s">
        <v>2427</v>
      </c>
      <c r="Z10084">
        <v>55</v>
      </c>
      <c r="AT10084">
        <v>60</v>
      </c>
      <c r="BM10084">
        <v>59</v>
      </c>
    </row>
    <row r="10085" spans="1:65" x14ac:dyDescent="0.25">
      <c r="A10085" t="s">
        <v>2435</v>
      </c>
      <c r="R10085" t="s">
        <v>2436</v>
      </c>
      <c r="Z10085" t="s">
        <v>2437</v>
      </c>
      <c r="AT10085" t="s">
        <v>2437</v>
      </c>
      <c r="BM10085" t="s">
        <v>2437</v>
      </c>
    </row>
    <row r="10086" spans="1:65" x14ac:dyDescent="0.25">
      <c r="A10086" t="s">
        <v>9030</v>
      </c>
      <c r="R10086" t="s">
        <v>2436</v>
      </c>
      <c r="Z10086" t="s">
        <v>9028</v>
      </c>
      <c r="AT10086" t="s">
        <v>9028</v>
      </c>
      <c r="BM10086" t="s">
        <v>9028</v>
      </c>
    </row>
    <row r="10087" spans="1:65" x14ac:dyDescent="0.25">
      <c r="A10087" t="s">
        <v>9032</v>
      </c>
      <c r="R10087" t="s">
        <v>551</v>
      </c>
      <c r="Z10087">
        <v>5</v>
      </c>
      <c r="AT10087">
        <v>5</v>
      </c>
      <c r="BM10087">
        <v>5</v>
      </c>
    </row>
    <row r="10088" spans="1:65" x14ac:dyDescent="0.25">
      <c r="A10088" t="s">
        <v>9033</v>
      </c>
      <c r="R10088" t="s">
        <v>551</v>
      </c>
      <c r="Z10088">
        <v>30</v>
      </c>
      <c r="AT10088">
        <v>30</v>
      </c>
      <c r="BM10088">
        <v>30</v>
      </c>
    </row>
    <row r="10089" spans="1:65" x14ac:dyDescent="0.25">
      <c r="A10089" t="s">
        <v>9034</v>
      </c>
      <c r="R10089" t="s">
        <v>551</v>
      </c>
      <c r="Z10089">
        <v>30</v>
      </c>
      <c r="AT10089">
        <v>30</v>
      </c>
      <c r="BM10089">
        <v>30</v>
      </c>
    </row>
    <row r="10091" spans="1:65" x14ac:dyDescent="0.25">
      <c r="A10091" t="s">
        <v>9035</v>
      </c>
      <c r="Z10091" t="s">
        <v>9037</v>
      </c>
      <c r="AT10091" t="s">
        <v>9037</v>
      </c>
      <c r="BM10091" t="s">
        <v>9037</v>
      </c>
    </row>
    <row r="10092" spans="1:65" x14ac:dyDescent="0.25">
      <c r="A10092" t="s">
        <v>4983</v>
      </c>
      <c r="Z10092" t="s">
        <v>2440</v>
      </c>
      <c r="AT10092" t="s">
        <v>2440</v>
      </c>
      <c r="BM10092" t="s">
        <v>2440</v>
      </c>
    </row>
    <row r="10093" spans="1:65" x14ac:dyDescent="0.25">
      <c r="A10093" t="s">
        <v>9038</v>
      </c>
      <c r="R10093" t="s">
        <v>713</v>
      </c>
      <c r="Z10093">
        <v>1.7</v>
      </c>
      <c r="AT10093">
        <v>1.9</v>
      </c>
      <c r="BM10093">
        <v>2.2000000000000002</v>
      </c>
    </row>
    <row r="10094" spans="1:65" x14ac:dyDescent="0.25">
      <c r="A10094" t="s">
        <v>4984</v>
      </c>
      <c r="R10094" t="s">
        <v>2433</v>
      </c>
      <c r="Z10094" t="s">
        <v>9837</v>
      </c>
      <c r="AT10094" t="s">
        <v>9837</v>
      </c>
      <c r="BM10094" t="s">
        <v>9567</v>
      </c>
    </row>
    <row r="10095" spans="1:65" x14ac:dyDescent="0.25">
      <c r="A10095" t="s">
        <v>9010</v>
      </c>
      <c r="R10095" t="s">
        <v>713</v>
      </c>
      <c r="Z10095">
        <v>60</v>
      </c>
      <c r="AT10095">
        <v>60</v>
      </c>
      <c r="BM10095">
        <v>63</v>
      </c>
    </row>
    <row r="10096" spans="1:65" x14ac:dyDescent="0.25">
      <c r="A10096" t="s">
        <v>1001</v>
      </c>
      <c r="R10096" t="s">
        <v>4986</v>
      </c>
      <c r="Z10096" t="s">
        <v>9839</v>
      </c>
      <c r="AT10096" t="s">
        <v>10247</v>
      </c>
      <c r="BM10096" t="s">
        <v>10248</v>
      </c>
    </row>
    <row r="10097" spans="1:75" x14ac:dyDescent="0.25">
      <c r="A10097" t="s">
        <v>10249</v>
      </c>
    </row>
    <row r="10098" spans="1:75" x14ac:dyDescent="0.25">
      <c r="A10098" t="s">
        <v>10250</v>
      </c>
    </row>
    <row r="10099" spans="1:75" x14ac:dyDescent="0.25">
      <c r="A10099" t="s">
        <v>10251</v>
      </c>
    </row>
    <row r="10101" spans="1:75" x14ac:dyDescent="0.25">
      <c r="A10101" t="s">
        <v>8930</v>
      </c>
      <c r="Z10101" t="s">
        <v>10252</v>
      </c>
      <c r="AJ10101" t="s">
        <v>10253</v>
      </c>
      <c r="AT10101" t="s">
        <v>10254</v>
      </c>
      <c r="BM10101" t="s">
        <v>10255</v>
      </c>
      <c r="BW10101" t="s">
        <v>10256</v>
      </c>
    </row>
    <row r="10102" spans="1:75" x14ac:dyDescent="0.25">
      <c r="A10102" t="s">
        <v>8937</v>
      </c>
      <c r="R10102" t="s">
        <v>2424</v>
      </c>
      <c r="Z10102">
        <v>5</v>
      </c>
      <c r="AJ10102">
        <v>6.7</v>
      </c>
      <c r="AT10102">
        <v>8</v>
      </c>
      <c r="BC10102">
        <v>9.5</v>
      </c>
      <c r="BM10102">
        <v>12.1</v>
      </c>
      <c r="BW10102">
        <v>14</v>
      </c>
    </row>
    <row r="10103" spans="1:75" x14ac:dyDescent="0.25">
      <c r="A10103" t="s">
        <v>8938</v>
      </c>
      <c r="R10103" t="s">
        <v>2424</v>
      </c>
      <c r="Z10103" t="s">
        <v>9798</v>
      </c>
      <c r="AJ10103" t="s">
        <v>9854</v>
      </c>
      <c r="AT10103" t="s">
        <v>10257</v>
      </c>
      <c r="BM10103" t="s">
        <v>9954</v>
      </c>
      <c r="BW10103" t="s">
        <v>9955</v>
      </c>
    </row>
    <row r="10104" spans="1:75" x14ac:dyDescent="0.25">
      <c r="A10104" t="s">
        <v>8945</v>
      </c>
      <c r="R10104" t="s">
        <v>2424</v>
      </c>
      <c r="Z10104" t="s">
        <v>10258</v>
      </c>
      <c r="AJ10104" t="s">
        <v>10259</v>
      </c>
      <c r="AT10104" t="s">
        <v>10260</v>
      </c>
      <c r="BM10104" t="s">
        <v>10261</v>
      </c>
      <c r="BW10104" t="s">
        <v>10262</v>
      </c>
    </row>
    <row r="10105" spans="1:75" x14ac:dyDescent="0.25">
      <c r="Z10105">
        <v>1.86</v>
      </c>
      <c r="AJ10105">
        <v>2.59</v>
      </c>
      <c r="AT10105">
        <v>2.88</v>
      </c>
      <c r="BC10105">
        <v>3.11</v>
      </c>
      <c r="BM10105">
        <v>4.2300000000000004</v>
      </c>
      <c r="BW10105">
        <v>6</v>
      </c>
    </row>
    <row r="10106" spans="1:75" x14ac:dyDescent="0.25">
      <c r="A10106" t="s">
        <v>8953</v>
      </c>
      <c r="R10106" t="s">
        <v>4905</v>
      </c>
      <c r="Z10106">
        <v>3.21</v>
      </c>
      <c r="AJ10106">
        <v>3.52</v>
      </c>
      <c r="AT10106">
        <v>3.5</v>
      </c>
      <c r="BC10106">
        <v>3.7</v>
      </c>
      <c r="BM10106">
        <v>3.12</v>
      </c>
      <c r="BW10106">
        <v>2.77</v>
      </c>
    </row>
    <row r="10107" spans="1:75" x14ac:dyDescent="0.25">
      <c r="A10107" t="s">
        <v>8955</v>
      </c>
      <c r="Z10107">
        <v>6.84</v>
      </c>
      <c r="AJ10107">
        <v>7.5</v>
      </c>
      <c r="AT10107">
        <v>7.5</v>
      </c>
      <c r="BC10107">
        <v>7.5</v>
      </c>
      <c r="BM10107">
        <v>7.3</v>
      </c>
      <c r="BW10107">
        <v>6.6</v>
      </c>
    </row>
    <row r="10108" spans="1:75" x14ac:dyDescent="0.25">
      <c r="A10108" t="s">
        <v>4977</v>
      </c>
      <c r="Z10108" t="s">
        <v>2880</v>
      </c>
      <c r="AJ10108" t="s">
        <v>2880</v>
      </c>
      <c r="AT10108" t="s">
        <v>2880</v>
      </c>
      <c r="BM10108" t="s">
        <v>9963</v>
      </c>
      <c r="BW10108" t="s">
        <v>9963</v>
      </c>
    </row>
    <row r="10109" spans="1:75" x14ac:dyDescent="0.25">
      <c r="A10109" t="s">
        <v>4979</v>
      </c>
      <c r="R10109" t="s">
        <v>4918</v>
      </c>
      <c r="Z10109" t="s">
        <v>9806</v>
      </c>
      <c r="AJ10109" t="s">
        <v>9806</v>
      </c>
      <c r="AT10109" t="s">
        <v>9806</v>
      </c>
      <c r="BM10109" t="s">
        <v>9806</v>
      </c>
      <c r="BW10109" t="s">
        <v>9806</v>
      </c>
    </row>
    <row r="10110" spans="1:75" x14ac:dyDescent="0.25">
      <c r="A10110" t="s">
        <v>8957</v>
      </c>
      <c r="R10110" t="s">
        <v>2424</v>
      </c>
      <c r="Z10110">
        <v>5.3</v>
      </c>
      <c r="AJ10110">
        <v>7.7</v>
      </c>
      <c r="AT10110">
        <v>8.6</v>
      </c>
      <c r="BC10110">
        <v>11.2</v>
      </c>
      <c r="BM10110">
        <v>13</v>
      </c>
      <c r="BW10110">
        <v>16</v>
      </c>
    </row>
    <row r="10111" spans="1:75" x14ac:dyDescent="0.25">
      <c r="A10111" t="s">
        <v>8958</v>
      </c>
      <c r="R10111" t="s">
        <v>2424</v>
      </c>
      <c r="Z10111" t="s">
        <v>9807</v>
      </c>
      <c r="AJ10111" t="s">
        <v>9865</v>
      </c>
      <c r="AT10111" t="s">
        <v>10263</v>
      </c>
      <c r="BM10111" t="s">
        <v>9964</v>
      </c>
      <c r="BW10111" t="s">
        <v>10011</v>
      </c>
    </row>
    <row r="10112" spans="1:75" x14ac:dyDescent="0.25">
      <c r="A10112" t="s">
        <v>8945</v>
      </c>
      <c r="R10112" t="s">
        <v>2424</v>
      </c>
      <c r="Z10112" t="s">
        <v>10264</v>
      </c>
      <c r="AJ10112" t="s">
        <v>10265</v>
      </c>
      <c r="AT10112" t="s">
        <v>10266</v>
      </c>
      <c r="BM10112" t="s">
        <v>10267</v>
      </c>
      <c r="BW10112" t="s">
        <v>10268</v>
      </c>
    </row>
    <row r="10113" spans="1:75" x14ac:dyDescent="0.25">
      <c r="Z10113">
        <v>2.08</v>
      </c>
      <c r="AJ10113">
        <v>2.66</v>
      </c>
      <c r="AT10113">
        <v>2.68</v>
      </c>
      <c r="BC10113">
        <v>3.39</v>
      </c>
      <c r="BM10113">
        <v>4.55</v>
      </c>
      <c r="BW10113">
        <v>5.47</v>
      </c>
    </row>
    <row r="10114" spans="1:75" x14ac:dyDescent="0.25">
      <c r="A10114" t="s">
        <v>8971</v>
      </c>
      <c r="R10114" t="s">
        <v>4905</v>
      </c>
      <c r="Z10114">
        <v>3.9</v>
      </c>
      <c r="AJ10114">
        <v>3.87</v>
      </c>
      <c r="AT10114">
        <v>4.12</v>
      </c>
      <c r="BC10114">
        <v>3.92</v>
      </c>
      <c r="BM10114">
        <v>3.79</v>
      </c>
      <c r="BW10114">
        <v>3.39</v>
      </c>
    </row>
    <row r="10115" spans="1:75" x14ac:dyDescent="0.25">
      <c r="A10115" t="s">
        <v>8973</v>
      </c>
      <c r="Z10115">
        <v>4.62</v>
      </c>
      <c r="AJ10115">
        <v>4.5999999999999996</v>
      </c>
      <c r="AT10115">
        <v>4.5999999999999996</v>
      </c>
      <c r="BC10115">
        <v>4.4000000000000004</v>
      </c>
      <c r="BM10115">
        <v>4.4000000000000004</v>
      </c>
      <c r="BW10115">
        <v>4.4000000000000004</v>
      </c>
    </row>
    <row r="10116" spans="1:75" x14ac:dyDescent="0.25">
      <c r="A10116" t="s">
        <v>4977</v>
      </c>
      <c r="Z10116" t="s">
        <v>2880</v>
      </c>
      <c r="AJ10116" t="s">
        <v>2880</v>
      </c>
      <c r="AT10116" t="s">
        <v>2880</v>
      </c>
      <c r="BM10116" t="s">
        <v>9963</v>
      </c>
      <c r="BW10116" t="s">
        <v>9963</v>
      </c>
    </row>
    <row r="10117" spans="1:75" x14ac:dyDescent="0.25">
      <c r="A10117" t="s">
        <v>4979</v>
      </c>
      <c r="R10117" t="s">
        <v>4918</v>
      </c>
      <c r="Z10117" t="s">
        <v>9813</v>
      </c>
      <c r="AJ10117" t="s">
        <v>9813</v>
      </c>
      <c r="AT10117" t="s">
        <v>9813</v>
      </c>
      <c r="BM10117" t="s">
        <v>9813</v>
      </c>
      <c r="BW10117" t="s">
        <v>9813</v>
      </c>
    </row>
    <row r="10118" spans="1:75" x14ac:dyDescent="0.25">
      <c r="A10118" t="s">
        <v>8975</v>
      </c>
      <c r="R10118" t="s">
        <v>2442</v>
      </c>
      <c r="Z10118" t="s">
        <v>8976</v>
      </c>
      <c r="AJ10118" t="s">
        <v>8976</v>
      </c>
      <c r="AT10118" t="s">
        <v>8976</v>
      </c>
      <c r="BM10118" t="s">
        <v>8976</v>
      </c>
      <c r="BW10118" t="s">
        <v>8976</v>
      </c>
    </row>
    <row r="10119" spans="1:75" x14ac:dyDescent="0.25">
      <c r="Z10119">
        <v>50</v>
      </c>
      <c r="AJ10119">
        <v>50</v>
      </c>
      <c r="AT10119">
        <v>50</v>
      </c>
      <c r="BC10119">
        <v>50</v>
      </c>
      <c r="BM10119">
        <v>50</v>
      </c>
      <c r="BW10119">
        <v>50</v>
      </c>
    </row>
    <row r="10120" spans="1:75" x14ac:dyDescent="0.25">
      <c r="A10120" t="s">
        <v>4982</v>
      </c>
      <c r="R10120" t="s">
        <v>4911</v>
      </c>
      <c r="Z10120">
        <v>16</v>
      </c>
      <c r="AJ10120">
        <v>16</v>
      </c>
      <c r="AT10120">
        <v>16</v>
      </c>
      <c r="BC10120">
        <v>25</v>
      </c>
      <c r="BM10120">
        <v>25</v>
      </c>
      <c r="BW10120">
        <v>32</v>
      </c>
    </row>
    <row r="10121" spans="1:75" x14ac:dyDescent="0.25">
      <c r="A10121" t="s">
        <v>10200</v>
      </c>
      <c r="R10121" t="s">
        <v>4986</v>
      </c>
      <c r="Z10121" t="s">
        <v>10269</v>
      </c>
      <c r="AJ10121" t="s">
        <v>10270</v>
      </c>
      <c r="AT10121" t="s">
        <v>5072</v>
      </c>
      <c r="BM10121" t="s">
        <v>5106</v>
      </c>
      <c r="BW10121" t="s">
        <v>10271</v>
      </c>
    </row>
    <row r="10122" spans="1:75" x14ac:dyDescent="0.25">
      <c r="A10122" t="s">
        <v>9773</v>
      </c>
    </row>
    <row r="10123" spans="1:75" x14ac:dyDescent="0.25">
      <c r="A10123" t="s">
        <v>4988</v>
      </c>
      <c r="Z10123" t="s">
        <v>10203</v>
      </c>
      <c r="AJ10123" t="s">
        <v>10204</v>
      </c>
      <c r="AT10123" t="s">
        <v>10272</v>
      </c>
      <c r="BM10123" t="s">
        <v>10206</v>
      </c>
      <c r="BW10123" t="s">
        <v>10207</v>
      </c>
    </row>
    <row r="10124" spans="1:75" x14ac:dyDescent="0.25">
      <c r="A10124" t="s">
        <v>7870</v>
      </c>
      <c r="R10124" t="s">
        <v>2431</v>
      </c>
      <c r="Z10124" t="s">
        <v>10208</v>
      </c>
      <c r="AJ10124" t="s">
        <v>10209</v>
      </c>
      <c r="AT10124" t="s">
        <v>9988</v>
      </c>
      <c r="BM10124" t="s">
        <v>10211</v>
      </c>
      <c r="BW10124" t="s">
        <v>10212</v>
      </c>
    </row>
    <row r="10125" spans="1:75" x14ac:dyDescent="0.25">
      <c r="Z10125">
        <v>1050</v>
      </c>
      <c r="AJ10125">
        <v>1230</v>
      </c>
      <c r="AT10125">
        <v>1600</v>
      </c>
      <c r="BC10125">
        <v>2010</v>
      </c>
      <c r="BM10125">
        <v>2100</v>
      </c>
      <c r="BW10125">
        <v>2130</v>
      </c>
    </row>
    <row r="10126" spans="1:75" x14ac:dyDescent="0.25">
      <c r="A10126" t="s">
        <v>8996</v>
      </c>
      <c r="R10126" t="s">
        <v>2427</v>
      </c>
      <c r="Z10126" t="s">
        <v>10214</v>
      </c>
      <c r="AJ10126" t="s">
        <v>10215</v>
      </c>
      <c r="AT10126" t="s">
        <v>10273</v>
      </c>
      <c r="BM10126" t="s">
        <v>10217</v>
      </c>
      <c r="BW10126" t="s">
        <v>10218</v>
      </c>
    </row>
    <row r="10127" spans="1:75" x14ac:dyDescent="0.25">
      <c r="A10127" t="s">
        <v>8996</v>
      </c>
      <c r="R10127" t="s">
        <v>2427</v>
      </c>
      <c r="Z10127" t="s">
        <v>10214</v>
      </c>
      <c r="AJ10127" t="s">
        <v>10215</v>
      </c>
      <c r="AT10127" t="s">
        <v>10273</v>
      </c>
      <c r="BM10127" t="s">
        <v>10217</v>
      </c>
      <c r="BW10127" t="s">
        <v>10218</v>
      </c>
    </row>
    <row r="10128" spans="1:75" x14ac:dyDescent="0.25">
      <c r="A10128" t="s">
        <v>4984</v>
      </c>
      <c r="R10128" t="s">
        <v>2433</v>
      </c>
      <c r="Z10128" t="s">
        <v>10159</v>
      </c>
      <c r="AJ10128" t="s">
        <v>10219</v>
      </c>
      <c r="AT10128" t="s">
        <v>10160</v>
      </c>
      <c r="BM10128" t="s">
        <v>10161</v>
      </c>
      <c r="BW10128" t="s">
        <v>10161</v>
      </c>
    </row>
    <row r="10129" spans="1:75" x14ac:dyDescent="0.25">
      <c r="A10129" t="s">
        <v>9010</v>
      </c>
      <c r="R10129" t="s">
        <v>713</v>
      </c>
      <c r="Z10129">
        <v>20</v>
      </c>
      <c r="AJ10129">
        <v>20</v>
      </c>
      <c r="AT10129">
        <v>24</v>
      </c>
      <c r="BC10129">
        <v>24</v>
      </c>
      <c r="BM10129">
        <v>24</v>
      </c>
      <c r="BW10129">
        <v>24</v>
      </c>
    </row>
    <row r="10130" spans="1:75" x14ac:dyDescent="0.25">
      <c r="A10130" t="s">
        <v>9504</v>
      </c>
      <c r="R10130" t="s">
        <v>2433</v>
      </c>
      <c r="Z10130" t="s">
        <v>10162</v>
      </c>
      <c r="AJ10130" t="s">
        <v>10162</v>
      </c>
      <c r="AT10130" t="s">
        <v>10162</v>
      </c>
      <c r="BM10130" t="s">
        <v>10162</v>
      </c>
      <c r="BW10130" t="s">
        <v>10162</v>
      </c>
    </row>
    <row r="10131" spans="1:75" x14ac:dyDescent="0.25">
      <c r="A10131" t="s">
        <v>9506</v>
      </c>
      <c r="R10131" t="s">
        <v>713</v>
      </c>
      <c r="Z10131">
        <v>4.2</v>
      </c>
      <c r="AJ10131">
        <v>4.2</v>
      </c>
      <c r="AT10131">
        <v>4.2</v>
      </c>
      <c r="BC10131">
        <v>4.2</v>
      </c>
      <c r="BM10131">
        <v>4.2</v>
      </c>
      <c r="BW10131">
        <v>4.2</v>
      </c>
    </row>
    <row r="10132" spans="1:75" x14ac:dyDescent="0.25">
      <c r="A10132" t="s">
        <v>1001</v>
      </c>
      <c r="R10132" t="s">
        <v>4986</v>
      </c>
      <c r="Z10132" t="s">
        <v>8979</v>
      </c>
      <c r="AJ10132" t="s">
        <v>10220</v>
      </c>
      <c r="AT10132" t="s">
        <v>9256</v>
      </c>
      <c r="BM10132" t="s">
        <v>10221</v>
      </c>
      <c r="BW10132" t="s">
        <v>9235</v>
      </c>
    </row>
    <row r="10133" spans="1:75" x14ac:dyDescent="0.25">
      <c r="A10133" t="s">
        <v>5025</v>
      </c>
      <c r="Z10133" t="s">
        <v>9897</v>
      </c>
      <c r="AJ10133" t="s">
        <v>9898</v>
      </c>
      <c r="AT10133" t="s">
        <v>9899</v>
      </c>
      <c r="BM10133" t="s">
        <v>10000</v>
      </c>
      <c r="BW10133" t="s">
        <v>10001</v>
      </c>
    </row>
    <row r="10134" spans="1:75" x14ac:dyDescent="0.25">
      <c r="A10134" t="s">
        <v>8996</v>
      </c>
      <c r="R10134" t="s">
        <v>2427</v>
      </c>
      <c r="Z10134">
        <v>46</v>
      </c>
      <c r="AJ10134">
        <v>50</v>
      </c>
      <c r="AT10134">
        <v>52</v>
      </c>
      <c r="BC10134">
        <v>53</v>
      </c>
      <c r="BM10134">
        <v>56</v>
      </c>
      <c r="BW10134">
        <v>57</v>
      </c>
    </row>
    <row r="10135" spans="1:75" x14ac:dyDescent="0.25">
      <c r="A10135" t="s">
        <v>8996</v>
      </c>
      <c r="R10135" t="s">
        <v>2427</v>
      </c>
      <c r="Z10135">
        <v>48</v>
      </c>
      <c r="AJ10135">
        <v>52</v>
      </c>
      <c r="AT10135">
        <v>55</v>
      </c>
      <c r="BC10135">
        <v>56</v>
      </c>
      <c r="BM10135">
        <v>56</v>
      </c>
      <c r="BW10135">
        <v>56</v>
      </c>
    </row>
    <row r="10136" spans="1:75" x14ac:dyDescent="0.25">
      <c r="A10136" t="s">
        <v>2435</v>
      </c>
      <c r="R10136" t="s">
        <v>2436</v>
      </c>
      <c r="Z10136" t="s">
        <v>9029</v>
      </c>
      <c r="AJ10136" t="s">
        <v>2437</v>
      </c>
      <c r="AT10136" t="s">
        <v>2437</v>
      </c>
      <c r="BM10136" t="s">
        <v>2437</v>
      </c>
      <c r="BW10136" t="s">
        <v>2437</v>
      </c>
    </row>
    <row r="10137" spans="1:75" x14ac:dyDescent="0.25">
      <c r="A10137" t="s">
        <v>9030</v>
      </c>
      <c r="R10137" t="s">
        <v>2436</v>
      </c>
      <c r="Z10137" t="s">
        <v>9836</v>
      </c>
      <c r="AJ10137" t="s">
        <v>9028</v>
      </c>
      <c r="AT10137" t="s">
        <v>9028</v>
      </c>
      <c r="BM10137" t="s">
        <v>9028</v>
      </c>
      <c r="BW10137" t="s">
        <v>9028</v>
      </c>
    </row>
    <row r="10138" spans="1:75" x14ac:dyDescent="0.25">
      <c r="A10138" t="s">
        <v>9032</v>
      </c>
      <c r="R10138" t="s">
        <v>551</v>
      </c>
      <c r="Z10138">
        <v>5</v>
      </c>
      <c r="AJ10138">
        <v>5</v>
      </c>
      <c r="AT10138">
        <v>5</v>
      </c>
      <c r="BC10138">
        <v>5</v>
      </c>
      <c r="BM10138">
        <v>5</v>
      </c>
      <c r="BW10138">
        <v>5</v>
      </c>
    </row>
    <row r="10139" spans="1:75" x14ac:dyDescent="0.25">
      <c r="A10139" t="s">
        <v>9033</v>
      </c>
      <c r="R10139" t="s">
        <v>551</v>
      </c>
      <c r="Z10139">
        <v>30</v>
      </c>
      <c r="AJ10139">
        <v>50</v>
      </c>
      <c r="AT10139">
        <v>50</v>
      </c>
      <c r="BC10139">
        <v>50</v>
      </c>
      <c r="BM10139">
        <v>50</v>
      </c>
      <c r="BW10139">
        <v>50</v>
      </c>
    </row>
    <row r="10140" spans="1:75" x14ac:dyDescent="0.25">
      <c r="A10140" t="s">
        <v>9034</v>
      </c>
      <c r="R10140" t="s">
        <v>551</v>
      </c>
      <c r="Z10140">
        <v>30</v>
      </c>
      <c r="AJ10140">
        <v>30</v>
      </c>
      <c r="AT10140">
        <v>30</v>
      </c>
      <c r="BC10140">
        <v>30</v>
      </c>
      <c r="BM10140">
        <v>30</v>
      </c>
      <c r="BW10140">
        <v>30</v>
      </c>
    </row>
    <row r="10141" spans="1:75" x14ac:dyDescent="0.25">
      <c r="A10141" t="s">
        <v>9035</v>
      </c>
      <c r="Z10141" t="s">
        <v>9037</v>
      </c>
      <c r="AJ10141" t="s">
        <v>9037</v>
      </c>
      <c r="AT10141" t="s">
        <v>9037</v>
      </c>
      <c r="BM10141" t="s">
        <v>9037</v>
      </c>
      <c r="BW10141" t="s">
        <v>9037</v>
      </c>
    </row>
    <row r="10142" spans="1:75" x14ac:dyDescent="0.25">
      <c r="A10142" t="s">
        <v>4983</v>
      </c>
      <c r="Z10142" t="s">
        <v>2440</v>
      </c>
      <c r="AJ10142" t="s">
        <v>2440</v>
      </c>
      <c r="AT10142" t="s">
        <v>2440</v>
      </c>
      <c r="BM10142" t="s">
        <v>2440</v>
      </c>
      <c r="BW10142" t="s">
        <v>2440</v>
      </c>
    </row>
    <row r="10143" spans="1:75" x14ac:dyDescent="0.25">
      <c r="A10143" t="s">
        <v>9038</v>
      </c>
      <c r="R10143" t="s">
        <v>713</v>
      </c>
      <c r="Z10143">
        <v>0.9</v>
      </c>
      <c r="AJ10143">
        <v>1.9</v>
      </c>
      <c r="AT10143">
        <v>1.9</v>
      </c>
      <c r="BC10143">
        <v>2.4</v>
      </c>
      <c r="BM10143">
        <v>2.4</v>
      </c>
      <c r="BW10143">
        <v>2.4</v>
      </c>
    </row>
    <row r="10144" spans="1:75" x14ac:dyDescent="0.25">
      <c r="A10144" t="s">
        <v>4984</v>
      </c>
      <c r="R10144" t="s">
        <v>2433</v>
      </c>
      <c r="Z10144" t="s">
        <v>9041</v>
      </c>
      <c r="AJ10144" t="s">
        <v>9902</v>
      </c>
      <c r="AT10144" t="s">
        <v>9902</v>
      </c>
      <c r="BM10144" t="s">
        <v>4926</v>
      </c>
      <c r="BW10144" t="s">
        <v>4926</v>
      </c>
    </row>
    <row r="10145" spans="1:75" x14ac:dyDescent="0.25">
      <c r="A10145" t="s">
        <v>9010</v>
      </c>
      <c r="R10145" t="s">
        <v>713</v>
      </c>
      <c r="Z10145">
        <v>40</v>
      </c>
      <c r="AJ10145">
        <v>47</v>
      </c>
      <c r="AT10145">
        <v>47</v>
      </c>
      <c r="BC10145">
        <v>85</v>
      </c>
      <c r="BM10145">
        <v>85</v>
      </c>
      <c r="BW10145">
        <v>88</v>
      </c>
    </row>
    <row r="10146" spans="1:75" x14ac:dyDescent="0.25">
      <c r="A10146" t="s">
        <v>1001</v>
      </c>
      <c r="R10146" t="s">
        <v>4986</v>
      </c>
      <c r="Z10146" t="s">
        <v>8982</v>
      </c>
      <c r="AJ10146" t="s">
        <v>9903</v>
      </c>
      <c r="AT10146" t="s">
        <v>9904</v>
      </c>
      <c r="BM10146" t="s">
        <v>9816</v>
      </c>
      <c r="BW10146" t="s">
        <v>10002</v>
      </c>
    </row>
    <row r="10147" spans="1:75" x14ac:dyDescent="0.25">
      <c r="A10147" t="s">
        <v>9843</v>
      </c>
    </row>
    <row r="10148" spans="1:75" x14ac:dyDescent="0.25">
      <c r="A10148" t="s">
        <v>10274</v>
      </c>
    </row>
    <row r="10150" spans="1:75" x14ac:dyDescent="0.25">
      <c r="A10150" t="s">
        <v>10275</v>
      </c>
    </row>
    <row r="10151" spans="1:75" x14ac:dyDescent="0.25">
      <c r="A10151" t="s">
        <v>8930</v>
      </c>
      <c r="Z10151" t="s">
        <v>10276</v>
      </c>
      <c r="AT10151" t="s">
        <v>10277</v>
      </c>
      <c r="BM10151" t="s">
        <v>10278</v>
      </c>
    </row>
    <row r="10152" spans="1:75" x14ac:dyDescent="0.25">
      <c r="A10152" t="s">
        <v>8937</v>
      </c>
      <c r="R10152" t="s">
        <v>2424</v>
      </c>
      <c r="Z10152">
        <v>9.5</v>
      </c>
      <c r="AT10152">
        <v>12.1</v>
      </c>
      <c r="BM10152">
        <v>14</v>
      </c>
    </row>
    <row r="10153" spans="1:75" x14ac:dyDescent="0.25">
      <c r="A10153" t="s">
        <v>8938</v>
      </c>
      <c r="R10153" t="s">
        <v>2424</v>
      </c>
      <c r="Z10153" t="s">
        <v>9801</v>
      </c>
      <c r="AT10153" t="s">
        <v>9954</v>
      </c>
      <c r="BM10153" t="s">
        <v>9955</v>
      </c>
    </row>
    <row r="10154" spans="1:75" x14ac:dyDescent="0.25">
      <c r="A10154" t="s">
        <v>8945</v>
      </c>
      <c r="R10154" t="s">
        <v>2424</v>
      </c>
      <c r="Z10154" t="s">
        <v>10279</v>
      </c>
      <c r="AT10154" t="s">
        <v>10280</v>
      </c>
      <c r="BM10154" t="s">
        <v>10281</v>
      </c>
    </row>
    <row r="10155" spans="1:75" x14ac:dyDescent="0.25">
      <c r="A10155" t="s">
        <v>8953</v>
      </c>
      <c r="R10155" t="s">
        <v>4905</v>
      </c>
      <c r="Z10155">
        <v>3.76</v>
      </c>
      <c r="AT10155">
        <v>3.17</v>
      </c>
      <c r="BM10155">
        <v>2.84</v>
      </c>
    </row>
    <row r="10156" spans="1:75" x14ac:dyDescent="0.25">
      <c r="A10156" t="s">
        <v>8955</v>
      </c>
      <c r="Z10156">
        <v>7.15</v>
      </c>
      <c r="AT10156">
        <v>6.91</v>
      </c>
      <c r="BM10156">
        <v>6.53</v>
      </c>
    </row>
    <row r="10157" spans="1:75" x14ac:dyDescent="0.25">
      <c r="A10157" t="s">
        <v>4977</v>
      </c>
      <c r="Z10157" t="s">
        <v>2880</v>
      </c>
      <c r="AT10157" t="s">
        <v>9963</v>
      </c>
      <c r="BM10157" t="s">
        <v>9963</v>
      </c>
    </row>
    <row r="10158" spans="1:75" x14ac:dyDescent="0.25">
      <c r="A10158" t="s">
        <v>4979</v>
      </c>
      <c r="R10158" t="s">
        <v>4918</v>
      </c>
      <c r="Z10158" t="s">
        <v>9806</v>
      </c>
      <c r="AT10158" t="s">
        <v>9806</v>
      </c>
      <c r="BM10158" t="s">
        <v>9806</v>
      </c>
    </row>
    <row r="10159" spans="1:75" x14ac:dyDescent="0.25">
      <c r="A10159" t="s">
        <v>8957</v>
      </c>
      <c r="R10159" t="s">
        <v>2424</v>
      </c>
      <c r="Z10159">
        <v>11.2</v>
      </c>
      <c r="AT10159">
        <v>13</v>
      </c>
      <c r="BM10159">
        <v>16</v>
      </c>
    </row>
    <row r="10160" spans="1:75" x14ac:dyDescent="0.25">
      <c r="A10160" t="s">
        <v>8958</v>
      </c>
      <c r="R10160" t="s">
        <v>2424</v>
      </c>
      <c r="Z10160" t="s">
        <v>9809</v>
      </c>
      <c r="AT10160" t="s">
        <v>9964</v>
      </c>
      <c r="BM10160" t="s">
        <v>10011</v>
      </c>
    </row>
    <row r="10161" spans="1:88" x14ac:dyDescent="0.25">
      <c r="A10161" t="s">
        <v>8945</v>
      </c>
      <c r="R10161" t="s">
        <v>2424</v>
      </c>
      <c r="Z10161" t="s">
        <v>10282</v>
      </c>
      <c r="AT10161" t="s">
        <v>10283</v>
      </c>
      <c r="BM10161" t="s">
        <v>10284</v>
      </c>
    </row>
    <row r="10162" spans="1:88" x14ac:dyDescent="0.25">
      <c r="A10162" t="s">
        <v>8971</v>
      </c>
      <c r="R10162" t="s">
        <v>4905</v>
      </c>
      <c r="Z10162">
        <v>3.97</v>
      </c>
      <c r="AT10162">
        <v>3.83</v>
      </c>
      <c r="BM10162">
        <v>3.44</v>
      </c>
    </row>
    <row r="10163" spans="1:88" x14ac:dyDescent="0.25">
      <c r="A10163" t="s">
        <v>8973</v>
      </c>
      <c r="Z10163">
        <v>4.29</v>
      </c>
      <c r="AT10163">
        <v>4.3</v>
      </c>
      <c r="BM10163">
        <v>4.38</v>
      </c>
    </row>
    <row r="10164" spans="1:88" x14ac:dyDescent="0.25">
      <c r="A10164" t="s">
        <v>4977</v>
      </c>
      <c r="Z10164" t="s">
        <v>9104</v>
      </c>
      <c r="AT10164" t="s">
        <v>9963</v>
      </c>
      <c r="BM10164" t="s">
        <v>9963</v>
      </c>
    </row>
    <row r="10165" spans="1:88" x14ac:dyDescent="0.25">
      <c r="A10165" t="s">
        <v>4979</v>
      </c>
      <c r="R10165" t="s">
        <v>4918</v>
      </c>
      <c r="Z10165" t="s">
        <v>9813</v>
      </c>
      <c r="AT10165" t="s">
        <v>9813</v>
      </c>
      <c r="BM10165" t="s">
        <v>9813</v>
      </c>
    </row>
    <row r="10166" spans="1:88" x14ac:dyDescent="0.25">
      <c r="A10166" t="s">
        <v>8975</v>
      </c>
      <c r="R10166" t="s">
        <v>2442</v>
      </c>
      <c r="Z10166" t="s">
        <v>4910</v>
      </c>
      <c r="AT10166" t="s">
        <v>4910</v>
      </c>
      <c r="BM10166" t="s">
        <v>4910</v>
      </c>
    </row>
    <row r="10167" spans="1:88" x14ac:dyDescent="0.25">
      <c r="A10167" t="s">
        <v>4982</v>
      </c>
      <c r="R10167" t="s">
        <v>4911</v>
      </c>
      <c r="Z10167" t="s">
        <v>4917</v>
      </c>
      <c r="AT10167" t="s">
        <v>4917</v>
      </c>
      <c r="BM10167" t="s">
        <v>4917</v>
      </c>
    </row>
    <row r="10168" spans="1:88" x14ac:dyDescent="0.25">
      <c r="A10168" t="s">
        <v>10239</v>
      </c>
      <c r="R10168" t="s">
        <v>4986</v>
      </c>
      <c r="Z10168" t="s">
        <v>10285</v>
      </c>
      <c r="AT10168" t="s">
        <v>10286</v>
      </c>
      <c r="BM10168" t="s">
        <v>10287</v>
      </c>
    </row>
    <row r="10170" spans="1:88" x14ac:dyDescent="0.25">
      <c r="A10170" t="s">
        <v>4988</v>
      </c>
      <c r="Z10170" t="s">
        <v>10205</v>
      </c>
      <c r="AT10170" t="s">
        <v>10206</v>
      </c>
      <c r="BM10170" t="s">
        <v>10207</v>
      </c>
    </row>
    <row r="10171" spans="1:88" x14ac:dyDescent="0.25">
      <c r="A10171" t="s">
        <v>7870</v>
      </c>
      <c r="R10171" t="s">
        <v>2431</v>
      </c>
      <c r="Z10171" t="s">
        <v>10242</v>
      </c>
      <c r="AT10171" t="s">
        <v>10243</v>
      </c>
      <c r="BM10171" t="s">
        <v>10244</v>
      </c>
    </row>
    <row r="10172" spans="1:88" x14ac:dyDescent="0.25">
      <c r="A10172" t="s">
        <v>8996</v>
      </c>
      <c r="R10172" t="s">
        <v>2427</v>
      </c>
      <c r="Z10172" t="s">
        <v>10216</v>
      </c>
      <c r="AT10172" t="s">
        <v>10217</v>
      </c>
      <c r="BM10172" t="s">
        <v>10218</v>
      </c>
    </row>
    <row r="10173" spans="1:88" x14ac:dyDescent="0.25">
      <c r="CJ10173" t="s">
        <v>9773</v>
      </c>
    </row>
    <row r="10174" spans="1:88" x14ac:dyDescent="0.25">
      <c r="A10174" t="s">
        <v>8996</v>
      </c>
      <c r="R10174" t="s">
        <v>2427</v>
      </c>
      <c r="Z10174" t="s">
        <v>10216</v>
      </c>
      <c r="AT10174" t="s">
        <v>10217</v>
      </c>
      <c r="BM10174" t="s">
        <v>10218</v>
      </c>
    </row>
    <row r="10175" spans="1:88" x14ac:dyDescent="0.25">
      <c r="A10175" t="s">
        <v>4984</v>
      </c>
      <c r="R10175" t="s">
        <v>2433</v>
      </c>
      <c r="Z10175" t="s">
        <v>10161</v>
      </c>
      <c r="AT10175" t="s">
        <v>10161</v>
      </c>
      <c r="BM10175" t="s">
        <v>10161</v>
      </c>
    </row>
    <row r="10176" spans="1:88" x14ac:dyDescent="0.25">
      <c r="A10176" t="s">
        <v>9010</v>
      </c>
      <c r="R10176" t="s">
        <v>713</v>
      </c>
      <c r="Z10176">
        <v>24</v>
      </c>
      <c r="AT10176">
        <v>24</v>
      </c>
      <c r="BM10176">
        <v>24</v>
      </c>
    </row>
    <row r="10177" spans="1:65" x14ac:dyDescent="0.25">
      <c r="A10177" t="s">
        <v>9504</v>
      </c>
      <c r="R10177" t="s">
        <v>2433</v>
      </c>
      <c r="Z10177" t="s">
        <v>10162</v>
      </c>
      <c r="AT10177" t="s">
        <v>10162</v>
      </c>
      <c r="BM10177" t="s">
        <v>10162</v>
      </c>
    </row>
    <row r="10178" spans="1:65" x14ac:dyDescent="0.25">
      <c r="A10178" t="s">
        <v>9506</v>
      </c>
      <c r="R10178" t="s">
        <v>713</v>
      </c>
      <c r="Z10178">
        <v>4.2</v>
      </c>
      <c r="AT10178">
        <v>4.2</v>
      </c>
      <c r="BM10178">
        <v>4.2</v>
      </c>
    </row>
    <row r="10179" spans="1:65" x14ac:dyDescent="0.25">
      <c r="A10179" t="s">
        <v>1001</v>
      </c>
      <c r="R10179" t="s">
        <v>4986</v>
      </c>
      <c r="Z10179" t="s">
        <v>9135</v>
      </c>
      <c r="AT10179" t="s">
        <v>10221</v>
      </c>
      <c r="BM10179" t="s">
        <v>9235</v>
      </c>
    </row>
    <row r="10181" spans="1:65" x14ac:dyDescent="0.25">
      <c r="A10181" t="s">
        <v>5025</v>
      </c>
      <c r="Z10181" t="s">
        <v>9901</v>
      </c>
      <c r="AT10181" t="s">
        <v>10020</v>
      </c>
      <c r="BM10181" t="s">
        <v>10021</v>
      </c>
    </row>
    <row r="10182" spans="1:65" x14ac:dyDescent="0.25">
      <c r="A10182" t="s">
        <v>8996</v>
      </c>
      <c r="R10182" t="s">
        <v>2427</v>
      </c>
      <c r="Z10182">
        <v>53</v>
      </c>
      <c r="AT10182">
        <v>56</v>
      </c>
      <c r="BM10182">
        <v>57</v>
      </c>
    </row>
    <row r="10183" spans="1:65" x14ac:dyDescent="0.25">
      <c r="A10183" t="s">
        <v>8996</v>
      </c>
      <c r="R10183" t="s">
        <v>2427</v>
      </c>
      <c r="Z10183">
        <v>56</v>
      </c>
      <c r="AT10183">
        <v>56</v>
      </c>
      <c r="BM10183">
        <v>56</v>
      </c>
    </row>
    <row r="10184" spans="1:65" x14ac:dyDescent="0.25">
      <c r="A10184" t="s">
        <v>2435</v>
      </c>
      <c r="R10184" t="s">
        <v>2436</v>
      </c>
      <c r="Z10184" t="s">
        <v>2437</v>
      </c>
      <c r="AT10184" t="s">
        <v>2437</v>
      </c>
      <c r="BM10184" t="s">
        <v>2437</v>
      </c>
    </row>
    <row r="10185" spans="1:65" x14ac:dyDescent="0.25">
      <c r="A10185" t="s">
        <v>9030</v>
      </c>
      <c r="R10185" t="s">
        <v>2436</v>
      </c>
      <c r="Z10185" t="s">
        <v>9028</v>
      </c>
      <c r="AT10185" t="s">
        <v>9028</v>
      </c>
      <c r="BM10185" t="s">
        <v>9028</v>
      </c>
    </row>
    <row r="10186" spans="1:65" x14ac:dyDescent="0.25">
      <c r="A10186" t="s">
        <v>9032</v>
      </c>
      <c r="R10186" t="s">
        <v>551</v>
      </c>
      <c r="Z10186">
        <v>5</v>
      </c>
      <c r="AT10186">
        <v>5</v>
      </c>
      <c r="BM10186">
        <v>5</v>
      </c>
    </row>
    <row r="10187" spans="1:65" x14ac:dyDescent="0.25">
      <c r="A10187" t="s">
        <v>9033</v>
      </c>
      <c r="R10187" t="s">
        <v>551</v>
      </c>
      <c r="Z10187">
        <v>50</v>
      </c>
      <c r="AT10187">
        <v>50</v>
      </c>
      <c r="BM10187">
        <v>50</v>
      </c>
    </row>
    <row r="10188" spans="1:65" x14ac:dyDescent="0.25">
      <c r="A10188" t="s">
        <v>9034</v>
      </c>
      <c r="R10188" t="s">
        <v>551</v>
      </c>
      <c r="Z10188">
        <v>30</v>
      </c>
      <c r="AT10188">
        <v>30</v>
      </c>
      <c r="BM10188">
        <v>30</v>
      </c>
    </row>
    <row r="10190" spans="1:65" x14ac:dyDescent="0.25">
      <c r="A10190" t="s">
        <v>9035</v>
      </c>
      <c r="Z10190" t="s">
        <v>9037</v>
      </c>
      <c r="AT10190" t="s">
        <v>9037</v>
      </c>
      <c r="BM10190" t="s">
        <v>9037</v>
      </c>
    </row>
    <row r="10191" spans="1:65" x14ac:dyDescent="0.25">
      <c r="A10191" t="s">
        <v>4983</v>
      </c>
      <c r="Z10191" t="s">
        <v>2440</v>
      </c>
      <c r="AT10191" t="s">
        <v>10288</v>
      </c>
      <c r="BM10191" t="s">
        <v>2440</v>
      </c>
    </row>
    <row r="10192" spans="1:65" x14ac:dyDescent="0.25">
      <c r="A10192" t="s">
        <v>9038</v>
      </c>
      <c r="R10192" t="s">
        <v>713</v>
      </c>
      <c r="Z10192">
        <v>2.4</v>
      </c>
      <c r="AT10192">
        <v>2.4</v>
      </c>
      <c r="BM10192">
        <v>2.4</v>
      </c>
    </row>
    <row r="10193" spans="1:84" x14ac:dyDescent="0.25">
      <c r="A10193" t="s">
        <v>4984</v>
      </c>
      <c r="R10193" t="s">
        <v>2433</v>
      </c>
      <c r="Z10193" t="s">
        <v>4926</v>
      </c>
      <c r="AT10193" t="s">
        <v>4926</v>
      </c>
      <c r="BM10193" t="s">
        <v>4926</v>
      </c>
    </row>
    <row r="10194" spans="1:84" x14ac:dyDescent="0.25">
      <c r="A10194" t="s">
        <v>9010</v>
      </c>
      <c r="R10194" t="s">
        <v>713</v>
      </c>
      <c r="Z10194">
        <v>85</v>
      </c>
      <c r="AT10194">
        <v>85</v>
      </c>
      <c r="BM10194">
        <v>88</v>
      </c>
    </row>
    <row r="10195" spans="1:84" x14ac:dyDescent="0.25">
      <c r="A10195" t="s">
        <v>1001</v>
      </c>
      <c r="R10195" t="s">
        <v>4986</v>
      </c>
      <c r="Z10195" t="s">
        <v>9906</v>
      </c>
      <c r="AT10195" t="s">
        <v>10022</v>
      </c>
      <c r="BM10195" t="s">
        <v>5108</v>
      </c>
    </row>
    <row r="10196" spans="1:84" x14ac:dyDescent="0.25">
      <c r="A10196" t="s">
        <v>10249</v>
      </c>
    </row>
    <row r="10197" spans="1:84" x14ac:dyDescent="0.25">
      <c r="A10197" t="s">
        <v>10289</v>
      </c>
    </row>
    <row r="10199" spans="1:84" x14ac:dyDescent="0.25">
      <c r="A10199" t="s">
        <v>10290</v>
      </c>
    </row>
    <row r="10201" spans="1:84" x14ac:dyDescent="0.25">
      <c r="A10201" t="s">
        <v>10291</v>
      </c>
    </row>
    <row r="10203" spans="1:84" x14ac:dyDescent="0.25">
      <c r="G10203" t="s">
        <v>8930</v>
      </c>
      <c r="AF10203" t="s">
        <v>10292</v>
      </c>
      <c r="AM10203" t="s">
        <v>10293</v>
      </c>
      <c r="BE10203" t="s">
        <v>10294</v>
      </c>
      <c r="BM10203" t="s">
        <v>10295</v>
      </c>
      <c r="BU10203" t="s">
        <v>10296</v>
      </c>
      <c r="CF10203" t="s">
        <v>10297</v>
      </c>
    </row>
    <row r="10204" spans="1:84" x14ac:dyDescent="0.25">
      <c r="G10204" t="s">
        <v>8937</v>
      </c>
      <c r="X10204" t="s">
        <v>2424</v>
      </c>
      <c r="AF10204">
        <v>5</v>
      </c>
      <c r="AM10204">
        <v>7.1</v>
      </c>
      <c r="AW10204">
        <v>10</v>
      </c>
      <c r="BE10204">
        <v>12.5</v>
      </c>
      <c r="BM10204">
        <v>10</v>
      </c>
      <c r="BU10204">
        <v>12.5</v>
      </c>
      <c r="CF10204">
        <v>14</v>
      </c>
    </row>
    <row r="10205" spans="1:84" x14ac:dyDescent="0.25">
      <c r="G10205" t="s">
        <v>8938</v>
      </c>
      <c r="X10205" t="s">
        <v>2424</v>
      </c>
      <c r="AF10205" t="s">
        <v>9408</v>
      </c>
      <c r="AM10205" t="s">
        <v>9854</v>
      </c>
      <c r="AW10205" t="s">
        <v>9914</v>
      </c>
      <c r="BE10205" t="s">
        <v>10043</v>
      </c>
      <c r="BM10205" t="s">
        <v>10070</v>
      </c>
      <c r="BU10205" t="s">
        <v>10071</v>
      </c>
      <c r="CF10205" t="s">
        <v>2425</v>
      </c>
    </row>
    <row r="10206" spans="1:84" x14ac:dyDescent="0.25">
      <c r="G10206" t="s">
        <v>8945</v>
      </c>
      <c r="X10206" t="s">
        <v>2424</v>
      </c>
      <c r="AF10206" t="s">
        <v>10298</v>
      </c>
      <c r="AM10206" t="s">
        <v>10299</v>
      </c>
      <c r="AW10206" t="s">
        <v>10300</v>
      </c>
      <c r="BE10206" t="s">
        <v>10301</v>
      </c>
      <c r="BM10206" t="s">
        <v>10302</v>
      </c>
      <c r="BU10206" t="s">
        <v>10303</v>
      </c>
      <c r="CF10206" t="s">
        <v>10304</v>
      </c>
    </row>
    <row r="10207" spans="1:84" x14ac:dyDescent="0.25">
      <c r="AF10207">
        <v>1.97</v>
      </c>
      <c r="AM10207">
        <v>3.15</v>
      </c>
      <c r="AW10207">
        <v>2.8</v>
      </c>
      <c r="BE10207">
        <v>3.55</v>
      </c>
      <c r="BM10207">
        <v>3.6</v>
      </c>
      <c r="BU10207">
        <v>4.4000000000000004</v>
      </c>
      <c r="CF10207">
        <v>5.7</v>
      </c>
    </row>
    <row r="10208" spans="1:84" x14ac:dyDescent="0.25">
      <c r="G10208" t="s">
        <v>8953</v>
      </c>
      <c r="X10208" t="s">
        <v>4905</v>
      </c>
      <c r="AF10208">
        <v>4.0999999999999996</v>
      </c>
      <c r="AM10208">
        <v>4.49</v>
      </c>
      <c r="AW10208">
        <v>4.6900000000000004</v>
      </c>
      <c r="BE10208">
        <v>3.96</v>
      </c>
      <c r="BM10208">
        <v>4.3099999999999996</v>
      </c>
      <c r="BU10208">
        <v>3.65</v>
      </c>
      <c r="CF10208">
        <v>3.23</v>
      </c>
    </row>
    <row r="10209" spans="1:84" x14ac:dyDescent="0.25">
      <c r="G10209" t="s">
        <v>8955</v>
      </c>
      <c r="AF10209">
        <v>7.73</v>
      </c>
      <c r="AM10209">
        <v>8.9600000000000009</v>
      </c>
      <c r="AW10209">
        <v>9</v>
      </c>
      <c r="BE10209">
        <v>8.59</v>
      </c>
      <c r="BM10209">
        <v>7.32</v>
      </c>
      <c r="BU10209">
        <v>7.35</v>
      </c>
      <c r="CF10209">
        <v>6.99</v>
      </c>
    </row>
    <row r="10210" spans="1:84" x14ac:dyDescent="0.25">
      <c r="G10210" t="s">
        <v>4977</v>
      </c>
      <c r="AF10210" t="s">
        <v>2880</v>
      </c>
      <c r="AM10210" t="s">
        <v>2879</v>
      </c>
      <c r="AW10210" t="s">
        <v>2879</v>
      </c>
      <c r="BE10210" t="s">
        <v>9963</v>
      </c>
      <c r="BM10210" t="s">
        <v>2880</v>
      </c>
      <c r="BU10210" t="s">
        <v>9963</v>
      </c>
      <c r="CF10210" t="s">
        <v>9963</v>
      </c>
    </row>
    <row r="10211" spans="1:84" x14ac:dyDescent="0.25">
      <c r="G10211" t="s">
        <v>4979</v>
      </c>
      <c r="X10211" t="s">
        <v>4918</v>
      </c>
      <c r="AF10211" t="s">
        <v>9921</v>
      </c>
      <c r="AM10211" t="s">
        <v>9921</v>
      </c>
      <c r="AW10211" t="s">
        <v>9921</v>
      </c>
      <c r="BE10211" t="s">
        <v>9921</v>
      </c>
      <c r="BM10211" t="s">
        <v>9806</v>
      </c>
      <c r="BU10211" t="s">
        <v>9806</v>
      </c>
      <c r="CF10211" t="s">
        <v>9806</v>
      </c>
    </row>
    <row r="10212" spans="1:84" x14ac:dyDescent="0.25">
      <c r="G10212" t="s">
        <v>8957</v>
      </c>
      <c r="X10212" t="s">
        <v>2424</v>
      </c>
      <c r="AF10212">
        <v>5.6</v>
      </c>
      <c r="AM10212">
        <v>8</v>
      </c>
      <c r="AW10212">
        <v>11.2</v>
      </c>
      <c r="BE10212">
        <v>14</v>
      </c>
      <c r="BM10212">
        <v>11.2</v>
      </c>
      <c r="BU10212">
        <v>14</v>
      </c>
      <c r="CF10212">
        <v>16</v>
      </c>
    </row>
    <row r="10213" spans="1:84" x14ac:dyDescent="0.25">
      <c r="G10213" t="s">
        <v>8958</v>
      </c>
      <c r="X10213" t="s">
        <v>2424</v>
      </c>
      <c r="AF10213" t="s">
        <v>10137</v>
      </c>
      <c r="AM10213" t="s">
        <v>9923</v>
      </c>
      <c r="AW10213" t="s">
        <v>9924</v>
      </c>
      <c r="BE10213" t="s">
        <v>10049</v>
      </c>
      <c r="BM10213" t="s">
        <v>10305</v>
      </c>
      <c r="BU10213" t="s">
        <v>10076</v>
      </c>
      <c r="CF10213" t="s">
        <v>2426</v>
      </c>
    </row>
    <row r="10214" spans="1:84" x14ac:dyDescent="0.25">
      <c r="G10214" t="s">
        <v>8945</v>
      </c>
      <c r="X10214" t="s">
        <v>2424</v>
      </c>
      <c r="AF10214" t="s">
        <v>10306</v>
      </c>
      <c r="AM10214" t="s">
        <v>10307</v>
      </c>
      <c r="AW10214" t="s">
        <v>10308</v>
      </c>
      <c r="BE10214" t="s">
        <v>10309</v>
      </c>
      <c r="BM10214" t="s">
        <v>10310</v>
      </c>
      <c r="BU10214" t="s">
        <v>10311</v>
      </c>
      <c r="CF10214" t="s">
        <v>10312</v>
      </c>
    </row>
    <row r="10215" spans="1:84" x14ac:dyDescent="0.25">
      <c r="AF10215">
        <v>2.76</v>
      </c>
      <c r="AM10215">
        <v>3.47</v>
      </c>
      <c r="AW10215">
        <v>2.98</v>
      </c>
      <c r="BE10215">
        <v>4.38</v>
      </c>
      <c r="BM10215">
        <v>4.3</v>
      </c>
      <c r="BU10215">
        <v>5.5</v>
      </c>
      <c r="CF10215">
        <v>6.51</v>
      </c>
    </row>
    <row r="10216" spans="1:84" x14ac:dyDescent="0.25">
      <c r="A10216" t="s">
        <v>9773</v>
      </c>
      <c r="G10216" t="s">
        <v>8971</v>
      </c>
      <c r="X10216" t="s">
        <v>4905</v>
      </c>
      <c r="AF10216">
        <v>4.3099999999999996</v>
      </c>
      <c r="AM10216">
        <v>4.5199999999999996</v>
      </c>
      <c r="AW10216">
        <v>4.79</v>
      </c>
      <c r="BE10216">
        <v>4.3600000000000003</v>
      </c>
      <c r="BM10216">
        <v>4.6500000000000004</v>
      </c>
      <c r="BU10216">
        <v>4.1100000000000003</v>
      </c>
      <c r="CF10216">
        <v>3.74</v>
      </c>
    </row>
    <row r="10217" spans="1:84" x14ac:dyDescent="0.25">
      <c r="G10217" t="s">
        <v>8973</v>
      </c>
      <c r="AF10217">
        <v>4.9800000000000004</v>
      </c>
      <c r="AM10217">
        <v>5.24</v>
      </c>
      <c r="AW10217">
        <v>4.76</v>
      </c>
      <c r="BE10217">
        <v>4.75</v>
      </c>
      <c r="BM10217">
        <v>4.38</v>
      </c>
      <c r="BU10217">
        <v>4.38</v>
      </c>
      <c r="CF10217">
        <v>4.38</v>
      </c>
    </row>
    <row r="10218" spans="1:84" x14ac:dyDescent="0.25">
      <c r="G10218" t="s">
        <v>4977</v>
      </c>
      <c r="AF10218" t="s">
        <v>2880</v>
      </c>
      <c r="AM10218" t="s">
        <v>2879</v>
      </c>
      <c r="AW10218" t="s">
        <v>2880</v>
      </c>
      <c r="BE10218" t="s">
        <v>9963</v>
      </c>
      <c r="BM10218" t="s">
        <v>9104</v>
      </c>
      <c r="BU10218" t="s">
        <v>9963</v>
      </c>
      <c r="CF10218" t="s">
        <v>9963</v>
      </c>
    </row>
    <row r="10219" spans="1:84" x14ac:dyDescent="0.25">
      <c r="G10219" t="s">
        <v>4979</v>
      </c>
      <c r="X10219" t="s">
        <v>4918</v>
      </c>
      <c r="AF10219" t="s">
        <v>9930</v>
      </c>
      <c r="AM10219" t="s">
        <v>9931</v>
      </c>
      <c r="AW10219" t="s">
        <v>9930</v>
      </c>
      <c r="BE10219" t="s">
        <v>9930</v>
      </c>
      <c r="BM10219" t="s">
        <v>9932</v>
      </c>
      <c r="BU10219" t="s">
        <v>9932</v>
      </c>
      <c r="CF10219" t="s">
        <v>9932</v>
      </c>
    </row>
    <row r="10220" spans="1:84" x14ac:dyDescent="0.25">
      <c r="G10220" t="s">
        <v>8975</v>
      </c>
      <c r="X10220" t="s">
        <v>2442</v>
      </c>
      <c r="AF10220" t="s">
        <v>8976</v>
      </c>
      <c r="AM10220" t="s">
        <v>8976</v>
      </c>
      <c r="AW10220" t="s">
        <v>8976</v>
      </c>
      <c r="BE10220" t="s">
        <v>8976</v>
      </c>
      <c r="BM10220" t="s">
        <v>9874</v>
      </c>
      <c r="BU10220" t="s">
        <v>9874</v>
      </c>
      <c r="CF10220" t="s">
        <v>9874</v>
      </c>
    </row>
    <row r="10221" spans="1:84" x14ac:dyDescent="0.25">
      <c r="AF10221">
        <v>50</v>
      </c>
      <c r="AM10221">
        <v>50</v>
      </c>
      <c r="AW10221">
        <v>50</v>
      </c>
      <c r="BE10221">
        <v>50</v>
      </c>
      <c r="BM10221">
        <v>50</v>
      </c>
      <c r="BU10221">
        <v>50</v>
      </c>
      <c r="CF10221">
        <v>50</v>
      </c>
    </row>
    <row r="10222" spans="1:84" x14ac:dyDescent="0.25">
      <c r="G10222" t="s">
        <v>4982</v>
      </c>
      <c r="X10222" t="s">
        <v>4911</v>
      </c>
      <c r="AF10222">
        <v>16</v>
      </c>
      <c r="AM10222">
        <v>20</v>
      </c>
      <c r="AW10222">
        <v>25</v>
      </c>
      <c r="BE10222">
        <v>25</v>
      </c>
      <c r="BM10222" t="s">
        <v>4917</v>
      </c>
      <c r="BU10222" t="s">
        <v>4917</v>
      </c>
      <c r="CF10222" t="s">
        <v>4917</v>
      </c>
    </row>
    <row r="10223" spans="1:84" x14ac:dyDescent="0.25">
      <c r="G10223" t="s">
        <v>10239</v>
      </c>
      <c r="X10223" t="s">
        <v>4986</v>
      </c>
      <c r="AF10223" t="s">
        <v>10313</v>
      </c>
      <c r="AM10223" t="s">
        <v>10314</v>
      </c>
      <c r="AW10223" t="s">
        <v>10315</v>
      </c>
      <c r="BE10223" t="s">
        <v>10316</v>
      </c>
      <c r="BM10223" t="s">
        <v>10317</v>
      </c>
      <c r="BU10223" t="s">
        <v>10056</v>
      </c>
      <c r="CF10223" t="s">
        <v>10318</v>
      </c>
    </row>
    <row r="10225" spans="7:84" x14ac:dyDescent="0.25">
      <c r="G10225" t="s">
        <v>4988</v>
      </c>
      <c r="AF10225" t="s">
        <v>10203</v>
      </c>
      <c r="AM10225" t="s">
        <v>10204</v>
      </c>
      <c r="AW10225" t="s">
        <v>10205</v>
      </c>
      <c r="BE10225" t="s">
        <v>10206</v>
      </c>
      <c r="BM10225" t="s">
        <v>10205</v>
      </c>
      <c r="BU10225" t="s">
        <v>10206</v>
      </c>
      <c r="CF10225" t="s">
        <v>10207</v>
      </c>
    </row>
    <row r="10226" spans="7:84" x14ac:dyDescent="0.25">
      <c r="G10226" t="s">
        <v>7870</v>
      </c>
      <c r="X10226" t="s">
        <v>2431</v>
      </c>
      <c r="AF10226" t="s">
        <v>10208</v>
      </c>
      <c r="AM10226" t="s">
        <v>10209</v>
      </c>
      <c r="AW10226" t="s">
        <v>10210</v>
      </c>
      <c r="BE10226" t="s">
        <v>10211</v>
      </c>
      <c r="BM10226" t="s">
        <v>10210</v>
      </c>
      <c r="BU10226" t="s">
        <v>10211</v>
      </c>
      <c r="CF10226" t="s">
        <v>10212</v>
      </c>
    </row>
    <row r="10227" spans="7:84" x14ac:dyDescent="0.25">
      <c r="AF10227">
        <v>1050</v>
      </c>
      <c r="AM10227">
        <v>1230</v>
      </c>
      <c r="AW10227">
        <v>2010</v>
      </c>
      <c r="BE10227">
        <v>2100</v>
      </c>
      <c r="BM10227">
        <v>2010</v>
      </c>
      <c r="BU10227">
        <v>2100</v>
      </c>
      <c r="CF10227">
        <v>2130</v>
      </c>
    </row>
    <row r="10228" spans="7:84" x14ac:dyDescent="0.25">
      <c r="G10228" t="s">
        <v>8996</v>
      </c>
      <c r="X10228" t="s">
        <v>2427</v>
      </c>
      <c r="AF10228" t="s">
        <v>10214</v>
      </c>
      <c r="AM10228" t="s">
        <v>10215</v>
      </c>
      <c r="AW10228" t="s">
        <v>10216</v>
      </c>
      <c r="BE10228" t="s">
        <v>10217</v>
      </c>
      <c r="BM10228" t="s">
        <v>10216</v>
      </c>
      <c r="BU10228" t="s">
        <v>10217</v>
      </c>
      <c r="CF10228" t="s">
        <v>10218</v>
      </c>
    </row>
    <row r="10229" spans="7:84" x14ac:dyDescent="0.25">
      <c r="G10229" t="s">
        <v>8996</v>
      </c>
      <c r="X10229" t="s">
        <v>2427</v>
      </c>
      <c r="AF10229" t="s">
        <v>10214</v>
      </c>
      <c r="AM10229" t="s">
        <v>10215</v>
      </c>
      <c r="AW10229" t="s">
        <v>10216</v>
      </c>
      <c r="BE10229" t="s">
        <v>10217</v>
      </c>
      <c r="BM10229" t="s">
        <v>10216</v>
      </c>
      <c r="BU10229" t="s">
        <v>10217</v>
      </c>
      <c r="CF10229" t="s">
        <v>10218</v>
      </c>
    </row>
    <row r="10230" spans="7:84" x14ac:dyDescent="0.25">
      <c r="G10230" t="s">
        <v>4984</v>
      </c>
      <c r="X10230" t="s">
        <v>2433</v>
      </c>
      <c r="AF10230" t="s">
        <v>10159</v>
      </c>
      <c r="AM10230" t="s">
        <v>10219</v>
      </c>
      <c r="AW10230" t="s">
        <v>10161</v>
      </c>
      <c r="BE10230" t="s">
        <v>10161</v>
      </c>
      <c r="BM10230" t="s">
        <v>10161</v>
      </c>
      <c r="BU10230" t="s">
        <v>10161</v>
      </c>
      <c r="CF10230" t="s">
        <v>10161</v>
      </c>
    </row>
    <row r="10231" spans="7:84" x14ac:dyDescent="0.25">
      <c r="G10231" t="s">
        <v>9010</v>
      </c>
      <c r="X10231" t="s">
        <v>713</v>
      </c>
      <c r="AF10231">
        <v>20</v>
      </c>
      <c r="AM10231">
        <v>20</v>
      </c>
      <c r="AW10231">
        <v>24</v>
      </c>
      <c r="BE10231">
        <v>24</v>
      </c>
      <c r="BM10231">
        <v>24</v>
      </c>
      <c r="BU10231">
        <v>24</v>
      </c>
      <c r="CF10231">
        <v>24</v>
      </c>
    </row>
    <row r="10232" spans="7:84" x14ac:dyDescent="0.25">
      <c r="G10232" t="s">
        <v>9504</v>
      </c>
      <c r="X10232" t="s">
        <v>2433</v>
      </c>
      <c r="AF10232" t="s">
        <v>10162</v>
      </c>
      <c r="AM10232" t="s">
        <v>10162</v>
      </c>
      <c r="AW10232" t="s">
        <v>10162</v>
      </c>
      <c r="BE10232" t="s">
        <v>10162</v>
      </c>
      <c r="BM10232" t="s">
        <v>10162</v>
      </c>
      <c r="BU10232" t="s">
        <v>10162</v>
      </c>
      <c r="CF10232" t="s">
        <v>10162</v>
      </c>
    </row>
    <row r="10233" spans="7:84" x14ac:dyDescent="0.25">
      <c r="G10233" t="s">
        <v>9506</v>
      </c>
      <c r="X10233" t="s">
        <v>713</v>
      </c>
      <c r="AF10233">
        <v>4.2</v>
      </c>
      <c r="AM10233">
        <v>4.2</v>
      </c>
      <c r="AW10233">
        <v>4.2</v>
      </c>
      <c r="BE10233">
        <v>4.2</v>
      </c>
      <c r="BM10233">
        <v>4.2</v>
      </c>
      <c r="BU10233">
        <v>4.2</v>
      </c>
      <c r="CF10233">
        <v>4.2</v>
      </c>
    </row>
    <row r="10234" spans="7:84" x14ac:dyDescent="0.25">
      <c r="G10234" t="s">
        <v>1001</v>
      </c>
      <c r="X10234" t="s">
        <v>4986</v>
      </c>
      <c r="AF10234" t="s">
        <v>8979</v>
      </c>
      <c r="AM10234" t="s">
        <v>10220</v>
      </c>
      <c r="AW10234" t="s">
        <v>9135</v>
      </c>
      <c r="BE10234" t="s">
        <v>10221</v>
      </c>
      <c r="BM10234" t="s">
        <v>9135</v>
      </c>
      <c r="BU10234" t="s">
        <v>10221</v>
      </c>
      <c r="CF10234" t="s">
        <v>9235</v>
      </c>
    </row>
    <row r="10236" spans="7:84" x14ac:dyDescent="0.25">
      <c r="G10236" t="s">
        <v>5025</v>
      </c>
      <c r="AF10236" t="s">
        <v>9935</v>
      </c>
      <c r="AM10236" t="s">
        <v>9936</v>
      </c>
      <c r="AW10236" t="s">
        <v>9937</v>
      </c>
      <c r="BE10236" t="s">
        <v>10060</v>
      </c>
      <c r="BM10236" t="s">
        <v>9938</v>
      </c>
      <c r="BU10236" t="s">
        <v>10083</v>
      </c>
      <c r="CF10236" t="s">
        <v>10084</v>
      </c>
    </row>
    <row r="10237" spans="7:84" x14ac:dyDescent="0.25">
      <c r="G10237" t="s">
        <v>8996</v>
      </c>
      <c r="X10237" t="s">
        <v>2427</v>
      </c>
      <c r="AF10237">
        <v>46</v>
      </c>
      <c r="AM10237">
        <v>46</v>
      </c>
      <c r="AW10237">
        <v>49</v>
      </c>
      <c r="BE10237">
        <v>50</v>
      </c>
      <c r="BM10237">
        <v>49</v>
      </c>
      <c r="BU10237">
        <v>51</v>
      </c>
      <c r="CF10237">
        <v>51</v>
      </c>
    </row>
    <row r="10238" spans="7:84" x14ac:dyDescent="0.25">
      <c r="G10238" t="s">
        <v>8996</v>
      </c>
      <c r="X10238" t="s">
        <v>2427</v>
      </c>
      <c r="AF10238">
        <v>48</v>
      </c>
      <c r="AM10238">
        <v>48</v>
      </c>
      <c r="AW10238">
        <v>50</v>
      </c>
      <c r="BE10238">
        <v>51</v>
      </c>
      <c r="BM10238">
        <v>50</v>
      </c>
      <c r="BU10238">
        <v>52</v>
      </c>
      <c r="CF10238">
        <v>53</v>
      </c>
    </row>
    <row r="10239" spans="7:84" x14ac:dyDescent="0.25">
      <c r="G10239" t="s">
        <v>2435</v>
      </c>
      <c r="X10239" t="s">
        <v>2436</v>
      </c>
      <c r="AF10239" t="s">
        <v>9029</v>
      </c>
      <c r="AM10239" t="s">
        <v>2437</v>
      </c>
      <c r="AW10239" t="s">
        <v>9835</v>
      </c>
      <c r="BE10239" t="s">
        <v>9835</v>
      </c>
      <c r="BM10239" t="s">
        <v>9835</v>
      </c>
      <c r="BU10239" t="s">
        <v>2437</v>
      </c>
      <c r="CF10239" t="s">
        <v>2437</v>
      </c>
    </row>
    <row r="10240" spans="7:84" x14ac:dyDescent="0.25">
      <c r="G10240" t="s">
        <v>9030</v>
      </c>
      <c r="X10240" t="s">
        <v>2436</v>
      </c>
      <c r="AF10240" t="s">
        <v>9836</v>
      </c>
      <c r="AM10240" t="s">
        <v>9028</v>
      </c>
      <c r="AW10240" t="s">
        <v>9028</v>
      </c>
      <c r="BE10240" t="s">
        <v>9028</v>
      </c>
      <c r="BM10240" t="s">
        <v>9028</v>
      </c>
      <c r="BU10240" t="s">
        <v>9028</v>
      </c>
      <c r="CF10240" t="s">
        <v>9028</v>
      </c>
    </row>
    <row r="10241" spans="1:84" x14ac:dyDescent="0.25">
      <c r="G10241" t="s">
        <v>9032</v>
      </c>
      <c r="X10241" t="s">
        <v>551</v>
      </c>
      <c r="AF10241">
        <v>5</v>
      </c>
      <c r="AM10241">
        <v>5</v>
      </c>
      <c r="AW10241">
        <v>5</v>
      </c>
      <c r="BE10241">
        <v>5</v>
      </c>
      <c r="BM10241">
        <v>5</v>
      </c>
      <c r="BU10241">
        <v>5</v>
      </c>
      <c r="CF10241">
        <v>5</v>
      </c>
    </row>
    <row r="10242" spans="1:84" x14ac:dyDescent="0.25">
      <c r="G10242" t="s">
        <v>9033</v>
      </c>
      <c r="X10242" t="s">
        <v>551</v>
      </c>
      <c r="AF10242">
        <v>50</v>
      </c>
      <c r="AM10242">
        <v>50</v>
      </c>
      <c r="AW10242">
        <v>75</v>
      </c>
      <c r="BE10242">
        <v>75</v>
      </c>
      <c r="BM10242">
        <v>75</v>
      </c>
      <c r="BU10242">
        <v>75</v>
      </c>
      <c r="CF10242">
        <v>75</v>
      </c>
    </row>
    <row r="10243" spans="1:84" x14ac:dyDescent="0.25">
      <c r="G10243" t="s">
        <v>9034</v>
      </c>
      <c r="X10243" t="s">
        <v>551</v>
      </c>
      <c r="AF10243">
        <v>30</v>
      </c>
      <c r="AM10243">
        <v>30</v>
      </c>
      <c r="AW10243">
        <v>30</v>
      </c>
      <c r="BE10243">
        <v>30</v>
      </c>
      <c r="BM10243">
        <v>30</v>
      </c>
      <c r="BU10243">
        <v>30</v>
      </c>
      <c r="CF10243">
        <v>30</v>
      </c>
    </row>
    <row r="10244" spans="1:84" x14ac:dyDescent="0.25">
      <c r="G10244" t="s">
        <v>9035</v>
      </c>
      <c r="AF10244" t="s">
        <v>9037</v>
      </c>
      <c r="AM10244" t="s">
        <v>9037</v>
      </c>
      <c r="AW10244" t="s">
        <v>9037</v>
      </c>
      <c r="BE10244" t="s">
        <v>9037</v>
      </c>
      <c r="BM10244" t="s">
        <v>9037</v>
      </c>
      <c r="BU10244" t="s">
        <v>9037</v>
      </c>
      <c r="CF10244" t="s">
        <v>9037</v>
      </c>
    </row>
    <row r="10245" spans="1:84" x14ac:dyDescent="0.25">
      <c r="G10245" t="s">
        <v>4983</v>
      </c>
      <c r="AF10245" t="s">
        <v>2440</v>
      </c>
      <c r="AM10245" t="s">
        <v>2440</v>
      </c>
      <c r="AW10245" t="s">
        <v>2440</v>
      </c>
      <c r="BE10245" t="s">
        <v>2440</v>
      </c>
      <c r="BM10245" t="s">
        <v>2440</v>
      </c>
      <c r="BU10245" t="s">
        <v>2440</v>
      </c>
      <c r="CF10245" t="s">
        <v>2440</v>
      </c>
    </row>
    <row r="10246" spans="1:84" x14ac:dyDescent="0.25">
      <c r="G10246" t="s">
        <v>9038</v>
      </c>
      <c r="X10246" t="s">
        <v>713</v>
      </c>
      <c r="AF10246">
        <v>1.35</v>
      </c>
      <c r="AM10246">
        <v>1.3</v>
      </c>
      <c r="AW10246">
        <v>3.1</v>
      </c>
      <c r="BE10246">
        <v>3.1</v>
      </c>
      <c r="BM10246">
        <v>2.6</v>
      </c>
      <c r="BU10246">
        <v>2.6</v>
      </c>
      <c r="CF10246">
        <v>2.6</v>
      </c>
    </row>
    <row r="10247" spans="1:84" x14ac:dyDescent="0.25">
      <c r="G10247" t="s">
        <v>4984</v>
      </c>
      <c r="X10247" t="s">
        <v>2433</v>
      </c>
      <c r="AF10247" t="s">
        <v>9902</v>
      </c>
      <c r="AM10247" t="s">
        <v>4926</v>
      </c>
      <c r="AW10247" t="s">
        <v>9939</v>
      </c>
      <c r="BE10247" t="s">
        <v>9939</v>
      </c>
      <c r="BM10247" t="s">
        <v>5071</v>
      </c>
      <c r="BU10247" t="s">
        <v>5071</v>
      </c>
      <c r="CF10247" t="s">
        <v>5071</v>
      </c>
    </row>
    <row r="10248" spans="1:84" x14ac:dyDescent="0.25">
      <c r="G10248" t="s">
        <v>9010</v>
      </c>
      <c r="X10248" t="s">
        <v>713</v>
      </c>
      <c r="AF10248">
        <v>45</v>
      </c>
      <c r="AM10248">
        <v>74</v>
      </c>
      <c r="AW10248">
        <v>104</v>
      </c>
      <c r="BE10248">
        <v>104</v>
      </c>
      <c r="BM10248">
        <v>95</v>
      </c>
      <c r="BU10248">
        <v>95</v>
      </c>
      <c r="CF10248">
        <v>95</v>
      </c>
    </row>
    <row r="10249" spans="1:84" x14ac:dyDescent="0.25">
      <c r="G10249" t="s">
        <v>1001</v>
      </c>
      <c r="X10249" t="s">
        <v>4986</v>
      </c>
      <c r="AF10249" t="s">
        <v>9322</v>
      </c>
      <c r="AM10249" t="s">
        <v>9940</v>
      </c>
      <c r="AW10249" t="s">
        <v>9941</v>
      </c>
      <c r="BE10249" t="s">
        <v>10064</v>
      </c>
      <c r="BM10249" t="s">
        <v>9942</v>
      </c>
      <c r="BU10249" t="s">
        <v>10085</v>
      </c>
      <c r="CF10249" t="s">
        <v>5109</v>
      </c>
    </row>
    <row r="10250" spans="1:84" x14ac:dyDescent="0.25">
      <c r="A10250" t="s">
        <v>9843</v>
      </c>
    </row>
    <row r="10251" spans="1:84" x14ac:dyDescent="0.25">
      <c r="A10251" t="s">
        <v>10319</v>
      </c>
    </row>
    <row r="10252" spans="1:84" x14ac:dyDescent="0.25">
      <c r="A10252" t="s">
        <v>10320</v>
      </c>
    </row>
    <row r="10255" spans="1:84" x14ac:dyDescent="0.25">
      <c r="G10255" t="s">
        <v>3768</v>
      </c>
      <c r="W10255" t="s">
        <v>9049</v>
      </c>
      <c r="BT10255" t="s">
        <v>9051</v>
      </c>
    </row>
    <row r="10256" spans="1:84" x14ac:dyDescent="0.25">
      <c r="G10256" t="s">
        <v>10321</v>
      </c>
      <c r="W10256" t="s">
        <v>10322</v>
      </c>
      <c r="BT10256" t="s">
        <v>5135</v>
      </c>
    </row>
    <row r="10257" spans="7:93" x14ac:dyDescent="0.25">
      <c r="G10257" t="s">
        <v>10323</v>
      </c>
      <c r="W10257" t="s">
        <v>10324</v>
      </c>
      <c r="BT10257" t="s">
        <v>5135</v>
      </c>
    </row>
    <row r="10258" spans="7:93" x14ac:dyDescent="0.25">
      <c r="G10258" t="s">
        <v>10023</v>
      </c>
      <c r="W10258" t="s">
        <v>10024</v>
      </c>
      <c r="BT10258" t="s">
        <v>5150</v>
      </c>
    </row>
    <row r="10259" spans="7:93" x14ac:dyDescent="0.25">
      <c r="G10259" t="s">
        <v>10325</v>
      </c>
      <c r="W10259" t="s">
        <v>10326</v>
      </c>
      <c r="BT10259" t="s">
        <v>10327</v>
      </c>
    </row>
    <row r="10260" spans="7:93" x14ac:dyDescent="0.25">
      <c r="G10260" t="s">
        <v>10328</v>
      </c>
      <c r="W10260" t="s">
        <v>10329</v>
      </c>
      <c r="BT10260" t="s">
        <v>5133</v>
      </c>
    </row>
    <row r="10261" spans="7:93" x14ac:dyDescent="0.25">
      <c r="G10261" t="s">
        <v>9725</v>
      </c>
      <c r="W10261" t="s">
        <v>9726</v>
      </c>
      <c r="BT10261" t="s">
        <v>9727</v>
      </c>
    </row>
    <row r="10262" spans="7:93" x14ac:dyDescent="0.25">
      <c r="G10262" t="s">
        <v>10330</v>
      </c>
      <c r="W10262" t="s">
        <v>10331</v>
      </c>
      <c r="BT10262" t="s">
        <v>10332</v>
      </c>
    </row>
    <row r="10263" spans="7:93" x14ac:dyDescent="0.25">
      <c r="G10263" t="s">
        <v>10333</v>
      </c>
      <c r="W10263" t="s">
        <v>10334</v>
      </c>
      <c r="BT10263" t="s">
        <v>9296</v>
      </c>
    </row>
    <row r="10264" spans="7:93" x14ac:dyDescent="0.25">
      <c r="G10264" t="s">
        <v>10335</v>
      </c>
      <c r="W10264" t="s">
        <v>10336</v>
      </c>
      <c r="BT10264" t="s">
        <v>10337</v>
      </c>
    </row>
    <row r="10265" spans="7:93" x14ac:dyDescent="0.25">
      <c r="G10265" t="s">
        <v>10338</v>
      </c>
      <c r="W10265" t="s">
        <v>10339</v>
      </c>
      <c r="BT10265" t="s">
        <v>10340</v>
      </c>
    </row>
    <row r="10266" spans="7:93" x14ac:dyDescent="0.25">
      <c r="G10266" t="s">
        <v>10341</v>
      </c>
    </row>
    <row r="10267" spans="7:93" x14ac:dyDescent="0.25">
      <c r="G10267" t="s">
        <v>3768</v>
      </c>
      <c r="W10267" t="s">
        <v>9049</v>
      </c>
      <c r="BT10267" t="s">
        <v>9051</v>
      </c>
    </row>
    <row r="10268" spans="7:93" x14ac:dyDescent="0.25">
      <c r="G10268" t="s">
        <v>10342</v>
      </c>
      <c r="W10268" t="s">
        <v>10343</v>
      </c>
      <c r="BT10268" t="s">
        <v>9012</v>
      </c>
    </row>
    <row r="10269" spans="7:93" x14ac:dyDescent="0.25">
      <c r="G10269" t="s">
        <v>10330</v>
      </c>
      <c r="W10269" t="s">
        <v>10331</v>
      </c>
      <c r="BT10269" t="s">
        <v>10332</v>
      </c>
    </row>
    <row r="10270" spans="7:93" x14ac:dyDescent="0.25">
      <c r="G10270" t="s">
        <v>10344</v>
      </c>
      <c r="W10270" t="s">
        <v>10345</v>
      </c>
      <c r="BT10270" t="s">
        <v>10346</v>
      </c>
    </row>
    <row r="10272" spans="7:93" x14ac:dyDescent="0.25">
      <c r="CO10272" t="s">
        <v>9773</v>
      </c>
    </row>
    <row r="10273" spans="1:62" x14ac:dyDescent="0.25">
      <c r="A10273" t="s">
        <v>10347</v>
      </c>
    </row>
    <row r="10274" spans="1:62" x14ac:dyDescent="0.25">
      <c r="A10274" t="s">
        <v>10348</v>
      </c>
    </row>
    <row r="10277" spans="1:62" x14ac:dyDescent="0.25">
      <c r="A10277" t="s">
        <v>10349</v>
      </c>
    </row>
    <row r="10278" spans="1:62" x14ac:dyDescent="0.25">
      <c r="G10278" t="s">
        <v>8930</v>
      </c>
      <c r="AF10278" t="s">
        <v>10350</v>
      </c>
      <c r="BJ10278" t="s">
        <v>10351</v>
      </c>
    </row>
    <row r="10279" spans="1:62" x14ac:dyDescent="0.25">
      <c r="G10279" t="s">
        <v>8937</v>
      </c>
      <c r="W10279" t="s">
        <v>2424</v>
      </c>
      <c r="AF10279">
        <v>2.5</v>
      </c>
      <c r="BJ10279">
        <v>3.6</v>
      </c>
    </row>
    <row r="10280" spans="1:62" x14ac:dyDescent="0.25">
      <c r="G10280" t="s">
        <v>8938</v>
      </c>
      <c r="W10280" t="s">
        <v>2424</v>
      </c>
      <c r="AF10280" t="s">
        <v>9852</v>
      </c>
      <c r="BJ10280" t="s">
        <v>9853</v>
      </c>
    </row>
    <row r="10281" spans="1:62" x14ac:dyDescent="0.25">
      <c r="G10281" t="s">
        <v>8945</v>
      </c>
      <c r="W10281" t="s">
        <v>2424</v>
      </c>
      <c r="AF10281" t="s">
        <v>10352</v>
      </c>
      <c r="BJ10281" t="s">
        <v>10353</v>
      </c>
    </row>
    <row r="10282" spans="1:62" x14ac:dyDescent="0.25">
      <c r="G10282" t="s">
        <v>8953</v>
      </c>
      <c r="W10282" t="s">
        <v>4905</v>
      </c>
      <c r="AF10282">
        <v>3.62</v>
      </c>
      <c r="BJ10282">
        <v>3.19</v>
      </c>
    </row>
    <row r="10283" spans="1:62" x14ac:dyDescent="0.25">
      <c r="G10283" t="s">
        <v>8955</v>
      </c>
      <c r="AF10283">
        <v>6.2</v>
      </c>
      <c r="BJ10283">
        <v>6</v>
      </c>
    </row>
    <row r="10284" spans="1:62" x14ac:dyDescent="0.25">
      <c r="G10284" t="s">
        <v>4977</v>
      </c>
      <c r="AF10284" t="s">
        <v>2880</v>
      </c>
      <c r="BJ10284" t="s">
        <v>9104</v>
      </c>
    </row>
    <row r="10285" spans="1:62" x14ac:dyDescent="0.25">
      <c r="G10285" t="s">
        <v>4979</v>
      </c>
      <c r="W10285" t="s">
        <v>4918</v>
      </c>
      <c r="AF10285" t="s">
        <v>9806</v>
      </c>
      <c r="BJ10285" t="s">
        <v>9806</v>
      </c>
    </row>
    <row r="10286" spans="1:62" x14ac:dyDescent="0.25">
      <c r="G10286" t="s">
        <v>8957</v>
      </c>
      <c r="W10286" t="s">
        <v>2424</v>
      </c>
      <c r="AF10286">
        <v>3.4</v>
      </c>
      <c r="BJ10286">
        <v>4</v>
      </c>
    </row>
    <row r="10287" spans="1:62" x14ac:dyDescent="0.25">
      <c r="G10287" t="s">
        <v>8958</v>
      </c>
      <c r="W10287" t="s">
        <v>2424</v>
      </c>
      <c r="AF10287" t="s">
        <v>9863</v>
      </c>
      <c r="BJ10287" t="s">
        <v>9864</v>
      </c>
    </row>
    <row r="10288" spans="1:62" x14ac:dyDescent="0.25">
      <c r="G10288" t="s">
        <v>8945</v>
      </c>
      <c r="W10288" t="s">
        <v>2424</v>
      </c>
      <c r="AF10288" t="s">
        <v>10354</v>
      </c>
      <c r="BJ10288" t="s">
        <v>10355</v>
      </c>
    </row>
    <row r="10289" spans="1:62" x14ac:dyDescent="0.25">
      <c r="G10289" t="s">
        <v>8971</v>
      </c>
      <c r="W10289" t="s">
        <v>4905</v>
      </c>
      <c r="AF10289">
        <v>3.3</v>
      </c>
      <c r="BJ10289">
        <v>3.03</v>
      </c>
    </row>
    <row r="10290" spans="1:62" x14ac:dyDescent="0.25">
      <c r="A10290" t="s">
        <v>9773</v>
      </c>
    </row>
    <row r="10291" spans="1:62" x14ac:dyDescent="0.25">
      <c r="G10291" t="s">
        <v>8973</v>
      </c>
      <c r="AF10291">
        <v>4.0999999999999996</v>
      </c>
      <c r="BJ10291">
        <v>4</v>
      </c>
    </row>
    <row r="10292" spans="1:62" x14ac:dyDescent="0.25">
      <c r="G10292" t="s">
        <v>4977</v>
      </c>
      <c r="AF10292" t="s">
        <v>2880</v>
      </c>
      <c r="BJ10292" t="s">
        <v>9104</v>
      </c>
    </row>
    <row r="10293" spans="1:62" x14ac:dyDescent="0.25">
      <c r="G10293" t="s">
        <v>4979</v>
      </c>
      <c r="W10293" t="s">
        <v>4918</v>
      </c>
      <c r="AF10293" t="s">
        <v>9813</v>
      </c>
      <c r="BJ10293" t="s">
        <v>9813</v>
      </c>
    </row>
    <row r="10294" spans="1:62" x14ac:dyDescent="0.25">
      <c r="G10294" t="s">
        <v>8975</v>
      </c>
      <c r="W10294" t="s">
        <v>2442</v>
      </c>
      <c r="AF10294" t="s">
        <v>2443</v>
      </c>
      <c r="BJ10294" t="s">
        <v>2443</v>
      </c>
    </row>
    <row r="10295" spans="1:62" x14ac:dyDescent="0.25">
      <c r="G10295" t="s">
        <v>4982</v>
      </c>
      <c r="W10295" t="s">
        <v>4911</v>
      </c>
      <c r="AF10295">
        <v>10</v>
      </c>
      <c r="BJ10295">
        <v>10</v>
      </c>
    </row>
    <row r="10296" spans="1:62" x14ac:dyDescent="0.25">
      <c r="G10296" t="s">
        <v>10356</v>
      </c>
      <c r="W10296" t="s">
        <v>4986</v>
      </c>
      <c r="AF10296" t="s">
        <v>10357</v>
      </c>
      <c r="BJ10296" t="s">
        <v>10358</v>
      </c>
    </row>
    <row r="10298" spans="1:62" x14ac:dyDescent="0.25">
      <c r="G10298" t="s">
        <v>4988</v>
      </c>
      <c r="AF10298" t="s">
        <v>10359</v>
      </c>
      <c r="BJ10298" t="s">
        <v>10360</v>
      </c>
    </row>
    <row r="10299" spans="1:62" x14ac:dyDescent="0.25">
      <c r="G10299" t="s">
        <v>7870</v>
      </c>
      <c r="W10299" t="s">
        <v>2431</v>
      </c>
      <c r="AF10299" t="s">
        <v>10361</v>
      </c>
      <c r="BJ10299" t="s">
        <v>10362</v>
      </c>
    </row>
    <row r="10300" spans="1:62" x14ac:dyDescent="0.25">
      <c r="G10300" t="s">
        <v>8996</v>
      </c>
      <c r="W10300" t="s">
        <v>2427</v>
      </c>
      <c r="AF10300" t="s">
        <v>10363</v>
      </c>
      <c r="BJ10300" t="s">
        <v>10364</v>
      </c>
    </row>
    <row r="10301" spans="1:62" x14ac:dyDescent="0.25">
      <c r="G10301" t="s">
        <v>8996</v>
      </c>
      <c r="W10301" t="s">
        <v>2427</v>
      </c>
      <c r="AF10301" t="s">
        <v>10363</v>
      </c>
      <c r="BJ10301" t="s">
        <v>10364</v>
      </c>
    </row>
    <row r="10302" spans="1:62" x14ac:dyDescent="0.25">
      <c r="G10302" t="s">
        <v>4984</v>
      </c>
      <c r="W10302" t="s">
        <v>2433</v>
      </c>
      <c r="AF10302" t="s">
        <v>10365</v>
      </c>
      <c r="BJ10302" t="s">
        <v>10365</v>
      </c>
    </row>
    <row r="10303" spans="1:62" x14ac:dyDescent="0.25">
      <c r="G10303" t="s">
        <v>9010</v>
      </c>
      <c r="W10303" t="s">
        <v>713</v>
      </c>
      <c r="AF10303">
        <v>13</v>
      </c>
      <c r="BJ10303">
        <v>13</v>
      </c>
    </row>
    <row r="10304" spans="1:62" x14ac:dyDescent="0.25">
      <c r="G10304" t="s">
        <v>9504</v>
      </c>
      <c r="W10304" t="s">
        <v>2433</v>
      </c>
      <c r="AF10304" t="s">
        <v>10366</v>
      </c>
      <c r="BJ10304" t="s">
        <v>10366</v>
      </c>
    </row>
    <row r="10305" spans="7:62" x14ac:dyDescent="0.25">
      <c r="G10305" t="s">
        <v>9506</v>
      </c>
      <c r="W10305" t="s">
        <v>713</v>
      </c>
      <c r="AF10305">
        <v>4</v>
      </c>
      <c r="BJ10305">
        <v>4</v>
      </c>
    </row>
    <row r="10307" spans="7:62" x14ac:dyDescent="0.25">
      <c r="G10307" t="s">
        <v>1001</v>
      </c>
      <c r="W10307" t="s">
        <v>4986</v>
      </c>
      <c r="AF10307" t="s">
        <v>9047</v>
      </c>
      <c r="BJ10307" t="s">
        <v>10367</v>
      </c>
    </row>
    <row r="10309" spans="7:62" x14ac:dyDescent="0.25">
      <c r="G10309" t="s">
        <v>5025</v>
      </c>
      <c r="AF10309" t="s">
        <v>9895</v>
      </c>
      <c r="BJ10309" t="s">
        <v>9896</v>
      </c>
    </row>
    <row r="10310" spans="7:62" x14ac:dyDescent="0.25">
      <c r="G10310" t="s">
        <v>8996</v>
      </c>
      <c r="W10310" t="s">
        <v>2427</v>
      </c>
      <c r="AF10310">
        <v>46</v>
      </c>
      <c r="BJ10310">
        <v>49</v>
      </c>
    </row>
    <row r="10311" spans="7:62" x14ac:dyDescent="0.25">
      <c r="G10311" t="s">
        <v>8996</v>
      </c>
      <c r="W10311" t="s">
        <v>2427</v>
      </c>
      <c r="AF10311">
        <v>47</v>
      </c>
      <c r="BJ10311">
        <v>50</v>
      </c>
    </row>
    <row r="10312" spans="7:62" x14ac:dyDescent="0.25">
      <c r="G10312" t="s">
        <v>2435</v>
      </c>
      <c r="W10312" t="s">
        <v>2436</v>
      </c>
      <c r="AF10312" t="s">
        <v>9028</v>
      </c>
      <c r="BJ10312" t="s">
        <v>9029</v>
      </c>
    </row>
    <row r="10313" spans="7:62" x14ac:dyDescent="0.25">
      <c r="G10313" t="s">
        <v>9030</v>
      </c>
      <c r="W10313" t="s">
        <v>2436</v>
      </c>
      <c r="AF10313" t="s">
        <v>9836</v>
      </c>
      <c r="BJ10313" t="s">
        <v>9836</v>
      </c>
    </row>
    <row r="10314" spans="7:62" x14ac:dyDescent="0.25">
      <c r="G10314" t="s">
        <v>9032</v>
      </c>
      <c r="W10314" t="s">
        <v>551</v>
      </c>
      <c r="AF10314">
        <v>2</v>
      </c>
      <c r="BJ10314">
        <v>2</v>
      </c>
    </row>
    <row r="10315" spans="7:62" x14ac:dyDescent="0.25">
      <c r="G10315" t="s">
        <v>9033</v>
      </c>
      <c r="W10315" t="s">
        <v>551</v>
      </c>
      <c r="AF10315">
        <v>20</v>
      </c>
      <c r="BJ10315">
        <v>20</v>
      </c>
    </row>
    <row r="10316" spans="7:62" x14ac:dyDescent="0.25">
      <c r="G10316" t="s">
        <v>9034</v>
      </c>
      <c r="W10316" t="s">
        <v>551</v>
      </c>
      <c r="AF10316">
        <v>10</v>
      </c>
      <c r="BJ10316">
        <v>10</v>
      </c>
    </row>
    <row r="10317" spans="7:62" x14ac:dyDescent="0.25">
      <c r="G10317" t="s">
        <v>9035</v>
      </c>
      <c r="AF10317" t="s">
        <v>9037</v>
      </c>
      <c r="BJ10317" t="s">
        <v>9037</v>
      </c>
    </row>
    <row r="10318" spans="7:62" x14ac:dyDescent="0.25">
      <c r="G10318" t="s">
        <v>4983</v>
      </c>
      <c r="AF10318" t="s">
        <v>2440</v>
      </c>
      <c r="BJ10318" t="s">
        <v>2440</v>
      </c>
    </row>
    <row r="10319" spans="7:62" x14ac:dyDescent="0.25">
      <c r="G10319" t="s">
        <v>9038</v>
      </c>
      <c r="W10319" t="s">
        <v>713</v>
      </c>
      <c r="AF10319">
        <v>0.6</v>
      </c>
      <c r="BJ10319">
        <v>0.9</v>
      </c>
    </row>
    <row r="10320" spans="7:62" x14ac:dyDescent="0.25">
      <c r="G10320" t="s">
        <v>4984</v>
      </c>
      <c r="W10320" t="s">
        <v>2433</v>
      </c>
      <c r="AF10320" t="s">
        <v>9041</v>
      </c>
      <c r="BJ10320" t="s">
        <v>9041</v>
      </c>
    </row>
    <row r="10321" spans="1:65" x14ac:dyDescent="0.25">
      <c r="G10321" t="s">
        <v>9010</v>
      </c>
      <c r="W10321" t="s">
        <v>713</v>
      </c>
      <c r="AF10321">
        <v>29</v>
      </c>
      <c r="BJ10321">
        <v>34</v>
      </c>
    </row>
    <row r="10322" spans="1:65" x14ac:dyDescent="0.25">
      <c r="G10322" t="s">
        <v>1001</v>
      </c>
      <c r="W10322" t="s">
        <v>4986</v>
      </c>
      <c r="AF10322" t="s">
        <v>9435</v>
      </c>
      <c r="BJ10322" t="s">
        <v>9135</v>
      </c>
    </row>
    <row r="10324" spans="1:65" x14ac:dyDescent="0.25">
      <c r="G10324" t="s">
        <v>3768</v>
      </c>
      <c r="W10324" t="s">
        <v>9049</v>
      </c>
      <c r="BM10324" t="s">
        <v>9051</v>
      </c>
    </row>
    <row r="10325" spans="1:65" x14ac:dyDescent="0.25">
      <c r="G10325" t="s">
        <v>10368</v>
      </c>
      <c r="W10325" t="s">
        <v>10369</v>
      </c>
      <c r="BM10325" t="s">
        <v>10370</v>
      </c>
    </row>
    <row r="10326" spans="1:65" x14ac:dyDescent="0.25">
      <c r="G10326" t="s">
        <v>10371</v>
      </c>
      <c r="W10326" t="s">
        <v>10372</v>
      </c>
      <c r="BM10326" t="s">
        <v>9727</v>
      </c>
    </row>
    <row r="10327" spans="1:65" x14ac:dyDescent="0.25">
      <c r="G10327" t="s">
        <v>10373</v>
      </c>
      <c r="W10327" t="s">
        <v>10374</v>
      </c>
      <c r="BM10327" t="s">
        <v>10375</v>
      </c>
    </row>
    <row r="10328" spans="1:65" x14ac:dyDescent="0.25">
      <c r="G10328" t="s">
        <v>10376</v>
      </c>
      <c r="W10328" t="s">
        <v>10377</v>
      </c>
      <c r="BM10328" t="s">
        <v>9059</v>
      </c>
    </row>
    <row r="10329" spans="1:65" x14ac:dyDescent="0.25">
      <c r="A10329" t="s">
        <v>9843</v>
      </c>
    </row>
    <row r="10330" spans="1:65" x14ac:dyDescent="0.25">
      <c r="A10330" t="s">
        <v>10378</v>
      </c>
    </row>
    <row r="10332" spans="1:65" x14ac:dyDescent="0.25">
      <c r="A10332" t="s">
        <v>10379</v>
      </c>
    </row>
    <row r="10335" spans="1:65" x14ac:dyDescent="0.25">
      <c r="A10335" t="s">
        <v>10380</v>
      </c>
    </row>
    <row r="10337" spans="1:88" x14ac:dyDescent="0.25">
      <c r="A10337" t="s">
        <v>10381</v>
      </c>
    </row>
    <row r="10338" spans="1:88" x14ac:dyDescent="0.25">
      <c r="A10338" t="s">
        <v>8930</v>
      </c>
      <c r="Z10338" t="s">
        <v>10382</v>
      </c>
      <c r="AM10338" t="s">
        <v>10383</v>
      </c>
      <c r="BS10338" t="s">
        <v>10384</v>
      </c>
    </row>
    <row r="10339" spans="1:88" x14ac:dyDescent="0.25">
      <c r="A10339" t="s">
        <v>8937</v>
      </c>
      <c r="R10339" t="s">
        <v>2424</v>
      </c>
      <c r="Z10339">
        <v>2.5</v>
      </c>
      <c r="AM10339">
        <v>3.6</v>
      </c>
      <c r="BC10339">
        <v>5</v>
      </c>
      <c r="BS10339" t="s">
        <v>10385</v>
      </c>
    </row>
    <row r="10340" spans="1:88" x14ac:dyDescent="0.25">
      <c r="A10340" t="s">
        <v>8938</v>
      </c>
      <c r="R10340" t="s">
        <v>2424</v>
      </c>
      <c r="Z10340" t="s">
        <v>9852</v>
      </c>
      <c r="AM10340" t="s">
        <v>9853</v>
      </c>
      <c r="BS10340" t="s">
        <v>9854</v>
      </c>
    </row>
    <row r="10341" spans="1:88" x14ac:dyDescent="0.25">
      <c r="A10341" t="s">
        <v>8945</v>
      </c>
      <c r="R10341" t="s">
        <v>2424</v>
      </c>
      <c r="Z10341" t="s">
        <v>10386</v>
      </c>
      <c r="AM10341" t="s">
        <v>10387</v>
      </c>
      <c r="BS10341" t="s">
        <v>10388</v>
      </c>
    </row>
    <row r="10342" spans="1:88" x14ac:dyDescent="0.25">
      <c r="A10342" t="s">
        <v>8953</v>
      </c>
      <c r="R10342" t="s">
        <v>4905</v>
      </c>
      <c r="Z10342">
        <v>4.46</v>
      </c>
      <c r="AM10342">
        <v>3.87</v>
      </c>
      <c r="BC10342">
        <v>2.69</v>
      </c>
      <c r="BS10342" t="s">
        <v>5245</v>
      </c>
    </row>
    <row r="10343" spans="1:88" x14ac:dyDescent="0.25">
      <c r="A10343" t="s">
        <v>8955</v>
      </c>
      <c r="Z10343">
        <v>6.41</v>
      </c>
      <c r="AM10343">
        <v>6.03</v>
      </c>
      <c r="BC10343">
        <v>5.8</v>
      </c>
      <c r="BS10343" t="s">
        <v>10389</v>
      </c>
    </row>
    <row r="10344" spans="1:88" x14ac:dyDescent="0.25">
      <c r="A10344" t="s">
        <v>4977</v>
      </c>
      <c r="Z10344" t="s">
        <v>2880</v>
      </c>
      <c r="AM10344" t="s">
        <v>9104</v>
      </c>
      <c r="BS10344" t="s">
        <v>9104</v>
      </c>
    </row>
    <row r="10345" spans="1:88" x14ac:dyDescent="0.25">
      <c r="A10345" t="s">
        <v>4979</v>
      </c>
      <c r="R10345" t="s">
        <v>4918</v>
      </c>
      <c r="Z10345" t="s">
        <v>9806</v>
      </c>
      <c r="AM10345" t="s">
        <v>9806</v>
      </c>
      <c r="BS10345" t="s">
        <v>9806</v>
      </c>
    </row>
    <row r="10346" spans="1:88" x14ac:dyDescent="0.25">
      <c r="A10346" t="s">
        <v>8957</v>
      </c>
      <c r="R10346" t="s">
        <v>2424</v>
      </c>
      <c r="Z10346">
        <v>3.4</v>
      </c>
      <c r="AM10346">
        <v>4</v>
      </c>
      <c r="BC10346">
        <v>5.3</v>
      </c>
      <c r="BS10346" t="s">
        <v>10390</v>
      </c>
    </row>
    <row r="10347" spans="1:88" x14ac:dyDescent="0.25">
      <c r="A10347" t="s">
        <v>8958</v>
      </c>
      <c r="R10347" t="s">
        <v>2424</v>
      </c>
      <c r="Z10347" t="s">
        <v>9863</v>
      </c>
      <c r="AM10347" t="s">
        <v>9864</v>
      </c>
      <c r="BS10347" t="s">
        <v>9865</v>
      </c>
    </row>
    <row r="10348" spans="1:88" x14ac:dyDescent="0.25">
      <c r="A10348" t="s">
        <v>8945</v>
      </c>
      <c r="R10348" t="s">
        <v>2424</v>
      </c>
      <c r="Z10348" t="s">
        <v>10391</v>
      </c>
      <c r="AM10348" t="s">
        <v>10392</v>
      </c>
      <c r="BS10348" t="s">
        <v>10393</v>
      </c>
    </row>
    <row r="10349" spans="1:88" x14ac:dyDescent="0.25">
      <c r="A10349" t="s">
        <v>8971</v>
      </c>
      <c r="R10349" t="s">
        <v>4905</v>
      </c>
      <c r="Z10349">
        <v>3.95</v>
      </c>
      <c r="AM10349">
        <v>4.12</v>
      </c>
      <c r="BC10349">
        <v>3.53</v>
      </c>
      <c r="BS10349" t="s">
        <v>10394</v>
      </c>
    </row>
    <row r="10350" spans="1:88" x14ac:dyDescent="0.25">
      <c r="CJ10350" t="s">
        <v>9773</v>
      </c>
    </row>
    <row r="10351" spans="1:88" x14ac:dyDescent="0.25">
      <c r="A10351" t="s">
        <v>8973</v>
      </c>
      <c r="Z10351">
        <v>4.3499999999999996</v>
      </c>
      <c r="AM10351">
        <v>4</v>
      </c>
      <c r="BC10351">
        <v>4</v>
      </c>
      <c r="BS10351" t="s">
        <v>5194</v>
      </c>
    </row>
    <row r="10352" spans="1:88" x14ac:dyDescent="0.25">
      <c r="A10352" t="s">
        <v>4977</v>
      </c>
      <c r="Z10352" t="s">
        <v>9104</v>
      </c>
      <c r="AM10352" t="s">
        <v>9104</v>
      </c>
      <c r="BS10352" t="s">
        <v>9104</v>
      </c>
    </row>
    <row r="10353" spans="1:71" x14ac:dyDescent="0.25">
      <c r="A10353" t="s">
        <v>4979</v>
      </c>
      <c r="R10353" t="s">
        <v>4918</v>
      </c>
      <c r="Z10353" t="s">
        <v>9813</v>
      </c>
      <c r="AM10353" t="s">
        <v>9813</v>
      </c>
      <c r="BS10353" t="s">
        <v>9813</v>
      </c>
    </row>
    <row r="10354" spans="1:71" x14ac:dyDescent="0.25">
      <c r="A10354" t="s">
        <v>8975</v>
      </c>
      <c r="R10354" t="s">
        <v>2442</v>
      </c>
      <c r="Z10354" t="s">
        <v>2443</v>
      </c>
      <c r="AM10354" t="s">
        <v>2443</v>
      </c>
      <c r="BS10354" t="s">
        <v>2443</v>
      </c>
    </row>
    <row r="10355" spans="1:71" x14ac:dyDescent="0.25">
      <c r="A10355" t="s">
        <v>4982</v>
      </c>
      <c r="R10355" t="s">
        <v>4911</v>
      </c>
      <c r="Z10355">
        <v>10</v>
      </c>
      <c r="AM10355">
        <v>10</v>
      </c>
      <c r="BC10355">
        <v>16</v>
      </c>
      <c r="BS10355" t="s">
        <v>3750</v>
      </c>
    </row>
    <row r="10356" spans="1:71" x14ac:dyDescent="0.25">
      <c r="A10356" t="s">
        <v>9973</v>
      </c>
      <c r="R10356" t="s">
        <v>4986</v>
      </c>
      <c r="Z10356" t="s">
        <v>10395</v>
      </c>
      <c r="AM10356" t="s">
        <v>9940</v>
      </c>
      <c r="BS10356" t="s">
        <v>9572</v>
      </c>
    </row>
    <row r="10358" spans="1:71" x14ac:dyDescent="0.25">
      <c r="A10358" t="s">
        <v>4988</v>
      </c>
      <c r="Z10358" t="s">
        <v>10396</v>
      </c>
      <c r="AM10358" t="s">
        <v>10397</v>
      </c>
      <c r="BS10358" t="s">
        <v>10398</v>
      </c>
    </row>
    <row r="10359" spans="1:71" x14ac:dyDescent="0.25">
      <c r="A10359" t="s">
        <v>7870</v>
      </c>
      <c r="R10359" t="s">
        <v>2431</v>
      </c>
      <c r="Z10359" t="s">
        <v>10399</v>
      </c>
      <c r="AM10359" t="s">
        <v>10400</v>
      </c>
      <c r="BS10359" t="s">
        <v>10401</v>
      </c>
    </row>
    <row r="10360" spans="1:71" x14ac:dyDescent="0.25">
      <c r="A10360" t="s">
        <v>9534</v>
      </c>
      <c r="R10360" t="s">
        <v>9535</v>
      </c>
      <c r="Z10360" t="s">
        <v>10402</v>
      </c>
      <c r="AM10360" t="s">
        <v>10402</v>
      </c>
      <c r="BS10360" t="s">
        <v>10402</v>
      </c>
    </row>
    <row r="10361" spans="1:71" x14ac:dyDescent="0.25">
      <c r="A10361" t="s">
        <v>8996</v>
      </c>
      <c r="R10361" t="s">
        <v>2427</v>
      </c>
      <c r="Z10361" t="s">
        <v>10155</v>
      </c>
      <c r="AM10361" t="s">
        <v>10403</v>
      </c>
      <c r="BS10361" t="s">
        <v>10404</v>
      </c>
    </row>
    <row r="10362" spans="1:71" x14ac:dyDescent="0.25">
      <c r="A10362" t="s">
        <v>8996</v>
      </c>
      <c r="R10362" t="s">
        <v>2427</v>
      </c>
      <c r="Z10362" t="s">
        <v>10155</v>
      </c>
      <c r="AM10362" t="s">
        <v>10403</v>
      </c>
      <c r="BS10362" t="s">
        <v>10404</v>
      </c>
    </row>
    <row r="10363" spans="1:71" x14ac:dyDescent="0.25">
      <c r="A10363" t="s">
        <v>4984</v>
      </c>
      <c r="R10363" t="s">
        <v>2433</v>
      </c>
      <c r="Z10363" t="s">
        <v>9537</v>
      </c>
      <c r="AM10363" t="s">
        <v>9537</v>
      </c>
      <c r="BS10363" t="s">
        <v>9539</v>
      </c>
    </row>
    <row r="10364" spans="1:71" x14ac:dyDescent="0.25">
      <c r="A10364" t="s">
        <v>9010</v>
      </c>
      <c r="R10364" t="s">
        <v>713</v>
      </c>
      <c r="Z10364">
        <v>15</v>
      </c>
      <c r="AM10364">
        <v>15</v>
      </c>
      <c r="BC10364">
        <v>19</v>
      </c>
      <c r="BS10364" t="s">
        <v>10405</v>
      </c>
    </row>
    <row r="10365" spans="1:71" x14ac:dyDescent="0.25">
      <c r="A10365" t="s">
        <v>1001</v>
      </c>
      <c r="R10365" t="s">
        <v>4986</v>
      </c>
      <c r="Z10365" t="s">
        <v>10406</v>
      </c>
      <c r="AM10365" t="s">
        <v>9196</v>
      </c>
      <c r="BS10365" t="s">
        <v>9399</v>
      </c>
    </row>
    <row r="10367" spans="1:71" x14ac:dyDescent="0.25">
      <c r="A10367" t="s">
        <v>5025</v>
      </c>
      <c r="Z10367" t="s">
        <v>9895</v>
      </c>
      <c r="AM10367" t="s">
        <v>9896</v>
      </c>
      <c r="BS10367" t="s">
        <v>9898</v>
      </c>
    </row>
    <row r="10368" spans="1:71" x14ac:dyDescent="0.25">
      <c r="A10368" t="s">
        <v>8996</v>
      </c>
      <c r="R10368" t="s">
        <v>2427</v>
      </c>
      <c r="Z10368">
        <v>46</v>
      </c>
      <c r="AM10368">
        <v>49</v>
      </c>
      <c r="BC10368">
        <v>46</v>
      </c>
      <c r="BS10368" t="s">
        <v>7054</v>
      </c>
    </row>
    <row r="10369" spans="1:71" x14ac:dyDescent="0.25">
      <c r="A10369" t="s">
        <v>8996</v>
      </c>
      <c r="R10369" t="s">
        <v>2427</v>
      </c>
      <c r="Z10369">
        <v>47</v>
      </c>
      <c r="AM10369">
        <v>50</v>
      </c>
      <c r="BC10369">
        <v>48</v>
      </c>
      <c r="BS10369" t="s">
        <v>6562</v>
      </c>
    </row>
    <row r="10370" spans="1:71" x14ac:dyDescent="0.25">
      <c r="A10370" t="s">
        <v>2435</v>
      </c>
      <c r="R10370" t="s">
        <v>2436</v>
      </c>
      <c r="Z10370" t="s">
        <v>9028</v>
      </c>
      <c r="AM10370" t="s">
        <v>9029</v>
      </c>
      <c r="BS10370" t="s">
        <v>2437</v>
      </c>
    </row>
    <row r="10371" spans="1:71" x14ac:dyDescent="0.25">
      <c r="A10371" t="s">
        <v>9030</v>
      </c>
      <c r="R10371" t="s">
        <v>2436</v>
      </c>
      <c r="Z10371" t="s">
        <v>9836</v>
      </c>
      <c r="AM10371" t="s">
        <v>9836</v>
      </c>
      <c r="BS10371" t="s">
        <v>9028</v>
      </c>
    </row>
    <row r="10372" spans="1:71" x14ac:dyDescent="0.25">
      <c r="A10372" t="s">
        <v>9032</v>
      </c>
      <c r="R10372" t="s">
        <v>551</v>
      </c>
      <c r="Z10372">
        <v>2</v>
      </c>
      <c r="AM10372">
        <v>2</v>
      </c>
      <c r="BC10372">
        <v>5</v>
      </c>
      <c r="BS10372" t="s">
        <v>5541</v>
      </c>
    </row>
    <row r="10373" spans="1:71" x14ac:dyDescent="0.25">
      <c r="A10373" t="s">
        <v>9033</v>
      </c>
      <c r="R10373" t="s">
        <v>551</v>
      </c>
      <c r="Z10373">
        <v>20</v>
      </c>
      <c r="AM10373">
        <v>20</v>
      </c>
      <c r="BC10373">
        <v>30</v>
      </c>
      <c r="BS10373" t="s">
        <v>7054</v>
      </c>
    </row>
    <row r="10374" spans="1:71" x14ac:dyDescent="0.25">
      <c r="A10374" t="s">
        <v>9034</v>
      </c>
      <c r="R10374" t="s">
        <v>551</v>
      </c>
      <c r="Z10374">
        <v>10</v>
      </c>
      <c r="AM10374">
        <v>10</v>
      </c>
      <c r="BC10374">
        <v>30</v>
      </c>
      <c r="BS10374" t="s">
        <v>5240</v>
      </c>
    </row>
    <row r="10375" spans="1:71" x14ac:dyDescent="0.25">
      <c r="A10375" t="s">
        <v>9035</v>
      </c>
      <c r="Z10375" t="s">
        <v>9037</v>
      </c>
      <c r="AM10375" t="s">
        <v>9037</v>
      </c>
      <c r="BS10375" t="s">
        <v>9037</v>
      </c>
    </row>
    <row r="10376" spans="1:71" x14ac:dyDescent="0.25">
      <c r="A10376" t="s">
        <v>4983</v>
      </c>
      <c r="Z10376" t="s">
        <v>2440</v>
      </c>
      <c r="AM10376" t="s">
        <v>2440</v>
      </c>
      <c r="BS10376" t="s">
        <v>2440</v>
      </c>
    </row>
    <row r="10377" spans="1:71" x14ac:dyDescent="0.25">
      <c r="A10377" t="s">
        <v>9038</v>
      </c>
      <c r="R10377" t="s">
        <v>713</v>
      </c>
      <c r="Z10377">
        <v>0.6</v>
      </c>
      <c r="AM10377">
        <v>0.9</v>
      </c>
      <c r="BC10377">
        <v>0.9</v>
      </c>
      <c r="BS10377" t="s">
        <v>8952</v>
      </c>
    </row>
    <row r="10378" spans="1:71" x14ac:dyDescent="0.25">
      <c r="A10378" t="s">
        <v>4984</v>
      </c>
      <c r="R10378" t="s">
        <v>2433</v>
      </c>
      <c r="Z10378" t="s">
        <v>9041</v>
      </c>
      <c r="AM10378" t="s">
        <v>9041</v>
      </c>
      <c r="BS10378" t="s">
        <v>9902</v>
      </c>
    </row>
    <row r="10379" spans="1:71" x14ac:dyDescent="0.25">
      <c r="A10379" t="s">
        <v>9010</v>
      </c>
      <c r="R10379" t="s">
        <v>713</v>
      </c>
      <c r="Z10379">
        <v>29</v>
      </c>
      <c r="AM10379">
        <v>34</v>
      </c>
      <c r="BC10379">
        <v>40</v>
      </c>
      <c r="BS10379" t="s">
        <v>8805</v>
      </c>
    </row>
    <row r="10380" spans="1:71" x14ac:dyDescent="0.25">
      <c r="A10380" t="s">
        <v>1001</v>
      </c>
      <c r="R10380" t="s">
        <v>4986</v>
      </c>
      <c r="Z10380" t="s">
        <v>9435</v>
      </c>
      <c r="AM10380" t="s">
        <v>9135</v>
      </c>
      <c r="BS10380" t="s">
        <v>9903</v>
      </c>
    </row>
    <row r="10382" spans="1:71" x14ac:dyDescent="0.25">
      <c r="A10382" t="s">
        <v>3768</v>
      </c>
      <c r="N10382" t="s">
        <v>9049</v>
      </c>
      <c r="BH10382" t="s">
        <v>9051</v>
      </c>
    </row>
    <row r="10383" spans="1:71" x14ac:dyDescent="0.25">
      <c r="A10383" t="s">
        <v>10023</v>
      </c>
      <c r="N10383" t="s">
        <v>10024</v>
      </c>
      <c r="BH10383" t="s">
        <v>5150</v>
      </c>
    </row>
    <row r="10384" spans="1:71" x14ac:dyDescent="0.25">
      <c r="A10384" t="s">
        <v>10407</v>
      </c>
      <c r="N10384" t="s">
        <v>10408</v>
      </c>
      <c r="BH10384" t="s">
        <v>10409</v>
      </c>
    </row>
    <row r="10385" spans="1:75" x14ac:dyDescent="0.25">
      <c r="A10385" t="s">
        <v>9725</v>
      </c>
      <c r="N10385" t="s">
        <v>9726</v>
      </c>
      <c r="BH10385" t="s">
        <v>9727</v>
      </c>
    </row>
    <row r="10386" spans="1:75" x14ac:dyDescent="0.25">
      <c r="A10386" t="s">
        <v>9843</v>
      </c>
    </row>
    <row r="10387" spans="1:75" x14ac:dyDescent="0.25">
      <c r="A10387" t="s">
        <v>10410</v>
      </c>
    </row>
    <row r="10389" spans="1:75" x14ac:dyDescent="0.25">
      <c r="A10389" t="s">
        <v>10411</v>
      </c>
    </row>
    <row r="10391" spans="1:75" x14ac:dyDescent="0.25">
      <c r="A10391" t="s">
        <v>10412</v>
      </c>
    </row>
    <row r="10393" spans="1:75" x14ac:dyDescent="0.25">
      <c r="A10393" t="s">
        <v>10413</v>
      </c>
    </row>
    <row r="10394" spans="1:75" x14ac:dyDescent="0.25">
      <c r="G10394" t="s">
        <v>8930</v>
      </c>
      <c r="AF10394" t="s">
        <v>10414</v>
      </c>
      <c r="AT10394" t="s">
        <v>10415</v>
      </c>
      <c r="BJ10394" t="s">
        <v>10416</v>
      </c>
      <c r="BW10394" t="s">
        <v>10417</v>
      </c>
    </row>
    <row r="10395" spans="1:75" x14ac:dyDescent="0.25">
      <c r="G10395" t="s">
        <v>8937</v>
      </c>
      <c r="X10395" t="s">
        <v>2424</v>
      </c>
      <c r="AF10395">
        <v>6.7</v>
      </c>
      <c r="AT10395">
        <v>9.5</v>
      </c>
      <c r="BJ10395">
        <v>11.5</v>
      </c>
      <c r="BW10395">
        <v>13</v>
      </c>
    </row>
    <row r="10396" spans="1:75" x14ac:dyDescent="0.25">
      <c r="G10396" t="s">
        <v>8938</v>
      </c>
      <c r="X10396" t="s">
        <v>2424</v>
      </c>
      <c r="AF10396" t="s">
        <v>9799</v>
      </c>
      <c r="AT10396" t="s">
        <v>9801</v>
      </c>
      <c r="BJ10396" t="s">
        <v>10188</v>
      </c>
      <c r="BW10396" t="s">
        <v>10189</v>
      </c>
    </row>
    <row r="10397" spans="1:75" x14ac:dyDescent="0.25">
      <c r="G10397" t="s">
        <v>8945</v>
      </c>
      <c r="X10397" t="s">
        <v>2424</v>
      </c>
      <c r="AF10397" t="s">
        <v>10418</v>
      </c>
      <c r="AT10397" t="s">
        <v>10419</v>
      </c>
      <c r="BJ10397" t="s">
        <v>10420</v>
      </c>
      <c r="BW10397" t="s">
        <v>10194</v>
      </c>
    </row>
    <row r="10398" spans="1:75" x14ac:dyDescent="0.25">
      <c r="G10398" t="s">
        <v>8953</v>
      </c>
      <c r="X10398" t="s">
        <v>4905</v>
      </c>
      <c r="AF10398">
        <v>2.91</v>
      </c>
      <c r="AT10398">
        <v>3</v>
      </c>
      <c r="BJ10398">
        <v>2.4500000000000002</v>
      </c>
      <c r="BW10398">
        <v>2.41</v>
      </c>
    </row>
    <row r="10399" spans="1:75" x14ac:dyDescent="0.25">
      <c r="G10399" t="s">
        <v>8955</v>
      </c>
      <c r="AF10399">
        <v>5.0999999999999996</v>
      </c>
      <c r="AT10399">
        <v>5.0999999999999996</v>
      </c>
      <c r="BJ10399">
        <v>5.0999999999999996</v>
      </c>
      <c r="BW10399">
        <v>4.9000000000000004</v>
      </c>
    </row>
    <row r="10400" spans="1:75" x14ac:dyDescent="0.25">
      <c r="G10400" t="s">
        <v>4977</v>
      </c>
      <c r="AF10400" t="s">
        <v>4911</v>
      </c>
      <c r="AT10400" t="s">
        <v>4911</v>
      </c>
      <c r="BJ10400" t="s">
        <v>9963</v>
      </c>
      <c r="BW10400" t="s">
        <v>9963</v>
      </c>
    </row>
    <row r="10401" spans="1:75" x14ac:dyDescent="0.25">
      <c r="G10401" t="s">
        <v>4979</v>
      </c>
      <c r="X10401" t="s">
        <v>4918</v>
      </c>
      <c r="AF10401" t="s">
        <v>9806</v>
      </c>
      <c r="AT10401" t="s">
        <v>9806</v>
      </c>
      <c r="BJ10401" t="s">
        <v>9806</v>
      </c>
      <c r="BW10401" t="s">
        <v>9806</v>
      </c>
    </row>
    <row r="10402" spans="1:75" x14ac:dyDescent="0.25">
      <c r="G10402" t="s">
        <v>8957</v>
      </c>
      <c r="X10402" t="s">
        <v>2424</v>
      </c>
      <c r="AF10402">
        <v>7</v>
      </c>
      <c r="AT10402">
        <v>10</v>
      </c>
      <c r="BJ10402">
        <v>11.9</v>
      </c>
      <c r="BW10402">
        <v>13.5</v>
      </c>
    </row>
    <row r="10403" spans="1:75" x14ac:dyDescent="0.25">
      <c r="G10403" t="s">
        <v>8958</v>
      </c>
      <c r="X10403" t="s">
        <v>2424</v>
      </c>
      <c r="AF10403" t="s">
        <v>9808</v>
      </c>
      <c r="AT10403" t="s">
        <v>9809</v>
      </c>
      <c r="BJ10403" t="s">
        <v>9964</v>
      </c>
      <c r="BW10403" t="s">
        <v>10011</v>
      </c>
    </row>
    <row r="10404" spans="1:75" x14ac:dyDescent="0.25">
      <c r="G10404" t="s">
        <v>8945</v>
      </c>
      <c r="X10404" t="s">
        <v>2424</v>
      </c>
      <c r="AF10404" t="s">
        <v>10421</v>
      </c>
      <c r="AT10404" t="s">
        <v>10236</v>
      </c>
      <c r="BJ10404" t="s">
        <v>10198</v>
      </c>
      <c r="BW10404" t="s">
        <v>10422</v>
      </c>
    </row>
    <row r="10405" spans="1:75" x14ac:dyDescent="0.25">
      <c r="G10405" t="s">
        <v>8971</v>
      </c>
      <c r="X10405" t="s">
        <v>4905</v>
      </c>
      <c r="AF10405">
        <v>3</v>
      </c>
      <c r="AT10405">
        <v>3.3</v>
      </c>
      <c r="BJ10405">
        <v>3.05</v>
      </c>
      <c r="BW10405">
        <v>3.38</v>
      </c>
    </row>
    <row r="10406" spans="1:75" x14ac:dyDescent="0.25">
      <c r="G10406" t="s">
        <v>8973</v>
      </c>
      <c r="AF10406">
        <v>4</v>
      </c>
      <c r="AT10406">
        <v>3.8</v>
      </c>
      <c r="BJ10406">
        <v>3.8</v>
      </c>
      <c r="BW10406">
        <v>4.1500000000000004</v>
      </c>
    </row>
    <row r="10407" spans="1:75" x14ac:dyDescent="0.25">
      <c r="A10407" t="s">
        <v>9773</v>
      </c>
    </row>
    <row r="10408" spans="1:75" x14ac:dyDescent="0.25">
      <c r="G10408" t="s">
        <v>4977</v>
      </c>
      <c r="AF10408" t="s">
        <v>9104</v>
      </c>
      <c r="AT10408" t="s">
        <v>4911</v>
      </c>
      <c r="BJ10408" t="s">
        <v>9963</v>
      </c>
      <c r="BW10408" t="s">
        <v>9963</v>
      </c>
    </row>
    <row r="10409" spans="1:75" x14ac:dyDescent="0.25">
      <c r="G10409" t="s">
        <v>4979</v>
      </c>
      <c r="X10409" t="s">
        <v>4918</v>
      </c>
      <c r="AF10409" t="s">
        <v>9813</v>
      </c>
      <c r="AT10409" t="s">
        <v>9813</v>
      </c>
      <c r="BJ10409" t="s">
        <v>9813</v>
      </c>
      <c r="BW10409" t="s">
        <v>9813</v>
      </c>
    </row>
    <row r="10410" spans="1:75" x14ac:dyDescent="0.25">
      <c r="G10410" t="s">
        <v>8975</v>
      </c>
      <c r="X10410" t="s">
        <v>2442</v>
      </c>
      <c r="AF10410" t="s">
        <v>2443</v>
      </c>
      <c r="AT10410" t="s">
        <v>2443</v>
      </c>
      <c r="BJ10410" t="s">
        <v>2443</v>
      </c>
      <c r="BW10410" t="s">
        <v>2443</v>
      </c>
    </row>
    <row r="10411" spans="1:75" x14ac:dyDescent="0.25">
      <c r="G10411" t="s">
        <v>4982</v>
      </c>
      <c r="X10411" t="s">
        <v>4911</v>
      </c>
      <c r="AF10411">
        <v>16</v>
      </c>
      <c r="AT10411">
        <v>20</v>
      </c>
      <c r="BJ10411">
        <v>25</v>
      </c>
      <c r="BW10411">
        <v>25</v>
      </c>
    </row>
    <row r="10412" spans="1:75" x14ac:dyDescent="0.25">
      <c r="G10412" t="s">
        <v>9973</v>
      </c>
      <c r="X10412" t="s">
        <v>4986</v>
      </c>
      <c r="AF10412" t="s">
        <v>10423</v>
      </c>
      <c r="AT10412" t="s">
        <v>10424</v>
      </c>
      <c r="BJ10412" t="s">
        <v>10425</v>
      </c>
      <c r="BW10412" t="s">
        <v>10426</v>
      </c>
    </row>
    <row r="10414" spans="1:75" x14ac:dyDescent="0.25">
      <c r="G10414" t="s">
        <v>4988</v>
      </c>
      <c r="AF10414" t="s">
        <v>10427</v>
      </c>
      <c r="AT10414" t="s">
        <v>10428</v>
      </c>
      <c r="BJ10414" t="s">
        <v>10429</v>
      </c>
      <c r="BW10414" t="s">
        <v>10430</v>
      </c>
    </row>
    <row r="10415" spans="1:75" x14ac:dyDescent="0.25">
      <c r="G10415" t="s">
        <v>7870</v>
      </c>
      <c r="X10415" t="s">
        <v>2431</v>
      </c>
      <c r="AF10415" t="s">
        <v>10431</v>
      </c>
      <c r="AT10415" t="s">
        <v>10432</v>
      </c>
      <c r="BJ10415" t="s">
        <v>10432</v>
      </c>
      <c r="BW10415" t="s">
        <v>10432</v>
      </c>
    </row>
    <row r="10416" spans="1:75" x14ac:dyDescent="0.25">
      <c r="G10416" t="s">
        <v>9534</v>
      </c>
      <c r="X10416" t="s">
        <v>9535</v>
      </c>
      <c r="AF10416" t="s">
        <v>10433</v>
      </c>
      <c r="AT10416" t="s">
        <v>10434</v>
      </c>
      <c r="BJ10416" t="s">
        <v>10434</v>
      </c>
      <c r="BW10416" t="s">
        <v>10434</v>
      </c>
    </row>
    <row r="10417" spans="7:75" x14ac:dyDescent="0.25">
      <c r="G10417" t="s">
        <v>8996</v>
      </c>
      <c r="X10417" t="s">
        <v>2427</v>
      </c>
      <c r="AF10417" t="s">
        <v>10435</v>
      </c>
      <c r="AT10417" t="s">
        <v>10273</v>
      </c>
      <c r="BJ10417" t="s">
        <v>10273</v>
      </c>
      <c r="BW10417" t="s">
        <v>10273</v>
      </c>
    </row>
    <row r="10418" spans="7:75" x14ac:dyDescent="0.25">
      <c r="G10418" t="s">
        <v>8996</v>
      </c>
      <c r="X10418" t="s">
        <v>2427</v>
      </c>
      <c r="AF10418" t="s">
        <v>10435</v>
      </c>
      <c r="AT10418" t="s">
        <v>10273</v>
      </c>
      <c r="BJ10418" t="s">
        <v>10273</v>
      </c>
      <c r="BW10418" t="s">
        <v>10273</v>
      </c>
    </row>
    <row r="10419" spans="7:75" x14ac:dyDescent="0.25">
      <c r="G10419" t="s">
        <v>4984</v>
      </c>
      <c r="X10419" t="s">
        <v>2433</v>
      </c>
      <c r="AF10419" t="s">
        <v>10436</v>
      </c>
      <c r="AT10419" t="s">
        <v>10437</v>
      </c>
      <c r="BJ10419" t="s">
        <v>10437</v>
      </c>
      <c r="BW10419" t="s">
        <v>10437</v>
      </c>
    </row>
    <row r="10420" spans="7:75" x14ac:dyDescent="0.25">
      <c r="G10420" t="s">
        <v>9010</v>
      </c>
      <c r="X10420" t="s">
        <v>713</v>
      </c>
      <c r="AF10420">
        <v>31</v>
      </c>
      <c r="AT10420">
        <v>41</v>
      </c>
      <c r="BJ10420">
        <v>41</v>
      </c>
      <c r="BW10420">
        <v>41</v>
      </c>
    </row>
    <row r="10421" spans="7:75" x14ac:dyDescent="0.25">
      <c r="G10421" t="s">
        <v>1001</v>
      </c>
      <c r="X10421" t="s">
        <v>4986</v>
      </c>
      <c r="AF10421" t="s">
        <v>10438</v>
      </c>
      <c r="AT10421" t="s">
        <v>10221</v>
      </c>
      <c r="BJ10421" t="s">
        <v>10439</v>
      </c>
      <c r="BW10421" t="s">
        <v>10440</v>
      </c>
    </row>
    <row r="10423" spans="7:75" x14ac:dyDescent="0.25">
      <c r="G10423" t="s">
        <v>5025</v>
      </c>
      <c r="AF10423" t="s">
        <v>9832</v>
      </c>
      <c r="AT10423" t="s">
        <v>9833</v>
      </c>
      <c r="BJ10423" t="s">
        <v>10222</v>
      </c>
      <c r="BW10423" t="s">
        <v>10223</v>
      </c>
    </row>
    <row r="10424" spans="7:75" x14ac:dyDescent="0.25">
      <c r="G10424" t="s">
        <v>8996</v>
      </c>
      <c r="X10424" t="s">
        <v>2427</v>
      </c>
      <c r="AF10424">
        <v>48</v>
      </c>
      <c r="AT10424">
        <v>53</v>
      </c>
      <c r="BJ10424">
        <v>53</v>
      </c>
      <c r="BW10424">
        <v>57</v>
      </c>
    </row>
    <row r="10425" spans="7:75" x14ac:dyDescent="0.25">
      <c r="G10425" t="s">
        <v>8996</v>
      </c>
      <c r="X10425" t="s">
        <v>2427</v>
      </c>
      <c r="AF10425">
        <v>51</v>
      </c>
      <c r="AT10425">
        <v>55</v>
      </c>
      <c r="BJ10425">
        <v>60</v>
      </c>
      <c r="BW10425">
        <v>59</v>
      </c>
    </row>
    <row r="10426" spans="7:75" x14ac:dyDescent="0.25">
      <c r="G10426" t="s">
        <v>2435</v>
      </c>
      <c r="X10426" t="s">
        <v>2436</v>
      </c>
      <c r="AF10426" t="s">
        <v>2437</v>
      </c>
      <c r="AT10426" t="s">
        <v>9835</v>
      </c>
      <c r="BJ10426" t="s">
        <v>9835</v>
      </c>
      <c r="BW10426" t="s">
        <v>2437</v>
      </c>
    </row>
    <row r="10427" spans="7:75" x14ac:dyDescent="0.25">
      <c r="G10427" t="s">
        <v>9030</v>
      </c>
      <c r="X10427" t="s">
        <v>2436</v>
      </c>
      <c r="AF10427" t="s">
        <v>9028</v>
      </c>
      <c r="AT10427" t="s">
        <v>9028</v>
      </c>
      <c r="BJ10427" t="s">
        <v>9028</v>
      </c>
      <c r="BW10427" t="s">
        <v>9028</v>
      </c>
    </row>
    <row r="10428" spans="7:75" x14ac:dyDescent="0.25">
      <c r="G10428" t="s">
        <v>9032</v>
      </c>
      <c r="X10428" t="s">
        <v>551</v>
      </c>
      <c r="AF10428">
        <v>5</v>
      </c>
      <c r="AT10428">
        <v>5</v>
      </c>
      <c r="BJ10428">
        <v>5</v>
      </c>
      <c r="BW10428">
        <v>5</v>
      </c>
    </row>
    <row r="10429" spans="7:75" x14ac:dyDescent="0.25">
      <c r="G10429" t="s">
        <v>9033</v>
      </c>
      <c r="X10429" t="s">
        <v>551</v>
      </c>
      <c r="AF10429">
        <v>20</v>
      </c>
      <c r="AT10429">
        <v>30</v>
      </c>
      <c r="BJ10429">
        <v>30</v>
      </c>
      <c r="BW10429">
        <v>30</v>
      </c>
    </row>
    <row r="10430" spans="7:75" x14ac:dyDescent="0.25">
      <c r="G10430" t="s">
        <v>9034</v>
      </c>
      <c r="X10430" t="s">
        <v>551</v>
      </c>
      <c r="AF10430">
        <v>20</v>
      </c>
      <c r="AT10430">
        <v>30</v>
      </c>
      <c r="BJ10430">
        <v>30</v>
      </c>
      <c r="BW10430">
        <v>30</v>
      </c>
    </row>
    <row r="10431" spans="7:75" x14ac:dyDescent="0.25">
      <c r="G10431" t="s">
        <v>9035</v>
      </c>
      <c r="AF10431" t="s">
        <v>9037</v>
      </c>
      <c r="AT10431" t="s">
        <v>9037</v>
      </c>
      <c r="BJ10431" t="s">
        <v>9037</v>
      </c>
      <c r="BW10431" t="s">
        <v>9037</v>
      </c>
    </row>
    <row r="10432" spans="7:75" x14ac:dyDescent="0.25">
      <c r="G10432" t="s">
        <v>4983</v>
      </c>
      <c r="AF10432" t="s">
        <v>2440</v>
      </c>
      <c r="AT10432" t="s">
        <v>2440</v>
      </c>
      <c r="BJ10432" t="s">
        <v>2440</v>
      </c>
      <c r="BW10432" t="s">
        <v>2440</v>
      </c>
    </row>
    <row r="10433" spans="1:75" x14ac:dyDescent="0.25">
      <c r="G10433" t="s">
        <v>9213</v>
      </c>
      <c r="X10433" t="s">
        <v>713</v>
      </c>
      <c r="AF10433">
        <v>1.4</v>
      </c>
      <c r="AT10433">
        <v>1.7</v>
      </c>
      <c r="BJ10433">
        <v>1.9</v>
      </c>
      <c r="BW10433">
        <v>2.2000000000000002</v>
      </c>
    </row>
    <row r="10434" spans="1:75" x14ac:dyDescent="0.25">
      <c r="G10434" t="s">
        <v>4984</v>
      </c>
      <c r="X10434" t="s">
        <v>2433</v>
      </c>
      <c r="AF10434" t="s">
        <v>9041</v>
      </c>
      <c r="AT10434" t="s">
        <v>4985</v>
      </c>
      <c r="BJ10434" t="s">
        <v>9837</v>
      </c>
      <c r="BW10434" t="s">
        <v>9567</v>
      </c>
    </row>
    <row r="10435" spans="1:75" x14ac:dyDescent="0.25">
      <c r="G10435" t="s">
        <v>9010</v>
      </c>
      <c r="X10435" t="s">
        <v>713</v>
      </c>
      <c r="AF10435">
        <v>39</v>
      </c>
      <c r="AT10435">
        <v>45</v>
      </c>
      <c r="BJ10435">
        <v>57</v>
      </c>
      <c r="BW10435">
        <v>64</v>
      </c>
    </row>
    <row r="10436" spans="1:75" x14ac:dyDescent="0.25">
      <c r="G10436" t="s">
        <v>1001</v>
      </c>
      <c r="X10436" t="s">
        <v>4986</v>
      </c>
      <c r="AF10436" t="s">
        <v>9271</v>
      </c>
      <c r="AT10436" t="s">
        <v>9838</v>
      </c>
      <c r="BJ10436" t="s">
        <v>10227</v>
      </c>
      <c r="BW10436" t="s">
        <v>10228</v>
      </c>
    </row>
    <row r="10437" spans="1:75" x14ac:dyDescent="0.25">
      <c r="A10437" t="s">
        <v>9843</v>
      </c>
    </row>
    <row r="10438" spans="1:75" x14ac:dyDescent="0.25">
      <c r="A10438" t="s">
        <v>10441</v>
      </c>
    </row>
    <row r="10440" spans="1:75" x14ac:dyDescent="0.25">
      <c r="A10440" t="s">
        <v>10442</v>
      </c>
    </row>
    <row r="10441" spans="1:75" x14ac:dyDescent="0.25">
      <c r="A10441" t="s">
        <v>8930</v>
      </c>
      <c r="Z10441" t="s">
        <v>10443</v>
      </c>
      <c r="AT10441" t="s">
        <v>10444</v>
      </c>
      <c r="BM10441" t="s">
        <v>10445</v>
      </c>
    </row>
    <row r="10442" spans="1:75" x14ac:dyDescent="0.25">
      <c r="A10442" t="s">
        <v>8937</v>
      </c>
      <c r="R10442" t="s">
        <v>2424</v>
      </c>
      <c r="Z10442">
        <v>9.5</v>
      </c>
      <c r="AT10442">
        <v>12.1</v>
      </c>
      <c r="BM10442">
        <v>13</v>
      </c>
    </row>
    <row r="10443" spans="1:75" x14ac:dyDescent="0.25">
      <c r="A10443" t="s">
        <v>8938</v>
      </c>
      <c r="R10443" t="s">
        <v>2424</v>
      </c>
      <c r="Z10443" t="s">
        <v>9801</v>
      </c>
      <c r="AT10443" t="s">
        <v>10189</v>
      </c>
      <c r="BM10443" t="s">
        <v>9955</v>
      </c>
    </row>
    <row r="10444" spans="1:75" x14ac:dyDescent="0.25">
      <c r="A10444" t="s">
        <v>8945</v>
      </c>
      <c r="R10444" t="s">
        <v>2424</v>
      </c>
      <c r="Z10444" t="s">
        <v>10446</v>
      </c>
      <c r="AT10444" t="s">
        <v>10447</v>
      </c>
      <c r="BM10444" t="s">
        <v>10194</v>
      </c>
    </row>
    <row r="10445" spans="1:75" x14ac:dyDescent="0.25">
      <c r="A10445" t="s">
        <v>8953</v>
      </c>
      <c r="R10445" t="s">
        <v>4905</v>
      </c>
      <c r="Z10445">
        <v>3.06</v>
      </c>
      <c r="AT10445">
        <v>2.4700000000000002</v>
      </c>
      <c r="BM10445">
        <v>2.41</v>
      </c>
    </row>
    <row r="10446" spans="1:75" x14ac:dyDescent="0.25">
      <c r="A10446" t="s">
        <v>8955</v>
      </c>
      <c r="Z10446">
        <v>5.3</v>
      </c>
      <c r="AT10446">
        <v>5.0999999999999996</v>
      </c>
      <c r="BM10446">
        <v>4.9000000000000004</v>
      </c>
    </row>
    <row r="10447" spans="1:75" x14ac:dyDescent="0.25">
      <c r="A10447" t="s">
        <v>4977</v>
      </c>
      <c r="Z10447" t="s">
        <v>4911</v>
      </c>
      <c r="AT10447" t="s">
        <v>9963</v>
      </c>
      <c r="BM10447" t="s">
        <v>9963</v>
      </c>
    </row>
    <row r="10448" spans="1:75" x14ac:dyDescent="0.25">
      <c r="A10448" t="s">
        <v>4979</v>
      </c>
      <c r="R10448" t="s">
        <v>4918</v>
      </c>
      <c r="Z10448" t="s">
        <v>9806</v>
      </c>
      <c r="AT10448" t="s">
        <v>9806</v>
      </c>
      <c r="BM10448" t="s">
        <v>9806</v>
      </c>
    </row>
    <row r="10449" spans="1:88" x14ac:dyDescent="0.25">
      <c r="A10449" t="s">
        <v>8957</v>
      </c>
      <c r="R10449" t="s">
        <v>2424</v>
      </c>
      <c r="Z10449">
        <v>10</v>
      </c>
      <c r="AT10449">
        <v>12.3</v>
      </c>
      <c r="BM10449">
        <v>13.5</v>
      </c>
    </row>
    <row r="10450" spans="1:88" x14ac:dyDescent="0.25">
      <c r="A10450" t="s">
        <v>8958</v>
      </c>
      <c r="R10450" t="s">
        <v>2424</v>
      </c>
      <c r="Z10450" t="s">
        <v>9809</v>
      </c>
      <c r="AT10450" t="s">
        <v>9964</v>
      </c>
      <c r="BM10450" t="s">
        <v>10011</v>
      </c>
    </row>
    <row r="10451" spans="1:88" x14ac:dyDescent="0.25">
      <c r="A10451" t="s">
        <v>8945</v>
      </c>
      <c r="R10451" t="s">
        <v>2424</v>
      </c>
      <c r="Z10451" t="s">
        <v>10448</v>
      </c>
      <c r="AT10451" t="s">
        <v>10237</v>
      </c>
      <c r="BM10451" t="s">
        <v>10422</v>
      </c>
    </row>
    <row r="10452" spans="1:88" x14ac:dyDescent="0.25">
      <c r="A10452" t="s">
        <v>8971</v>
      </c>
      <c r="R10452" t="s">
        <v>4905</v>
      </c>
      <c r="Z10452">
        <v>3.4</v>
      </c>
      <c r="AT10452">
        <v>3</v>
      </c>
      <c r="BM10452">
        <v>3.38</v>
      </c>
    </row>
    <row r="10453" spans="1:88" x14ac:dyDescent="0.25">
      <c r="A10453" t="s">
        <v>8973</v>
      </c>
      <c r="Z10453">
        <v>3.8</v>
      </c>
      <c r="AT10453">
        <v>3.8</v>
      </c>
      <c r="BM10453">
        <v>4.1500000000000004</v>
      </c>
    </row>
    <row r="10454" spans="1:88" x14ac:dyDescent="0.25">
      <c r="A10454" t="s">
        <v>4977</v>
      </c>
      <c r="Z10454" t="s">
        <v>4911</v>
      </c>
      <c r="AT10454" t="s">
        <v>9963</v>
      </c>
      <c r="BM10454" t="s">
        <v>9963</v>
      </c>
    </row>
    <row r="10455" spans="1:88" x14ac:dyDescent="0.25">
      <c r="A10455" t="s">
        <v>9920</v>
      </c>
      <c r="R10455" t="s">
        <v>4918</v>
      </c>
      <c r="Z10455" t="s">
        <v>9813</v>
      </c>
      <c r="AT10455" t="s">
        <v>9813</v>
      </c>
      <c r="BM10455" t="s">
        <v>9813</v>
      </c>
    </row>
    <row r="10456" spans="1:88" x14ac:dyDescent="0.25">
      <c r="A10456" t="s">
        <v>8975</v>
      </c>
      <c r="R10456" t="s">
        <v>2442</v>
      </c>
      <c r="Z10456" t="s">
        <v>4910</v>
      </c>
      <c r="AT10456" t="s">
        <v>4910</v>
      </c>
      <c r="BM10456" t="s">
        <v>4910</v>
      </c>
    </row>
    <row r="10457" spans="1:88" x14ac:dyDescent="0.25">
      <c r="A10457" t="s">
        <v>4982</v>
      </c>
      <c r="R10457" t="s">
        <v>4911</v>
      </c>
      <c r="Z10457" t="s">
        <v>4917</v>
      </c>
      <c r="AT10457" t="s">
        <v>4917</v>
      </c>
      <c r="BM10457" t="s">
        <v>4917</v>
      </c>
    </row>
    <row r="10458" spans="1:88" x14ac:dyDescent="0.25">
      <c r="A10458" t="s">
        <v>9973</v>
      </c>
      <c r="R10458" t="s">
        <v>4986</v>
      </c>
      <c r="Z10458" t="s">
        <v>5074</v>
      </c>
      <c r="AT10458" t="s">
        <v>10449</v>
      </c>
      <c r="BM10458" t="s">
        <v>10450</v>
      </c>
    </row>
    <row r="10460" spans="1:88" x14ac:dyDescent="0.25">
      <c r="A10460" t="s">
        <v>4988</v>
      </c>
      <c r="Z10460" t="s">
        <v>10428</v>
      </c>
      <c r="AT10460" t="s">
        <v>10429</v>
      </c>
      <c r="BM10460" t="s">
        <v>10430</v>
      </c>
    </row>
    <row r="10461" spans="1:88" x14ac:dyDescent="0.25">
      <c r="A10461" t="s">
        <v>7870</v>
      </c>
      <c r="R10461" t="s">
        <v>2431</v>
      </c>
      <c r="Z10461" t="s">
        <v>10432</v>
      </c>
      <c r="AT10461" t="s">
        <v>10432</v>
      </c>
      <c r="BM10461" t="s">
        <v>10432</v>
      </c>
    </row>
    <row r="10462" spans="1:88" x14ac:dyDescent="0.25">
      <c r="A10462" t="s">
        <v>9534</v>
      </c>
      <c r="R10462" t="s">
        <v>9535</v>
      </c>
      <c r="Z10462" t="s">
        <v>10434</v>
      </c>
      <c r="AT10462" t="s">
        <v>10434</v>
      </c>
      <c r="BM10462" t="s">
        <v>10434</v>
      </c>
    </row>
    <row r="10463" spans="1:88" x14ac:dyDescent="0.25">
      <c r="CJ10463" t="s">
        <v>9773</v>
      </c>
    </row>
    <row r="10464" spans="1:88" x14ac:dyDescent="0.25">
      <c r="A10464" t="s">
        <v>8996</v>
      </c>
      <c r="R10464" t="s">
        <v>2427</v>
      </c>
      <c r="Z10464" t="s">
        <v>10273</v>
      </c>
      <c r="AT10464" t="s">
        <v>10273</v>
      </c>
      <c r="BM10464" t="s">
        <v>10273</v>
      </c>
    </row>
    <row r="10465" spans="1:65" x14ac:dyDescent="0.25">
      <c r="A10465" t="s">
        <v>8996</v>
      </c>
      <c r="R10465" t="s">
        <v>2427</v>
      </c>
      <c r="Z10465" t="s">
        <v>10273</v>
      </c>
      <c r="AT10465" t="s">
        <v>10273</v>
      </c>
      <c r="BM10465" t="s">
        <v>10273</v>
      </c>
    </row>
    <row r="10466" spans="1:65" x14ac:dyDescent="0.25">
      <c r="A10466" t="s">
        <v>4984</v>
      </c>
      <c r="R10466" t="s">
        <v>2433</v>
      </c>
      <c r="Z10466" t="s">
        <v>10437</v>
      </c>
      <c r="AT10466" t="s">
        <v>10437</v>
      </c>
      <c r="BM10466" t="s">
        <v>10437</v>
      </c>
    </row>
    <row r="10467" spans="1:65" x14ac:dyDescent="0.25">
      <c r="A10467" t="s">
        <v>9010</v>
      </c>
      <c r="R10467" t="s">
        <v>713</v>
      </c>
      <c r="Z10467">
        <v>41</v>
      </c>
      <c r="AT10467">
        <v>41</v>
      </c>
      <c r="BM10467">
        <v>41</v>
      </c>
    </row>
    <row r="10468" spans="1:65" x14ac:dyDescent="0.25">
      <c r="A10468" t="s">
        <v>1001</v>
      </c>
      <c r="R10468" t="s">
        <v>4986</v>
      </c>
      <c r="Z10468" t="s">
        <v>10221</v>
      </c>
      <c r="AT10468" t="s">
        <v>10439</v>
      </c>
      <c r="BM10468" t="s">
        <v>10440</v>
      </c>
    </row>
    <row r="10470" spans="1:65" x14ac:dyDescent="0.25">
      <c r="A10470" t="s">
        <v>5025</v>
      </c>
      <c r="Z10470" t="s">
        <v>9834</v>
      </c>
      <c r="AT10470" t="s">
        <v>10245</v>
      </c>
      <c r="BM10470" t="s">
        <v>10246</v>
      </c>
    </row>
    <row r="10471" spans="1:65" x14ac:dyDescent="0.25">
      <c r="A10471" t="s">
        <v>8996</v>
      </c>
      <c r="R10471" t="s">
        <v>2427</v>
      </c>
      <c r="Z10471">
        <v>53</v>
      </c>
      <c r="AT10471">
        <v>53</v>
      </c>
      <c r="BM10471">
        <v>57</v>
      </c>
    </row>
    <row r="10472" spans="1:65" x14ac:dyDescent="0.25">
      <c r="A10472" t="s">
        <v>8996</v>
      </c>
      <c r="R10472" t="s">
        <v>2427</v>
      </c>
      <c r="Z10472">
        <v>55</v>
      </c>
      <c r="AT10472">
        <v>60</v>
      </c>
      <c r="BM10472">
        <v>59</v>
      </c>
    </row>
    <row r="10473" spans="1:65" x14ac:dyDescent="0.25">
      <c r="A10473" t="s">
        <v>2435</v>
      </c>
      <c r="R10473" t="s">
        <v>2436</v>
      </c>
      <c r="Z10473" t="s">
        <v>2437</v>
      </c>
      <c r="AT10473" t="s">
        <v>2437</v>
      </c>
      <c r="BM10473" t="s">
        <v>2437</v>
      </c>
    </row>
    <row r="10474" spans="1:65" x14ac:dyDescent="0.25">
      <c r="A10474" t="s">
        <v>9030</v>
      </c>
      <c r="R10474" t="s">
        <v>2436</v>
      </c>
      <c r="Z10474" t="s">
        <v>9028</v>
      </c>
      <c r="AT10474" t="s">
        <v>9028</v>
      </c>
      <c r="BM10474" t="s">
        <v>9028</v>
      </c>
    </row>
    <row r="10475" spans="1:65" x14ac:dyDescent="0.25">
      <c r="A10475" t="s">
        <v>9032</v>
      </c>
      <c r="R10475" t="s">
        <v>551</v>
      </c>
      <c r="Z10475">
        <v>5</v>
      </c>
      <c r="AT10475">
        <v>5</v>
      </c>
      <c r="BM10475">
        <v>5</v>
      </c>
    </row>
    <row r="10476" spans="1:65" x14ac:dyDescent="0.25">
      <c r="A10476" t="s">
        <v>9033</v>
      </c>
      <c r="R10476" t="s">
        <v>551</v>
      </c>
      <c r="Z10476">
        <v>30</v>
      </c>
      <c r="AT10476">
        <v>30</v>
      </c>
      <c r="BM10476">
        <v>30</v>
      </c>
    </row>
    <row r="10477" spans="1:65" x14ac:dyDescent="0.25">
      <c r="A10477" t="s">
        <v>9034</v>
      </c>
      <c r="R10477" t="s">
        <v>551</v>
      </c>
      <c r="Z10477">
        <v>30</v>
      </c>
      <c r="AT10477">
        <v>30</v>
      </c>
      <c r="BM10477">
        <v>30</v>
      </c>
    </row>
    <row r="10478" spans="1:65" x14ac:dyDescent="0.25">
      <c r="A10478" t="s">
        <v>9035</v>
      </c>
      <c r="Z10478" t="s">
        <v>9037</v>
      </c>
      <c r="AT10478" t="s">
        <v>9037</v>
      </c>
      <c r="BM10478" t="s">
        <v>9037</v>
      </c>
    </row>
    <row r="10479" spans="1:65" x14ac:dyDescent="0.25">
      <c r="A10479" t="s">
        <v>4983</v>
      </c>
      <c r="Z10479" t="s">
        <v>2440</v>
      </c>
      <c r="AT10479" t="s">
        <v>2440</v>
      </c>
      <c r="BM10479" t="s">
        <v>2440</v>
      </c>
    </row>
    <row r="10481" spans="1:65" x14ac:dyDescent="0.25">
      <c r="A10481" t="s">
        <v>9038</v>
      </c>
      <c r="R10481" t="s">
        <v>713</v>
      </c>
      <c r="Z10481">
        <v>1.7</v>
      </c>
      <c r="AT10481">
        <v>1.9</v>
      </c>
      <c r="BM10481">
        <v>2.2000000000000002</v>
      </c>
    </row>
    <row r="10482" spans="1:65" x14ac:dyDescent="0.25">
      <c r="A10482" t="s">
        <v>4984</v>
      </c>
      <c r="R10482" t="s">
        <v>2433</v>
      </c>
      <c r="Z10482" t="s">
        <v>9837</v>
      </c>
      <c r="AT10482" t="s">
        <v>9837</v>
      </c>
      <c r="BM10482" t="s">
        <v>9567</v>
      </c>
    </row>
    <row r="10483" spans="1:65" x14ac:dyDescent="0.25">
      <c r="A10483" t="s">
        <v>9010</v>
      </c>
      <c r="R10483" t="s">
        <v>713</v>
      </c>
      <c r="Z10483">
        <v>60</v>
      </c>
      <c r="AT10483">
        <v>60</v>
      </c>
      <c r="BM10483">
        <v>63</v>
      </c>
    </row>
    <row r="10484" spans="1:65" x14ac:dyDescent="0.25">
      <c r="A10484" t="s">
        <v>1001</v>
      </c>
      <c r="R10484" t="s">
        <v>4986</v>
      </c>
      <c r="Z10484" t="s">
        <v>9839</v>
      </c>
      <c r="AT10484" t="s">
        <v>10247</v>
      </c>
      <c r="BM10484" t="s">
        <v>10248</v>
      </c>
    </row>
    <row r="10486" spans="1:65" x14ac:dyDescent="0.25">
      <c r="A10486" t="s">
        <v>3768</v>
      </c>
      <c r="R10486" t="s">
        <v>9049</v>
      </c>
      <c r="BH10486" t="s">
        <v>9051</v>
      </c>
    </row>
    <row r="10487" spans="1:65" x14ac:dyDescent="0.25">
      <c r="A10487" t="s">
        <v>10023</v>
      </c>
      <c r="R10487" t="s">
        <v>10024</v>
      </c>
      <c r="BH10487" t="s">
        <v>5150</v>
      </c>
    </row>
    <row r="10488" spans="1:65" x14ac:dyDescent="0.25">
      <c r="A10488" t="s">
        <v>10407</v>
      </c>
      <c r="R10488" t="s">
        <v>10408</v>
      </c>
      <c r="BH10488" t="s">
        <v>10409</v>
      </c>
    </row>
    <row r="10489" spans="1:65" x14ac:dyDescent="0.25">
      <c r="A10489" t="s">
        <v>10451</v>
      </c>
      <c r="R10489" t="s">
        <v>10452</v>
      </c>
      <c r="BH10489" t="s">
        <v>9751</v>
      </c>
    </row>
    <row r="10490" spans="1:65" x14ac:dyDescent="0.25">
      <c r="A10490" t="s">
        <v>10453</v>
      </c>
      <c r="R10490" t="s">
        <v>10454</v>
      </c>
      <c r="BH10490" t="s">
        <v>5137</v>
      </c>
    </row>
    <row r="10491" spans="1:65" x14ac:dyDescent="0.25">
      <c r="A10491" t="s">
        <v>10455</v>
      </c>
      <c r="R10491" t="s">
        <v>10456</v>
      </c>
      <c r="BH10491" t="s">
        <v>10178</v>
      </c>
    </row>
    <row r="10492" spans="1:65" x14ac:dyDescent="0.25">
      <c r="A10492" t="s">
        <v>9725</v>
      </c>
      <c r="R10492" t="s">
        <v>9726</v>
      </c>
      <c r="BH10492" t="s">
        <v>9727</v>
      </c>
    </row>
    <row r="10493" spans="1:65" x14ac:dyDescent="0.25">
      <c r="A10493" t="s">
        <v>9843</v>
      </c>
    </row>
    <row r="10494" spans="1:65" x14ac:dyDescent="0.25">
      <c r="A10494" t="s">
        <v>10457</v>
      </c>
    </row>
    <row r="10495" spans="1:65" x14ac:dyDescent="0.25">
      <c r="A10495" t="s">
        <v>10411</v>
      </c>
    </row>
    <row r="10497" spans="1:81" x14ac:dyDescent="0.25">
      <c r="A10497" t="s">
        <v>10458</v>
      </c>
    </row>
    <row r="10499" spans="1:81" x14ac:dyDescent="0.25">
      <c r="A10499" t="s">
        <v>10459</v>
      </c>
    </row>
    <row r="10500" spans="1:81" x14ac:dyDescent="0.25">
      <c r="G10500" t="s">
        <v>8930</v>
      </c>
      <c r="AF10500" t="s">
        <v>10460</v>
      </c>
      <c r="AO10500" t="s">
        <v>10461</v>
      </c>
      <c r="AY10500" t="s">
        <v>10462</v>
      </c>
      <c r="BJ10500" t="s">
        <v>10463</v>
      </c>
      <c r="BT10500" t="s">
        <v>10464</v>
      </c>
      <c r="CC10500" t="s">
        <v>10465</v>
      </c>
    </row>
    <row r="10501" spans="1:81" x14ac:dyDescent="0.25">
      <c r="G10501" t="s">
        <v>8937</v>
      </c>
      <c r="X10501" t="s">
        <v>2424</v>
      </c>
      <c r="AF10501">
        <v>5</v>
      </c>
      <c r="AO10501">
        <v>6.7</v>
      </c>
      <c r="AY10501">
        <v>8</v>
      </c>
      <c r="BJ10501">
        <v>9.5</v>
      </c>
      <c r="BT10501">
        <v>12.1</v>
      </c>
      <c r="CC10501">
        <v>14</v>
      </c>
    </row>
    <row r="10502" spans="1:81" x14ac:dyDescent="0.25">
      <c r="G10502" t="s">
        <v>8938</v>
      </c>
      <c r="X10502" t="s">
        <v>2424</v>
      </c>
      <c r="AF10502" t="s">
        <v>9798</v>
      </c>
      <c r="AO10502" t="s">
        <v>9854</v>
      </c>
      <c r="AY10502" t="s">
        <v>9855</v>
      </c>
      <c r="BJ10502" t="s">
        <v>9801</v>
      </c>
      <c r="BT10502" t="s">
        <v>9954</v>
      </c>
      <c r="CC10502" t="s">
        <v>9955</v>
      </c>
    </row>
    <row r="10503" spans="1:81" x14ac:dyDescent="0.25">
      <c r="G10503" t="s">
        <v>8945</v>
      </c>
      <c r="X10503" t="s">
        <v>2424</v>
      </c>
      <c r="AF10503" t="s">
        <v>10466</v>
      </c>
      <c r="AO10503" t="s">
        <v>10467</v>
      </c>
      <c r="AY10503" t="s">
        <v>10468</v>
      </c>
      <c r="BJ10503" t="s">
        <v>10469</v>
      </c>
      <c r="BT10503" t="s">
        <v>10470</v>
      </c>
      <c r="CC10503" t="s">
        <v>10471</v>
      </c>
    </row>
    <row r="10504" spans="1:81" x14ac:dyDescent="0.25">
      <c r="AF10504">
        <v>2.0499999999999998</v>
      </c>
      <c r="AO10504">
        <v>2.77</v>
      </c>
      <c r="AY10504">
        <v>2.97</v>
      </c>
      <c r="BJ10504">
        <v>3.21</v>
      </c>
      <c r="BT10504">
        <v>4.5199999999999996</v>
      </c>
      <c r="CC10504">
        <v>6</v>
      </c>
    </row>
    <row r="10505" spans="1:81" x14ac:dyDescent="0.25">
      <c r="G10505" t="s">
        <v>8953</v>
      </c>
      <c r="X10505" t="s">
        <v>4905</v>
      </c>
      <c r="AF10505">
        <v>2.7</v>
      </c>
      <c r="AO10505">
        <v>3.32</v>
      </c>
      <c r="AY10505">
        <v>3.35</v>
      </c>
      <c r="BJ10505">
        <v>3.65</v>
      </c>
      <c r="BT10505">
        <v>3.02</v>
      </c>
      <c r="CC10505">
        <v>2.66</v>
      </c>
    </row>
    <row r="10506" spans="1:81" x14ac:dyDescent="0.25">
      <c r="G10506" t="s">
        <v>8955</v>
      </c>
      <c r="AF10506">
        <v>5.8</v>
      </c>
      <c r="AO10506">
        <v>6.37</v>
      </c>
      <c r="AY10506">
        <v>6.75</v>
      </c>
      <c r="BJ10506">
        <v>6.4</v>
      </c>
      <c r="BT10506">
        <v>6.15</v>
      </c>
      <c r="CC10506">
        <v>5.9</v>
      </c>
    </row>
    <row r="10507" spans="1:81" x14ac:dyDescent="0.25">
      <c r="G10507" t="s">
        <v>4977</v>
      </c>
      <c r="AF10507" t="s">
        <v>9104</v>
      </c>
      <c r="AO10507" t="s">
        <v>2880</v>
      </c>
      <c r="AY10507" t="s">
        <v>2880</v>
      </c>
      <c r="BJ10507" t="s">
        <v>2880</v>
      </c>
      <c r="BT10507" t="s">
        <v>9963</v>
      </c>
      <c r="CC10507" t="s">
        <v>9963</v>
      </c>
    </row>
    <row r="10508" spans="1:81" x14ac:dyDescent="0.25">
      <c r="G10508" t="s">
        <v>4979</v>
      </c>
      <c r="X10508" t="s">
        <v>4918</v>
      </c>
      <c r="AF10508" t="s">
        <v>9806</v>
      </c>
      <c r="AO10508" t="s">
        <v>9806</v>
      </c>
      <c r="AY10508" t="s">
        <v>9806</v>
      </c>
      <c r="BJ10508" t="s">
        <v>9806</v>
      </c>
      <c r="BT10508" t="s">
        <v>9806</v>
      </c>
      <c r="CC10508" t="s">
        <v>9806</v>
      </c>
    </row>
    <row r="10509" spans="1:81" x14ac:dyDescent="0.25">
      <c r="G10509" t="s">
        <v>8957</v>
      </c>
      <c r="X10509" t="s">
        <v>2424</v>
      </c>
      <c r="AF10509">
        <v>5.3</v>
      </c>
      <c r="AO10509">
        <v>7.7</v>
      </c>
      <c r="AY10509">
        <v>8.6</v>
      </c>
      <c r="BJ10509">
        <v>11.2</v>
      </c>
      <c r="BT10509">
        <v>13</v>
      </c>
      <c r="CC10509">
        <v>16</v>
      </c>
    </row>
    <row r="10510" spans="1:81" x14ac:dyDescent="0.25">
      <c r="G10510" t="s">
        <v>8958</v>
      </c>
      <c r="X10510" t="s">
        <v>2424</v>
      </c>
      <c r="AF10510" t="s">
        <v>9807</v>
      </c>
      <c r="AO10510" t="s">
        <v>10472</v>
      </c>
      <c r="AY10510" t="s">
        <v>9866</v>
      </c>
      <c r="BJ10510" t="s">
        <v>9809</v>
      </c>
      <c r="BT10510" t="s">
        <v>9964</v>
      </c>
      <c r="CC10510" t="s">
        <v>9965</v>
      </c>
    </row>
    <row r="10511" spans="1:81" x14ac:dyDescent="0.25">
      <c r="G10511" t="s">
        <v>8945</v>
      </c>
      <c r="X10511" t="s">
        <v>2424</v>
      </c>
      <c r="AF10511" t="s">
        <v>10473</v>
      </c>
      <c r="AO10511" t="s">
        <v>10474</v>
      </c>
      <c r="AY10511" t="s">
        <v>10475</v>
      </c>
      <c r="BJ10511" t="s">
        <v>10476</v>
      </c>
      <c r="BT10511" t="s">
        <v>10477</v>
      </c>
      <c r="CC10511" t="s">
        <v>10478</v>
      </c>
    </row>
    <row r="10512" spans="1:81" x14ac:dyDescent="0.25">
      <c r="AF10512">
        <v>2.4700000000000002</v>
      </c>
      <c r="AO10512">
        <v>2.66</v>
      </c>
      <c r="AY10512">
        <v>2.67</v>
      </c>
      <c r="BJ10512">
        <v>3.42</v>
      </c>
      <c r="BT10512">
        <v>4.62</v>
      </c>
      <c r="CC10512">
        <v>5.64</v>
      </c>
    </row>
    <row r="10513" spans="1:81" x14ac:dyDescent="0.25">
      <c r="G10513" t="s">
        <v>8971</v>
      </c>
      <c r="X10513" t="s">
        <v>4905</v>
      </c>
      <c r="AF10513">
        <v>3.27</v>
      </c>
      <c r="AO10513">
        <v>3.77</v>
      </c>
      <c r="AY10513">
        <v>4</v>
      </c>
      <c r="BJ10513">
        <v>3.85</v>
      </c>
      <c r="BT10513">
        <v>3.66</v>
      </c>
      <c r="CC10513">
        <v>3.38</v>
      </c>
    </row>
    <row r="10514" spans="1:81" x14ac:dyDescent="0.25">
      <c r="A10514" t="s">
        <v>9773</v>
      </c>
    </row>
    <row r="10515" spans="1:81" x14ac:dyDescent="0.25">
      <c r="G10515" t="s">
        <v>8973</v>
      </c>
      <c r="AF10515">
        <v>4.1100000000000003</v>
      </c>
      <c r="AO10515">
        <v>4.3</v>
      </c>
      <c r="AY10515">
        <v>4.3</v>
      </c>
      <c r="BJ10515">
        <v>4</v>
      </c>
      <c r="BT10515">
        <v>3.92</v>
      </c>
      <c r="CC10515">
        <v>4.05</v>
      </c>
    </row>
    <row r="10516" spans="1:81" x14ac:dyDescent="0.25">
      <c r="G10516" t="s">
        <v>4977</v>
      </c>
      <c r="AF10516" t="s">
        <v>9104</v>
      </c>
      <c r="AO10516" t="s">
        <v>9104</v>
      </c>
      <c r="AY10516" t="s">
        <v>9104</v>
      </c>
      <c r="BJ10516" t="s">
        <v>9104</v>
      </c>
      <c r="BT10516" t="s">
        <v>9963</v>
      </c>
      <c r="CC10516" t="s">
        <v>9963</v>
      </c>
    </row>
    <row r="10517" spans="1:81" x14ac:dyDescent="0.25">
      <c r="G10517" t="s">
        <v>9920</v>
      </c>
      <c r="X10517" t="s">
        <v>4918</v>
      </c>
      <c r="AF10517" t="s">
        <v>9813</v>
      </c>
      <c r="AO10517" t="s">
        <v>9813</v>
      </c>
      <c r="AY10517" t="s">
        <v>9813</v>
      </c>
      <c r="BJ10517" t="s">
        <v>9813</v>
      </c>
      <c r="BT10517" t="s">
        <v>9813</v>
      </c>
      <c r="CC10517" t="s">
        <v>9813</v>
      </c>
    </row>
    <row r="10518" spans="1:81" x14ac:dyDescent="0.25">
      <c r="G10518" t="s">
        <v>8975</v>
      </c>
      <c r="X10518" t="s">
        <v>2442</v>
      </c>
      <c r="AF10518" t="s">
        <v>8976</v>
      </c>
      <c r="AO10518" t="s">
        <v>8976</v>
      </c>
      <c r="AY10518" t="s">
        <v>8976</v>
      </c>
      <c r="BJ10518" t="s">
        <v>8976</v>
      </c>
      <c r="BT10518" t="s">
        <v>8976</v>
      </c>
      <c r="CC10518" t="s">
        <v>8976</v>
      </c>
    </row>
    <row r="10519" spans="1:81" x14ac:dyDescent="0.25">
      <c r="AF10519">
        <v>50</v>
      </c>
      <c r="AO10519">
        <v>50</v>
      </c>
      <c r="AY10519">
        <v>50</v>
      </c>
      <c r="BJ10519">
        <v>50</v>
      </c>
      <c r="BT10519">
        <v>50</v>
      </c>
      <c r="CC10519">
        <v>50</v>
      </c>
    </row>
    <row r="10520" spans="1:81" x14ac:dyDescent="0.25">
      <c r="G10520" t="s">
        <v>4982</v>
      </c>
      <c r="X10520" t="s">
        <v>4911</v>
      </c>
      <c r="AF10520">
        <v>16</v>
      </c>
      <c r="AO10520">
        <v>16</v>
      </c>
      <c r="AY10520">
        <v>16</v>
      </c>
      <c r="BJ10520">
        <v>25</v>
      </c>
      <c r="BT10520">
        <v>25</v>
      </c>
      <c r="CC10520">
        <v>32</v>
      </c>
    </row>
    <row r="10521" spans="1:81" x14ac:dyDescent="0.25">
      <c r="G10521" t="s">
        <v>9973</v>
      </c>
      <c r="X10521" t="s">
        <v>4986</v>
      </c>
      <c r="AF10521" t="s">
        <v>10479</v>
      </c>
      <c r="AO10521" t="s">
        <v>10480</v>
      </c>
      <c r="AY10521" t="s">
        <v>10481</v>
      </c>
      <c r="BJ10521" t="s">
        <v>10482</v>
      </c>
      <c r="BT10521" t="s">
        <v>10483</v>
      </c>
      <c r="CC10521" t="s">
        <v>10286</v>
      </c>
    </row>
    <row r="10523" spans="1:81" x14ac:dyDescent="0.25">
      <c r="G10523" t="s">
        <v>4988</v>
      </c>
      <c r="AF10523" t="s">
        <v>10484</v>
      </c>
      <c r="AO10523" t="s">
        <v>10427</v>
      </c>
      <c r="AY10523" t="s">
        <v>10485</v>
      </c>
      <c r="BJ10523" t="s">
        <v>10428</v>
      </c>
      <c r="BT10523" t="s">
        <v>10429</v>
      </c>
      <c r="CC10523" t="s">
        <v>10430</v>
      </c>
    </row>
    <row r="10524" spans="1:81" x14ac:dyDescent="0.25">
      <c r="G10524" t="s">
        <v>7870</v>
      </c>
      <c r="X10524" t="s">
        <v>2431</v>
      </c>
      <c r="AF10524" t="s">
        <v>10486</v>
      </c>
      <c r="AO10524" t="s">
        <v>10487</v>
      </c>
      <c r="AY10524" t="s">
        <v>10488</v>
      </c>
      <c r="BJ10524" t="s">
        <v>10489</v>
      </c>
      <c r="BT10524" t="s">
        <v>10489</v>
      </c>
      <c r="CC10524" t="s">
        <v>10489</v>
      </c>
    </row>
    <row r="10525" spans="1:81" x14ac:dyDescent="0.25">
      <c r="AF10525">
        <v>800</v>
      </c>
      <c r="AO10525">
        <v>1200</v>
      </c>
      <c r="AY10525">
        <v>1700</v>
      </c>
      <c r="BJ10525">
        <v>2100</v>
      </c>
      <c r="BT10525">
        <v>2100</v>
      </c>
      <c r="CC10525">
        <v>2100</v>
      </c>
    </row>
    <row r="10526" spans="1:81" x14ac:dyDescent="0.25">
      <c r="G10526" t="s">
        <v>9534</v>
      </c>
      <c r="X10526" t="s">
        <v>9535</v>
      </c>
      <c r="AF10526" t="s">
        <v>10433</v>
      </c>
      <c r="AO10526" t="s">
        <v>10433</v>
      </c>
      <c r="AY10526" t="s">
        <v>10433</v>
      </c>
      <c r="BJ10526" t="s">
        <v>10434</v>
      </c>
      <c r="BT10526" t="s">
        <v>10434</v>
      </c>
      <c r="CC10526" t="s">
        <v>10434</v>
      </c>
    </row>
    <row r="10527" spans="1:81" x14ac:dyDescent="0.25">
      <c r="G10527" t="s">
        <v>8996</v>
      </c>
      <c r="X10527" t="s">
        <v>2427</v>
      </c>
      <c r="AF10527" t="s">
        <v>10490</v>
      </c>
      <c r="AO10527" t="s">
        <v>10435</v>
      </c>
      <c r="AY10527" t="s">
        <v>10491</v>
      </c>
      <c r="BJ10527" t="s">
        <v>10273</v>
      </c>
      <c r="BT10527" t="s">
        <v>10273</v>
      </c>
      <c r="CC10527" t="s">
        <v>10273</v>
      </c>
    </row>
    <row r="10528" spans="1:81" x14ac:dyDescent="0.25">
      <c r="G10528" t="s">
        <v>8996</v>
      </c>
      <c r="X10528" t="s">
        <v>2427</v>
      </c>
      <c r="AF10528" t="s">
        <v>10490</v>
      </c>
      <c r="AO10528" t="s">
        <v>10435</v>
      </c>
      <c r="AY10528" t="s">
        <v>10491</v>
      </c>
      <c r="BJ10528" t="s">
        <v>10273</v>
      </c>
      <c r="BT10528" t="s">
        <v>10273</v>
      </c>
      <c r="CC10528" t="s">
        <v>10273</v>
      </c>
    </row>
    <row r="10529" spans="7:81" x14ac:dyDescent="0.25">
      <c r="G10529" t="s">
        <v>4984</v>
      </c>
      <c r="X10529" t="s">
        <v>2433</v>
      </c>
      <c r="AF10529" t="s">
        <v>10492</v>
      </c>
      <c r="AO10529" t="s">
        <v>10436</v>
      </c>
      <c r="AY10529" t="s">
        <v>10437</v>
      </c>
      <c r="BJ10529" t="s">
        <v>10437</v>
      </c>
      <c r="BT10529" t="s">
        <v>10437</v>
      </c>
      <c r="CC10529" t="s">
        <v>10437</v>
      </c>
    </row>
    <row r="10530" spans="7:81" x14ac:dyDescent="0.25">
      <c r="G10530" t="s">
        <v>9010</v>
      </c>
      <c r="X10530" t="s">
        <v>713</v>
      </c>
      <c r="AF10530">
        <v>23</v>
      </c>
      <c r="AO10530">
        <v>31</v>
      </c>
      <c r="AY10530">
        <v>41</v>
      </c>
      <c r="BJ10530">
        <v>41</v>
      </c>
      <c r="BT10530">
        <v>41</v>
      </c>
      <c r="CC10530">
        <v>41</v>
      </c>
    </row>
    <row r="10531" spans="7:81" x14ac:dyDescent="0.25">
      <c r="G10531" t="s">
        <v>1001</v>
      </c>
      <c r="X10531" t="s">
        <v>4986</v>
      </c>
      <c r="AF10531" t="s">
        <v>10493</v>
      </c>
      <c r="AO10531" t="s">
        <v>10438</v>
      </c>
      <c r="AY10531" t="s">
        <v>10494</v>
      </c>
      <c r="BJ10531" t="s">
        <v>10221</v>
      </c>
      <c r="BT10531" t="s">
        <v>10439</v>
      </c>
      <c r="CC10531" t="s">
        <v>10440</v>
      </c>
    </row>
    <row r="10534" spans="7:81" x14ac:dyDescent="0.25">
      <c r="G10534" t="s">
        <v>5025</v>
      </c>
      <c r="AF10534" t="s">
        <v>9897</v>
      </c>
      <c r="AO10534" t="s">
        <v>9898</v>
      </c>
      <c r="AY10534" t="s">
        <v>9899</v>
      </c>
      <c r="BJ10534" t="s">
        <v>9900</v>
      </c>
      <c r="BT10534" t="s">
        <v>10000</v>
      </c>
      <c r="CC10534" t="s">
        <v>10001</v>
      </c>
    </row>
    <row r="10535" spans="7:81" x14ac:dyDescent="0.25">
      <c r="G10535" t="s">
        <v>8996</v>
      </c>
      <c r="X10535" t="s">
        <v>2427</v>
      </c>
      <c r="AF10535">
        <v>46</v>
      </c>
      <c r="AO10535">
        <v>50</v>
      </c>
      <c r="AY10535">
        <v>52</v>
      </c>
      <c r="BJ10535">
        <v>53</v>
      </c>
      <c r="BT10535">
        <v>56</v>
      </c>
      <c r="CC10535">
        <v>57</v>
      </c>
    </row>
    <row r="10536" spans="7:81" x14ac:dyDescent="0.25">
      <c r="G10536" t="s">
        <v>8996</v>
      </c>
      <c r="X10536" t="s">
        <v>2427</v>
      </c>
      <c r="AF10536">
        <v>48</v>
      </c>
      <c r="AO10536">
        <v>52</v>
      </c>
      <c r="AY10536">
        <v>55</v>
      </c>
      <c r="BJ10536">
        <v>56</v>
      </c>
      <c r="BT10536">
        <v>56</v>
      </c>
      <c r="CC10536">
        <v>56</v>
      </c>
    </row>
    <row r="10537" spans="7:81" x14ac:dyDescent="0.25">
      <c r="G10537" t="s">
        <v>2435</v>
      </c>
      <c r="X10537" t="s">
        <v>2436</v>
      </c>
      <c r="AF10537" t="s">
        <v>9029</v>
      </c>
      <c r="AO10537" t="s">
        <v>2437</v>
      </c>
      <c r="AY10537" t="s">
        <v>2437</v>
      </c>
      <c r="BJ10537" t="s">
        <v>2437</v>
      </c>
      <c r="BT10537" t="s">
        <v>2437</v>
      </c>
      <c r="CC10537" t="s">
        <v>2437</v>
      </c>
    </row>
    <row r="10538" spans="7:81" x14ac:dyDescent="0.25">
      <c r="G10538" t="s">
        <v>9030</v>
      </c>
      <c r="X10538" t="s">
        <v>2436</v>
      </c>
      <c r="AF10538" t="s">
        <v>9836</v>
      </c>
      <c r="AO10538" t="s">
        <v>9028</v>
      </c>
      <c r="AY10538" t="s">
        <v>9028</v>
      </c>
      <c r="BJ10538" t="s">
        <v>9028</v>
      </c>
      <c r="BT10538" t="s">
        <v>9028</v>
      </c>
      <c r="CC10538" t="s">
        <v>9028</v>
      </c>
    </row>
    <row r="10539" spans="7:81" x14ac:dyDescent="0.25">
      <c r="G10539" t="s">
        <v>9032</v>
      </c>
      <c r="X10539" t="s">
        <v>551</v>
      </c>
      <c r="AF10539">
        <v>5</v>
      </c>
      <c r="AO10539">
        <v>5</v>
      </c>
      <c r="AY10539">
        <v>5</v>
      </c>
      <c r="BJ10539">
        <v>5</v>
      </c>
      <c r="BT10539">
        <v>5</v>
      </c>
      <c r="CC10539">
        <v>5</v>
      </c>
    </row>
    <row r="10540" spans="7:81" x14ac:dyDescent="0.25">
      <c r="G10540" t="s">
        <v>9033</v>
      </c>
      <c r="X10540" t="s">
        <v>551</v>
      </c>
      <c r="AF10540">
        <v>30</v>
      </c>
      <c r="AO10540">
        <v>50</v>
      </c>
      <c r="AY10540">
        <v>50</v>
      </c>
      <c r="BJ10540">
        <v>50</v>
      </c>
      <c r="BT10540">
        <v>50</v>
      </c>
      <c r="CC10540">
        <v>50</v>
      </c>
    </row>
    <row r="10541" spans="7:81" x14ac:dyDescent="0.25">
      <c r="G10541" t="s">
        <v>9034</v>
      </c>
      <c r="X10541" t="s">
        <v>551</v>
      </c>
      <c r="AF10541">
        <v>30</v>
      </c>
      <c r="AO10541">
        <v>30</v>
      </c>
      <c r="AY10541">
        <v>30</v>
      </c>
      <c r="BJ10541">
        <v>30</v>
      </c>
      <c r="BT10541">
        <v>30</v>
      </c>
      <c r="CC10541">
        <v>30</v>
      </c>
    </row>
    <row r="10542" spans="7:81" x14ac:dyDescent="0.25">
      <c r="G10542" t="s">
        <v>9035</v>
      </c>
      <c r="AF10542" t="s">
        <v>9037</v>
      </c>
      <c r="AO10542" t="s">
        <v>9037</v>
      </c>
      <c r="AY10542" t="s">
        <v>9037</v>
      </c>
      <c r="BJ10542" t="s">
        <v>9037</v>
      </c>
      <c r="BT10542" t="s">
        <v>9037</v>
      </c>
      <c r="CC10542" t="s">
        <v>9037</v>
      </c>
    </row>
    <row r="10543" spans="7:81" x14ac:dyDescent="0.25">
      <c r="G10543" t="s">
        <v>4983</v>
      </c>
      <c r="AF10543" t="s">
        <v>2440</v>
      </c>
      <c r="AO10543" t="s">
        <v>2440</v>
      </c>
      <c r="AY10543" t="s">
        <v>2440</v>
      </c>
      <c r="BJ10543" t="s">
        <v>2440</v>
      </c>
      <c r="BT10543" t="s">
        <v>2440</v>
      </c>
      <c r="CC10543" t="s">
        <v>2440</v>
      </c>
    </row>
    <row r="10544" spans="7:81" x14ac:dyDescent="0.25">
      <c r="G10544" t="s">
        <v>9213</v>
      </c>
      <c r="X10544" t="s">
        <v>713</v>
      </c>
      <c r="AF10544">
        <v>0.9</v>
      </c>
      <c r="AO10544">
        <v>1.9</v>
      </c>
      <c r="AY10544">
        <v>1.9</v>
      </c>
      <c r="BJ10544">
        <v>2.4</v>
      </c>
      <c r="BT10544">
        <v>2.4</v>
      </c>
      <c r="CC10544">
        <v>2.4</v>
      </c>
    </row>
    <row r="10545" spans="1:81" x14ac:dyDescent="0.25">
      <c r="G10545" t="s">
        <v>4984</v>
      </c>
      <c r="X10545" t="s">
        <v>2433</v>
      </c>
      <c r="AF10545" t="s">
        <v>9041</v>
      </c>
      <c r="AO10545" t="s">
        <v>9902</v>
      </c>
      <c r="AY10545" t="s">
        <v>9902</v>
      </c>
      <c r="BJ10545" t="s">
        <v>4926</v>
      </c>
      <c r="BT10545" t="s">
        <v>4926</v>
      </c>
      <c r="CC10545" t="s">
        <v>4926</v>
      </c>
    </row>
    <row r="10546" spans="1:81" x14ac:dyDescent="0.25">
      <c r="G10546" t="s">
        <v>9010</v>
      </c>
      <c r="X10546" t="s">
        <v>713</v>
      </c>
      <c r="AF10546">
        <v>40</v>
      </c>
      <c r="AO10546">
        <v>47</v>
      </c>
      <c r="AY10546">
        <v>47</v>
      </c>
      <c r="BJ10546">
        <v>85</v>
      </c>
      <c r="BT10546">
        <v>85</v>
      </c>
      <c r="CC10546">
        <v>88</v>
      </c>
    </row>
    <row r="10547" spans="1:81" x14ac:dyDescent="0.25">
      <c r="G10547" t="s">
        <v>1001</v>
      </c>
      <c r="X10547" t="s">
        <v>4986</v>
      </c>
      <c r="AF10547" t="s">
        <v>8982</v>
      </c>
      <c r="AO10547" t="s">
        <v>9903</v>
      </c>
      <c r="AY10547" t="s">
        <v>9904</v>
      </c>
      <c r="BJ10547" t="s">
        <v>9905</v>
      </c>
      <c r="BT10547" t="s">
        <v>9816</v>
      </c>
      <c r="CC10547" t="s">
        <v>10002</v>
      </c>
    </row>
    <row r="10548" spans="1:81" x14ac:dyDescent="0.25">
      <c r="A10548" t="s">
        <v>9843</v>
      </c>
    </row>
    <row r="10549" spans="1:81" x14ac:dyDescent="0.25">
      <c r="A10549" t="s">
        <v>10495</v>
      </c>
    </row>
    <row r="10551" spans="1:81" x14ac:dyDescent="0.25">
      <c r="A10551" t="s">
        <v>10496</v>
      </c>
    </row>
    <row r="10552" spans="1:81" x14ac:dyDescent="0.25">
      <c r="A10552" t="s">
        <v>8930</v>
      </c>
      <c r="Z10552" t="s">
        <v>10497</v>
      </c>
      <c r="AT10552" t="s">
        <v>10498</v>
      </c>
      <c r="BM10552" t="s">
        <v>10499</v>
      </c>
    </row>
    <row r="10553" spans="1:81" x14ac:dyDescent="0.25">
      <c r="A10553" t="s">
        <v>8937</v>
      </c>
      <c r="R10553" t="s">
        <v>2424</v>
      </c>
      <c r="Z10553">
        <v>9.5</v>
      </c>
      <c r="AT10553">
        <v>12.1</v>
      </c>
      <c r="BM10553">
        <v>14</v>
      </c>
    </row>
    <row r="10554" spans="1:81" x14ac:dyDescent="0.25">
      <c r="A10554" t="s">
        <v>8938</v>
      </c>
      <c r="R10554" t="s">
        <v>2424</v>
      </c>
      <c r="Z10554" t="s">
        <v>9801</v>
      </c>
      <c r="AT10554" t="s">
        <v>9954</v>
      </c>
      <c r="BM10554" t="s">
        <v>9955</v>
      </c>
    </row>
    <row r="10555" spans="1:81" x14ac:dyDescent="0.25">
      <c r="A10555" t="s">
        <v>8945</v>
      </c>
      <c r="R10555" t="s">
        <v>2424</v>
      </c>
      <c r="Z10555" t="s">
        <v>10500</v>
      </c>
      <c r="AT10555" t="s">
        <v>10501</v>
      </c>
      <c r="BM10555" t="s">
        <v>10502</v>
      </c>
    </row>
    <row r="10556" spans="1:81" x14ac:dyDescent="0.25">
      <c r="A10556" t="s">
        <v>8953</v>
      </c>
      <c r="R10556" t="s">
        <v>4905</v>
      </c>
      <c r="Z10556">
        <v>3.71</v>
      </c>
      <c r="AT10556">
        <v>3.07</v>
      </c>
      <c r="BM10556">
        <v>2.72</v>
      </c>
    </row>
    <row r="10557" spans="1:81" x14ac:dyDescent="0.25">
      <c r="A10557" t="s">
        <v>8955</v>
      </c>
      <c r="Z10557">
        <v>6</v>
      </c>
      <c r="AT10557">
        <v>5.87</v>
      </c>
      <c r="BM10557">
        <v>5.8</v>
      </c>
    </row>
    <row r="10558" spans="1:81" x14ac:dyDescent="0.25">
      <c r="A10558" t="s">
        <v>4977</v>
      </c>
      <c r="Z10558" t="s">
        <v>9104</v>
      </c>
      <c r="AT10558" t="s">
        <v>9963</v>
      </c>
      <c r="BM10558" t="s">
        <v>9963</v>
      </c>
    </row>
    <row r="10559" spans="1:81" x14ac:dyDescent="0.25">
      <c r="A10559" t="s">
        <v>4979</v>
      </c>
      <c r="R10559" t="s">
        <v>4918</v>
      </c>
      <c r="Z10559" t="s">
        <v>9806</v>
      </c>
      <c r="AT10559" t="s">
        <v>9806</v>
      </c>
      <c r="BM10559" t="s">
        <v>9806</v>
      </c>
    </row>
    <row r="10560" spans="1:81" x14ac:dyDescent="0.25">
      <c r="A10560" t="s">
        <v>8957</v>
      </c>
      <c r="R10560" t="s">
        <v>2424</v>
      </c>
      <c r="Z10560">
        <v>11.2</v>
      </c>
      <c r="AT10560">
        <v>13</v>
      </c>
      <c r="BM10560">
        <v>16</v>
      </c>
    </row>
    <row r="10561" spans="1:88" x14ac:dyDescent="0.25">
      <c r="A10561" t="s">
        <v>8958</v>
      </c>
      <c r="R10561" t="s">
        <v>2424</v>
      </c>
      <c r="Z10561" t="s">
        <v>9809</v>
      </c>
      <c r="AT10561" t="s">
        <v>9964</v>
      </c>
      <c r="BM10561" t="s">
        <v>10011</v>
      </c>
    </row>
    <row r="10562" spans="1:88" x14ac:dyDescent="0.25">
      <c r="A10562" t="s">
        <v>8945</v>
      </c>
      <c r="R10562" t="s">
        <v>2424</v>
      </c>
      <c r="Z10562" t="s">
        <v>10503</v>
      </c>
      <c r="AT10562" t="s">
        <v>10504</v>
      </c>
      <c r="BM10562" t="s">
        <v>10505</v>
      </c>
    </row>
    <row r="10563" spans="1:88" x14ac:dyDescent="0.25">
      <c r="A10563" t="s">
        <v>8971</v>
      </c>
      <c r="R10563" t="s">
        <v>4905</v>
      </c>
      <c r="Z10563">
        <v>3.9</v>
      </c>
      <c r="AT10563">
        <v>3.71</v>
      </c>
      <c r="BM10563">
        <v>3.43</v>
      </c>
    </row>
    <row r="10564" spans="1:88" x14ac:dyDescent="0.25">
      <c r="A10564" t="s">
        <v>8973</v>
      </c>
      <c r="Z10564">
        <v>3.92</v>
      </c>
      <c r="AT10564">
        <v>3.84</v>
      </c>
      <c r="BM10564">
        <v>3.96</v>
      </c>
    </row>
    <row r="10565" spans="1:88" x14ac:dyDescent="0.25">
      <c r="A10565" t="s">
        <v>4977</v>
      </c>
      <c r="Z10565" t="s">
        <v>4911</v>
      </c>
      <c r="AT10565" t="s">
        <v>9963</v>
      </c>
      <c r="BM10565" t="s">
        <v>9963</v>
      </c>
    </row>
    <row r="10566" spans="1:88" x14ac:dyDescent="0.25">
      <c r="A10566" t="s">
        <v>4979</v>
      </c>
      <c r="R10566" t="s">
        <v>4918</v>
      </c>
      <c r="Z10566" t="s">
        <v>9813</v>
      </c>
      <c r="AT10566" t="s">
        <v>9813</v>
      </c>
      <c r="BM10566" t="s">
        <v>9813</v>
      </c>
    </row>
    <row r="10567" spans="1:88" x14ac:dyDescent="0.25">
      <c r="A10567" t="s">
        <v>8975</v>
      </c>
      <c r="R10567" t="s">
        <v>2442</v>
      </c>
      <c r="Z10567" t="s">
        <v>4910</v>
      </c>
      <c r="AT10567" t="s">
        <v>4910</v>
      </c>
      <c r="BM10567" t="s">
        <v>4910</v>
      </c>
    </row>
    <row r="10568" spans="1:88" x14ac:dyDescent="0.25">
      <c r="A10568" t="s">
        <v>4982</v>
      </c>
      <c r="R10568" t="s">
        <v>4911</v>
      </c>
      <c r="Z10568" t="s">
        <v>4917</v>
      </c>
      <c r="AT10568" t="s">
        <v>4917</v>
      </c>
      <c r="BM10568" t="s">
        <v>4917</v>
      </c>
    </row>
    <row r="10569" spans="1:88" x14ac:dyDescent="0.25">
      <c r="A10569" t="s">
        <v>9973</v>
      </c>
      <c r="R10569" t="s">
        <v>4986</v>
      </c>
      <c r="Z10569" t="s">
        <v>10506</v>
      </c>
      <c r="AT10569" t="s">
        <v>10450</v>
      </c>
      <c r="BM10569" t="s">
        <v>10507</v>
      </c>
    </row>
    <row r="10571" spans="1:88" x14ac:dyDescent="0.25">
      <c r="A10571" t="s">
        <v>4988</v>
      </c>
      <c r="Z10571" t="s">
        <v>10428</v>
      </c>
      <c r="AT10571" t="s">
        <v>10429</v>
      </c>
      <c r="BM10571" t="s">
        <v>10430</v>
      </c>
    </row>
    <row r="10572" spans="1:88" x14ac:dyDescent="0.25">
      <c r="A10572" t="s">
        <v>7870</v>
      </c>
      <c r="R10572" t="s">
        <v>2431</v>
      </c>
      <c r="Z10572" t="s">
        <v>10432</v>
      </c>
      <c r="AT10572" t="s">
        <v>10432</v>
      </c>
      <c r="BM10572" t="s">
        <v>10432</v>
      </c>
    </row>
    <row r="10573" spans="1:88" x14ac:dyDescent="0.25">
      <c r="A10573" t="s">
        <v>9534</v>
      </c>
      <c r="R10573" t="s">
        <v>9535</v>
      </c>
      <c r="Z10573" t="s">
        <v>10434</v>
      </c>
      <c r="AT10573" t="s">
        <v>10434</v>
      </c>
      <c r="BM10573" t="s">
        <v>10434</v>
      </c>
    </row>
    <row r="10574" spans="1:88" x14ac:dyDescent="0.25">
      <c r="CJ10574" t="s">
        <v>9773</v>
      </c>
    </row>
    <row r="10575" spans="1:88" x14ac:dyDescent="0.25">
      <c r="A10575" t="s">
        <v>8996</v>
      </c>
      <c r="R10575" t="s">
        <v>2427</v>
      </c>
      <c r="Z10575" t="s">
        <v>10273</v>
      </c>
      <c r="AT10575" t="s">
        <v>10273</v>
      </c>
      <c r="BM10575" t="s">
        <v>10273</v>
      </c>
    </row>
    <row r="10576" spans="1:88" x14ac:dyDescent="0.25">
      <c r="A10576" t="s">
        <v>8996</v>
      </c>
      <c r="R10576" t="s">
        <v>2427</v>
      </c>
      <c r="Z10576" t="s">
        <v>10273</v>
      </c>
      <c r="AT10576" t="s">
        <v>10273</v>
      </c>
      <c r="BM10576" t="s">
        <v>10273</v>
      </c>
    </row>
    <row r="10577" spans="1:65" x14ac:dyDescent="0.25">
      <c r="A10577" t="s">
        <v>4984</v>
      </c>
      <c r="R10577" t="s">
        <v>2433</v>
      </c>
      <c r="Z10577" t="s">
        <v>10437</v>
      </c>
      <c r="AT10577" t="s">
        <v>10437</v>
      </c>
      <c r="BM10577" t="s">
        <v>10437</v>
      </c>
    </row>
    <row r="10578" spans="1:65" x14ac:dyDescent="0.25">
      <c r="A10578" t="s">
        <v>9010</v>
      </c>
      <c r="R10578" t="s">
        <v>713</v>
      </c>
      <c r="Z10578">
        <v>41</v>
      </c>
      <c r="AT10578">
        <v>41</v>
      </c>
      <c r="BM10578">
        <v>41</v>
      </c>
    </row>
    <row r="10579" spans="1:65" x14ac:dyDescent="0.25">
      <c r="A10579" t="s">
        <v>1001</v>
      </c>
      <c r="R10579" t="s">
        <v>4986</v>
      </c>
      <c r="Z10579" t="s">
        <v>10221</v>
      </c>
      <c r="AT10579" t="s">
        <v>10439</v>
      </c>
      <c r="BM10579" t="s">
        <v>10440</v>
      </c>
    </row>
    <row r="10581" spans="1:65" x14ac:dyDescent="0.25">
      <c r="A10581" t="s">
        <v>5025</v>
      </c>
      <c r="Z10581" t="s">
        <v>9901</v>
      </c>
      <c r="AT10581" t="s">
        <v>10020</v>
      </c>
      <c r="BM10581" t="s">
        <v>10021</v>
      </c>
    </row>
    <row r="10582" spans="1:65" x14ac:dyDescent="0.25">
      <c r="A10582" t="s">
        <v>8996</v>
      </c>
      <c r="R10582" t="s">
        <v>2427</v>
      </c>
      <c r="Z10582">
        <v>53</v>
      </c>
      <c r="AT10582">
        <v>56</v>
      </c>
      <c r="BM10582">
        <v>57</v>
      </c>
    </row>
    <row r="10583" spans="1:65" x14ac:dyDescent="0.25">
      <c r="A10583" t="s">
        <v>8996</v>
      </c>
      <c r="R10583" t="s">
        <v>2427</v>
      </c>
      <c r="Z10583">
        <v>56</v>
      </c>
      <c r="AT10583">
        <v>56</v>
      </c>
      <c r="BM10583">
        <v>56</v>
      </c>
    </row>
    <row r="10584" spans="1:65" x14ac:dyDescent="0.25">
      <c r="A10584" t="s">
        <v>2435</v>
      </c>
      <c r="R10584" t="s">
        <v>2436</v>
      </c>
      <c r="Z10584" t="s">
        <v>2437</v>
      </c>
      <c r="AT10584" t="s">
        <v>2437</v>
      </c>
      <c r="BM10584" t="s">
        <v>2437</v>
      </c>
    </row>
    <row r="10585" spans="1:65" x14ac:dyDescent="0.25">
      <c r="A10585" t="s">
        <v>9030</v>
      </c>
      <c r="R10585" t="s">
        <v>2436</v>
      </c>
      <c r="Z10585" t="s">
        <v>9028</v>
      </c>
      <c r="AT10585" t="s">
        <v>9028</v>
      </c>
      <c r="BM10585" t="s">
        <v>9028</v>
      </c>
    </row>
    <row r="10586" spans="1:65" x14ac:dyDescent="0.25">
      <c r="A10586" t="s">
        <v>9032</v>
      </c>
      <c r="R10586" t="s">
        <v>551</v>
      </c>
      <c r="Z10586">
        <v>5</v>
      </c>
      <c r="AT10586">
        <v>5</v>
      </c>
      <c r="BM10586">
        <v>5</v>
      </c>
    </row>
    <row r="10587" spans="1:65" x14ac:dyDescent="0.25">
      <c r="A10587" t="s">
        <v>9033</v>
      </c>
      <c r="R10587" t="s">
        <v>551</v>
      </c>
      <c r="Z10587">
        <v>50</v>
      </c>
      <c r="AT10587">
        <v>50</v>
      </c>
      <c r="BM10587">
        <v>50</v>
      </c>
    </row>
    <row r="10588" spans="1:65" x14ac:dyDescent="0.25">
      <c r="A10588" t="s">
        <v>9034</v>
      </c>
      <c r="R10588" t="s">
        <v>551</v>
      </c>
      <c r="Z10588">
        <v>30</v>
      </c>
      <c r="AT10588">
        <v>30</v>
      </c>
      <c r="BM10588">
        <v>30</v>
      </c>
    </row>
    <row r="10589" spans="1:65" x14ac:dyDescent="0.25">
      <c r="A10589" t="s">
        <v>9035</v>
      </c>
      <c r="Z10589" t="s">
        <v>9037</v>
      </c>
      <c r="AT10589" t="s">
        <v>9037</v>
      </c>
      <c r="BM10589" t="s">
        <v>9037</v>
      </c>
    </row>
    <row r="10590" spans="1:65" x14ac:dyDescent="0.25">
      <c r="A10590" t="s">
        <v>4983</v>
      </c>
      <c r="Z10590" t="s">
        <v>2440</v>
      </c>
      <c r="AT10590" t="s">
        <v>2440</v>
      </c>
      <c r="BM10590" t="s">
        <v>2440</v>
      </c>
    </row>
    <row r="10592" spans="1:65" x14ac:dyDescent="0.25">
      <c r="A10592" t="s">
        <v>9038</v>
      </c>
      <c r="R10592" t="s">
        <v>713</v>
      </c>
      <c r="Z10592">
        <v>2.4</v>
      </c>
      <c r="AT10592">
        <v>2.4</v>
      </c>
      <c r="BM10592">
        <v>2.4</v>
      </c>
    </row>
    <row r="10593" spans="1:65" x14ac:dyDescent="0.25">
      <c r="A10593" t="s">
        <v>4984</v>
      </c>
      <c r="R10593" t="s">
        <v>2433</v>
      </c>
      <c r="Z10593" t="s">
        <v>4926</v>
      </c>
      <c r="AT10593" t="s">
        <v>4926</v>
      </c>
      <c r="BM10593" t="s">
        <v>4926</v>
      </c>
    </row>
    <row r="10594" spans="1:65" x14ac:dyDescent="0.25">
      <c r="A10594" t="s">
        <v>9010</v>
      </c>
      <c r="R10594" t="s">
        <v>713</v>
      </c>
      <c r="Z10594">
        <v>85</v>
      </c>
      <c r="AT10594">
        <v>85</v>
      </c>
      <c r="BM10594">
        <v>88</v>
      </c>
    </row>
    <row r="10595" spans="1:65" x14ac:dyDescent="0.25">
      <c r="A10595" t="s">
        <v>1001</v>
      </c>
      <c r="R10595" t="s">
        <v>4986</v>
      </c>
      <c r="Z10595" t="s">
        <v>9906</v>
      </c>
      <c r="AT10595" t="s">
        <v>10022</v>
      </c>
      <c r="BM10595" t="s">
        <v>5108</v>
      </c>
    </row>
    <row r="10597" spans="1:65" x14ac:dyDescent="0.25">
      <c r="A10597" t="s">
        <v>3768</v>
      </c>
      <c r="R10597" t="s">
        <v>9049</v>
      </c>
      <c r="BH10597" t="s">
        <v>9051</v>
      </c>
    </row>
    <row r="10598" spans="1:65" x14ac:dyDescent="0.25">
      <c r="A10598" t="s">
        <v>10023</v>
      </c>
      <c r="R10598" t="s">
        <v>10024</v>
      </c>
      <c r="BH10598" t="s">
        <v>5150</v>
      </c>
    </row>
    <row r="10599" spans="1:65" x14ac:dyDescent="0.25">
      <c r="A10599" t="s">
        <v>10407</v>
      </c>
      <c r="R10599" t="s">
        <v>10408</v>
      </c>
      <c r="BH10599" t="s">
        <v>10409</v>
      </c>
    </row>
    <row r="10600" spans="1:65" x14ac:dyDescent="0.25">
      <c r="A10600" t="s">
        <v>10451</v>
      </c>
      <c r="R10600" t="s">
        <v>10452</v>
      </c>
      <c r="BH10600" t="s">
        <v>9751</v>
      </c>
    </row>
    <row r="10601" spans="1:65" x14ac:dyDescent="0.25">
      <c r="A10601" t="s">
        <v>10453</v>
      </c>
      <c r="R10601" t="s">
        <v>10454</v>
      </c>
      <c r="BH10601" t="s">
        <v>5137</v>
      </c>
    </row>
    <row r="10602" spans="1:65" x14ac:dyDescent="0.25">
      <c r="A10602" t="s">
        <v>10455</v>
      </c>
      <c r="R10602" t="s">
        <v>10456</v>
      </c>
      <c r="BH10602" t="s">
        <v>10178</v>
      </c>
    </row>
    <row r="10603" spans="1:65" x14ac:dyDescent="0.25">
      <c r="A10603" t="s">
        <v>9725</v>
      </c>
      <c r="R10603" t="s">
        <v>9726</v>
      </c>
      <c r="BH10603" t="s">
        <v>9727</v>
      </c>
    </row>
    <row r="10604" spans="1:65" x14ac:dyDescent="0.25">
      <c r="A10604" t="s">
        <v>9843</v>
      </c>
    </row>
    <row r="10605" spans="1:65" x14ac:dyDescent="0.25">
      <c r="A10605" t="s">
        <v>10508</v>
      </c>
    </row>
    <row r="10607" spans="1:65" x14ac:dyDescent="0.25">
      <c r="A10607" t="s">
        <v>10411</v>
      </c>
    </row>
    <row r="10608" spans="1:65" x14ac:dyDescent="0.25">
      <c r="A10608" t="s">
        <v>10509</v>
      </c>
    </row>
    <row r="10609" spans="1:71" x14ac:dyDescent="0.25">
      <c r="A10609" t="s">
        <v>8930</v>
      </c>
      <c r="Z10609" t="s">
        <v>10510</v>
      </c>
      <c r="AM10609" t="s">
        <v>10511</v>
      </c>
      <c r="BS10609" t="s">
        <v>10512</v>
      </c>
    </row>
    <row r="10610" spans="1:71" x14ac:dyDescent="0.25">
      <c r="A10610" t="s">
        <v>8937</v>
      </c>
      <c r="R10610" t="s">
        <v>2424</v>
      </c>
      <c r="Z10610">
        <v>5</v>
      </c>
      <c r="AM10610">
        <v>7.1</v>
      </c>
      <c r="BC10610">
        <v>10</v>
      </c>
      <c r="BS10610" t="s">
        <v>9697</v>
      </c>
    </row>
    <row r="10611" spans="1:71" x14ac:dyDescent="0.25">
      <c r="A10611" t="s">
        <v>8938</v>
      </c>
      <c r="R10611" t="s">
        <v>2424</v>
      </c>
      <c r="Z10611" t="s">
        <v>9798</v>
      </c>
      <c r="AM10611" t="s">
        <v>9854</v>
      </c>
      <c r="BS10611" t="s">
        <v>10043</v>
      </c>
    </row>
    <row r="10612" spans="1:71" x14ac:dyDescent="0.25">
      <c r="A10612" t="s">
        <v>8945</v>
      </c>
      <c r="R10612" t="s">
        <v>2424</v>
      </c>
      <c r="Z10612" t="s">
        <v>10513</v>
      </c>
      <c r="AM10612" t="s">
        <v>10514</v>
      </c>
      <c r="BS10612" t="s">
        <v>10515</v>
      </c>
    </row>
    <row r="10613" spans="1:71" x14ac:dyDescent="0.25">
      <c r="A10613" t="s">
        <v>8953</v>
      </c>
      <c r="R10613" t="s">
        <v>4905</v>
      </c>
      <c r="Z10613">
        <v>2.73</v>
      </c>
      <c r="AM10613">
        <v>4.3600000000000003</v>
      </c>
      <c r="BC10613">
        <v>4.17</v>
      </c>
      <c r="BS10613" t="s">
        <v>1862</v>
      </c>
    </row>
    <row r="10614" spans="1:71" x14ac:dyDescent="0.25">
      <c r="A10614" t="s">
        <v>8955</v>
      </c>
      <c r="Z10614">
        <v>5.28</v>
      </c>
      <c r="AM10614">
        <v>7.86</v>
      </c>
      <c r="BC10614">
        <v>7.19</v>
      </c>
      <c r="BS10614" t="s">
        <v>10516</v>
      </c>
    </row>
    <row r="10615" spans="1:71" x14ac:dyDescent="0.25">
      <c r="A10615" t="s">
        <v>4977</v>
      </c>
      <c r="Z10615" t="s">
        <v>4911</v>
      </c>
      <c r="AM10615" t="s">
        <v>2880</v>
      </c>
      <c r="BS10615" t="s">
        <v>9963</v>
      </c>
    </row>
    <row r="10616" spans="1:71" x14ac:dyDescent="0.25">
      <c r="A10616" t="s">
        <v>4979</v>
      </c>
      <c r="R10616" t="s">
        <v>4918</v>
      </c>
      <c r="Z10616" t="s">
        <v>9921</v>
      </c>
      <c r="AM10616" t="s">
        <v>9921</v>
      </c>
      <c r="BS10616" t="s">
        <v>9921</v>
      </c>
    </row>
    <row r="10617" spans="1:71" x14ac:dyDescent="0.25">
      <c r="A10617" t="s">
        <v>8957</v>
      </c>
      <c r="R10617" t="s">
        <v>2424</v>
      </c>
      <c r="Z10617">
        <v>5.3</v>
      </c>
      <c r="AM10617">
        <v>8</v>
      </c>
      <c r="BC10617">
        <v>11.2</v>
      </c>
      <c r="BS10617" t="s">
        <v>10047</v>
      </c>
    </row>
    <row r="10618" spans="1:71" x14ac:dyDescent="0.25">
      <c r="A10618" t="s">
        <v>8958</v>
      </c>
      <c r="R10618" t="s">
        <v>2424</v>
      </c>
      <c r="Z10618" t="s">
        <v>9807</v>
      </c>
      <c r="AM10618" t="s">
        <v>10517</v>
      </c>
      <c r="BS10618" t="s">
        <v>10049</v>
      </c>
    </row>
    <row r="10619" spans="1:71" x14ac:dyDescent="0.25">
      <c r="A10619" t="s">
        <v>8945</v>
      </c>
      <c r="R10619" t="s">
        <v>2424</v>
      </c>
      <c r="Z10619" t="s">
        <v>10518</v>
      </c>
      <c r="AM10619" t="s">
        <v>10519</v>
      </c>
      <c r="BS10619" t="s">
        <v>10520</v>
      </c>
    </row>
    <row r="10620" spans="1:71" x14ac:dyDescent="0.25">
      <c r="A10620" t="s">
        <v>8971</v>
      </c>
      <c r="R10620" t="s">
        <v>4905</v>
      </c>
      <c r="Z10620">
        <v>3.27</v>
      </c>
      <c r="AM10620">
        <v>4.32</v>
      </c>
      <c r="BC10620">
        <v>4.0999999999999996</v>
      </c>
      <c r="BS10620" t="s">
        <v>10521</v>
      </c>
    </row>
    <row r="10621" spans="1:71" x14ac:dyDescent="0.25">
      <c r="A10621" t="s">
        <v>8973</v>
      </c>
      <c r="Z10621">
        <v>4.08</v>
      </c>
      <c r="AM10621">
        <v>4.8499999999999996</v>
      </c>
      <c r="BC10621">
        <v>4.3</v>
      </c>
      <c r="BS10621" t="s">
        <v>5992</v>
      </c>
    </row>
    <row r="10622" spans="1:71" x14ac:dyDescent="0.25">
      <c r="A10622" t="s">
        <v>4977</v>
      </c>
      <c r="Z10622" t="s">
        <v>9104</v>
      </c>
      <c r="AM10622" t="s">
        <v>2880</v>
      </c>
      <c r="BS10622" t="s">
        <v>9963</v>
      </c>
    </row>
    <row r="10623" spans="1:71" x14ac:dyDescent="0.25">
      <c r="A10623" t="s">
        <v>4979</v>
      </c>
      <c r="R10623" t="s">
        <v>4918</v>
      </c>
      <c r="Z10623" t="s">
        <v>9930</v>
      </c>
      <c r="AM10623" t="s">
        <v>9931</v>
      </c>
      <c r="BS10623" t="s">
        <v>9930</v>
      </c>
    </row>
    <row r="10624" spans="1:71" x14ac:dyDescent="0.25">
      <c r="A10624" t="s">
        <v>8975</v>
      </c>
      <c r="R10624" t="s">
        <v>2442</v>
      </c>
      <c r="Z10624" t="s">
        <v>2443</v>
      </c>
      <c r="AM10624" t="s">
        <v>2443</v>
      </c>
      <c r="BS10624" t="s">
        <v>2443</v>
      </c>
    </row>
    <row r="10625" spans="1:71" x14ac:dyDescent="0.25">
      <c r="A10625" t="s">
        <v>4982</v>
      </c>
      <c r="R10625" t="s">
        <v>4911</v>
      </c>
      <c r="Z10625">
        <v>16</v>
      </c>
      <c r="AM10625">
        <v>20</v>
      </c>
      <c r="BC10625">
        <v>25</v>
      </c>
      <c r="BS10625" t="s">
        <v>7051</v>
      </c>
    </row>
    <row r="10626" spans="1:71" x14ac:dyDescent="0.25">
      <c r="A10626" t="s">
        <v>9973</v>
      </c>
      <c r="R10626" t="s">
        <v>4986</v>
      </c>
      <c r="Z10626" t="s">
        <v>10522</v>
      </c>
      <c r="AM10626" t="s">
        <v>10085</v>
      </c>
      <c r="BS10626" t="s">
        <v>10523</v>
      </c>
    </row>
    <row r="10627" spans="1:71" x14ac:dyDescent="0.25">
      <c r="A10627" t="s">
        <v>9773</v>
      </c>
    </row>
    <row r="10628" spans="1:71" x14ac:dyDescent="0.25">
      <c r="A10628" t="s">
        <v>4988</v>
      </c>
      <c r="Z10628" t="s">
        <v>10484</v>
      </c>
      <c r="AM10628" t="s">
        <v>10427</v>
      </c>
      <c r="BS10628" t="s">
        <v>10429</v>
      </c>
    </row>
    <row r="10629" spans="1:71" x14ac:dyDescent="0.25">
      <c r="A10629" t="s">
        <v>7870</v>
      </c>
      <c r="R10629" t="s">
        <v>2431</v>
      </c>
      <c r="Z10629" t="s">
        <v>10524</v>
      </c>
      <c r="AM10629" t="s">
        <v>10431</v>
      </c>
      <c r="BS10629" t="s">
        <v>10432</v>
      </c>
    </row>
    <row r="10630" spans="1:71" x14ac:dyDescent="0.25">
      <c r="A10630" t="s">
        <v>9534</v>
      </c>
      <c r="R10630" t="s">
        <v>9535</v>
      </c>
      <c r="Z10630" t="s">
        <v>10433</v>
      </c>
      <c r="AM10630" t="s">
        <v>10433</v>
      </c>
      <c r="BS10630" t="s">
        <v>10434</v>
      </c>
    </row>
    <row r="10631" spans="1:71" x14ac:dyDescent="0.25">
      <c r="A10631" t="s">
        <v>8996</v>
      </c>
      <c r="R10631" t="s">
        <v>2427</v>
      </c>
      <c r="Z10631" t="s">
        <v>10490</v>
      </c>
      <c r="AM10631" t="s">
        <v>10435</v>
      </c>
      <c r="BS10631" t="s">
        <v>10273</v>
      </c>
    </row>
    <row r="10632" spans="1:71" x14ac:dyDescent="0.25">
      <c r="A10632" t="s">
        <v>8996</v>
      </c>
      <c r="R10632" t="s">
        <v>2427</v>
      </c>
      <c r="Z10632" t="s">
        <v>10490</v>
      </c>
      <c r="AM10632" t="s">
        <v>10435</v>
      </c>
      <c r="BS10632" t="s">
        <v>10273</v>
      </c>
    </row>
    <row r="10633" spans="1:71" x14ac:dyDescent="0.25">
      <c r="A10633" t="s">
        <v>4984</v>
      </c>
      <c r="R10633" t="s">
        <v>2433</v>
      </c>
      <c r="Z10633" t="s">
        <v>10492</v>
      </c>
      <c r="AM10633" t="s">
        <v>10436</v>
      </c>
      <c r="BS10633" t="s">
        <v>10437</v>
      </c>
    </row>
    <row r="10634" spans="1:71" x14ac:dyDescent="0.25">
      <c r="A10634" t="s">
        <v>9010</v>
      </c>
      <c r="R10634" t="s">
        <v>713</v>
      </c>
      <c r="Z10634">
        <v>23</v>
      </c>
      <c r="AM10634">
        <v>31</v>
      </c>
      <c r="BC10634">
        <v>41</v>
      </c>
      <c r="BS10634" t="s">
        <v>10525</v>
      </c>
    </row>
    <row r="10635" spans="1:71" x14ac:dyDescent="0.25">
      <c r="A10635" t="s">
        <v>1001</v>
      </c>
      <c r="R10635" t="s">
        <v>4986</v>
      </c>
      <c r="Z10635" t="s">
        <v>10493</v>
      </c>
      <c r="AM10635" t="s">
        <v>10438</v>
      </c>
      <c r="BS10635" t="s">
        <v>10439</v>
      </c>
    </row>
    <row r="10636" spans="1:71" x14ac:dyDescent="0.25">
      <c r="A10636" t="s">
        <v>5025</v>
      </c>
      <c r="Z10636" t="s">
        <v>9935</v>
      </c>
      <c r="AM10636" t="s">
        <v>9936</v>
      </c>
      <c r="BS10636" t="s">
        <v>10060</v>
      </c>
    </row>
    <row r="10637" spans="1:71" x14ac:dyDescent="0.25">
      <c r="A10637" t="s">
        <v>8996</v>
      </c>
      <c r="R10637" t="s">
        <v>2427</v>
      </c>
      <c r="Z10637">
        <v>46</v>
      </c>
      <c r="AM10637">
        <v>46</v>
      </c>
      <c r="BC10637">
        <v>49</v>
      </c>
      <c r="BS10637" t="s">
        <v>7054</v>
      </c>
    </row>
    <row r="10638" spans="1:71" x14ac:dyDescent="0.25">
      <c r="A10638" t="s">
        <v>8996</v>
      </c>
      <c r="R10638" t="s">
        <v>2427</v>
      </c>
      <c r="Z10638">
        <v>48</v>
      </c>
      <c r="AM10638">
        <v>48</v>
      </c>
      <c r="BC10638">
        <v>50</v>
      </c>
      <c r="BS10638" t="s">
        <v>10061</v>
      </c>
    </row>
    <row r="10639" spans="1:71" x14ac:dyDescent="0.25">
      <c r="A10639" t="s">
        <v>2435</v>
      </c>
      <c r="R10639" t="s">
        <v>2436</v>
      </c>
      <c r="Z10639" t="s">
        <v>9029</v>
      </c>
      <c r="AM10639" t="s">
        <v>2437</v>
      </c>
      <c r="BS10639" t="s">
        <v>9835</v>
      </c>
    </row>
    <row r="10640" spans="1:71" x14ac:dyDescent="0.25">
      <c r="A10640" t="s">
        <v>9030</v>
      </c>
      <c r="R10640" t="s">
        <v>2436</v>
      </c>
      <c r="Z10640" t="s">
        <v>9836</v>
      </c>
      <c r="AM10640" t="s">
        <v>9028</v>
      </c>
      <c r="BS10640" t="s">
        <v>9028</v>
      </c>
    </row>
    <row r="10641" spans="1:84" x14ac:dyDescent="0.25">
      <c r="A10641" t="s">
        <v>9032</v>
      </c>
      <c r="R10641" t="s">
        <v>551</v>
      </c>
      <c r="Z10641">
        <v>5</v>
      </c>
      <c r="AM10641">
        <v>5</v>
      </c>
      <c r="BC10641">
        <v>5</v>
      </c>
      <c r="BS10641" t="s">
        <v>5541</v>
      </c>
    </row>
    <row r="10642" spans="1:84" x14ac:dyDescent="0.25">
      <c r="A10642" t="s">
        <v>9033</v>
      </c>
      <c r="R10642" t="s">
        <v>551</v>
      </c>
      <c r="Z10642">
        <v>50</v>
      </c>
      <c r="AM10642">
        <v>50</v>
      </c>
      <c r="BC10642">
        <v>75</v>
      </c>
      <c r="BS10642" t="s">
        <v>10062</v>
      </c>
    </row>
    <row r="10643" spans="1:84" x14ac:dyDescent="0.25">
      <c r="A10643" t="s">
        <v>9034</v>
      </c>
      <c r="R10643" t="s">
        <v>551</v>
      </c>
      <c r="Z10643">
        <v>30</v>
      </c>
      <c r="AM10643">
        <v>30</v>
      </c>
      <c r="BC10643">
        <v>30</v>
      </c>
      <c r="BS10643" t="s">
        <v>5240</v>
      </c>
    </row>
    <row r="10644" spans="1:84" x14ac:dyDescent="0.25">
      <c r="A10644" t="s">
        <v>9035</v>
      </c>
      <c r="Z10644" t="s">
        <v>9037</v>
      </c>
      <c r="AM10644" t="s">
        <v>9037</v>
      </c>
      <c r="BS10644" t="s">
        <v>9037</v>
      </c>
    </row>
    <row r="10645" spans="1:84" x14ac:dyDescent="0.25">
      <c r="A10645" t="s">
        <v>4983</v>
      </c>
      <c r="Z10645" t="s">
        <v>2440</v>
      </c>
      <c r="AM10645" t="s">
        <v>2440</v>
      </c>
      <c r="BS10645" t="s">
        <v>2440</v>
      </c>
    </row>
    <row r="10646" spans="1:84" x14ac:dyDescent="0.25">
      <c r="A10646" t="s">
        <v>9038</v>
      </c>
      <c r="R10646" t="s">
        <v>713</v>
      </c>
      <c r="Z10646">
        <v>1.35</v>
      </c>
      <c r="AM10646">
        <v>1.3</v>
      </c>
      <c r="BC10646">
        <v>3.1</v>
      </c>
      <c r="BS10646" t="s">
        <v>5245</v>
      </c>
    </row>
    <row r="10647" spans="1:84" x14ac:dyDescent="0.25">
      <c r="A10647" t="s">
        <v>4984</v>
      </c>
      <c r="R10647" t="s">
        <v>2433</v>
      </c>
      <c r="Z10647" t="s">
        <v>9902</v>
      </c>
      <c r="AM10647" t="s">
        <v>4926</v>
      </c>
      <c r="BS10647" t="s">
        <v>9939</v>
      </c>
    </row>
    <row r="10648" spans="1:84" x14ac:dyDescent="0.25">
      <c r="A10648" t="s">
        <v>9010</v>
      </c>
      <c r="R10648" t="s">
        <v>713</v>
      </c>
      <c r="Z10648">
        <v>45</v>
      </c>
      <c r="AM10648">
        <v>74</v>
      </c>
      <c r="BC10648">
        <v>104</v>
      </c>
      <c r="BS10648" t="s">
        <v>10063</v>
      </c>
    </row>
    <row r="10649" spans="1:84" x14ac:dyDescent="0.25">
      <c r="A10649" t="s">
        <v>1001</v>
      </c>
      <c r="R10649" t="s">
        <v>4986</v>
      </c>
      <c r="Z10649" t="s">
        <v>9322</v>
      </c>
      <c r="AM10649" t="s">
        <v>9940</v>
      </c>
      <c r="BS10649" t="s">
        <v>10064</v>
      </c>
    </row>
    <row r="10651" spans="1:84" x14ac:dyDescent="0.25">
      <c r="A10651" t="s">
        <v>9843</v>
      </c>
    </row>
    <row r="10652" spans="1:84" x14ac:dyDescent="0.25">
      <c r="A10652" t="s">
        <v>10526</v>
      </c>
    </row>
    <row r="10653" spans="1:84" x14ac:dyDescent="0.25">
      <c r="A10653" t="s">
        <v>10527</v>
      </c>
      <c r="AJ10653" t="s">
        <v>10528</v>
      </c>
      <c r="CF10653" t="s">
        <v>10528</v>
      </c>
    </row>
    <row r="10654" spans="1:84" x14ac:dyDescent="0.25">
      <c r="A10654" t="s">
        <v>10529</v>
      </c>
      <c r="AW10654" t="s">
        <v>10530</v>
      </c>
    </row>
    <row r="10656" spans="1:84" x14ac:dyDescent="0.25">
      <c r="A10656" t="s">
        <v>10531</v>
      </c>
    </row>
    <row r="10657" spans="1:65" x14ac:dyDescent="0.25">
      <c r="A10657" t="s">
        <v>8930</v>
      </c>
      <c r="Z10657" t="s">
        <v>10532</v>
      </c>
      <c r="AT10657" t="s">
        <v>10533</v>
      </c>
      <c r="BM10657" t="s">
        <v>10534</v>
      </c>
    </row>
    <row r="10658" spans="1:65" x14ac:dyDescent="0.25">
      <c r="A10658" t="s">
        <v>8937</v>
      </c>
      <c r="R10658" t="s">
        <v>2424</v>
      </c>
      <c r="Z10658">
        <v>10</v>
      </c>
      <c r="AT10658">
        <v>12.5</v>
      </c>
      <c r="BM10658">
        <v>14</v>
      </c>
    </row>
    <row r="10659" spans="1:65" x14ac:dyDescent="0.25">
      <c r="A10659" t="s">
        <v>8938</v>
      </c>
      <c r="R10659" t="s">
        <v>2424</v>
      </c>
      <c r="Z10659" t="s">
        <v>10535</v>
      </c>
      <c r="AT10659" t="s">
        <v>10071</v>
      </c>
      <c r="BM10659" t="s">
        <v>2425</v>
      </c>
    </row>
    <row r="10660" spans="1:65" x14ac:dyDescent="0.25">
      <c r="A10660" t="s">
        <v>8945</v>
      </c>
      <c r="R10660" t="s">
        <v>2424</v>
      </c>
      <c r="Z10660" t="s">
        <v>10536</v>
      </c>
      <c r="AT10660" t="s">
        <v>10537</v>
      </c>
      <c r="BM10660" t="s">
        <v>10538</v>
      </c>
    </row>
    <row r="10661" spans="1:65" x14ac:dyDescent="0.25">
      <c r="A10661" t="s">
        <v>8953</v>
      </c>
      <c r="R10661" t="s">
        <v>4905</v>
      </c>
      <c r="Z10661">
        <v>3.88</v>
      </c>
      <c r="AT10661">
        <v>3.28</v>
      </c>
      <c r="BM10661">
        <v>3.12</v>
      </c>
    </row>
    <row r="10662" spans="1:65" x14ac:dyDescent="0.25">
      <c r="A10662" t="s">
        <v>8955</v>
      </c>
      <c r="Z10662">
        <v>6.1</v>
      </c>
      <c r="AT10662">
        <v>6.02</v>
      </c>
      <c r="BM10662">
        <v>5.81</v>
      </c>
    </row>
    <row r="10663" spans="1:65" x14ac:dyDescent="0.25">
      <c r="A10663" t="s">
        <v>4977</v>
      </c>
      <c r="Z10663" t="s">
        <v>9104</v>
      </c>
      <c r="AT10663" t="s">
        <v>9963</v>
      </c>
      <c r="BM10663" t="s">
        <v>9963</v>
      </c>
    </row>
    <row r="10664" spans="1:65" x14ac:dyDescent="0.25">
      <c r="A10664" t="s">
        <v>9920</v>
      </c>
      <c r="R10664" t="s">
        <v>4918</v>
      </c>
      <c r="Z10664" t="s">
        <v>9806</v>
      </c>
      <c r="AT10664" t="s">
        <v>9806</v>
      </c>
      <c r="BM10664" t="s">
        <v>9806</v>
      </c>
    </row>
    <row r="10665" spans="1:65" x14ac:dyDescent="0.25">
      <c r="A10665" t="s">
        <v>8957</v>
      </c>
      <c r="R10665" t="s">
        <v>2424</v>
      </c>
      <c r="Z10665">
        <v>11.2</v>
      </c>
      <c r="AT10665">
        <v>14</v>
      </c>
      <c r="BM10665">
        <v>16</v>
      </c>
    </row>
    <row r="10666" spans="1:65" x14ac:dyDescent="0.25">
      <c r="A10666" t="s">
        <v>8958</v>
      </c>
      <c r="R10666" t="s">
        <v>2424</v>
      </c>
      <c r="Z10666" t="s">
        <v>10305</v>
      </c>
      <c r="AT10666" t="s">
        <v>10076</v>
      </c>
      <c r="BM10666" t="s">
        <v>2426</v>
      </c>
    </row>
    <row r="10667" spans="1:65" x14ac:dyDescent="0.25">
      <c r="A10667" t="s">
        <v>8945</v>
      </c>
      <c r="R10667" t="s">
        <v>2424</v>
      </c>
      <c r="Z10667" t="s">
        <v>10539</v>
      </c>
      <c r="AT10667" t="s">
        <v>10540</v>
      </c>
      <c r="BM10667" t="s">
        <v>10541</v>
      </c>
    </row>
    <row r="10668" spans="1:65" x14ac:dyDescent="0.25">
      <c r="A10668" t="s">
        <v>8971</v>
      </c>
      <c r="R10668" t="s">
        <v>4905</v>
      </c>
      <c r="Z10668">
        <v>4.0599999999999996</v>
      </c>
      <c r="AT10668">
        <v>383</v>
      </c>
      <c r="BM10668">
        <v>3.5</v>
      </c>
    </row>
    <row r="10669" spans="1:65" x14ac:dyDescent="0.25">
      <c r="A10669" t="s">
        <v>8973</v>
      </c>
      <c r="Z10669">
        <v>4.1900000000000004</v>
      </c>
      <c r="AT10669">
        <v>3.99</v>
      </c>
      <c r="BM10669">
        <v>3.96</v>
      </c>
    </row>
    <row r="10670" spans="1:65" x14ac:dyDescent="0.25">
      <c r="A10670" t="s">
        <v>4977</v>
      </c>
      <c r="Z10670" t="s">
        <v>9104</v>
      </c>
      <c r="AT10670" t="s">
        <v>9963</v>
      </c>
      <c r="BM10670" t="s">
        <v>9963</v>
      </c>
    </row>
    <row r="10671" spans="1:65" x14ac:dyDescent="0.25">
      <c r="A10671" t="s">
        <v>4979</v>
      </c>
      <c r="R10671" t="s">
        <v>4918</v>
      </c>
      <c r="Z10671" t="s">
        <v>9932</v>
      </c>
      <c r="AT10671" t="s">
        <v>9932</v>
      </c>
      <c r="BM10671" t="s">
        <v>9932</v>
      </c>
    </row>
    <row r="10672" spans="1:65" x14ac:dyDescent="0.25">
      <c r="A10672" t="s">
        <v>8975</v>
      </c>
      <c r="R10672" t="s">
        <v>2442</v>
      </c>
      <c r="Z10672" t="s">
        <v>4910</v>
      </c>
      <c r="AT10672" t="s">
        <v>4910</v>
      </c>
      <c r="BM10672" t="s">
        <v>4910</v>
      </c>
    </row>
    <row r="10673" spans="1:88" x14ac:dyDescent="0.25">
      <c r="A10673" t="s">
        <v>4982</v>
      </c>
      <c r="R10673" t="s">
        <v>4911</v>
      </c>
      <c r="Z10673" t="s">
        <v>4917</v>
      </c>
      <c r="AT10673" t="s">
        <v>4917</v>
      </c>
      <c r="BM10673" t="s">
        <v>4917</v>
      </c>
    </row>
    <row r="10674" spans="1:88" x14ac:dyDescent="0.25">
      <c r="A10674" t="s">
        <v>9973</v>
      </c>
      <c r="R10674" t="s">
        <v>4986</v>
      </c>
      <c r="Z10674" t="s">
        <v>5110</v>
      </c>
      <c r="AT10674" t="s">
        <v>10286</v>
      </c>
      <c r="BM10674" t="s">
        <v>10542</v>
      </c>
    </row>
    <row r="10676" spans="1:88" x14ac:dyDescent="0.25">
      <c r="A10676" t="s">
        <v>4988</v>
      </c>
      <c r="Z10676" t="s">
        <v>10428</v>
      </c>
      <c r="AT10676" t="s">
        <v>10429</v>
      </c>
      <c r="BM10676" t="s">
        <v>10430</v>
      </c>
    </row>
    <row r="10677" spans="1:88" x14ac:dyDescent="0.25">
      <c r="A10677" t="s">
        <v>7870</v>
      </c>
      <c r="R10677" t="s">
        <v>2431</v>
      </c>
      <c r="Z10677" t="s">
        <v>10432</v>
      </c>
      <c r="AT10677" t="s">
        <v>10432</v>
      </c>
      <c r="BM10677" t="s">
        <v>10432</v>
      </c>
    </row>
    <row r="10678" spans="1:88" x14ac:dyDescent="0.25">
      <c r="A10678" t="s">
        <v>9534</v>
      </c>
      <c r="R10678" t="s">
        <v>9535</v>
      </c>
      <c r="Z10678" t="s">
        <v>10434</v>
      </c>
      <c r="AT10678" t="s">
        <v>10434</v>
      </c>
      <c r="BM10678" t="s">
        <v>10434</v>
      </c>
    </row>
    <row r="10679" spans="1:88" x14ac:dyDescent="0.25">
      <c r="CJ10679" t="s">
        <v>9773</v>
      </c>
    </row>
    <row r="10680" spans="1:88" x14ac:dyDescent="0.25">
      <c r="A10680" t="s">
        <v>8996</v>
      </c>
      <c r="R10680" t="s">
        <v>2427</v>
      </c>
      <c r="Z10680" t="s">
        <v>10273</v>
      </c>
      <c r="AT10680" t="s">
        <v>10273</v>
      </c>
      <c r="BM10680" t="s">
        <v>10273</v>
      </c>
    </row>
    <row r="10681" spans="1:88" x14ac:dyDescent="0.25">
      <c r="A10681" t="s">
        <v>8996</v>
      </c>
      <c r="R10681" t="s">
        <v>2427</v>
      </c>
      <c r="Z10681" t="s">
        <v>10273</v>
      </c>
      <c r="AT10681" t="s">
        <v>10273</v>
      </c>
      <c r="BM10681" t="s">
        <v>10273</v>
      </c>
    </row>
    <row r="10682" spans="1:88" x14ac:dyDescent="0.25">
      <c r="A10682" t="s">
        <v>4984</v>
      </c>
      <c r="R10682" t="s">
        <v>2433</v>
      </c>
      <c r="Z10682" t="s">
        <v>10437</v>
      </c>
      <c r="AT10682" t="s">
        <v>10437</v>
      </c>
      <c r="BM10682" t="s">
        <v>10437</v>
      </c>
    </row>
    <row r="10683" spans="1:88" x14ac:dyDescent="0.25">
      <c r="A10683" t="s">
        <v>9010</v>
      </c>
      <c r="R10683" t="s">
        <v>713</v>
      </c>
      <c r="Z10683">
        <v>41</v>
      </c>
      <c r="AT10683">
        <v>41</v>
      </c>
      <c r="BM10683">
        <v>41</v>
      </c>
    </row>
    <row r="10684" spans="1:88" x14ac:dyDescent="0.25">
      <c r="A10684" t="s">
        <v>1001</v>
      </c>
      <c r="R10684" t="s">
        <v>4986</v>
      </c>
      <c r="Z10684" t="s">
        <v>10221</v>
      </c>
      <c r="AT10684" t="s">
        <v>10439</v>
      </c>
      <c r="BM10684" t="s">
        <v>10440</v>
      </c>
    </row>
    <row r="10686" spans="1:88" x14ac:dyDescent="0.25">
      <c r="A10686" t="s">
        <v>5025</v>
      </c>
      <c r="Z10686" t="s">
        <v>9938</v>
      </c>
      <c r="AT10686" t="s">
        <v>10083</v>
      </c>
      <c r="BM10686" t="s">
        <v>10084</v>
      </c>
    </row>
    <row r="10687" spans="1:88" x14ac:dyDescent="0.25">
      <c r="A10687" t="s">
        <v>8996</v>
      </c>
      <c r="R10687" t="s">
        <v>2427</v>
      </c>
      <c r="Z10687">
        <v>49</v>
      </c>
      <c r="AT10687">
        <v>51</v>
      </c>
      <c r="BM10687">
        <v>51</v>
      </c>
    </row>
    <row r="10688" spans="1:88" x14ac:dyDescent="0.25">
      <c r="A10688" t="s">
        <v>8996</v>
      </c>
      <c r="R10688" t="s">
        <v>2427</v>
      </c>
      <c r="Z10688">
        <v>50</v>
      </c>
      <c r="AT10688">
        <v>52</v>
      </c>
      <c r="BM10688">
        <v>53</v>
      </c>
    </row>
    <row r="10689" spans="1:65" x14ac:dyDescent="0.25">
      <c r="A10689" t="s">
        <v>2435</v>
      </c>
      <c r="R10689" t="s">
        <v>2436</v>
      </c>
      <c r="Z10689" t="s">
        <v>9835</v>
      </c>
      <c r="AT10689" t="s">
        <v>2437</v>
      </c>
      <c r="BM10689" t="s">
        <v>2437</v>
      </c>
    </row>
    <row r="10690" spans="1:65" x14ac:dyDescent="0.25">
      <c r="A10690" t="s">
        <v>9030</v>
      </c>
      <c r="R10690" t="s">
        <v>2436</v>
      </c>
      <c r="Z10690" t="s">
        <v>9028</v>
      </c>
      <c r="AT10690" t="s">
        <v>9028</v>
      </c>
      <c r="BM10690" t="s">
        <v>9028</v>
      </c>
    </row>
    <row r="10691" spans="1:65" x14ac:dyDescent="0.25">
      <c r="A10691" t="s">
        <v>9032</v>
      </c>
      <c r="R10691" t="s">
        <v>551</v>
      </c>
      <c r="Z10691">
        <v>5</v>
      </c>
      <c r="AT10691">
        <v>5</v>
      </c>
      <c r="BM10691">
        <v>5</v>
      </c>
    </row>
    <row r="10692" spans="1:65" x14ac:dyDescent="0.25">
      <c r="A10692" t="s">
        <v>9033</v>
      </c>
      <c r="R10692" t="s">
        <v>551</v>
      </c>
      <c r="Z10692">
        <v>75</v>
      </c>
      <c r="AT10692">
        <v>75</v>
      </c>
      <c r="BM10692">
        <v>75</v>
      </c>
    </row>
    <row r="10693" spans="1:65" x14ac:dyDescent="0.25">
      <c r="A10693" t="s">
        <v>9034</v>
      </c>
      <c r="R10693" t="s">
        <v>551</v>
      </c>
      <c r="Z10693">
        <v>30</v>
      </c>
      <c r="AT10693">
        <v>30</v>
      </c>
      <c r="BM10693">
        <v>30</v>
      </c>
    </row>
    <row r="10694" spans="1:65" x14ac:dyDescent="0.25">
      <c r="A10694" t="s">
        <v>9035</v>
      </c>
      <c r="Z10694" t="s">
        <v>9037</v>
      </c>
      <c r="AT10694" t="s">
        <v>9037</v>
      </c>
      <c r="BM10694" t="s">
        <v>9037</v>
      </c>
    </row>
    <row r="10695" spans="1:65" x14ac:dyDescent="0.25">
      <c r="A10695" t="s">
        <v>4983</v>
      </c>
      <c r="Z10695" t="s">
        <v>2440</v>
      </c>
      <c r="AT10695" t="s">
        <v>2440</v>
      </c>
      <c r="BM10695" t="s">
        <v>2440</v>
      </c>
    </row>
    <row r="10697" spans="1:65" x14ac:dyDescent="0.25">
      <c r="A10697" t="s">
        <v>9038</v>
      </c>
      <c r="R10697" t="s">
        <v>713</v>
      </c>
      <c r="Z10697">
        <v>2.6</v>
      </c>
      <c r="AT10697">
        <v>2.6</v>
      </c>
      <c r="BM10697">
        <v>2.6</v>
      </c>
    </row>
    <row r="10698" spans="1:65" x14ac:dyDescent="0.25">
      <c r="A10698" t="s">
        <v>4984</v>
      </c>
      <c r="R10698" t="s">
        <v>2433</v>
      </c>
      <c r="Z10698" t="s">
        <v>5071</v>
      </c>
      <c r="AT10698" t="s">
        <v>5071</v>
      </c>
      <c r="BM10698" t="s">
        <v>5071</v>
      </c>
    </row>
    <row r="10699" spans="1:65" x14ac:dyDescent="0.25">
      <c r="A10699" t="s">
        <v>9010</v>
      </c>
      <c r="R10699" t="s">
        <v>713</v>
      </c>
      <c r="Z10699">
        <v>95</v>
      </c>
      <c r="AT10699">
        <v>95</v>
      </c>
      <c r="BM10699">
        <v>95</v>
      </c>
    </row>
    <row r="10700" spans="1:65" x14ac:dyDescent="0.25">
      <c r="A10700" t="s">
        <v>1001</v>
      </c>
      <c r="R10700" t="s">
        <v>4986</v>
      </c>
      <c r="Z10700" t="s">
        <v>9942</v>
      </c>
      <c r="AT10700" t="s">
        <v>10085</v>
      </c>
      <c r="BM10700" t="s">
        <v>5109</v>
      </c>
    </row>
    <row r="10702" spans="1:65" x14ac:dyDescent="0.25">
      <c r="A10702" t="s">
        <v>3768</v>
      </c>
      <c r="R10702" t="s">
        <v>9049</v>
      </c>
      <c r="BH10702" t="s">
        <v>9051</v>
      </c>
    </row>
    <row r="10703" spans="1:65" x14ac:dyDescent="0.25">
      <c r="A10703" t="s">
        <v>10023</v>
      </c>
      <c r="R10703" t="s">
        <v>10024</v>
      </c>
      <c r="BH10703" t="s">
        <v>5150</v>
      </c>
    </row>
    <row r="10704" spans="1:65" x14ac:dyDescent="0.25">
      <c r="A10704" t="s">
        <v>10407</v>
      </c>
      <c r="R10704" t="s">
        <v>10408</v>
      </c>
      <c r="BH10704" t="s">
        <v>10409</v>
      </c>
    </row>
    <row r="10705" spans="1:62" x14ac:dyDescent="0.25">
      <c r="A10705" t="s">
        <v>10451</v>
      </c>
      <c r="R10705" t="s">
        <v>10452</v>
      </c>
      <c r="BH10705" t="s">
        <v>9751</v>
      </c>
    </row>
    <row r="10706" spans="1:62" x14ac:dyDescent="0.25">
      <c r="A10706" t="s">
        <v>10453</v>
      </c>
      <c r="R10706" t="s">
        <v>10454</v>
      </c>
      <c r="BH10706" t="s">
        <v>5137</v>
      </c>
    </row>
    <row r="10707" spans="1:62" x14ac:dyDescent="0.25">
      <c r="A10707" t="s">
        <v>10455</v>
      </c>
      <c r="R10707" t="s">
        <v>10456</v>
      </c>
      <c r="BH10707" t="s">
        <v>10178</v>
      </c>
    </row>
    <row r="10708" spans="1:62" x14ac:dyDescent="0.25">
      <c r="A10708" t="s">
        <v>9725</v>
      </c>
      <c r="R10708" t="s">
        <v>9726</v>
      </c>
      <c r="BH10708" t="s">
        <v>9727</v>
      </c>
    </row>
    <row r="10709" spans="1:62" x14ac:dyDescent="0.25">
      <c r="A10709" t="s">
        <v>9843</v>
      </c>
    </row>
    <row r="10710" spans="1:62" x14ac:dyDescent="0.25">
      <c r="A10710" t="s">
        <v>10543</v>
      </c>
    </row>
    <row r="10711" spans="1:62" x14ac:dyDescent="0.25">
      <c r="A10711" t="s">
        <v>10544</v>
      </c>
    </row>
    <row r="10713" spans="1:62" x14ac:dyDescent="0.25">
      <c r="A10713" t="s">
        <v>10545</v>
      </c>
    </row>
    <row r="10715" spans="1:62" x14ac:dyDescent="0.25">
      <c r="A10715" t="s">
        <v>10546</v>
      </c>
    </row>
    <row r="10716" spans="1:62" x14ac:dyDescent="0.25">
      <c r="G10716" t="s">
        <v>8930</v>
      </c>
      <c r="AF10716" t="s">
        <v>10547</v>
      </c>
      <c r="BJ10716" t="s">
        <v>10548</v>
      </c>
    </row>
    <row r="10717" spans="1:62" x14ac:dyDescent="0.25">
      <c r="G10717" t="s">
        <v>8937</v>
      </c>
      <c r="W10717" t="s">
        <v>2424</v>
      </c>
      <c r="AF10717">
        <v>19</v>
      </c>
      <c r="BJ10717">
        <v>22.5</v>
      </c>
    </row>
    <row r="10718" spans="1:62" x14ac:dyDescent="0.25">
      <c r="G10718" t="s">
        <v>8938</v>
      </c>
      <c r="W10718" t="s">
        <v>2424</v>
      </c>
      <c r="AF10718" t="s">
        <v>10549</v>
      </c>
      <c r="BJ10718" t="s">
        <v>10550</v>
      </c>
    </row>
    <row r="10719" spans="1:62" x14ac:dyDescent="0.25">
      <c r="G10719" t="s">
        <v>8945</v>
      </c>
      <c r="W10719" t="s">
        <v>2424</v>
      </c>
      <c r="AF10719" t="s">
        <v>10551</v>
      </c>
      <c r="BJ10719" t="s">
        <v>10552</v>
      </c>
    </row>
    <row r="10720" spans="1:62" x14ac:dyDescent="0.25">
      <c r="G10720" t="s">
        <v>8953</v>
      </c>
      <c r="W10720" t="s">
        <v>4905</v>
      </c>
      <c r="AF10720">
        <v>3.24</v>
      </c>
      <c r="BJ10720">
        <v>2.82</v>
      </c>
    </row>
    <row r="10721" spans="1:62" x14ac:dyDescent="0.25">
      <c r="G10721" t="s">
        <v>8955</v>
      </c>
      <c r="AF10721">
        <v>5.82</v>
      </c>
      <c r="BJ10721">
        <v>5.49</v>
      </c>
    </row>
    <row r="10722" spans="1:62" x14ac:dyDescent="0.25">
      <c r="G10722" t="s">
        <v>4977</v>
      </c>
      <c r="AF10722" t="s">
        <v>9963</v>
      </c>
      <c r="BJ10722" t="s">
        <v>9963</v>
      </c>
    </row>
    <row r="10723" spans="1:62" x14ac:dyDescent="0.25">
      <c r="G10723" t="s">
        <v>4979</v>
      </c>
      <c r="W10723" t="s">
        <v>4918</v>
      </c>
      <c r="AF10723" t="s">
        <v>9806</v>
      </c>
      <c r="BJ10723" t="s">
        <v>9806</v>
      </c>
    </row>
    <row r="10724" spans="1:62" x14ac:dyDescent="0.25">
      <c r="G10724" t="s">
        <v>8957</v>
      </c>
      <c r="W10724" t="s">
        <v>2424</v>
      </c>
      <c r="AF10724">
        <v>22.4</v>
      </c>
      <c r="BJ10724">
        <v>27</v>
      </c>
    </row>
    <row r="10725" spans="1:62" x14ac:dyDescent="0.25">
      <c r="G10725" t="s">
        <v>8958</v>
      </c>
      <c r="W10725" t="s">
        <v>2424</v>
      </c>
      <c r="AF10725" t="s">
        <v>10553</v>
      </c>
      <c r="BJ10725" t="s">
        <v>10554</v>
      </c>
    </row>
    <row r="10726" spans="1:62" x14ac:dyDescent="0.25">
      <c r="G10726" t="s">
        <v>8945</v>
      </c>
      <c r="W10726" t="s">
        <v>2424</v>
      </c>
      <c r="AF10726" t="s">
        <v>10555</v>
      </c>
      <c r="BJ10726" t="s">
        <v>10556</v>
      </c>
    </row>
    <row r="10727" spans="1:62" x14ac:dyDescent="0.25">
      <c r="G10727" t="s">
        <v>8971</v>
      </c>
      <c r="W10727" t="s">
        <v>4905</v>
      </c>
      <c r="AF10727">
        <v>3.92</v>
      </c>
      <c r="BJ10727">
        <v>3.59</v>
      </c>
    </row>
    <row r="10728" spans="1:62" x14ac:dyDescent="0.25">
      <c r="G10728" t="s">
        <v>8973</v>
      </c>
      <c r="AF10728">
        <v>3.78</v>
      </c>
      <c r="BJ10728">
        <v>3.69</v>
      </c>
    </row>
    <row r="10729" spans="1:62" x14ac:dyDescent="0.25">
      <c r="A10729" t="s">
        <v>9773</v>
      </c>
    </row>
    <row r="10730" spans="1:62" x14ac:dyDescent="0.25">
      <c r="G10730" t="s">
        <v>4977</v>
      </c>
      <c r="AF10730" t="s">
        <v>9963</v>
      </c>
      <c r="BJ10730" t="s">
        <v>9963</v>
      </c>
    </row>
    <row r="10731" spans="1:62" x14ac:dyDescent="0.25">
      <c r="G10731" t="s">
        <v>4979</v>
      </c>
      <c r="W10731" t="s">
        <v>4918</v>
      </c>
      <c r="AF10731" t="s">
        <v>9932</v>
      </c>
      <c r="BJ10731" t="s">
        <v>9932</v>
      </c>
    </row>
    <row r="10732" spans="1:62" x14ac:dyDescent="0.25">
      <c r="G10732" t="s">
        <v>8975</v>
      </c>
      <c r="W10732" t="s">
        <v>2442</v>
      </c>
      <c r="AF10732" t="s">
        <v>4910</v>
      </c>
      <c r="BJ10732" t="s">
        <v>4910</v>
      </c>
    </row>
    <row r="10733" spans="1:62" x14ac:dyDescent="0.25">
      <c r="G10733" t="s">
        <v>4982</v>
      </c>
      <c r="W10733" t="s">
        <v>4911</v>
      </c>
      <c r="AF10733" t="s">
        <v>10557</v>
      </c>
      <c r="BJ10733" t="s">
        <v>10558</v>
      </c>
    </row>
    <row r="10734" spans="1:62" x14ac:dyDescent="0.25">
      <c r="G10734" t="s">
        <v>9973</v>
      </c>
      <c r="W10734" t="s">
        <v>4986</v>
      </c>
      <c r="AF10734" t="s">
        <v>10559</v>
      </c>
      <c r="BJ10734" t="s">
        <v>10560</v>
      </c>
    </row>
    <row r="10736" spans="1:62" x14ac:dyDescent="0.25">
      <c r="G10736" t="s">
        <v>4988</v>
      </c>
      <c r="AF10736" t="s">
        <v>10561</v>
      </c>
      <c r="BJ10736" t="s">
        <v>10562</v>
      </c>
    </row>
    <row r="10737" spans="7:62" x14ac:dyDescent="0.25">
      <c r="G10737" t="s">
        <v>7870</v>
      </c>
      <c r="W10737" t="s">
        <v>2431</v>
      </c>
      <c r="AF10737">
        <v>3800</v>
      </c>
      <c r="BJ10737">
        <v>4800</v>
      </c>
    </row>
    <row r="10738" spans="7:62" x14ac:dyDescent="0.25">
      <c r="G10738" t="s">
        <v>9534</v>
      </c>
      <c r="W10738" t="s">
        <v>9535</v>
      </c>
      <c r="AF10738" t="s">
        <v>10563</v>
      </c>
      <c r="BJ10738" t="s">
        <v>10563</v>
      </c>
    </row>
    <row r="10739" spans="7:62" x14ac:dyDescent="0.25">
      <c r="G10739" t="s">
        <v>8996</v>
      </c>
      <c r="W10739" t="s">
        <v>2427</v>
      </c>
      <c r="AF10739" t="s">
        <v>10564</v>
      </c>
      <c r="BJ10739" t="s">
        <v>10565</v>
      </c>
    </row>
    <row r="10740" spans="7:62" x14ac:dyDescent="0.25">
      <c r="G10740" t="s">
        <v>8996</v>
      </c>
      <c r="W10740" t="s">
        <v>2427</v>
      </c>
      <c r="AF10740" t="s">
        <v>10564</v>
      </c>
      <c r="BJ10740" t="s">
        <v>10565</v>
      </c>
    </row>
    <row r="10741" spans="7:62" x14ac:dyDescent="0.25">
      <c r="G10741" t="s">
        <v>4984</v>
      </c>
      <c r="W10741" t="s">
        <v>2433</v>
      </c>
      <c r="AF10741" t="s">
        <v>10566</v>
      </c>
      <c r="BJ10741" t="s">
        <v>10566</v>
      </c>
    </row>
    <row r="10742" spans="7:62" x14ac:dyDescent="0.25">
      <c r="G10742" t="s">
        <v>9010</v>
      </c>
      <c r="W10742" t="s">
        <v>713</v>
      </c>
      <c r="AF10742">
        <v>97</v>
      </c>
      <c r="BJ10742">
        <v>97</v>
      </c>
    </row>
    <row r="10743" spans="7:62" x14ac:dyDescent="0.25">
      <c r="G10743" t="s">
        <v>1001</v>
      </c>
      <c r="W10743" t="s">
        <v>4986</v>
      </c>
      <c r="AF10743" t="s">
        <v>10567</v>
      </c>
      <c r="BJ10743" t="s">
        <v>10568</v>
      </c>
    </row>
    <row r="10745" spans="7:62" x14ac:dyDescent="0.25">
      <c r="G10745" t="s">
        <v>5025</v>
      </c>
      <c r="AF10745" t="s">
        <v>10569</v>
      </c>
      <c r="BJ10745" t="s">
        <v>10570</v>
      </c>
    </row>
    <row r="10747" spans="7:62" x14ac:dyDescent="0.25">
      <c r="G10747" t="s">
        <v>8996</v>
      </c>
      <c r="W10747" t="s">
        <v>2427</v>
      </c>
      <c r="AF10747">
        <v>58</v>
      </c>
      <c r="BJ10747">
        <v>61</v>
      </c>
    </row>
    <row r="10748" spans="7:62" x14ac:dyDescent="0.25">
      <c r="G10748" t="s">
        <v>8996</v>
      </c>
      <c r="W10748" t="s">
        <v>2427</v>
      </c>
      <c r="AF10748">
        <v>60</v>
      </c>
      <c r="BJ10748">
        <v>63</v>
      </c>
    </row>
    <row r="10749" spans="7:62" x14ac:dyDescent="0.25">
      <c r="G10749" t="s">
        <v>2435</v>
      </c>
      <c r="W10749" t="s">
        <v>2436</v>
      </c>
      <c r="AF10749" t="s">
        <v>10571</v>
      </c>
      <c r="BJ10749" t="s">
        <v>10571</v>
      </c>
    </row>
    <row r="10750" spans="7:62" x14ac:dyDescent="0.25">
      <c r="G10750" t="s">
        <v>9030</v>
      </c>
      <c r="W10750" t="s">
        <v>2436</v>
      </c>
      <c r="AF10750" t="s">
        <v>9029</v>
      </c>
      <c r="BJ10750" t="s">
        <v>9029</v>
      </c>
    </row>
    <row r="10751" spans="7:62" x14ac:dyDescent="0.25">
      <c r="G10751" t="s">
        <v>9032</v>
      </c>
      <c r="W10751" t="s">
        <v>551</v>
      </c>
      <c r="AF10751">
        <v>5</v>
      </c>
      <c r="BJ10751">
        <v>5</v>
      </c>
    </row>
    <row r="10752" spans="7:62" x14ac:dyDescent="0.25">
      <c r="G10752" t="s">
        <v>9033</v>
      </c>
      <c r="W10752" t="s">
        <v>551</v>
      </c>
      <c r="AF10752">
        <v>60</v>
      </c>
      <c r="BJ10752">
        <v>60</v>
      </c>
    </row>
    <row r="10753" spans="1:65" x14ac:dyDescent="0.25">
      <c r="G10753" t="s">
        <v>9034</v>
      </c>
      <c r="W10753" t="s">
        <v>551</v>
      </c>
      <c r="AF10753">
        <v>30</v>
      </c>
      <c r="BJ10753">
        <v>30</v>
      </c>
    </row>
    <row r="10754" spans="1:65" x14ac:dyDescent="0.25">
      <c r="G10754" t="s">
        <v>9035</v>
      </c>
      <c r="AF10754" t="s">
        <v>9037</v>
      </c>
      <c r="BJ10754" t="s">
        <v>9037</v>
      </c>
    </row>
    <row r="10755" spans="1:65" x14ac:dyDescent="0.25">
      <c r="G10755" t="s">
        <v>4983</v>
      </c>
      <c r="AF10755" t="s">
        <v>2440</v>
      </c>
      <c r="BJ10755" t="s">
        <v>2440</v>
      </c>
    </row>
    <row r="10756" spans="1:65" x14ac:dyDescent="0.25">
      <c r="G10756" t="s">
        <v>9038</v>
      </c>
      <c r="W10756" t="s">
        <v>713</v>
      </c>
      <c r="AF10756">
        <v>5</v>
      </c>
      <c r="BJ10756">
        <v>5</v>
      </c>
    </row>
    <row r="10757" spans="1:65" x14ac:dyDescent="0.25">
      <c r="G10757" t="s">
        <v>4984</v>
      </c>
      <c r="W10757" t="s">
        <v>2433</v>
      </c>
      <c r="AF10757" t="s">
        <v>9939</v>
      </c>
      <c r="BJ10757" t="s">
        <v>9939</v>
      </c>
    </row>
    <row r="10758" spans="1:65" x14ac:dyDescent="0.25">
      <c r="G10758" t="s">
        <v>9010</v>
      </c>
      <c r="W10758" t="s">
        <v>713</v>
      </c>
      <c r="AF10758">
        <v>142</v>
      </c>
      <c r="BJ10758">
        <v>142</v>
      </c>
    </row>
    <row r="10759" spans="1:65" x14ac:dyDescent="0.25">
      <c r="G10759" t="s">
        <v>1001</v>
      </c>
      <c r="W10759" t="s">
        <v>4986</v>
      </c>
      <c r="AF10759" t="s">
        <v>10572</v>
      </c>
      <c r="BJ10759" t="s">
        <v>10573</v>
      </c>
    </row>
    <row r="10761" spans="1:65" x14ac:dyDescent="0.25">
      <c r="G10761" t="s">
        <v>3768</v>
      </c>
      <c r="W10761" t="s">
        <v>9049</v>
      </c>
      <c r="BM10761" t="s">
        <v>9051</v>
      </c>
    </row>
    <row r="10762" spans="1:65" x14ac:dyDescent="0.25">
      <c r="G10762" t="s">
        <v>10023</v>
      </c>
      <c r="W10762" t="s">
        <v>10024</v>
      </c>
      <c r="BM10762" t="s">
        <v>5150</v>
      </c>
    </row>
    <row r="10763" spans="1:65" x14ac:dyDescent="0.25">
      <c r="G10763" t="s">
        <v>10407</v>
      </c>
      <c r="W10763" t="s">
        <v>10408</v>
      </c>
      <c r="BM10763" t="s">
        <v>10409</v>
      </c>
    </row>
    <row r="10764" spans="1:65" x14ac:dyDescent="0.25">
      <c r="G10764" t="s">
        <v>10574</v>
      </c>
      <c r="W10764" t="s">
        <v>10575</v>
      </c>
      <c r="BM10764" t="s">
        <v>9512</v>
      </c>
    </row>
    <row r="10765" spans="1:65" x14ac:dyDescent="0.25">
      <c r="G10765" t="s">
        <v>10576</v>
      </c>
      <c r="W10765" t="s">
        <v>10577</v>
      </c>
      <c r="BM10765" t="s">
        <v>10578</v>
      </c>
    </row>
    <row r="10766" spans="1:65" x14ac:dyDescent="0.25">
      <c r="G10766" t="s">
        <v>10034</v>
      </c>
      <c r="W10766" t="s">
        <v>10035</v>
      </c>
      <c r="BM10766" t="s">
        <v>10036</v>
      </c>
    </row>
    <row r="10767" spans="1:65" x14ac:dyDescent="0.25">
      <c r="A10767" t="s">
        <v>9843</v>
      </c>
    </row>
    <row r="10768" spans="1:65" x14ac:dyDescent="0.25">
      <c r="A10768" t="s">
        <v>10579</v>
      </c>
    </row>
    <row r="10770" spans="1:75" x14ac:dyDescent="0.25">
      <c r="A10770" t="s">
        <v>10580</v>
      </c>
    </row>
    <row r="10771" spans="1:75" x14ac:dyDescent="0.25">
      <c r="A10771" t="s">
        <v>10581</v>
      </c>
    </row>
    <row r="10772" spans="1:75" x14ac:dyDescent="0.25">
      <c r="A10772" t="s">
        <v>10582</v>
      </c>
    </row>
    <row r="10773" spans="1:75" x14ac:dyDescent="0.25">
      <c r="A10773" t="s">
        <v>8930</v>
      </c>
      <c r="Z10773" t="s">
        <v>10583</v>
      </c>
      <c r="AJ10773" t="s">
        <v>10584</v>
      </c>
      <c r="AT10773" t="s">
        <v>10585</v>
      </c>
      <c r="BM10773" t="s">
        <v>10586</v>
      </c>
      <c r="BW10773" t="s">
        <v>10587</v>
      </c>
    </row>
    <row r="10774" spans="1:75" x14ac:dyDescent="0.25">
      <c r="A10774" t="s">
        <v>8937</v>
      </c>
      <c r="R10774" t="s">
        <v>2424</v>
      </c>
      <c r="Z10774">
        <v>5</v>
      </c>
      <c r="AJ10774">
        <v>6.7</v>
      </c>
      <c r="AT10774">
        <v>8</v>
      </c>
      <c r="BC10774">
        <v>9.5</v>
      </c>
      <c r="BM10774">
        <v>12.1</v>
      </c>
      <c r="BW10774">
        <v>14</v>
      </c>
    </row>
    <row r="10775" spans="1:75" x14ac:dyDescent="0.25">
      <c r="A10775" t="s">
        <v>8938</v>
      </c>
      <c r="R10775" t="s">
        <v>2424</v>
      </c>
      <c r="Z10775" t="s">
        <v>9798</v>
      </c>
      <c r="AJ10775" t="s">
        <v>9854</v>
      </c>
      <c r="AT10775" t="s">
        <v>9855</v>
      </c>
      <c r="BM10775" t="s">
        <v>9954</v>
      </c>
      <c r="BW10775" t="s">
        <v>9955</v>
      </c>
    </row>
    <row r="10776" spans="1:75" x14ac:dyDescent="0.25">
      <c r="A10776" t="s">
        <v>8945</v>
      </c>
      <c r="R10776" t="s">
        <v>2424</v>
      </c>
      <c r="Z10776" t="s">
        <v>10588</v>
      </c>
      <c r="AJ10776" t="s">
        <v>10589</v>
      </c>
      <c r="AT10776" t="s">
        <v>10590</v>
      </c>
      <c r="BM10776" t="s">
        <v>10591</v>
      </c>
      <c r="BW10776" t="s">
        <v>10592</v>
      </c>
    </row>
    <row r="10777" spans="1:75" x14ac:dyDescent="0.25">
      <c r="Z10777">
        <v>2</v>
      </c>
      <c r="AJ10777">
        <v>2.91</v>
      </c>
      <c r="AT10777">
        <v>3.02</v>
      </c>
      <c r="BC10777">
        <v>3.28</v>
      </c>
      <c r="BM10777">
        <v>4.62</v>
      </c>
      <c r="BW10777">
        <v>6.19</v>
      </c>
    </row>
    <row r="10778" spans="1:75" x14ac:dyDescent="0.25">
      <c r="A10778" t="s">
        <v>8953</v>
      </c>
      <c r="R10778" t="s">
        <v>4905</v>
      </c>
      <c r="Z10778">
        <v>2.79</v>
      </c>
      <c r="AJ10778">
        <v>3.01</v>
      </c>
      <c r="AT10778">
        <v>3.3</v>
      </c>
      <c r="BC10778">
        <v>3.5</v>
      </c>
      <c r="BM10778">
        <v>2.8</v>
      </c>
      <c r="BW10778">
        <v>2.63</v>
      </c>
    </row>
    <row r="10779" spans="1:75" x14ac:dyDescent="0.25">
      <c r="A10779" t="s">
        <v>8955</v>
      </c>
      <c r="Z10779">
        <v>5.86</v>
      </c>
      <c r="AJ10779">
        <v>5.53</v>
      </c>
      <c r="AT10779">
        <v>6.24</v>
      </c>
      <c r="BC10779">
        <v>6.22</v>
      </c>
      <c r="BM10779">
        <v>5.53</v>
      </c>
      <c r="BW10779">
        <v>5.2</v>
      </c>
    </row>
    <row r="10780" spans="1:75" x14ac:dyDescent="0.25">
      <c r="A10780" t="s">
        <v>4977</v>
      </c>
      <c r="Z10780" t="s">
        <v>9104</v>
      </c>
      <c r="AJ10780" t="s">
        <v>4911</v>
      </c>
      <c r="AT10780" t="s">
        <v>2880</v>
      </c>
      <c r="BM10780" t="s">
        <v>9963</v>
      </c>
      <c r="BW10780" t="s">
        <v>9963</v>
      </c>
    </row>
    <row r="10781" spans="1:75" x14ac:dyDescent="0.25">
      <c r="A10781" t="s">
        <v>4979</v>
      </c>
      <c r="R10781" t="s">
        <v>4918</v>
      </c>
      <c r="Z10781" t="s">
        <v>9806</v>
      </c>
      <c r="AJ10781" t="s">
        <v>9806</v>
      </c>
      <c r="AT10781" t="s">
        <v>9806</v>
      </c>
      <c r="BM10781" t="s">
        <v>9806</v>
      </c>
      <c r="BW10781" t="s">
        <v>9806</v>
      </c>
    </row>
    <row r="10782" spans="1:75" x14ac:dyDescent="0.25">
      <c r="A10782" t="s">
        <v>8957</v>
      </c>
      <c r="R10782" t="s">
        <v>2424</v>
      </c>
      <c r="Z10782">
        <v>5.3</v>
      </c>
      <c r="AJ10782">
        <v>7.7</v>
      </c>
      <c r="AT10782">
        <v>8.6</v>
      </c>
      <c r="BC10782">
        <v>11.2</v>
      </c>
      <c r="BM10782">
        <v>13</v>
      </c>
      <c r="BW10782">
        <v>16</v>
      </c>
    </row>
    <row r="10783" spans="1:75" x14ac:dyDescent="0.25">
      <c r="A10783" t="s">
        <v>8958</v>
      </c>
      <c r="R10783" t="s">
        <v>2424</v>
      </c>
      <c r="Z10783" t="s">
        <v>9807</v>
      </c>
      <c r="AJ10783" t="s">
        <v>9865</v>
      </c>
      <c r="AT10783" t="s">
        <v>9866</v>
      </c>
      <c r="BM10783" t="s">
        <v>9964</v>
      </c>
      <c r="BW10783" t="s">
        <v>9965</v>
      </c>
    </row>
    <row r="10784" spans="1:75" x14ac:dyDescent="0.25">
      <c r="A10784" t="s">
        <v>8945</v>
      </c>
      <c r="R10784" t="s">
        <v>2424</v>
      </c>
      <c r="Z10784" t="s">
        <v>10593</v>
      </c>
      <c r="AJ10784" t="s">
        <v>10594</v>
      </c>
      <c r="AT10784" t="s">
        <v>10595</v>
      </c>
      <c r="BM10784" t="s">
        <v>10596</v>
      </c>
      <c r="BW10784" t="s">
        <v>10597</v>
      </c>
    </row>
    <row r="10785" spans="1:88" x14ac:dyDescent="0.25">
      <c r="Z10785">
        <v>2.7</v>
      </c>
      <c r="AJ10785">
        <v>3.17</v>
      </c>
      <c r="AT10785">
        <v>3.31</v>
      </c>
      <c r="BC10785">
        <v>3.79</v>
      </c>
      <c r="BM10785">
        <v>5.03</v>
      </c>
      <c r="BW10785">
        <v>6.16</v>
      </c>
    </row>
    <row r="10786" spans="1:88" x14ac:dyDescent="0.25">
      <c r="A10786" t="s">
        <v>8971</v>
      </c>
      <c r="R10786" t="s">
        <v>4905</v>
      </c>
      <c r="Z10786">
        <v>3.08</v>
      </c>
      <c r="AJ10786">
        <v>3.11</v>
      </c>
      <c r="AT10786">
        <v>3.7</v>
      </c>
      <c r="BC10786">
        <v>3.61</v>
      </c>
      <c r="BM10786">
        <v>3.29</v>
      </c>
      <c r="BW10786">
        <v>2.83</v>
      </c>
    </row>
    <row r="10787" spans="1:88" x14ac:dyDescent="0.25">
      <c r="A10787" t="s">
        <v>8973</v>
      </c>
      <c r="Z10787">
        <v>4.01</v>
      </c>
      <c r="AJ10787">
        <v>4</v>
      </c>
      <c r="AT10787">
        <v>4</v>
      </c>
      <c r="BC10787">
        <v>3.92</v>
      </c>
      <c r="BM10787">
        <v>3.9</v>
      </c>
      <c r="BW10787">
        <v>3.9</v>
      </c>
      <c r="CJ10787" t="s">
        <v>9773</v>
      </c>
    </row>
    <row r="10788" spans="1:88" x14ac:dyDescent="0.25">
      <c r="A10788" t="s">
        <v>4977</v>
      </c>
      <c r="Z10788" t="s">
        <v>9104</v>
      </c>
      <c r="AJ10788" t="s">
        <v>9104</v>
      </c>
      <c r="AT10788" t="s">
        <v>9104</v>
      </c>
      <c r="BM10788" t="s">
        <v>9963</v>
      </c>
      <c r="BW10788" t="s">
        <v>9963</v>
      </c>
    </row>
    <row r="10789" spans="1:88" x14ac:dyDescent="0.25">
      <c r="A10789" t="s">
        <v>4979</v>
      </c>
      <c r="R10789" t="s">
        <v>4918</v>
      </c>
      <c r="Z10789" t="s">
        <v>9813</v>
      </c>
      <c r="AJ10789" t="s">
        <v>9813</v>
      </c>
      <c r="AT10789" t="s">
        <v>9813</v>
      </c>
      <c r="BM10789" t="s">
        <v>9813</v>
      </c>
      <c r="BW10789" t="s">
        <v>9813</v>
      </c>
    </row>
    <row r="10790" spans="1:88" x14ac:dyDescent="0.25">
      <c r="A10790" t="s">
        <v>8975</v>
      </c>
      <c r="R10790" t="s">
        <v>2442</v>
      </c>
      <c r="Z10790" t="s">
        <v>8976</v>
      </c>
      <c r="AJ10790" t="s">
        <v>8976</v>
      </c>
      <c r="AT10790" t="s">
        <v>8976</v>
      </c>
      <c r="BM10790" t="s">
        <v>8976</v>
      </c>
      <c r="BW10790" t="s">
        <v>8976</v>
      </c>
    </row>
    <row r="10791" spans="1:88" x14ac:dyDescent="0.25">
      <c r="Z10791">
        <v>50</v>
      </c>
      <c r="AJ10791">
        <v>50</v>
      </c>
      <c r="AT10791">
        <v>50</v>
      </c>
      <c r="BC10791">
        <v>50</v>
      </c>
      <c r="BM10791">
        <v>50</v>
      </c>
      <c r="BW10791">
        <v>50</v>
      </c>
    </row>
    <row r="10792" spans="1:88" x14ac:dyDescent="0.25">
      <c r="A10792" t="s">
        <v>4982</v>
      </c>
      <c r="R10792" t="s">
        <v>4911</v>
      </c>
      <c r="Z10792">
        <v>16</v>
      </c>
      <c r="AJ10792">
        <v>16</v>
      </c>
      <c r="AT10792">
        <v>16</v>
      </c>
      <c r="BC10792">
        <v>25</v>
      </c>
      <c r="BM10792">
        <v>25</v>
      </c>
      <c r="BW10792">
        <v>32</v>
      </c>
    </row>
    <row r="10793" spans="1:88" x14ac:dyDescent="0.25">
      <c r="A10793" t="s">
        <v>10598</v>
      </c>
      <c r="R10793" t="s">
        <v>4986</v>
      </c>
      <c r="Z10793" t="s">
        <v>10599</v>
      </c>
      <c r="AJ10793" t="s">
        <v>10600</v>
      </c>
      <c r="AT10793" t="s">
        <v>10080</v>
      </c>
      <c r="BM10793" t="s">
        <v>10601</v>
      </c>
      <c r="BW10793" t="s">
        <v>10602</v>
      </c>
    </row>
    <row r="10795" spans="1:88" x14ac:dyDescent="0.25">
      <c r="A10795" t="s">
        <v>4988</v>
      </c>
      <c r="Z10795" t="s">
        <v>10603</v>
      </c>
      <c r="AJ10795" t="s">
        <v>10604</v>
      </c>
      <c r="AT10795" t="s">
        <v>10605</v>
      </c>
      <c r="BM10795" t="s">
        <v>10606</v>
      </c>
      <c r="BW10795" t="s">
        <v>10607</v>
      </c>
    </row>
    <row r="10796" spans="1:88" x14ac:dyDescent="0.25">
      <c r="A10796" t="s">
        <v>7870</v>
      </c>
      <c r="R10796" t="s">
        <v>2431</v>
      </c>
      <c r="Z10796" t="s">
        <v>10608</v>
      </c>
      <c r="AJ10796" t="s">
        <v>10609</v>
      </c>
      <c r="AT10796" t="s">
        <v>10610</v>
      </c>
      <c r="BM10796" t="s">
        <v>10611</v>
      </c>
      <c r="BW10796" t="s">
        <v>10611</v>
      </c>
    </row>
    <row r="10797" spans="1:88" x14ac:dyDescent="0.25">
      <c r="Z10797">
        <v>820</v>
      </c>
      <c r="AJ10797">
        <v>930</v>
      </c>
      <c r="AT10797">
        <v>1330</v>
      </c>
      <c r="BC10797">
        <v>1660</v>
      </c>
      <c r="BM10797">
        <v>1760</v>
      </c>
      <c r="BW10797">
        <v>1760</v>
      </c>
    </row>
    <row r="10798" spans="1:88" x14ac:dyDescent="0.25">
      <c r="A10798" t="s">
        <v>8996</v>
      </c>
      <c r="R10798" t="s">
        <v>2427</v>
      </c>
      <c r="Z10798" t="s">
        <v>10565</v>
      </c>
      <c r="AJ10798" t="s">
        <v>10612</v>
      </c>
      <c r="AT10798" t="s">
        <v>10613</v>
      </c>
      <c r="BM10798" t="s">
        <v>10614</v>
      </c>
      <c r="BW10798" t="s">
        <v>10614</v>
      </c>
    </row>
    <row r="10799" spans="1:88" x14ac:dyDescent="0.25">
      <c r="A10799" t="s">
        <v>8996</v>
      </c>
      <c r="R10799" t="s">
        <v>2427</v>
      </c>
      <c r="Z10799" t="s">
        <v>10565</v>
      </c>
      <c r="AJ10799" t="s">
        <v>10612</v>
      </c>
      <c r="AT10799" t="s">
        <v>10613</v>
      </c>
      <c r="BM10799" t="s">
        <v>10614</v>
      </c>
      <c r="BW10799" t="s">
        <v>10614</v>
      </c>
    </row>
    <row r="10800" spans="1:88" x14ac:dyDescent="0.25">
      <c r="A10800" t="s">
        <v>4984</v>
      </c>
      <c r="R10800" t="s">
        <v>2433</v>
      </c>
      <c r="Z10800" t="s">
        <v>10615</v>
      </c>
      <c r="AJ10800" t="s">
        <v>10615</v>
      </c>
      <c r="AT10800" t="s">
        <v>10616</v>
      </c>
      <c r="BM10800" t="s">
        <v>10616</v>
      </c>
      <c r="BW10800" t="s">
        <v>10616</v>
      </c>
    </row>
    <row r="10801" spans="1:75" x14ac:dyDescent="0.25">
      <c r="A10801" t="s">
        <v>9010</v>
      </c>
      <c r="R10801" t="s">
        <v>713</v>
      </c>
      <c r="Z10801">
        <v>44</v>
      </c>
      <c r="AJ10801">
        <v>46</v>
      </c>
      <c r="AT10801">
        <v>59</v>
      </c>
      <c r="BC10801">
        <v>59</v>
      </c>
      <c r="BM10801">
        <v>59</v>
      </c>
      <c r="BW10801">
        <v>59</v>
      </c>
    </row>
    <row r="10802" spans="1:75" x14ac:dyDescent="0.25">
      <c r="A10802" t="s">
        <v>1001</v>
      </c>
      <c r="R10802" t="s">
        <v>4986</v>
      </c>
      <c r="Z10802" t="s">
        <v>10617</v>
      </c>
      <c r="AJ10802" t="s">
        <v>10618</v>
      </c>
      <c r="AT10802" t="s">
        <v>10619</v>
      </c>
      <c r="BM10802" t="s">
        <v>10620</v>
      </c>
      <c r="BW10802" t="s">
        <v>10621</v>
      </c>
    </row>
    <row r="10805" spans="1:75" x14ac:dyDescent="0.25">
      <c r="A10805" t="s">
        <v>5025</v>
      </c>
      <c r="Z10805" t="s">
        <v>9897</v>
      </c>
      <c r="AJ10805" t="s">
        <v>9898</v>
      </c>
      <c r="AT10805" t="s">
        <v>9899</v>
      </c>
      <c r="BM10805" t="s">
        <v>10000</v>
      </c>
      <c r="BW10805" t="s">
        <v>10001</v>
      </c>
    </row>
    <row r="10806" spans="1:75" x14ac:dyDescent="0.25">
      <c r="A10806" t="s">
        <v>8996</v>
      </c>
      <c r="R10806" t="s">
        <v>2427</v>
      </c>
      <c r="Z10806">
        <v>46</v>
      </c>
      <c r="AJ10806">
        <v>50</v>
      </c>
      <c r="AT10806">
        <v>52</v>
      </c>
      <c r="BC10806">
        <v>53</v>
      </c>
      <c r="BM10806">
        <v>56</v>
      </c>
      <c r="BW10806">
        <v>57</v>
      </c>
    </row>
    <row r="10807" spans="1:75" x14ac:dyDescent="0.25">
      <c r="A10807" t="s">
        <v>8996</v>
      </c>
      <c r="R10807" t="s">
        <v>2427</v>
      </c>
      <c r="Z10807">
        <v>48</v>
      </c>
      <c r="AJ10807">
        <v>52</v>
      </c>
      <c r="AT10807">
        <v>55</v>
      </c>
      <c r="BC10807">
        <v>56</v>
      </c>
      <c r="BM10807">
        <v>56</v>
      </c>
      <c r="BW10807">
        <v>56</v>
      </c>
    </row>
    <row r="10808" spans="1:75" x14ac:dyDescent="0.25">
      <c r="A10808" t="s">
        <v>2435</v>
      </c>
      <c r="R10808" t="s">
        <v>2436</v>
      </c>
      <c r="Z10808" t="s">
        <v>9029</v>
      </c>
      <c r="AJ10808" t="s">
        <v>2437</v>
      </c>
      <c r="AT10808" t="s">
        <v>2437</v>
      </c>
      <c r="BM10808" t="s">
        <v>2437</v>
      </c>
      <c r="BW10808" t="s">
        <v>2437</v>
      </c>
    </row>
    <row r="10809" spans="1:75" x14ac:dyDescent="0.25">
      <c r="A10809" t="s">
        <v>9030</v>
      </c>
      <c r="R10809" t="s">
        <v>2436</v>
      </c>
      <c r="Z10809" t="s">
        <v>9836</v>
      </c>
      <c r="AJ10809" t="s">
        <v>9028</v>
      </c>
      <c r="AT10809" t="s">
        <v>9028</v>
      </c>
      <c r="BM10809" t="s">
        <v>9028</v>
      </c>
      <c r="BW10809" t="s">
        <v>9028</v>
      </c>
    </row>
    <row r="10810" spans="1:75" x14ac:dyDescent="0.25">
      <c r="A10810" t="s">
        <v>9032</v>
      </c>
      <c r="R10810" t="s">
        <v>551</v>
      </c>
      <c r="Z10810">
        <v>5</v>
      </c>
      <c r="AJ10810">
        <v>5</v>
      </c>
      <c r="AT10810">
        <v>5</v>
      </c>
      <c r="BC10810">
        <v>5</v>
      </c>
      <c r="BM10810">
        <v>5</v>
      </c>
      <c r="BW10810">
        <v>5</v>
      </c>
    </row>
    <row r="10811" spans="1:75" x14ac:dyDescent="0.25">
      <c r="A10811" t="s">
        <v>9033</v>
      </c>
      <c r="R10811" t="s">
        <v>551</v>
      </c>
      <c r="Z10811">
        <v>30</v>
      </c>
      <c r="AJ10811">
        <v>50</v>
      </c>
      <c r="AT10811">
        <v>50</v>
      </c>
      <c r="BC10811">
        <v>50</v>
      </c>
      <c r="BM10811">
        <v>50</v>
      </c>
      <c r="BW10811">
        <v>50</v>
      </c>
    </row>
    <row r="10812" spans="1:75" x14ac:dyDescent="0.25">
      <c r="A10812" t="s">
        <v>9034</v>
      </c>
      <c r="R10812" t="s">
        <v>551</v>
      </c>
      <c r="Z10812">
        <v>30</v>
      </c>
      <c r="AJ10812">
        <v>30</v>
      </c>
      <c r="AT10812">
        <v>30</v>
      </c>
      <c r="BC10812">
        <v>30</v>
      </c>
      <c r="BM10812">
        <v>30</v>
      </c>
      <c r="BW10812">
        <v>30</v>
      </c>
    </row>
    <row r="10813" spans="1:75" x14ac:dyDescent="0.25">
      <c r="A10813" t="s">
        <v>9035</v>
      </c>
      <c r="Z10813" t="s">
        <v>9037</v>
      </c>
      <c r="AJ10813" t="s">
        <v>9037</v>
      </c>
      <c r="AT10813" t="s">
        <v>9037</v>
      </c>
      <c r="BM10813" t="s">
        <v>9037</v>
      </c>
      <c r="BW10813" t="s">
        <v>9037</v>
      </c>
    </row>
    <row r="10814" spans="1:75" x14ac:dyDescent="0.25">
      <c r="A10814" t="s">
        <v>4983</v>
      </c>
      <c r="Z10814" t="s">
        <v>2440</v>
      </c>
      <c r="AJ10814" t="s">
        <v>2440</v>
      </c>
      <c r="AT10814" t="s">
        <v>2440</v>
      </c>
      <c r="BM10814" t="s">
        <v>2440</v>
      </c>
      <c r="BW10814" t="s">
        <v>2440</v>
      </c>
    </row>
    <row r="10815" spans="1:75" x14ac:dyDescent="0.25">
      <c r="A10815" t="s">
        <v>9213</v>
      </c>
      <c r="R10815" t="s">
        <v>713</v>
      </c>
      <c r="Z10815">
        <v>0.9</v>
      </c>
      <c r="AJ10815">
        <v>1.9</v>
      </c>
      <c r="AT10815">
        <v>1.9</v>
      </c>
      <c r="BC10815">
        <v>2.4</v>
      </c>
      <c r="BM10815">
        <v>2.4</v>
      </c>
      <c r="BW10815">
        <v>2.4</v>
      </c>
    </row>
    <row r="10816" spans="1:75" x14ac:dyDescent="0.25">
      <c r="A10816" t="s">
        <v>4984</v>
      </c>
      <c r="R10816" t="s">
        <v>2433</v>
      </c>
      <c r="Z10816" t="s">
        <v>9041</v>
      </c>
      <c r="AJ10816" t="s">
        <v>9902</v>
      </c>
      <c r="AT10816" t="s">
        <v>9902</v>
      </c>
      <c r="BM10816" t="s">
        <v>4926</v>
      </c>
      <c r="BW10816" t="s">
        <v>4926</v>
      </c>
    </row>
    <row r="10817" spans="1:75" x14ac:dyDescent="0.25">
      <c r="A10817" t="s">
        <v>9010</v>
      </c>
      <c r="R10817" t="s">
        <v>713</v>
      </c>
      <c r="Z10817">
        <v>40</v>
      </c>
      <c r="AJ10817">
        <v>47</v>
      </c>
      <c r="AT10817">
        <v>47</v>
      </c>
      <c r="BC10817">
        <v>85</v>
      </c>
      <c r="BM10817">
        <v>85</v>
      </c>
      <c r="BW10817">
        <v>88</v>
      </c>
    </row>
    <row r="10818" spans="1:75" x14ac:dyDescent="0.25">
      <c r="A10818" t="s">
        <v>1001</v>
      </c>
      <c r="R10818" t="s">
        <v>4986</v>
      </c>
      <c r="Z10818" t="s">
        <v>8982</v>
      </c>
      <c r="AJ10818" t="s">
        <v>9903</v>
      </c>
      <c r="AT10818" t="s">
        <v>9904</v>
      </c>
      <c r="BM10818" t="s">
        <v>9816</v>
      </c>
      <c r="BW10818" t="s">
        <v>10002</v>
      </c>
    </row>
    <row r="10819" spans="1:75" x14ac:dyDescent="0.25">
      <c r="A10819" t="s">
        <v>9843</v>
      </c>
    </row>
    <row r="10820" spans="1:75" x14ac:dyDescent="0.25">
      <c r="A10820" t="s">
        <v>10622</v>
      </c>
    </row>
    <row r="10821" spans="1:75" x14ac:dyDescent="0.25">
      <c r="A10821" t="s">
        <v>10623</v>
      </c>
    </row>
    <row r="10822" spans="1:75" x14ac:dyDescent="0.25">
      <c r="G10822" t="s">
        <v>8930</v>
      </c>
      <c r="AF10822" t="s">
        <v>10624</v>
      </c>
      <c r="AY10822" t="s">
        <v>10625</v>
      </c>
      <c r="BT10822" t="s">
        <v>10626</v>
      </c>
    </row>
    <row r="10823" spans="1:75" x14ac:dyDescent="0.25">
      <c r="G10823" t="s">
        <v>8937</v>
      </c>
      <c r="W10823" t="s">
        <v>2424</v>
      </c>
      <c r="AF10823">
        <v>9.5</v>
      </c>
      <c r="AY10823">
        <v>12.1</v>
      </c>
      <c r="BT10823">
        <v>14</v>
      </c>
    </row>
    <row r="10824" spans="1:75" x14ac:dyDescent="0.25">
      <c r="G10824" t="s">
        <v>8938</v>
      </c>
      <c r="W10824" t="s">
        <v>2424</v>
      </c>
      <c r="AF10824" t="s">
        <v>9801</v>
      </c>
      <c r="AY10824" t="s">
        <v>9954</v>
      </c>
      <c r="BT10824" t="s">
        <v>9955</v>
      </c>
    </row>
    <row r="10825" spans="1:75" x14ac:dyDescent="0.25">
      <c r="G10825" t="s">
        <v>8945</v>
      </c>
      <c r="W10825" t="s">
        <v>2424</v>
      </c>
      <c r="AF10825" t="s">
        <v>10627</v>
      </c>
      <c r="AY10825" t="s">
        <v>10628</v>
      </c>
      <c r="BT10825" t="s">
        <v>10629</v>
      </c>
    </row>
    <row r="10826" spans="1:75" x14ac:dyDescent="0.25">
      <c r="G10826" t="s">
        <v>8953</v>
      </c>
      <c r="W10826" t="s">
        <v>4905</v>
      </c>
      <c r="AF10826">
        <v>3.55</v>
      </c>
      <c r="AY10826">
        <v>2.85</v>
      </c>
      <c r="BT10826">
        <v>2.68</v>
      </c>
    </row>
    <row r="10827" spans="1:75" x14ac:dyDescent="0.25">
      <c r="G10827" t="s">
        <v>8955</v>
      </c>
      <c r="AF10827">
        <v>5.88</v>
      </c>
      <c r="AY10827">
        <v>5.35</v>
      </c>
      <c r="BT10827">
        <v>5.15</v>
      </c>
    </row>
    <row r="10828" spans="1:75" x14ac:dyDescent="0.25">
      <c r="G10828" t="s">
        <v>4977</v>
      </c>
      <c r="AF10828" t="s">
        <v>9104</v>
      </c>
      <c r="AY10828" t="s">
        <v>9963</v>
      </c>
      <c r="BT10828" t="s">
        <v>9963</v>
      </c>
    </row>
    <row r="10829" spans="1:75" x14ac:dyDescent="0.25">
      <c r="G10829" t="s">
        <v>4979</v>
      </c>
      <c r="W10829" t="s">
        <v>4918</v>
      </c>
      <c r="AF10829" t="s">
        <v>9806</v>
      </c>
      <c r="AY10829" t="s">
        <v>9806</v>
      </c>
      <c r="BT10829" t="s">
        <v>9806</v>
      </c>
    </row>
    <row r="10830" spans="1:75" x14ac:dyDescent="0.25">
      <c r="G10830" t="s">
        <v>8957</v>
      </c>
      <c r="W10830" t="s">
        <v>2424</v>
      </c>
      <c r="AF10830">
        <v>11.2</v>
      </c>
      <c r="AY10830">
        <v>13</v>
      </c>
      <c r="BT10830">
        <v>16</v>
      </c>
    </row>
    <row r="10831" spans="1:75" x14ac:dyDescent="0.25">
      <c r="G10831" t="s">
        <v>8958</v>
      </c>
      <c r="W10831" t="s">
        <v>2424</v>
      </c>
      <c r="AF10831" t="s">
        <v>9955</v>
      </c>
      <c r="AY10831" t="s">
        <v>9964</v>
      </c>
      <c r="BT10831" t="s">
        <v>10011</v>
      </c>
    </row>
    <row r="10832" spans="1:75" x14ac:dyDescent="0.25">
      <c r="G10832" t="s">
        <v>8945</v>
      </c>
      <c r="W10832" t="s">
        <v>2424</v>
      </c>
      <c r="AF10832" t="s">
        <v>10630</v>
      </c>
      <c r="AY10832" t="s">
        <v>10631</v>
      </c>
      <c r="BT10832" t="s">
        <v>10632</v>
      </c>
    </row>
    <row r="10833" spans="1:72" x14ac:dyDescent="0.25">
      <c r="G10833" t="s">
        <v>8971</v>
      </c>
      <c r="W10833" t="s">
        <v>4905</v>
      </c>
      <c r="AF10833">
        <v>3.64</v>
      </c>
      <c r="AY10833">
        <v>3.34</v>
      </c>
      <c r="BT10833">
        <v>2.83</v>
      </c>
    </row>
    <row r="10834" spans="1:72" x14ac:dyDescent="0.25">
      <c r="G10834" t="s">
        <v>8973</v>
      </c>
      <c r="AF10834">
        <v>3.92</v>
      </c>
      <c r="AY10834">
        <v>3.9</v>
      </c>
      <c r="BT10834">
        <v>3.82</v>
      </c>
    </row>
    <row r="10835" spans="1:72" x14ac:dyDescent="0.25">
      <c r="G10835" t="s">
        <v>4977</v>
      </c>
      <c r="AF10835" t="s">
        <v>4911</v>
      </c>
      <c r="AY10835" t="s">
        <v>9963</v>
      </c>
      <c r="BT10835" t="s">
        <v>9963</v>
      </c>
    </row>
    <row r="10836" spans="1:72" x14ac:dyDescent="0.25">
      <c r="G10836" t="s">
        <v>4979</v>
      </c>
      <c r="W10836" t="s">
        <v>4918</v>
      </c>
      <c r="AF10836" t="s">
        <v>9813</v>
      </c>
      <c r="AY10836" t="s">
        <v>9813</v>
      </c>
      <c r="BT10836" t="s">
        <v>9813</v>
      </c>
    </row>
    <row r="10837" spans="1:72" x14ac:dyDescent="0.25">
      <c r="G10837" t="s">
        <v>8975</v>
      </c>
      <c r="W10837" t="s">
        <v>2442</v>
      </c>
      <c r="AF10837" t="s">
        <v>4910</v>
      </c>
      <c r="AY10837" t="s">
        <v>4910</v>
      </c>
      <c r="BT10837" t="s">
        <v>4910</v>
      </c>
    </row>
    <row r="10838" spans="1:72" x14ac:dyDescent="0.25">
      <c r="G10838" t="s">
        <v>4982</v>
      </c>
      <c r="W10838" t="s">
        <v>4911</v>
      </c>
      <c r="AF10838" t="s">
        <v>4917</v>
      </c>
      <c r="AY10838" t="s">
        <v>4917</v>
      </c>
      <c r="BT10838" t="s">
        <v>4917</v>
      </c>
    </row>
    <row r="10839" spans="1:72" x14ac:dyDescent="0.25">
      <c r="G10839" t="s">
        <v>10598</v>
      </c>
      <c r="W10839" t="s">
        <v>4986</v>
      </c>
      <c r="AF10839" t="s">
        <v>10633</v>
      </c>
      <c r="AY10839" t="s">
        <v>10634</v>
      </c>
      <c r="BT10839" t="s">
        <v>10635</v>
      </c>
    </row>
    <row r="10841" spans="1:72" x14ac:dyDescent="0.25">
      <c r="G10841" t="s">
        <v>4988</v>
      </c>
      <c r="AF10841" t="s">
        <v>10636</v>
      </c>
      <c r="AY10841" t="s">
        <v>10606</v>
      </c>
      <c r="BT10841" t="s">
        <v>10607</v>
      </c>
    </row>
    <row r="10842" spans="1:72" x14ac:dyDescent="0.25">
      <c r="G10842" t="s">
        <v>7870</v>
      </c>
      <c r="W10842" t="s">
        <v>2431</v>
      </c>
      <c r="AF10842" t="s">
        <v>10637</v>
      </c>
      <c r="AY10842" t="s">
        <v>10638</v>
      </c>
      <c r="BT10842" t="s">
        <v>10638</v>
      </c>
    </row>
    <row r="10843" spans="1:72" x14ac:dyDescent="0.25">
      <c r="G10843" t="s">
        <v>8996</v>
      </c>
      <c r="W10843" t="s">
        <v>2427</v>
      </c>
      <c r="AF10843" t="s">
        <v>10639</v>
      </c>
      <c r="AY10843" t="s">
        <v>10614</v>
      </c>
      <c r="BT10843" t="s">
        <v>10614</v>
      </c>
    </row>
    <row r="10844" spans="1:72" x14ac:dyDescent="0.25">
      <c r="A10844" t="s">
        <v>9773</v>
      </c>
    </row>
    <row r="10845" spans="1:72" x14ac:dyDescent="0.25">
      <c r="G10845" t="s">
        <v>8996</v>
      </c>
      <c r="W10845" t="s">
        <v>2427</v>
      </c>
      <c r="AF10845" t="s">
        <v>10639</v>
      </c>
      <c r="AY10845" t="s">
        <v>10614</v>
      </c>
      <c r="BT10845" t="s">
        <v>10614</v>
      </c>
    </row>
    <row r="10846" spans="1:72" x14ac:dyDescent="0.25">
      <c r="G10846" t="s">
        <v>4984</v>
      </c>
      <c r="W10846" t="s">
        <v>2433</v>
      </c>
      <c r="AF10846" t="s">
        <v>10616</v>
      </c>
      <c r="AY10846" t="s">
        <v>10616</v>
      </c>
      <c r="BT10846" t="s">
        <v>10616</v>
      </c>
    </row>
    <row r="10847" spans="1:72" x14ac:dyDescent="0.25">
      <c r="G10847" t="s">
        <v>9010</v>
      </c>
      <c r="W10847" t="s">
        <v>713</v>
      </c>
      <c r="AF10847">
        <v>59</v>
      </c>
      <c r="AY10847">
        <v>59</v>
      </c>
      <c r="BT10847">
        <v>59</v>
      </c>
    </row>
    <row r="10848" spans="1:72" x14ac:dyDescent="0.25">
      <c r="G10848" t="s">
        <v>1001</v>
      </c>
      <c r="W10848" t="s">
        <v>4986</v>
      </c>
      <c r="AF10848" t="s">
        <v>9878</v>
      </c>
      <c r="AY10848" t="s">
        <v>10620</v>
      </c>
      <c r="BT10848" t="s">
        <v>10621</v>
      </c>
    </row>
    <row r="10850" spans="7:72" x14ac:dyDescent="0.25">
      <c r="G10850" t="s">
        <v>5025</v>
      </c>
      <c r="AF10850" t="s">
        <v>9901</v>
      </c>
      <c r="AY10850" t="s">
        <v>10020</v>
      </c>
      <c r="BT10850" t="s">
        <v>10021</v>
      </c>
    </row>
    <row r="10851" spans="7:72" x14ac:dyDescent="0.25">
      <c r="G10851" t="s">
        <v>8996</v>
      </c>
      <c r="W10851" t="s">
        <v>2427</v>
      </c>
      <c r="AF10851">
        <v>53</v>
      </c>
      <c r="AY10851">
        <v>56</v>
      </c>
      <c r="BT10851">
        <v>57</v>
      </c>
    </row>
    <row r="10852" spans="7:72" x14ac:dyDescent="0.25">
      <c r="G10852" t="s">
        <v>8996</v>
      </c>
      <c r="W10852" t="s">
        <v>2427</v>
      </c>
      <c r="AF10852">
        <v>56</v>
      </c>
      <c r="AY10852">
        <v>56</v>
      </c>
      <c r="BT10852">
        <v>56</v>
      </c>
    </row>
    <row r="10853" spans="7:72" x14ac:dyDescent="0.25">
      <c r="G10853" t="s">
        <v>2435</v>
      </c>
      <c r="W10853" t="s">
        <v>2436</v>
      </c>
      <c r="AF10853" t="s">
        <v>2437</v>
      </c>
      <c r="AY10853" t="s">
        <v>2437</v>
      </c>
      <c r="BT10853" t="s">
        <v>2437</v>
      </c>
    </row>
    <row r="10854" spans="7:72" x14ac:dyDescent="0.25">
      <c r="G10854" t="s">
        <v>9030</v>
      </c>
      <c r="W10854" t="s">
        <v>2436</v>
      </c>
      <c r="AF10854" t="s">
        <v>9028</v>
      </c>
      <c r="AY10854" t="s">
        <v>9028</v>
      </c>
      <c r="BT10854" t="s">
        <v>9028</v>
      </c>
    </row>
    <row r="10855" spans="7:72" x14ac:dyDescent="0.25">
      <c r="G10855" t="s">
        <v>9032</v>
      </c>
      <c r="W10855" t="s">
        <v>551</v>
      </c>
      <c r="AF10855">
        <v>5</v>
      </c>
      <c r="AY10855">
        <v>5</v>
      </c>
      <c r="BT10855">
        <v>5</v>
      </c>
    </row>
    <row r="10856" spans="7:72" x14ac:dyDescent="0.25">
      <c r="G10856" t="s">
        <v>9033</v>
      </c>
      <c r="W10856" t="s">
        <v>551</v>
      </c>
      <c r="AF10856">
        <v>50</v>
      </c>
      <c r="AY10856">
        <v>50</v>
      </c>
      <c r="BT10856">
        <v>50</v>
      </c>
    </row>
    <row r="10857" spans="7:72" x14ac:dyDescent="0.25">
      <c r="G10857" t="s">
        <v>9034</v>
      </c>
      <c r="W10857" t="s">
        <v>551</v>
      </c>
      <c r="AF10857">
        <v>30</v>
      </c>
      <c r="AY10857">
        <v>30</v>
      </c>
      <c r="BT10857">
        <v>30</v>
      </c>
    </row>
    <row r="10858" spans="7:72" x14ac:dyDescent="0.25">
      <c r="G10858" t="s">
        <v>9035</v>
      </c>
      <c r="AF10858" t="s">
        <v>9037</v>
      </c>
      <c r="AY10858" t="s">
        <v>9037</v>
      </c>
      <c r="BT10858" t="s">
        <v>9037</v>
      </c>
    </row>
    <row r="10859" spans="7:72" x14ac:dyDescent="0.25">
      <c r="G10859" t="s">
        <v>4983</v>
      </c>
      <c r="AF10859" t="s">
        <v>2440</v>
      </c>
      <c r="AY10859" t="s">
        <v>2440</v>
      </c>
      <c r="BT10859" t="s">
        <v>2440</v>
      </c>
    </row>
    <row r="10860" spans="7:72" x14ac:dyDescent="0.25">
      <c r="G10860" t="s">
        <v>9038</v>
      </c>
      <c r="W10860" t="s">
        <v>713</v>
      </c>
      <c r="AF10860">
        <v>2.4</v>
      </c>
      <c r="AY10860">
        <v>2.4</v>
      </c>
      <c r="BT10860">
        <v>2.4</v>
      </c>
    </row>
    <row r="10862" spans="7:72" x14ac:dyDescent="0.25">
      <c r="G10862" t="s">
        <v>4984</v>
      </c>
      <c r="W10862" t="s">
        <v>2433</v>
      </c>
      <c r="AF10862" t="s">
        <v>4926</v>
      </c>
      <c r="AY10862" t="s">
        <v>4926</v>
      </c>
      <c r="BT10862" t="s">
        <v>4926</v>
      </c>
    </row>
    <row r="10863" spans="7:72" x14ac:dyDescent="0.25">
      <c r="G10863" t="s">
        <v>9010</v>
      </c>
      <c r="W10863" t="s">
        <v>713</v>
      </c>
      <c r="AF10863">
        <v>85</v>
      </c>
      <c r="AY10863">
        <v>85</v>
      </c>
      <c r="BT10863">
        <v>88</v>
      </c>
    </row>
    <row r="10864" spans="7:72" x14ac:dyDescent="0.25">
      <c r="G10864" t="s">
        <v>1001</v>
      </c>
      <c r="W10864" t="s">
        <v>4986</v>
      </c>
      <c r="AF10864" t="s">
        <v>9906</v>
      </c>
      <c r="AY10864" t="s">
        <v>10022</v>
      </c>
      <c r="BT10864" t="s">
        <v>5108</v>
      </c>
    </row>
    <row r="10866" spans="1:75" x14ac:dyDescent="0.25">
      <c r="G10866" t="s">
        <v>3768</v>
      </c>
      <c r="W10866" t="s">
        <v>9049</v>
      </c>
      <c r="AW10866" t="s">
        <v>9051</v>
      </c>
    </row>
    <row r="10867" spans="1:75" x14ac:dyDescent="0.25">
      <c r="G10867" t="s">
        <v>10640</v>
      </c>
      <c r="W10867" t="s">
        <v>10641</v>
      </c>
      <c r="AW10867" t="s">
        <v>10642</v>
      </c>
    </row>
    <row r="10868" spans="1:75" x14ac:dyDescent="0.25">
      <c r="A10868" t="s">
        <v>9843</v>
      </c>
    </row>
    <row r="10869" spans="1:75" x14ac:dyDescent="0.25">
      <c r="A10869" t="s">
        <v>10643</v>
      </c>
    </row>
    <row r="10872" spans="1:75" x14ac:dyDescent="0.25">
      <c r="A10872" t="s">
        <v>10644</v>
      </c>
    </row>
    <row r="10873" spans="1:75" x14ac:dyDescent="0.25">
      <c r="AI10873" t="s">
        <v>10645</v>
      </c>
      <c r="BP10873" t="s">
        <v>10646</v>
      </c>
    </row>
    <row r="10874" spans="1:75" x14ac:dyDescent="0.25">
      <c r="A10874" t="s">
        <v>4988</v>
      </c>
      <c r="Z10874" t="s">
        <v>10603</v>
      </c>
      <c r="AI10874" t="s">
        <v>10647</v>
      </c>
      <c r="AY10874" t="s">
        <v>10606</v>
      </c>
      <c r="BH10874" t="s">
        <v>10636</v>
      </c>
      <c r="BP10874" t="s">
        <v>10606</v>
      </c>
      <c r="BW10874" t="s">
        <v>10607</v>
      </c>
    </row>
    <row r="10875" spans="1:75" x14ac:dyDescent="0.25">
      <c r="A10875" t="s">
        <v>5025</v>
      </c>
      <c r="Z10875" t="s">
        <v>9935</v>
      </c>
      <c r="AI10875" t="s">
        <v>10648</v>
      </c>
      <c r="AY10875" t="s">
        <v>10060</v>
      </c>
      <c r="BH10875" t="s">
        <v>9938</v>
      </c>
      <c r="BP10875" t="s">
        <v>10083</v>
      </c>
      <c r="BW10875" t="s">
        <v>10084</v>
      </c>
    </row>
    <row r="10876" spans="1:75" x14ac:dyDescent="0.25">
      <c r="A10876" t="s">
        <v>8937</v>
      </c>
      <c r="R10876" t="s">
        <v>2424</v>
      </c>
      <c r="Z10876">
        <v>5</v>
      </c>
      <c r="AI10876">
        <v>7.1</v>
      </c>
      <c r="AP10876">
        <v>10</v>
      </c>
      <c r="AY10876">
        <v>12.3</v>
      </c>
      <c r="BH10876">
        <v>10</v>
      </c>
      <c r="BP10876">
        <v>12.5</v>
      </c>
      <c r="BW10876">
        <v>14</v>
      </c>
    </row>
    <row r="10877" spans="1:75" x14ac:dyDescent="0.25">
      <c r="A10877" t="s">
        <v>8938</v>
      </c>
      <c r="R10877" t="s">
        <v>2424</v>
      </c>
      <c r="Z10877" t="s">
        <v>9408</v>
      </c>
      <c r="AI10877" t="s">
        <v>9854</v>
      </c>
      <c r="AP10877" t="s">
        <v>9914</v>
      </c>
      <c r="AY10877" t="s">
        <v>10043</v>
      </c>
      <c r="BH10877" t="s">
        <v>10070</v>
      </c>
      <c r="BP10877" t="s">
        <v>10649</v>
      </c>
      <c r="BW10877" t="s">
        <v>2425</v>
      </c>
    </row>
    <row r="10878" spans="1:75" x14ac:dyDescent="0.25">
      <c r="A10878" t="s">
        <v>8945</v>
      </c>
      <c r="R10878" t="s">
        <v>2424</v>
      </c>
      <c r="Z10878" t="s">
        <v>10650</v>
      </c>
      <c r="AI10878" t="s">
        <v>10651</v>
      </c>
      <c r="AP10878" t="s">
        <v>10652</v>
      </c>
      <c r="AY10878" t="s">
        <v>10653</v>
      </c>
      <c r="BH10878" t="s">
        <v>10654</v>
      </c>
      <c r="BP10878" t="s">
        <v>10655</v>
      </c>
      <c r="BW10878" t="s">
        <v>10656</v>
      </c>
    </row>
    <row r="10879" spans="1:75" x14ac:dyDescent="0.25">
      <c r="Z10879">
        <v>2</v>
      </c>
      <c r="AI10879">
        <v>3.32</v>
      </c>
      <c r="AP10879">
        <v>3.65</v>
      </c>
      <c r="AY10879">
        <v>4.07</v>
      </c>
      <c r="BH10879">
        <v>4.0999999999999996</v>
      </c>
      <c r="BP10879">
        <v>4.91</v>
      </c>
      <c r="BW10879">
        <v>6.5</v>
      </c>
    </row>
    <row r="10880" spans="1:75" x14ac:dyDescent="0.25">
      <c r="A10880" t="s">
        <v>8953</v>
      </c>
      <c r="R10880" t="s">
        <v>4905</v>
      </c>
      <c r="Z10880">
        <v>3.51</v>
      </c>
      <c r="AI10880">
        <v>3.48</v>
      </c>
      <c r="AP10880">
        <v>4.18</v>
      </c>
      <c r="AY10880">
        <v>3.25</v>
      </c>
      <c r="BH10880">
        <v>4.07</v>
      </c>
      <c r="BP10880">
        <v>3.46</v>
      </c>
      <c r="BW10880">
        <v>3.19</v>
      </c>
    </row>
    <row r="10881" spans="1:88" x14ac:dyDescent="0.25">
      <c r="A10881" t="s">
        <v>8955</v>
      </c>
      <c r="Z10881">
        <v>5.87</v>
      </c>
      <c r="AI10881">
        <v>6.43</v>
      </c>
      <c r="AP10881">
        <v>6.99</v>
      </c>
      <c r="AY10881">
        <v>6.49</v>
      </c>
      <c r="BH10881">
        <v>6.14</v>
      </c>
      <c r="BP10881">
        <v>6.1</v>
      </c>
      <c r="BW10881">
        <v>5.88</v>
      </c>
    </row>
    <row r="10882" spans="1:88" x14ac:dyDescent="0.25">
      <c r="A10882" t="s">
        <v>4977</v>
      </c>
      <c r="Z10882" t="s">
        <v>9104</v>
      </c>
      <c r="AI10882" t="s">
        <v>2880</v>
      </c>
      <c r="AP10882" t="s">
        <v>2880</v>
      </c>
      <c r="AY10882" t="s">
        <v>9963</v>
      </c>
      <c r="BH10882" t="s">
        <v>2880</v>
      </c>
      <c r="BP10882" t="s">
        <v>9963</v>
      </c>
      <c r="BW10882" t="s">
        <v>9963</v>
      </c>
    </row>
    <row r="10883" spans="1:88" x14ac:dyDescent="0.25">
      <c r="A10883" t="s">
        <v>10657</v>
      </c>
      <c r="R10883" t="s">
        <v>4918</v>
      </c>
      <c r="Z10883" t="s">
        <v>9921</v>
      </c>
      <c r="AI10883" t="s">
        <v>9921</v>
      </c>
      <c r="AP10883" t="s">
        <v>9921</v>
      </c>
      <c r="AY10883" t="s">
        <v>9921</v>
      </c>
      <c r="BH10883" t="s">
        <v>9806</v>
      </c>
      <c r="BP10883" t="s">
        <v>9806</v>
      </c>
      <c r="BW10883" t="s">
        <v>9806</v>
      </c>
    </row>
    <row r="10884" spans="1:88" x14ac:dyDescent="0.25">
      <c r="A10884" t="s">
        <v>10658</v>
      </c>
    </row>
    <row r="10885" spans="1:88" x14ac:dyDescent="0.25">
      <c r="A10885" t="s">
        <v>8957</v>
      </c>
      <c r="R10885" t="s">
        <v>2424</v>
      </c>
      <c r="Z10885">
        <v>5.6</v>
      </c>
      <c r="AI10885">
        <v>8</v>
      </c>
      <c r="AP10885">
        <v>11.2</v>
      </c>
      <c r="AY10885">
        <v>13.2</v>
      </c>
      <c r="BH10885">
        <v>11.2</v>
      </c>
      <c r="BP10885">
        <v>14</v>
      </c>
      <c r="BW10885">
        <v>16</v>
      </c>
    </row>
    <row r="10886" spans="1:88" x14ac:dyDescent="0.25">
      <c r="A10886" t="s">
        <v>8958</v>
      </c>
      <c r="R10886" t="s">
        <v>2424</v>
      </c>
      <c r="Z10886" t="s">
        <v>10118</v>
      </c>
      <c r="AI10886" t="s">
        <v>9923</v>
      </c>
      <c r="AP10886" t="s">
        <v>9924</v>
      </c>
      <c r="AY10886" t="s">
        <v>10049</v>
      </c>
      <c r="BH10886" t="s">
        <v>10075</v>
      </c>
      <c r="BP10886" t="s">
        <v>10076</v>
      </c>
      <c r="BW10886" t="s">
        <v>2426</v>
      </c>
    </row>
    <row r="10887" spans="1:88" x14ac:dyDescent="0.25">
      <c r="A10887" t="s">
        <v>8945</v>
      </c>
      <c r="R10887" t="s">
        <v>2424</v>
      </c>
      <c r="Z10887" t="s">
        <v>10659</v>
      </c>
      <c r="AI10887" t="s">
        <v>10660</v>
      </c>
      <c r="AP10887" t="s">
        <v>10661</v>
      </c>
      <c r="AY10887" t="s">
        <v>10662</v>
      </c>
      <c r="BH10887" t="s">
        <v>10663</v>
      </c>
      <c r="BP10887" t="s">
        <v>10664</v>
      </c>
      <c r="BW10887" t="s">
        <v>10665</v>
      </c>
    </row>
    <row r="10888" spans="1:88" x14ac:dyDescent="0.25">
      <c r="Z10888">
        <v>2.8</v>
      </c>
      <c r="AI10888">
        <v>3.75</v>
      </c>
      <c r="AP10888">
        <v>3.85</v>
      </c>
      <c r="AY10888">
        <v>4.6100000000000003</v>
      </c>
      <c r="BH10888">
        <v>4.8</v>
      </c>
      <c r="BP10888">
        <v>5.95</v>
      </c>
      <c r="BW10888">
        <v>6.96</v>
      </c>
    </row>
    <row r="10889" spans="1:88" x14ac:dyDescent="0.25">
      <c r="A10889" t="s">
        <v>8971</v>
      </c>
      <c r="R10889" t="s">
        <v>4905</v>
      </c>
      <c r="Z10889">
        <v>3.39</v>
      </c>
      <c r="AI10889">
        <v>3.38</v>
      </c>
      <c r="AP10889">
        <v>4.0599999999999996</v>
      </c>
      <c r="AY10889">
        <v>3</v>
      </c>
      <c r="BH10889">
        <v>4.04</v>
      </c>
      <c r="BP10889">
        <v>3.67</v>
      </c>
      <c r="BW10889">
        <v>3.31</v>
      </c>
      <c r="CJ10889" t="s">
        <v>9773</v>
      </c>
    </row>
    <row r="10890" spans="1:88" x14ac:dyDescent="0.25">
      <c r="A10890" t="s">
        <v>8973</v>
      </c>
      <c r="Z10890">
        <v>4.21</v>
      </c>
      <c r="AI10890">
        <v>4.43</v>
      </c>
      <c r="AP10890">
        <v>4.4000000000000004</v>
      </c>
      <c r="AY10890">
        <v>4.38</v>
      </c>
      <c r="BH10890">
        <v>4.0199999999999996</v>
      </c>
      <c r="BP10890">
        <v>4.0199999999999996</v>
      </c>
      <c r="BW10890">
        <v>3.98</v>
      </c>
    </row>
    <row r="10891" spans="1:88" x14ac:dyDescent="0.25">
      <c r="A10891" t="s">
        <v>4977</v>
      </c>
      <c r="Z10891" t="s">
        <v>9104</v>
      </c>
      <c r="AI10891" t="s">
        <v>9104</v>
      </c>
      <c r="AP10891" t="s">
        <v>9104</v>
      </c>
      <c r="AY10891" t="s">
        <v>9963</v>
      </c>
      <c r="BH10891" t="s">
        <v>9104</v>
      </c>
      <c r="BP10891" t="s">
        <v>9963</v>
      </c>
      <c r="BW10891" t="s">
        <v>9963</v>
      </c>
    </row>
    <row r="10892" spans="1:88" x14ac:dyDescent="0.25">
      <c r="A10892" t="s">
        <v>10657</v>
      </c>
      <c r="R10892" t="s">
        <v>4918</v>
      </c>
      <c r="Z10892" t="s">
        <v>9930</v>
      </c>
      <c r="AI10892" t="s">
        <v>9931</v>
      </c>
      <c r="AP10892" t="s">
        <v>9930</v>
      </c>
      <c r="AY10892" t="s">
        <v>9930</v>
      </c>
      <c r="BH10892" t="s">
        <v>9932</v>
      </c>
      <c r="BP10892" t="s">
        <v>9932</v>
      </c>
      <c r="BW10892" t="s">
        <v>9932</v>
      </c>
    </row>
    <row r="10893" spans="1:88" x14ac:dyDescent="0.25">
      <c r="A10893" t="s">
        <v>10658</v>
      </c>
    </row>
    <row r="10894" spans="1:88" x14ac:dyDescent="0.25">
      <c r="A10894" t="s">
        <v>8975</v>
      </c>
      <c r="R10894" t="s">
        <v>2442</v>
      </c>
      <c r="Z10894" t="s">
        <v>8976</v>
      </c>
      <c r="AI10894" t="s">
        <v>8976</v>
      </c>
      <c r="AP10894" t="s">
        <v>8976</v>
      </c>
      <c r="AY10894" t="s">
        <v>8976</v>
      </c>
      <c r="BH10894" t="s">
        <v>9874</v>
      </c>
      <c r="BP10894" t="s">
        <v>9874</v>
      </c>
      <c r="BW10894" t="s">
        <v>9874</v>
      </c>
    </row>
    <row r="10895" spans="1:88" x14ac:dyDescent="0.25">
      <c r="Z10895">
        <v>50</v>
      </c>
      <c r="AI10895">
        <v>50</v>
      </c>
      <c r="AP10895">
        <v>50</v>
      </c>
      <c r="AY10895">
        <v>50</v>
      </c>
      <c r="BH10895">
        <v>50</v>
      </c>
      <c r="BP10895">
        <v>50</v>
      </c>
      <c r="BW10895">
        <v>50</v>
      </c>
    </row>
    <row r="10896" spans="1:88" x14ac:dyDescent="0.25">
      <c r="A10896" t="s">
        <v>4982</v>
      </c>
      <c r="R10896" t="s">
        <v>4911</v>
      </c>
      <c r="Z10896">
        <v>16</v>
      </c>
      <c r="AI10896">
        <v>20</v>
      </c>
      <c r="AP10896">
        <v>25</v>
      </c>
      <c r="AY10896">
        <v>25</v>
      </c>
      <c r="BH10896" t="s">
        <v>4917</v>
      </c>
      <c r="BP10896" t="s">
        <v>4917</v>
      </c>
      <c r="BW10896" t="s">
        <v>4917</v>
      </c>
    </row>
    <row r="10897" spans="1:75" x14ac:dyDescent="0.25">
      <c r="A10897" t="s">
        <v>10598</v>
      </c>
      <c r="R10897" t="s">
        <v>4986</v>
      </c>
      <c r="Z10897" t="s">
        <v>10666</v>
      </c>
      <c r="AI10897" t="s">
        <v>10080</v>
      </c>
      <c r="AP10897" t="s">
        <v>10667</v>
      </c>
      <c r="AY10897" t="s">
        <v>10668</v>
      </c>
      <c r="BH10897" t="s">
        <v>10669</v>
      </c>
      <c r="BP10897" t="s">
        <v>10670</v>
      </c>
      <c r="BW10897" t="s">
        <v>10671</v>
      </c>
    </row>
    <row r="10899" spans="1:75" x14ac:dyDescent="0.25">
      <c r="A10899" t="s">
        <v>4988</v>
      </c>
      <c r="Z10899" t="s">
        <v>10603</v>
      </c>
      <c r="AI10899" t="s">
        <v>10604</v>
      </c>
      <c r="AP10899" t="s">
        <v>10636</v>
      </c>
      <c r="AY10899" t="s">
        <v>10606</v>
      </c>
      <c r="BH10899" t="s">
        <v>10636</v>
      </c>
      <c r="BP10899" t="s">
        <v>10606</v>
      </c>
      <c r="BW10899" t="s">
        <v>10607</v>
      </c>
    </row>
    <row r="10900" spans="1:75" x14ac:dyDescent="0.25">
      <c r="A10900" t="s">
        <v>7870</v>
      </c>
      <c r="R10900" t="s">
        <v>2431</v>
      </c>
      <c r="Z10900" t="s">
        <v>10608</v>
      </c>
      <c r="AI10900" t="s">
        <v>10609</v>
      </c>
      <c r="AP10900" t="s">
        <v>10672</v>
      </c>
      <c r="AY10900" t="s">
        <v>10611</v>
      </c>
      <c r="BH10900" t="s">
        <v>10672</v>
      </c>
      <c r="BP10900" t="s">
        <v>10611</v>
      </c>
      <c r="BW10900" t="s">
        <v>10611</v>
      </c>
    </row>
    <row r="10901" spans="1:75" x14ac:dyDescent="0.25">
      <c r="Z10901">
        <v>820</v>
      </c>
      <c r="AI10901">
        <v>930</v>
      </c>
      <c r="AP10901">
        <v>1660</v>
      </c>
      <c r="AY10901">
        <v>1760</v>
      </c>
      <c r="BH10901">
        <v>1660</v>
      </c>
      <c r="BP10901">
        <v>1760</v>
      </c>
      <c r="BW10901">
        <v>1760</v>
      </c>
    </row>
    <row r="10902" spans="1:75" x14ac:dyDescent="0.25">
      <c r="A10902" t="s">
        <v>8996</v>
      </c>
      <c r="R10902" t="s">
        <v>2427</v>
      </c>
      <c r="Z10902" t="s">
        <v>10565</v>
      </c>
      <c r="AI10902" t="s">
        <v>10612</v>
      </c>
      <c r="AP10902" t="s">
        <v>10639</v>
      </c>
      <c r="AY10902" t="s">
        <v>10614</v>
      </c>
      <c r="BH10902" t="s">
        <v>10639</v>
      </c>
      <c r="BP10902" t="s">
        <v>10614</v>
      </c>
      <c r="BW10902" t="s">
        <v>10614</v>
      </c>
    </row>
    <row r="10903" spans="1:75" x14ac:dyDescent="0.25">
      <c r="A10903" t="s">
        <v>8996</v>
      </c>
      <c r="R10903" t="s">
        <v>2427</v>
      </c>
      <c r="Z10903" t="s">
        <v>10565</v>
      </c>
      <c r="AI10903" t="s">
        <v>10612</v>
      </c>
      <c r="AP10903" t="s">
        <v>10639</v>
      </c>
      <c r="AY10903" t="s">
        <v>10614</v>
      </c>
      <c r="BH10903" t="s">
        <v>10639</v>
      </c>
      <c r="BP10903" t="s">
        <v>10614</v>
      </c>
      <c r="BW10903" t="s">
        <v>10614</v>
      </c>
    </row>
    <row r="10904" spans="1:75" x14ac:dyDescent="0.25">
      <c r="A10904" t="s">
        <v>4984</v>
      </c>
      <c r="R10904" t="s">
        <v>2433</v>
      </c>
      <c r="Z10904" t="s">
        <v>10615</v>
      </c>
      <c r="AI10904" t="s">
        <v>10615</v>
      </c>
      <c r="AP10904" t="s">
        <v>10616</v>
      </c>
      <c r="AY10904" t="s">
        <v>10616</v>
      </c>
      <c r="BH10904" t="s">
        <v>10616</v>
      </c>
      <c r="BP10904" t="s">
        <v>10616</v>
      </c>
      <c r="BW10904" t="s">
        <v>10616</v>
      </c>
    </row>
    <row r="10905" spans="1:75" x14ac:dyDescent="0.25">
      <c r="A10905" t="s">
        <v>9010</v>
      </c>
      <c r="R10905" t="s">
        <v>713</v>
      </c>
      <c r="Z10905">
        <v>44</v>
      </c>
      <c r="AI10905">
        <v>46</v>
      </c>
      <c r="AP10905">
        <v>59</v>
      </c>
      <c r="AY10905">
        <v>59</v>
      </c>
      <c r="BH10905">
        <v>59</v>
      </c>
      <c r="BP10905">
        <v>59</v>
      </c>
      <c r="BW10905">
        <v>59</v>
      </c>
    </row>
    <row r="10906" spans="1:75" x14ac:dyDescent="0.25">
      <c r="A10906" t="s">
        <v>1001</v>
      </c>
      <c r="R10906" t="s">
        <v>4986</v>
      </c>
      <c r="Z10906" t="s">
        <v>10617</v>
      </c>
      <c r="AI10906" t="s">
        <v>10618</v>
      </c>
      <c r="AP10906" t="s">
        <v>9878</v>
      </c>
      <c r="AY10906" t="s">
        <v>10620</v>
      </c>
      <c r="BH10906" t="s">
        <v>9878</v>
      </c>
      <c r="BP10906" t="s">
        <v>10620</v>
      </c>
      <c r="BW10906" t="s">
        <v>10621</v>
      </c>
    </row>
    <row r="10909" spans="1:75" x14ac:dyDescent="0.25">
      <c r="A10909" t="s">
        <v>5025</v>
      </c>
      <c r="Z10909" t="s">
        <v>9935</v>
      </c>
      <c r="AI10909" t="s">
        <v>9936</v>
      </c>
      <c r="AP10909" t="s">
        <v>9937</v>
      </c>
      <c r="AY10909" t="s">
        <v>10060</v>
      </c>
      <c r="BH10909" t="s">
        <v>9938</v>
      </c>
      <c r="BP10909" t="s">
        <v>10083</v>
      </c>
      <c r="BW10909" t="s">
        <v>10084</v>
      </c>
    </row>
    <row r="10910" spans="1:75" x14ac:dyDescent="0.25">
      <c r="A10910" t="s">
        <v>8996</v>
      </c>
      <c r="R10910" t="s">
        <v>2427</v>
      </c>
      <c r="Z10910">
        <v>46</v>
      </c>
      <c r="AI10910">
        <v>46</v>
      </c>
      <c r="AP10910">
        <v>49</v>
      </c>
      <c r="AY10910">
        <v>50</v>
      </c>
      <c r="BH10910">
        <v>49</v>
      </c>
      <c r="BP10910">
        <v>51</v>
      </c>
      <c r="BW10910">
        <v>51</v>
      </c>
    </row>
    <row r="10911" spans="1:75" x14ac:dyDescent="0.25">
      <c r="A10911" t="s">
        <v>8996</v>
      </c>
      <c r="R10911" t="s">
        <v>2427</v>
      </c>
      <c r="Z10911">
        <v>48</v>
      </c>
      <c r="AI10911">
        <v>48</v>
      </c>
      <c r="AP10911">
        <v>50</v>
      </c>
      <c r="AY10911">
        <v>51</v>
      </c>
      <c r="BH10911">
        <v>50</v>
      </c>
      <c r="BP10911">
        <v>52</v>
      </c>
      <c r="BW10911">
        <v>53</v>
      </c>
    </row>
    <row r="10912" spans="1:75" x14ac:dyDescent="0.25">
      <c r="A10912" t="s">
        <v>2435</v>
      </c>
      <c r="R10912" t="s">
        <v>2436</v>
      </c>
      <c r="Z10912" t="s">
        <v>9029</v>
      </c>
      <c r="AI10912" t="s">
        <v>2437</v>
      </c>
      <c r="AP10912" t="s">
        <v>9835</v>
      </c>
      <c r="AY10912" t="s">
        <v>9835</v>
      </c>
      <c r="BH10912" t="s">
        <v>9835</v>
      </c>
      <c r="BP10912" t="s">
        <v>2437</v>
      </c>
      <c r="BW10912" t="s">
        <v>2437</v>
      </c>
    </row>
    <row r="10913" spans="1:75" x14ac:dyDescent="0.25">
      <c r="A10913" t="s">
        <v>9030</v>
      </c>
      <c r="R10913" t="s">
        <v>2436</v>
      </c>
      <c r="Z10913" t="s">
        <v>9836</v>
      </c>
      <c r="AI10913" t="s">
        <v>9028</v>
      </c>
      <c r="AP10913" t="s">
        <v>9028</v>
      </c>
      <c r="AY10913" t="s">
        <v>9028</v>
      </c>
      <c r="BH10913" t="s">
        <v>9028</v>
      </c>
      <c r="BP10913" t="s">
        <v>9028</v>
      </c>
      <c r="BW10913" t="s">
        <v>9028</v>
      </c>
    </row>
    <row r="10914" spans="1:75" x14ac:dyDescent="0.25">
      <c r="A10914" t="s">
        <v>9032</v>
      </c>
      <c r="R10914" t="s">
        <v>551</v>
      </c>
      <c r="Z10914">
        <v>5</v>
      </c>
      <c r="AI10914">
        <v>5</v>
      </c>
      <c r="AP10914">
        <v>5</v>
      </c>
      <c r="AY10914">
        <v>5</v>
      </c>
      <c r="BH10914">
        <v>5</v>
      </c>
      <c r="BP10914">
        <v>5</v>
      </c>
      <c r="BW10914">
        <v>5</v>
      </c>
    </row>
    <row r="10915" spans="1:75" x14ac:dyDescent="0.25">
      <c r="A10915" t="s">
        <v>9033</v>
      </c>
      <c r="R10915" t="s">
        <v>551</v>
      </c>
      <c r="Z10915">
        <v>50</v>
      </c>
      <c r="AI10915">
        <v>50</v>
      </c>
      <c r="AP10915">
        <v>75</v>
      </c>
      <c r="AY10915">
        <v>75</v>
      </c>
      <c r="BH10915">
        <v>75</v>
      </c>
      <c r="BP10915">
        <v>75</v>
      </c>
      <c r="BW10915">
        <v>75</v>
      </c>
    </row>
    <row r="10916" spans="1:75" x14ac:dyDescent="0.25">
      <c r="A10916" t="s">
        <v>9034</v>
      </c>
      <c r="R10916" t="s">
        <v>551</v>
      </c>
      <c r="Z10916">
        <v>30</v>
      </c>
      <c r="AI10916">
        <v>30</v>
      </c>
      <c r="AP10916">
        <v>30</v>
      </c>
      <c r="AY10916">
        <v>30</v>
      </c>
      <c r="BH10916">
        <v>30</v>
      </c>
      <c r="BP10916">
        <v>30</v>
      </c>
      <c r="BW10916">
        <v>30</v>
      </c>
    </row>
    <row r="10917" spans="1:75" x14ac:dyDescent="0.25">
      <c r="A10917" t="s">
        <v>9035</v>
      </c>
      <c r="Z10917" t="s">
        <v>9037</v>
      </c>
      <c r="AI10917" t="s">
        <v>9037</v>
      </c>
      <c r="AP10917" t="s">
        <v>9037</v>
      </c>
      <c r="AY10917" t="s">
        <v>9037</v>
      </c>
      <c r="BH10917" t="s">
        <v>9037</v>
      </c>
      <c r="BP10917" t="s">
        <v>9037</v>
      </c>
      <c r="BW10917" t="s">
        <v>9037</v>
      </c>
    </row>
    <row r="10918" spans="1:75" x14ac:dyDescent="0.25">
      <c r="A10918" t="s">
        <v>4983</v>
      </c>
      <c r="Z10918" t="s">
        <v>2440</v>
      </c>
      <c r="AI10918" t="s">
        <v>2440</v>
      </c>
      <c r="AP10918" t="s">
        <v>2440</v>
      </c>
      <c r="AY10918" t="s">
        <v>2440</v>
      </c>
      <c r="BH10918" t="s">
        <v>2440</v>
      </c>
      <c r="BP10918" t="s">
        <v>2440</v>
      </c>
      <c r="BW10918" t="s">
        <v>2440</v>
      </c>
    </row>
    <row r="10919" spans="1:75" x14ac:dyDescent="0.25">
      <c r="A10919" t="s">
        <v>9038</v>
      </c>
      <c r="R10919" t="s">
        <v>713</v>
      </c>
      <c r="Z10919">
        <v>1.35</v>
      </c>
      <c r="AI10919">
        <v>1.3</v>
      </c>
      <c r="AP10919">
        <v>3.1</v>
      </c>
      <c r="AY10919">
        <v>3.1</v>
      </c>
      <c r="BH10919">
        <v>2.6</v>
      </c>
      <c r="BP10919">
        <v>2.6</v>
      </c>
      <c r="BW10919">
        <v>2.6</v>
      </c>
    </row>
    <row r="10920" spans="1:75" x14ac:dyDescent="0.25">
      <c r="A10920" t="s">
        <v>4984</v>
      </c>
      <c r="R10920" t="s">
        <v>2433</v>
      </c>
      <c r="Z10920" t="s">
        <v>9902</v>
      </c>
      <c r="AI10920" t="s">
        <v>4926</v>
      </c>
      <c r="AP10920" t="s">
        <v>9939</v>
      </c>
      <c r="AY10920" t="s">
        <v>9939</v>
      </c>
      <c r="BH10920" t="s">
        <v>5071</v>
      </c>
      <c r="BP10920" t="s">
        <v>5071</v>
      </c>
      <c r="BW10920" t="s">
        <v>5071</v>
      </c>
    </row>
    <row r="10921" spans="1:75" x14ac:dyDescent="0.25">
      <c r="A10921" t="s">
        <v>9010</v>
      </c>
      <c r="R10921" t="s">
        <v>713</v>
      </c>
      <c r="Z10921">
        <v>45</v>
      </c>
      <c r="AI10921">
        <v>74</v>
      </c>
      <c r="AP10921">
        <v>104</v>
      </c>
      <c r="AY10921">
        <v>104</v>
      </c>
      <c r="BH10921">
        <v>95</v>
      </c>
      <c r="BP10921">
        <v>95</v>
      </c>
      <c r="BW10921">
        <v>95</v>
      </c>
    </row>
    <row r="10922" spans="1:75" x14ac:dyDescent="0.25">
      <c r="A10922" t="s">
        <v>1001</v>
      </c>
      <c r="R10922" t="s">
        <v>4986</v>
      </c>
      <c r="Z10922" t="s">
        <v>9322</v>
      </c>
      <c r="AI10922" t="s">
        <v>9940</v>
      </c>
      <c r="AP10922" t="s">
        <v>9941</v>
      </c>
      <c r="AY10922" t="s">
        <v>10064</v>
      </c>
      <c r="BH10922" t="s">
        <v>9942</v>
      </c>
      <c r="BP10922" t="s">
        <v>10085</v>
      </c>
      <c r="BW10922" t="s">
        <v>5109</v>
      </c>
    </row>
    <row r="10924" spans="1:75" x14ac:dyDescent="0.25">
      <c r="A10924" t="s">
        <v>3768</v>
      </c>
      <c r="R10924" t="s">
        <v>9049</v>
      </c>
      <c r="AQ10924" t="s">
        <v>9051</v>
      </c>
    </row>
    <row r="10925" spans="1:75" x14ac:dyDescent="0.25">
      <c r="A10925" t="s">
        <v>10640</v>
      </c>
      <c r="R10925" t="s">
        <v>10641</v>
      </c>
      <c r="AQ10925" t="s">
        <v>10642</v>
      </c>
    </row>
    <row r="10926" spans="1:75" x14ac:dyDescent="0.25">
      <c r="A10926" t="s">
        <v>9843</v>
      </c>
    </row>
    <row r="10927" spans="1:75" x14ac:dyDescent="0.25">
      <c r="A10927" t="s">
        <v>10673</v>
      </c>
    </row>
    <row r="10928" spans="1:75" x14ac:dyDescent="0.25">
      <c r="A10928" t="s">
        <v>10674</v>
      </c>
    </row>
    <row r="10930" spans="1:49" x14ac:dyDescent="0.25">
      <c r="L10930" t="s">
        <v>10675</v>
      </c>
    </row>
    <row r="10931" spans="1:49" x14ac:dyDescent="0.25">
      <c r="A10931" t="s">
        <v>9773</v>
      </c>
    </row>
    <row r="10933" spans="1:49" x14ac:dyDescent="0.25">
      <c r="L10933" t="s">
        <v>10676</v>
      </c>
    </row>
    <row r="10937" spans="1:49" x14ac:dyDescent="0.25">
      <c r="AW10937" t="s">
        <v>10677</v>
      </c>
    </row>
    <row r="10939" spans="1:49" x14ac:dyDescent="0.25">
      <c r="L10939" t="s">
        <v>10678</v>
      </c>
    </row>
    <row r="10942" spans="1:49" x14ac:dyDescent="0.25">
      <c r="Y10942" t="s">
        <v>10679</v>
      </c>
    </row>
    <row r="10943" spans="1:49" x14ac:dyDescent="0.25">
      <c r="A10943" t="s">
        <v>10680</v>
      </c>
    </row>
    <row r="10946" spans="1:93" x14ac:dyDescent="0.25">
      <c r="A10946" t="s">
        <v>10681</v>
      </c>
      <c r="BT10946" t="s">
        <v>10682</v>
      </c>
    </row>
    <row r="10949" spans="1:93" x14ac:dyDescent="0.25">
      <c r="A10949" t="s">
        <v>10683</v>
      </c>
    </row>
    <row r="10950" spans="1:93" x14ac:dyDescent="0.25">
      <c r="A10950" t="s">
        <v>10677</v>
      </c>
    </row>
    <row r="10951" spans="1:93" x14ac:dyDescent="0.25">
      <c r="BP10951" t="s">
        <v>10679</v>
      </c>
      <c r="CO10951" t="s">
        <v>9773</v>
      </c>
    </row>
    <row r="10953" spans="1:93" x14ac:dyDescent="0.25">
      <c r="A10953" t="s">
        <v>10684</v>
      </c>
    </row>
    <row r="10955" spans="1:93" x14ac:dyDescent="0.25">
      <c r="A10955" t="s">
        <v>10685</v>
      </c>
    </row>
    <row r="10958" spans="1:93" x14ac:dyDescent="0.25">
      <c r="G10958" t="s">
        <v>10686</v>
      </c>
    </row>
    <row r="10959" spans="1:93" x14ac:dyDescent="0.25">
      <c r="G10959" t="s">
        <v>10687</v>
      </c>
      <c r="N10959" t="s">
        <v>9935</v>
      </c>
      <c r="AB10959" t="s">
        <v>2440</v>
      </c>
      <c r="AJ10959" t="s">
        <v>10688</v>
      </c>
      <c r="AX10959" t="s">
        <v>10689</v>
      </c>
      <c r="BL10959">
        <v>900</v>
      </c>
      <c r="BX10959" t="s">
        <v>10690</v>
      </c>
    </row>
    <row r="10960" spans="1:93" x14ac:dyDescent="0.25">
      <c r="G10960" t="s">
        <v>10687</v>
      </c>
      <c r="N10960" t="s">
        <v>9936</v>
      </c>
      <c r="AB10960" t="s">
        <v>2440</v>
      </c>
      <c r="AJ10960" t="s">
        <v>10691</v>
      </c>
      <c r="AX10960" t="s">
        <v>10692</v>
      </c>
      <c r="BL10960">
        <v>1320</v>
      </c>
      <c r="BX10960" t="s">
        <v>10693</v>
      </c>
    </row>
    <row r="10961" spans="1:89" x14ac:dyDescent="0.25">
      <c r="G10961" t="s">
        <v>10687</v>
      </c>
      <c r="N10961" t="s">
        <v>10694</v>
      </c>
      <c r="AB10961" t="s">
        <v>2440</v>
      </c>
      <c r="AJ10961" t="s">
        <v>10695</v>
      </c>
      <c r="AX10961" t="s">
        <v>10696</v>
      </c>
      <c r="BL10961">
        <v>1600</v>
      </c>
      <c r="BX10961" t="s">
        <v>10697</v>
      </c>
    </row>
    <row r="10962" spans="1:89" x14ac:dyDescent="0.25">
      <c r="G10962" t="s">
        <v>10687</v>
      </c>
      <c r="N10962" t="s">
        <v>10698</v>
      </c>
      <c r="AB10962" t="s">
        <v>2440</v>
      </c>
      <c r="AJ10962" t="s">
        <v>10699</v>
      </c>
      <c r="AX10962" t="s">
        <v>10700</v>
      </c>
      <c r="BL10962">
        <v>2100</v>
      </c>
      <c r="BX10962" t="s">
        <v>10701</v>
      </c>
    </row>
    <row r="10963" spans="1:89" x14ac:dyDescent="0.25">
      <c r="G10963" t="s">
        <v>10687</v>
      </c>
      <c r="N10963" t="s">
        <v>10084</v>
      </c>
      <c r="AB10963" t="s">
        <v>2440</v>
      </c>
      <c r="AJ10963" t="s">
        <v>10702</v>
      </c>
      <c r="AX10963" t="s">
        <v>10703</v>
      </c>
      <c r="BL10963">
        <v>2720</v>
      </c>
      <c r="BX10963" t="s">
        <v>10704</v>
      </c>
    </row>
    <row r="10964" spans="1:89" x14ac:dyDescent="0.25">
      <c r="A10964" t="s">
        <v>10705</v>
      </c>
    </row>
    <row r="10965" spans="1:89" x14ac:dyDescent="0.25">
      <c r="G10965" t="s">
        <v>9712</v>
      </c>
      <c r="W10965" t="s">
        <v>8975</v>
      </c>
      <c r="AG10965" t="s">
        <v>4984</v>
      </c>
      <c r="AX10965" t="s">
        <v>9010</v>
      </c>
      <c r="BS10965" t="s">
        <v>9051</v>
      </c>
    </row>
    <row r="10966" spans="1:89" x14ac:dyDescent="0.25">
      <c r="W10966" t="s">
        <v>2442</v>
      </c>
      <c r="AG10966" t="s">
        <v>2433</v>
      </c>
      <c r="AX10966" t="s">
        <v>713</v>
      </c>
    </row>
    <row r="10967" spans="1:89" x14ac:dyDescent="0.25">
      <c r="G10967" t="s">
        <v>10706</v>
      </c>
      <c r="R10967" t="s">
        <v>2443</v>
      </c>
      <c r="AK10967" t="s">
        <v>10707</v>
      </c>
      <c r="BC10967">
        <v>8</v>
      </c>
      <c r="BU10967" t="s">
        <v>10438</v>
      </c>
    </row>
    <row r="10968" spans="1:89" x14ac:dyDescent="0.25">
      <c r="G10968" t="s">
        <v>10708</v>
      </c>
      <c r="R10968" t="s">
        <v>2443</v>
      </c>
      <c r="AK10968" t="s">
        <v>10707</v>
      </c>
      <c r="BC10968">
        <v>8</v>
      </c>
      <c r="BU10968" t="s">
        <v>10709</v>
      </c>
    </row>
    <row r="10969" spans="1:89" x14ac:dyDescent="0.25">
      <c r="A10969" t="s">
        <v>10710</v>
      </c>
    </row>
    <row r="10970" spans="1:89" x14ac:dyDescent="0.25">
      <c r="CK10970" t="s">
        <v>10711</v>
      </c>
    </row>
    <row r="10973" spans="1:89" x14ac:dyDescent="0.25">
      <c r="A10973" t="s">
        <v>10712</v>
      </c>
    </row>
    <row r="10974" spans="1:89" x14ac:dyDescent="0.25">
      <c r="G10974" t="s">
        <v>9712</v>
      </c>
      <c r="S10974" t="s">
        <v>8975</v>
      </c>
      <c r="AK10974" t="s">
        <v>4984</v>
      </c>
      <c r="BU10974" t="s">
        <v>9051</v>
      </c>
    </row>
    <row r="10975" spans="1:89" x14ac:dyDescent="0.25">
      <c r="S10975" t="s">
        <v>2442</v>
      </c>
      <c r="AK10975" t="s">
        <v>2433</v>
      </c>
    </row>
    <row r="10976" spans="1:89" x14ac:dyDescent="0.25">
      <c r="G10976" t="s">
        <v>10713</v>
      </c>
      <c r="S10976" t="s">
        <v>2443</v>
      </c>
      <c r="AK10976" t="s">
        <v>10714</v>
      </c>
      <c r="BC10976">
        <v>4.0999999999999996</v>
      </c>
      <c r="BU10976" t="s">
        <v>9046</v>
      </c>
    </row>
    <row r="10978" spans="1:49" x14ac:dyDescent="0.25">
      <c r="A10978" t="s">
        <v>10715</v>
      </c>
    </row>
    <row r="10980" spans="1:49" x14ac:dyDescent="0.25">
      <c r="A10980" t="s">
        <v>10716</v>
      </c>
    </row>
    <row r="10981" spans="1:49" x14ac:dyDescent="0.25">
      <c r="A10981" t="s">
        <v>10717</v>
      </c>
    </row>
    <row r="10982" spans="1:49" x14ac:dyDescent="0.25">
      <c r="A10982" t="s">
        <v>10718</v>
      </c>
    </row>
    <row r="10983" spans="1:49" x14ac:dyDescent="0.25">
      <c r="A10983" t="s">
        <v>10719</v>
      </c>
    </row>
    <row r="10984" spans="1:49" x14ac:dyDescent="0.25">
      <c r="G10984" t="s">
        <v>3768</v>
      </c>
      <c r="S10984" t="s">
        <v>9049</v>
      </c>
      <c r="AW10984" t="s">
        <v>9051</v>
      </c>
    </row>
    <row r="10985" spans="1:49" x14ac:dyDescent="0.25">
      <c r="G10985" t="s">
        <v>10720</v>
      </c>
      <c r="S10985" t="s">
        <v>10721</v>
      </c>
      <c r="AW10985" t="s">
        <v>9739</v>
      </c>
    </row>
    <row r="10986" spans="1:49" x14ac:dyDescent="0.25">
      <c r="G10986" t="s">
        <v>10722</v>
      </c>
      <c r="S10986" t="s">
        <v>10723</v>
      </c>
      <c r="AW10986" t="s">
        <v>10168</v>
      </c>
    </row>
    <row r="10987" spans="1:49" x14ac:dyDescent="0.25">
      <c r="G10987" t="s">
        <v>10724</v>
      </c>
      <c r="S10987" t="s">
        <v>10725</v>
      </c>
      <c r="AW10987" t="s">
        <v>10726</v>
      </c>
    </row>
    <row r="10988" spans="1:49" x14ac:dyDescent="0.25">
      <c r="A10988" t="s">
        <v>10727</v>
      </c>
    </row>
    <row r="10989" spans="1:49" x14ac:dyDescent="0.25">
      <c r="G10989" t="s">
        <v>3768</v>
      </c>
      <c r="S10989" t="s">
        <v>9049</v>
      </c>
      <c r="AW10989" t="s">
        <v>9051</v>
      </c>
    </row>
    <row r="10990" spans="1:49" x14ac:dyDescent="0.25">
      <c r="G10990" t="s">
        <v>10728</v>
      </c>
      <c r="S10990" t="s">
        <v>10729</v>
      </c>
      <c r="AW10990" t="s">
        <v>10730</v>
      </c>
    </row>
    <row r="10991" spans="1:49" x14ac:dyDescent="0.25">
      <c r="G10991" t="s">
        <v>10731</v>
      </c>
      <c r="S10991" t="s">
        <v>10732</v>
      </c>
      <c r="AW10991" t="s">
        <v>5150</v>
      </c>
    </row>
    <row r="10992" spans="1:49" x14ac:dyDescent="0.25">
      <c r="G10992" t="s">
        <v>10722</v>
      </c>
      <c r="S10992" t="s">
        <v>10723</v>
      </c>
      <c r="AW10992" t="s">
        <v>10168</v>
      </c>
    </row>
    <row r="10993" spans="1:93" x14ac:dyDescent="0.25">
      <c r="CO10993" t="s">
        <v>9773</v>
      </c>
    </row>
    <row r="10997" spans="1:93" x14ac:dyDescent="0.25">
      <c r="A10997" t="s">
        <v>10733</v>
      </c>
      <c r="AX10997" t="s">
        <v>10734</v>
      </c>
    </row>
    <row r="11001" spans="1:93" x14ac:dyDescent="0.25">
      <c r="A11001" t="s">
        <v>10735</v>
      </c>
      <c r="AX11001" t="s">
        <v>10735</v>
      </c>
    </row>
    <row r="11002" spans="1:93" x14ac:dyDescent="0.25">
      <c r="G11002" t="s">
        <v>10736</v>
      </c>
      <c r="AX11002" t="s">
        <v>10736</v>
      </c>
    </row>
    <row r="11003" spans="1:93" x14ac:dyDescent="0.25">
      <c r="A11003" t="s">
        <v>10737</v>
      </c>
    </row>
    <row r="11005" spans="1:93" x14ac:dyDescent="0.25">
      <c r="A11005" t="s">
        <v>10738</v>
      </c>
      <c r="V11005" t="s">
        <v>10739</v>
      </c>
    </row>
    <row r="11006" spans="1:93" x14ac:dyDescent="0.25">
      <c r="A11006" t="s">
        <v>9773</v>
      </c>
    </row>
    <row r="11009" spans="1:50" x14ac:dyDescent="0.25">
      <c r="G11009" t="s">
        <v>10735</v>
      </c>
      <c r="AX11009" t="s">
        <v>10735</v>
      </c>
    </row>
    <row r="11011" spans="1:50" x14ac:dyDescent="0.25">
      <c r="G11011" t="s">
        <v>10736</v>
      </c>
      <c r="AX11011" t="s">
        <v>10736</v>
      </c>
    </row>
    <row r="11013" spans="1:50" x14ac:dyDescent="0.25">
      <c r="L11013" t="s">
        <v>10740</v>
      </c>
    </row>
    <row r="11014" spans="1:50" x14ac:dyDescent="0.25">
      <c r="G11014" t="s">
        <v>10741</v>
      </c>
    </row>
    <row r="11017" spans="1:50" x14ac:dyDescent="0.25">
      <c r="AX11017" t="s">
        <v>10735</v>
      </c>
    </row>
    <row r="11019" spans="1:50" x14ac:dyDescent="0.25">
      <c r="AX11019" t="s">
        <v>10736</v>
      </c>
    </row>
    <row r="11021" spans="1:50" x14ac:dyDescent="0.25">
      <c r="A11021" t="s">
        <v>10742</v>
      </c>
    </row>
    <row r="11022" spans="1:50" x14ac:dyDescent="0.25">
      <c r="A11022" t="s">
        <v>10743</v>
      </c>
    </row>
    <row r="11023" spans="1:50" x14ac:dyDescent="0.25">
      <c r="A11023" t="s">
        <v>10744</v>
      </c>
    </row>
    <row r="11025" spans="1:47" x14ac:dyDescent="0.25">
      <c r="A11025" t="s">
        <v>10745</v>
      </c>
    </row>
    <row r="11026" spans="1:47" x14ac:dyDescent="0.25">
      <c r="A11026" t="s">
        <v>10746</v>
      </c>
    </row>
    <row r="11027" spans="1:47" x14ac:dyDescent="0.25">
      <c r="A11027" t="s">
        <v>10747</v>
      </c>
    </row>
    <row r="11031" spans="1:47" x14ac:dyDescent="0.25">
      <c r="A11031" t="s">
        <v>10748</v>
      </c>
    </row>
    <row r="11032" spans="1:47" x14ac:dyDescent="0.25">
      <c r="A11032" t="s">
        <v>9773</v>
      </c>
    </row>
    <row r="11033" spans="1:47" x14ac:dyDescent="0.25">
      <c r="A11033" t="s">
        <v>10749</v>
      </c>
    </row>
    <row r="11039" spans="1:47" x14ac:dyDescent="0.25">
      <c r="A11039" t="s">
        <v>10750</v>
      </c>
    </row>
    <row r="11040" spans="1:47" x14ac:dyDescent="0.25">
      <c r="AU11040" t="s">
        <v>10751</v>
      </c>
    </row>
    <row r="11041" spans="1:78" x14ac:dyDescent="0.25">
      <c r="A11041" t="s">
        <v>10752</v>
      </c>
    </row>
    <row r="11043" spans="1:78" x14ac:dyDescent="0.25">
      <c r="A11043" t="s">
        <v>10753</v>
      </c>
    </row>
    <row r="11044" spans="1:78" x14ac:dyDescent="0.25">
      <c r="G11044" t="s">
        <v>5025</v>
      </c>
      <c r="AF11044" t="s">
        <v>9831</v>
      </c>
      <c r="AQ11044" t="s">
        <v>9832</v>
      </c>
      <c r="BO11044" t="s">
        <v>10222</v>
      </c>
      <c r="BZ11044" t="s">
        <v>10223</v>
      </c>
    </row>
    <row r="11045" spans="1:78" x14ac:dyDescent="0.25">
      <c r="G11045" t="s">
        <v>8937</v>
      </c>
      <c r="X11045" t="s">
        <v>2424</v>
      </c>
      <c r="AF11045">
        <v>5</v>
      </c>
      <c r="AQ11045" t="s">
        <v>10385</v>
      </c>
      <c r="BC11045">
        <v>9.5</v>
      </c>
      <c r="BO11045">
        <v>11.5</v>
      </c>
      <c r="BZ11045">
        <v>13</v>
      </c>
    </row>
    <row r="11046" spans="1:78" x14ac:dyDescent="0.25">
      <c r="G11046" t="s">
        <v>8957</v>
      </c>
      <c r="X11046" t="s">
        <v>2424</v>
      </c>
      <c r="AF11046">
        <v>5.3</v>
      </c>
      <c r="AQ11046" t="s">
        <v>5268</v>
      </c>
      <c r="BC11046">
        <v>10</v>
      </c>
      <c r="BO11046">
        <v>11.9</v>
      </c>
      <c r="BZ11046">
        <v>13.5</v>
      </c>
    </row>
    <row r="11047" spans="1:78" x14ac:dyDescent="0.25">
      <c r="G11047" t="s">
        <v>8996</v>
      </c>
      <c r="X11047" t="s">
        <v>2427</v>
      </c>
      <c r="AF11047">
        <v>46</v>
      </c>
      <c r="AQ11047" t="s">
        <v>9289</v>
      </c>
      <c r="BC11047">
        <v>53</v>
      </c>
      <c r="BO11047">
        <v>53</v>
      </c>
      <c r="BZ11047">
        <v>57</v>
      </c>
    </row>
    <row r="11048" spans="1:78" x14ac:dyDescent="0.25">
      <c r="G11048" t="s">
        <v>8996</v>
      </c>
      <c r="X11048" t="s">
        <v>2427</v>
      </c>
      <c r="AF11048">
        <v>48</v>
      </c>
      <c r="AQ11048" t="s">
        <v>10061</v>
      </c>
      <c r="BC11048">
        <v>55</v>
      </c>
      <c r="BO11048">
        <v>60</v>
      </c>
      <c r="BZ11048">
        <v>59</v>
      </c>
    </row>
    <row r="11049" spans="1:78" x14ac:dyDescent="0.25">
      <c r="G11049" t="s">
        <v>2435</v>
      </c>
      <c r="X11049" t="s">
        <v>2436</v>
      </c>
      <c r="AF11049" t="s">
        <v>9029</v>
      </c>
      <c r="AQ11049" t="s">
        <v>2437</v>
      </c>
      <c r="BO11049" t="s">
        <v>2437</v>
      </c>
      <c r="BZ11049" t="s">
        <v>2437</v>
      </c>
    </row>
    <row r="11050" spans="1:78" x14ac:dyDescent="0.25">
      <c r="G11050" t="s">
        <v>9030</v>
      </c>
      <c r="X11050" t="s">
        <v>2436</v>
      </c>
      <c r="AF11050" t="s">
        <v>9031</v>
      </c>
      <c r="AQ11050" t="s">
        <v>9028</v>
      </c>
      <c r="BO11050" t="s">
        <v>9028</v>
      </c>
      <c r="BZ11050" t="s">
        <v>9028</v>
      </c>
    </row>
    <row r="11051" spans="1:78" x14ac:dyDescent="0.25">
      <c r="G11051" t="s">
        <v>9032</v>
      </c>
      <c r="X11051" t="s">
        <v>551</v>
      </c>
      <c r="AF11051">
        <v>5</v>
      </c>
      <c r="AQ11051" t="s">
        <v>5541</v>
      </c>
      <c r="BC11051">
        <v>5</v>
      </c>
      <c r="BO11051">
        <v>5</v>
      </c>
      <c r="BZ11051">
        <v>5</v>
      </c>
    </row>
    <row r="11052" spans="1:78" x14ac:dyDescent="0.25">
      <c r="G11052" t="s">
        <v>9033</v>
      </c>
      <c r="X11052" t="s">
        <v>551</v>
      </c>
      <c r="AF11052">
        <v>20</v>
      </c>
      <c r="AQ11052" t="s">
        <v>5240</v>
      </c>
      <c r="BC11052">
        <v>30</v>
      </c>
      <c r="BO11052">
        <v>30</v>
      </c>
      <c r="BZ11052">
        <v>30</v>
      </c>
    </row>
    <row r="11053" spans="1:78" x14ac:dyDescent="0.25">
      <c r="G11053" t="s">
        <v>9034</v>
      </c>
      <c r="X11053" t="s">
        <v>551</v>
      </c>
      <c r="AF11053">
        <v>20</v>
      </c>
      <c r="AQ11053" t="s">
        <v>3756</v>
      </c>
      <c r="BC11053">
        <v>30</v>
      </c>
      <c r="BO11053">
        <v>30</v>
      </c>
      <c r="BZ11053">
        <v>30</v>
      </c>
    </row>
    <row r="11054" spans="1:78" x14ac:dyDescent="0.25">
      <c r="G11054" t="s">
        <v>9035</v>
      </c>
      <c r="AF11054" t="s">
        <v>9037</v>
      </c>
      <c r="AQ11054" t="s">
        <v>9037</v>
      </c>
      <c r="BO11054" t="s">
        <v>9037</v>
      </c>
      <c r="BZ11054" t="s">
        <v>9037</v>
      </c>
    </row>
    <row r="11055" spans="1:78" x14ac:dyDescent="0.25">
      <c r="G11055" t="s">
        <v>8975</v>
      </c>
      <c r="X11055" t="s">
        <v>2442</v>
      </c>
      <c r="AF11055" t="s">
        <v>9165</v>
      </c>
      <c r="AQ11055" t="s">
        <v>9165</v>
      </c>
      <c r="BO11055" t="s">
        <v>9165</v>
      </c>
      <c r="BZ11055" t="s">
        <v>9165</v>
      </c>
    </row>
    <row r="11056" spans="1:78" x14ac:dyDescent="0.25">
      <c r="G11056" t="s">
        <v>4982</v>
      </c>
      <c r="X11056" t="s">
        <v>4911</v>
      </c>
      <c r="AF11056">
        <v>16</v>
      </c>
      <c r="AQ11056" t="s">
        <v>3750</v>
      </c>
      <c r="BC11056">
        <v>20</v>
      </c>
      <c r="BO11056">
        <v>25</v>
      </c>
      <c r="BZ11056">
        <v>25</v>
      </c>
    </row>
    <row r="11057" spans="1:78" x14ac:dyDescent="0.25">
      <c r="A11057" t="s">
        <v>9773</v>
      </c>
    </row>
    <row r="11058" spans="1:78" x14ac:dyDescent="0.25">
      <c r="G11058" t="s">
        <v>4983</v>
      </c>
      <c r="AF11058" t="s">
        <v>2440</v>
      </c>
      <c r="AQ11058" t="s">
        <v>2440</v>
      </c>
      <c r="BO11058" t="s">
        <v>2440</v>
      </c>
      <c r="BZ11058" t="s">
        <v>2440</v>
      </c>
    </row>
    <row r="11059" spans="1:78" x14ac:dyDescent="0.25">
      <c r="G11059" t="s">
        <v>9038</v>
      </c>
      <c r="X11059" t="s">
        <v>713</v>
      </c>
      <c r="AF11059">
        <v>0.9</v>
      </c>
      <c r="AQ11059" t="s">
        <v>5467</v>
      </c>
      <c r="BC11059">
        <v>1.7</v>
      </c>
      <c r="BO11059">
        <v>1.9</v>
      </c>
      <c r="BZ11059">
        <v>2.2000000000000002</v>
      </c>
    </row>
    <row r="11060" spans="1:78" x14ac:dyDescent="0.25">
      <c r="G11060" t="s">
        <v>4984</v>
      </c>
      <c r="X11060" t="s">
        <v>2433</v>
      </c>
      <c r="AF11060" t="s">
        <v>9041</v>
      </c>
      <c r="AQ11060" t="s">
        <v>9041</v>
      </c>
      <c r="BO11060" t="s">
        <v>9837</v>
      </c>
      <c r="BZ11060" t="s">
        <v>9567</v>
      </c>
    </row>
    <row r="11061" spans="1:78" x14ac:dyDescent="0.25">
      <c r="G11061" t="s">
        <v>9010</v>
      </c>
      <c r="X11061" t="s">
        <v>713</v>
      </c>
      <c r="AF11061">
        <v>36</v>
      </c>
      <c r="AQ11061" t="s">
        <v>10754</v>
      </c>
      <c r="BC11061">
        <v>45</v>
      </c>
      <c r="BO11061">
        <v>57</v>
      </c>
      <c r="BZ11061">
        <v>64</v>
      </c>
    </row>
    <row r="11062" spans="1:78" x14ac:dyDescent="0.25">
      <c r="G11062" t="s">
        <v>1001</v>
      </c>
      <c r="X11062" t="s">
        <v>4986</v>
      </c>
      <c r="AF11062" t="s">
        <v>9256</v>
      </c>
      <c r="AQ11062" t="s">
        <v>9271</v>
      </c>
      <c r="BO11062" t="s">
        <v>10227</v>
      </c>
      <c r="BZ11062" t="s">
        <v>10228</v>
      </c>
    </row>
    <row r="11064" spans="1:78" x14ac:dyDescent="0.25">
      <c r="G11064" t="s">
        <v>10755</v>
      </c>
    </row>
    <row r="11066" spans="1:78" x14ac:dyDescent="0.25">
      <c r="G11066" t="s">
        <v>5025</v>
      </c>
      <c r="AF11066" t="s">
        <v>9834</v>
      </c>
      <c r="AY11066" t="s">
        <v>10245</v>
      </c>
      <c r="BT11066" t="s">
        <v>10246</v>
      </c>
    </row>
    <row r="11067" spans="1:78" x14ac:dyDescent="0.25">
      <c r="G11067" t="s">
        <v>8937</v>
      </c>
      <c r="X11067" t="s">
        <v>2424</v>
      </c>
      <c r="AF11067">
        <v>9.5</v>
      </c>
      <c r="AY11067">
        <v>12.1</v>
      </c>
      <c r="BT11067">
        <v>13</v>
      </c>
    </row>
    <row r="11068" spans="1:78" x14ac:dyDescent="0.25">
      <c r="G11068" t="s">
        <v>8957</v>
      </c>
      <c r="X11068" t="s">
        <v>2424</v>
      </c>
      <c r="AF11068">
        <v>10</v>
      </c>
      <c r="AY11068">
        <v>12.3</v>
      </c>
      <c r="BT11068">
        <v>13.5</v>
      </c>
    </row>
    <row r="11069" spans="1:78" x14ac:dyDescent="0.25">
      <c r="G11069" t="s">
        <v>8996</v>
      </c>
      <c r="X11069" t="s">
        <v>2427</v>
      </c>
      <c r="AF11069">
        <v>53</v>
      </c>
      <c r="AY11069">
        <v>53</v>
      </c>
      <c r="BT11069">
        <v>57</v>
      </c>
    </row>
    <row r="11071" spans="1:78" x14ac:dyDescent="0.25">
      <c r="G11071" t="s">
        <v>8996</v>
      </c>
      <c r="X11071" t="s">
        <v>2427</v>
      </c>
      <c r="AF11071">
        <v>55</v>
      </c>
      <c r="AY11071">
        <v>60</v>
      </c>
      <c r="BT11071">
        <v>59</v>
      </c>
    </row>
    <row r="11072" spans="1:78" x14ac:dyDescent="0.25">
      <c r="G11072" t="s">
        <v>2435</v>
      </c>
      <c r="X11072" t="s">
        <v>2436</v>
      </c>
      <c r="AF11072" t="s">
        <v>2437</v>
      </c>
      <c r="AY11072" t="s">
        <v>2437</v>
      </c>
      <c r="BT11072" t="s">
        <v>2437</v>
      </c>
    </row>
    <row r="11073" spans="1:72" x14ac:dyDescent="0.25">
      <c r="G11073" t="s">
        <v>9030</v>
      </c>
      <c r="X11073" t="s">
        <v>2436</v>
      </c>
      <c r="AF11073" t="s">
        <v>9028</v>
      </c>
      <c r="AY11073" t="s">
        <v>9028</v>
      </c>
      <c r="BT11073" t="s">
        <v>9028</v>
      </c>
    </row>
    <row r="11074" spans="1:72" x14ac:dyDescent="0.25">
      <c r="G11074" t="s">
        <v>9032</v>
      </c>
      <c r="X11074" t="s">
        <v>551</v>
      </c>
      <c r="AF11074">
        <v>5</v>
      </c>
      <c r="AY11074">
        <v>5</v>
      </c>
      <c r="BT11074">
        <v>5</v>
      </c>
    </row>
    <row r="11075" spans="1:72" x14ac:dyDescent="0.25">
      <c r="G11075" t="s">
        <v>9033</v>
      </c>
      <c r="X11075" t="s">
        <v>551</v>
      </c>
      <c r="AF11075">
        <v>30</v>
      </c>
      <c r="AY11075">
        <v>30</v>
      </c>
      <c r="BT11075">
        <v>30</v>
      </c>
    </row>
    <row r="11076" spans="1:72" x14ac:dyDescent="0.25">
      <c r="G11076" t="s">
        <v>9034</v>
      </c>
      <c r="X11076" t="s">
        <v>551</v>
      </c>
      <c r="AF11076">
        <v>30</v>
      </c>
      <c r="AY11076">
        <v>30</v>
      </c>
      <c r="BT11076">
        <v>30</v>
      </c>
    </row>
    <row r="11077" spans="1:72" x14ac:dyDescent="0.25">
      <c r="G11077" t="s">
        <v>9035</v>
      </c>
      <c r="AF11077" t="s">
        <v>9037</v>
      </c>
      <c r="AY11077" t="s">
        <v>9037</v>
      </c>
      <c r="BT11077" t="s">
        <v>9037</v>
      </c>
    </row>
    <row r="11078" spans="1:72" x14ac:dyDescent="0.25">
      <c r="G11078" t="s">
        <v>8975</v>
      </c>
      <c r="X11078" t="s">
        <v>2442</v>
      </c>
      <c r="AF11078" t="s">
        <v>4910</v>
      </c>
      <c r="AY11078" t="s">
        <v>4910</v>
      </c>
      <c r="BT11078" t="s">
        <v>4910</v>
      </c>
    </row>
    <row r="11079" spans="1:72" x14ac:dyDescent="0.25">
      <c r="G11079" t="s">
        <v>4982</v>
      </c>
      <c r="X11079" t="s">
        <v>4911</v>
      </c>
      <c r="AF11079" t="s">
        <v>4917</v>
      </c>
      <c r="AY11079" t="s">
        <v>4917</v>
      </c>
      <c r="BT11079" t="s">
        <v>4917</v>
      </c>
    </row>
    <row r="11080" spans="1:72" x14ac:dyDescent="0.25">
      <c r="G11080" t="s">
        <v>4983</v>
      </c>
      <c r="AF11080" t="s">
        <v>2440</v>
      </c>
      <c r="AY11080" t="s">
        <v>2440</v>
      </c>
      <c r="BT11080" t="s">
        <v>2440</v>
      </c>
    </row>
    <row r="11081" spans="1:72" x14ac:dyDescent="0.25">
      <c r="G11081" t="s">
        <v>9038</v>
      </c>
      <c r="X11081" t="s">
        <v>713</v>
      </c>
      <c r="AF11081">
        <v>1.7</v>
      </c>
      <c r="AY11081">
        <v>1.9</v>
      </c>
      <c r="BT11081">
        <v>2.2000000000000002</v>
      </c>
    </row>
    <row r="11082" spans="1:72" x14ac:dyDescent="0.25">
      <c r="G11082" t="s">
        <v>4984</v>
      </c>
      <c r="X11082" t="s">
        <v>2433</v>
      </c>
      <c r="AF11082" t="s">
        <v>9837</v>
      </c>
      <c r="AY11082" t="s">
        <v>9837</v>
      </c>
      <c r="BT11082" t="s">
        <v>9567</v>
      </c>
    </row>
    <row r="11083" spans="1:72" x14ac:dyDescent="0.25">
      <c r="G11083" t="s">
        <v>9010</v>
      </c>
      <c r="X11083" t="s">
        <v>713</v>
      </c>
      <c r="AF11083">
        <v>60</v>
      </c>
      <c r="AY11083">
        <v>60</v>
      </c>
      <c r="BT11083">
        <v>63</v>
      </c>
    </row>
    <row r="11084" spans="1:72" x14ac:dyDescent="0.25">
      <c r="G11084" t="s">
        <v>1001</v>
      </c>
      <c r="X11084" t="s">
        <v>4986</v>
      </c>
      <c r="AF11084" t="s">
        <v>9839</v>
      </c>
      <c r="AY11084" t="s">
        <v>10247</v>
      </c>
      <c r="BT11084" t="s">
        <v>10248</v>
      </c>
    </row>
    <row r="11085" spans="1:72" x14ac:dyDescent="0.25">
      <c r="A11085" t="s">
        <v>10756</v>
      </c>
    </row>
    <row r="11087" spans="1:72" x14ac:dyDescent="0.25">
      <c r="A11087" t="s">
        <v>10757</v>
      </c>
    </row>
    <row r="11089" spans="1:88" x14ac:dyDescent="0.25">
      <c r="A11089" t="s">
        <v>10758</v>
      </c>
    </row>
    <row r="11091" spans="1:88" x14ac:dyDescent="0.25">
      <c r="A11091" t="s">
        <v>10759</v>
      </c>
    </row>
    <row r="11092" spans="1:88" x14ac:dyDescent="0.25">
      <c r="A11092" t="s">
        <v>5025</v>
      </c>
      <c r="Z11092" t="s">
        <v>10760</v>
      </c>
      <c r="AH11092" t="s">
        <v>10761</v>
      </c>
      <c r="AM11092" t="s">
        <v>10762</v>
      </c>
      <c r="AV11092" t="s">
        <v>10763</v>
      </c>
      <c r="BJ11092" t="s">
        <v>10764</v>
      </c>
      <c r="BS11092" t="s">
        <v>10765</v>
      </c>
      <c r="BY11092" t="s">
        <v>10766</v>
      </c>
    </row>
    <row r="11093" spans="1:88" x14ac:dyDescent="0.25">
      <c r="A11093" t="s">
        <v>8937</v>
      </c>
      <c r="R11093" t="s">
        <v>2424</v>
      </c>
      <c r="Z11093">
        <v>2.5</v>
      </c>
      <c r="AH11093" t="s">
        <v>10767</v>
      </c>
      <c r="AM11093">
        <v>5</v>
      </c>
      <c r="AV11093">
        <v>6.7</v>
      </c>
      <c r="BC11093">
        <v>8</v>
      </c>
      <c r="BJ11093">
        <v>9.5</v>
      </c>
      <c r="BS11093" t="s">
        <v>10768</v>
      </c>
      <c r="BY11093">
        <v>14</v>
      </c>
    </row>
    <row r="11094" spans="1:88" x14ac:dyDescent="0.25">
      <c r="A11094" t="s">
        <v>8957</v>
      </c>
      <c r="R11094" t="s">
        <v>2424</v>
      </c>
      <c r="Z11094">
        <v>3.4</v>
      </c>
      <c r="AH11094" t="s">
        <v>5194</v>
      </c>
      <c r="AM11094">
        <v>5.3</v>
      </c>
      <c r="AV11094">
        <v>7.7</v>
      </c>
      <c r="BC11094">
        <v>8.6</v>
      </c>
      <c r="BJ11094">
        <v>11.2</v>
      </c>
      <c r="BS11094" t="s">
        <v>5346</v>
      </c>
      <c r="BY11094">
        <v>16</v>
      </c>
    </row>
    <row r="11095" spans="1:88" x14ac:dyDescent="0.25">
      <c r="A11095" t="s">
        <v>8996</v>
      </c>
      <c r="R11095" t="s">
        <v>2427</v>
      </c>
      <c r="Z11095">
        <v>46</v>
      </c>
      <c r="AH11095" t="s">
        <v>10769</v>
      </c>
      <c r="AM11095">
        <v>46</v>
      </c>
      <c r="AV11095">
        <v>50</v>
      </c>
      <c r="BC11095">
        <v>52</v>
      </c>
      <c r="BJ11095">
        <v>53</v>
      </c>
      <c r="BS11095" t="s">
        <v>10770</v>
      </c>
      <c r="BY11095">
        <v>57</v>
      </c>
    </row>
    <row r="11096" spans="1:88" x14ac:dyDescent="0.25">
      <c r="A11096" t="s">
        <v>8996</v>
      </c>
      <c r="R11096" t="s">
        <v>2427</v>
      </c>
      <c r="Z11096">
        <v>47</v>
      </c>
      <c r="AH11096" t="s">
        <v>7054</v>
      </c>
      <c r="AM11096">
        <v>48</v>
      </c>
      <c r="AV11096">
        <v>52</v>
      </c>
      <c r="BC11096">
        <v>55</v>
      </c>
      <c r="BJ11096">
        <v>56</v>
      </c>
      <c r="BS11096" t="s">
        <v>10770</v>
      </c>
      <c r="BY11096">
        <v>56</v>
      </c>
    </row>
    <row r="11097" spans="1:88" x14ac:dyDescent="0.25">
      <c r="A11097" t="s">
        <v>2435</v>
      </c>
      <c r="R11097" t="s">
        <v>2436</v>
      </c>
      <c r="Z11097" t="s">
        <v>9028</v>
      </c>
      <c r="AH11097" t="s">
        <v>9029</v>
      </c>
      <c r="AM11097" t="s">
        <v>9029</v>
      </c>
      <c r="AV11097" t="s">
        <v>2437</v>
      </c>
      <c r="BJ11097" t="s">
        <v>2437</v>
      </c>
      <c r="BS11097" t="s">
        <v>2437</v>
      </c>
      <c r="BY11097" t="s">
        <v>2437</v>
      </c>
    </row>
    <row r="11098" spans="1:88" x14ac:dyDescent="0.25">
      <c r="A11098" t="s">
        <v>9030</v>
      </c>
      <c r="R11098" t="s">
        <v>2436</v>
      </c>
      <c r="Z11098" t="s">
        <v>9031</v>
      </c>
      <c r="AH11098" t="s">
        <v>9031</v>
      </c>
      <c r="AM11098" t="s">
        <v>9031</v>
      </c>
      <c r="AV11098" t="s">
        <v>9028</v>
      </c>
      <c r="BJ11098" t="s">
        <v>9028</v>
      </c>
      <c r="BS11098" t="s">
        <v>9028</v>
      </c>
      <c r="BY11098" t="s">
        <v>9028</v>
      </c>
    </row>
    <row r="11099" spans="1:88" x14ac:dyDescent="0.25">
      <c r="A11099" t="s">
        <v>9032</v>
      </c>
      <c r="R11099" t="s">
        <v>551</v>
      </c>
      <c r="Z11099">
        <v>2</v>
      </c>
      <c r="AH11099" t="s">
        <v>5264</v>
      </c>
      <c r="AM11099">
        <v>5</v>
      </c>
      <c r="AV11099">
        <v>5</v>
      </c>
      <c r="BC11099">
        <v>5</v>
      </c>
      <c r="BJ11099">
        <v>5</v>
      </c>
      <c r="BS11099" t="s">
        <v>5541</v>
      </c>
      <c r="BY11099">
        <v>5</v>
      </c>
    </row>
    <row r="11100" spans="1:88" x14ac:dyDescent="0.25">
      <c r="A11100" t="s">
        <v>9033</v>
      </c>
      <c r="R11100" t="s">
        <v>551</v>
      </c>
      <c r="Z11100">
        <v>20</v>
      </c>
      <c r="AH11100" t="s">
        <v>3756</v>
      </c>
      <c r="AM11100">
        <v>30</v>
      </c>
      <c r="AV11100">
        <v>50</v>
      </c>
      <c r="BC11100">
        <v>50</v>
      </c>
      <c r="BJ11100">
        <v>50</v>
      </c>
      <c r="BS11100" t="s">
        <v>7054</v>
      </c>
      <c r="BY11100">
        <v>50</v>
      </c>
    </row>
    <row r="11101" spans="1:88" x14ac:dyDescent="0.25">
      <c r="A11101" t="s">
        <v>9034</v>
      </c>
      <c r="R11101" t="s">
        <v>551</v>
      </c>
      <c r="Z11101">
        <v>10</v>
      </c>
      <c r="AH11101" t="s">
        <v>5272</v>
      </c>
      <c r="AM11101">
        <v>30</v>
      </c>
      <c r="AV11101">
        <v>30</v>
      </c>
      <c r="BC11101">
        <v>30</v>
      </c>
      <c r="BJ11101">
        <v>30</v>
      </c>
      <c r="BS11101" t="s">
        <v>5240</v>
      </c>
      <c r="BY11101">
        <v>30</v>
      </c>
    </row>
    <row r="11102" spans="1:88" x14ac:dyDescent="0.25">
      <c r="A11102" t="s">
        <v>9035</v>
      </c>
      <c r="Z11102" t="s">
        <v>9037</v>
      </c>
      <c r="AH11102" t="s">
        <v>9037</v>
      </c>
      <c r="AM11102" t="s">
        <v>9037</v>
      </c>
      <c r="AV11102" t="s">
        <v>9037</v>
      </c>
      <c r="BJ11102" t="s">
        <v>9037</v>
      </c>
      <c r="BS11102" t="s">
        <v>9037</v>
      </c>
      <c r="BY11102" t="s">
        <v>9037</v>
      </c>
    </row>
    <row r="11103" spans="1:88" x14ac:dyDescent="0.25">
      <c r="A11103" t="s">
        <v>8975</v>
      </c>
      <c r="R11103" t="s">
        <v>2442</v>
      </c>
      <c r="Z11103" t="s">
        <v>9165</v>
      </c>
      <c r="AH11103" t="s">
        <v>9165</v>
      </c>
      <c r="AM11103" t="s">
        <v>9165</v>
      </c>
      <c r="AV11103" t="s">
        <v>9165</v>
      </c>
      <c r="BJ11103" t="s">
        <v>9165</v>
      </c>
      <c r="BS11103" t="s">
        <v>9165</v>
      </c>
      <c r="BY11103" t="s">
        <v>9165</v>
      </c>
    </row>
    <row r="11104" spans="1:88" x14ac:dyDescent="0.25">
      <c r="CJ11104" t="s">
        <v>9773</v>
      </c>
    </row>
    <row r="11105" spans="1:77" x14ac:dyDescent="0.25">
      <c r="A11105" t="s">
        <v>4982</v>
      </c>
      <c r="R11105" t="s">
        <v>4911</v>
      </c>
      <c r="Z11105">
        <v>10</v>
      </c>
      <c r="AH11105" t="s">
        <v>5272</v>
      </c>
      <c r="AM11105">
        <v>16</v>
      </c>
      <c r="AV11105">
        <v>16</v>
      </c>
      <c r="BC11105">
        <v>16</v>
      </c>
      <c r="BJ11105">
        <v>25</v>
      </c>
      <c r="BS11105" t="s">
        <v>7051</v>
      </c>
      <c r="BY11105">
        <v>32</v>
      </c>
    </row>
    <row r="11106" spans="1:77" x14ac:dyDescent="0.25">
      <c r="A11106" t="s">
        <v>4983</v>
      </c>
      <c r="Z11106" t="s">
        <v>2440</v>
      </c>
      <c r="AH11106" t="s">
        <v>2440</v>
      </c>
      <c r="AM11106" t="s">
        <v>2440</v>
      </c>
      <c r="AV11106" t="s">
        <v>2440</v>
      </c>
      <c r="BJ11106" t="s">
        <v>2440</v>
      </c>
      <c r="BS11106" t="s">
        <v>2440</v>
      </c>
      <c r="BY11106" t="s">
        <v>2440</v>
      </c>
    </row>
    <row r="11107" spans="1:77" x14ac:dyDescent="0.25">
      <c r="A11107" t="s">
        <v>9038</v>
      </c>
      <c r="R11107" t="s">
        <v>713</v>
      </c>
      <c r="Z11107">
        <v>0.6</v>
      </c>
      <c r="AH11107" t="s">
        <v>10771</v>
      </c>
      <c r="AM11107">
        <v>0.9</v>
      </c>
      <c r="AV11107">
        <v>1.3</v>
      </c>
      <c r="BC11107">
        <v>2</v>
      </c>
      <c r="BJ11107">
        <v>2.1</v>
      </c>
      <c r="BS11107" t="s">
        <v>5309</v>
      </c>
      <c r="BY11107">
        <v>2.4</v>
      </c>
    </row>
    <row r="11108" spans="1:77" x14ac:dyDescent="0.25">
      <c r="A11108" t="s">
        <v>4984</v>
      </c>
      <c r="R11108" t="s">
        <v>2433</v>
      </c>
      <c r="Z11108" t="s">
        <v>9041</v>
      </c>
      <c r="AH11108" t="s">
        <v>9041</v>
      </c>
      <c r="AM11108" t="s">
        <v>9041</v>
      </c>
      <c r="AV11108" t="s">
        <v>9902</v>
      </c>
      <c r="BJ11108" t="s">
        <v>5105</v>
      </c>
      <c r="BS11108" t="s">
        <v>5105</v>
      </c>
      <c r="BY11108" t="s">
        <v>5105</v>
      </c>
    </row>
    <row r="11109" spans="1:77" x14ac:dyDescent="0.25">
      <c r="A11109" t="s">
        <v>9010</v>
      </c>
      <c r="R11109" t="s">
        <v>713</v>
      </c>
      <c r="Z11109">
        <v>33</v>
      </c>
      <c r="AH11109" t="s">
        <v>10754</v>
      </c>
      <c r="AM11109">
        <v>40</v>
      </c>
      <c r="AV11109">
        <v>47</v>
      </c>
      <c r="BC11109">
        <v>47</v>
      </c>
      <c r="BJ11109">
        <v>85</v>
      </c>
      <c r="BS11109" t="s">
        <v>10772</v>
      </c>
      <c r="BY11109">
        <v>88</v>
      </c>
    </row>
    <row r="11110" spans="1:77" x14ac:dyDescent="0.25">
      <c r="A11110" t="s">
        <v>1001</v>
      </c>
      <c r="R11110" t="s">
        <v>4986</v>
      </c>
      <c r="Z11110" t="s">
        <v>9435</v>
      </c>
      <c r="AH11110" t="s">
        <v>9135</v>
      </c>
      <c r="AM11110" t="s">
        <v>8982</v>
      </c>
      <c r="AV11110" t="s">
        <v>9903</v>
      </c>
      <c r="BJ11110" t="s">
        <v>9905</v>
      </c>
      <c r="BS11110" t="s">
        <v>9816</v>
      </c>
      <c r="BY11110" t="s">
        <v>10002</v>
      </c>
    </row>
    <row r="11112" spans="1:77" x14ac:dyDescent="0.25">
      <c r="A11112" t="s">
        <v>10773</v>
      </c>
    </row>
    <row r="11114" spans="1:77" x14ac:dyDescent="0.25">
      <c r="A11114" t="s">
        <v>5025</v>
      </c>
      <c r="Z11114" t="s">
        <v>9901</v>
      </c>
      <c r="AT11114" t="s">
        <v>10020</v>
      </c>
      <c r="BM11114" t="s">
        <v>10021</v>
      </c>
    </row>
    <row r="11115" spans="1:77" x14ac:dyDescent="0.25">
      <c r="A11115" t="s">
        <v>8937</v>
      </c>
      <c r="R11115" t="s">
        <v>2424</v>
      </c>
      <c r="Z11115">
        <v>9.5</v>
      </c>
      <c r="AT11115">
        <v>12.1</v>
      </c>
      <c r="BM11115">
        <v>14</v>
      </c>
    </row>
    <row r="11116" spans="1:77" x14ac:dyDescent="0.25">
      <c r="A11116" t="s">
        <v>8957</v>
      </c>
      <c r="R11116" t="s">
        <v>2424</v>
      </c>
      <c r="Z11116">
        <v>11.2</v>
      </c>
      <c r="AT11116">
        <v>13</v>
      </c>
      <c r="BM11116">
        <v>16</v>
      </c>
    </row>
    <row r="11117" spans="1:77" x14ac:dyDescent="0.25">
      <c r="A11117" t="s">
        <v>8996</v>
      </c>
      <c r="R11117" t="s">
        <v>2427</v>
      </c>
      <c r="Z11117">
        <v>53</v>
      </c>
      <c r="AT11117">
        <v>56</v>
      </c>
      <c r="BM11117">
        <v>57</v>
      </c>
    </row>
    <row r="11119" spans="1:77" x14ac:dyDescent="0.25">
      <c r="A11119" t="s">
        <v>8996</v>
      </c>
      <c r="R11119" t="s">
        <v>2427</v>
      </c>
      <c r="Z11119">
        <v>56</v>
      </c>
      <c r="AT11119">
        <v>56</v>
      </c>
      <c r="BM11119">
        <v>56</v>
      </c>
    </row>
    <row r="11120" spans="1:77" x14ac:dyDescent="0.25">
      <c r="A11120" t="s">
        <v>2435</v>
      </c>
      <c r="R11120" t="s">
        <v>2436</v>
      </c>
      <c r="Z11120" t="s">
        <v>2437</v>
      </c>
      <c r="AT11120" t="s">
        <v>2437</v>
      </c>
      <c r="BM11120" t="s">
        <v>2437</v>
      </c>
    </row>
    <row r="11121" spans="1:65" x14ac:dyDescent="0.25">
      <c r="A11121" t="s">
        <v>9030</v>
      </c>
      <c r="R11121" t="s">
        <v>2436</v>
      </c>
      <c r="Z11121" t="s">
        <v>9028</v>
      </c>
      <c r="AT11121" t="s">
        <v>9028</v>
      </c>
      <c r="BM11121" t="s">
        <v>9028</v>
      </c>
    </row>
    <row r="11122" spans="1:65" x14ac:dyDescent="0.25">
      <c r="A11122" t="s">
        <v>9032</v>
      </c>
      <c r="R11122" t="s">
        <v>551</v>
      </c>
      <c r="Z11122">
        <v>5</v>
      </c>
      <c r="AT11122">
        <v>5</v>
      </c>
      <c r="BM11122">
        <v>5</v>
      </c>
    </row>
    <row r="11123" spans="1:65" x14ac:dyDescent="0.25">
      <c r="A11123" t="s">
        <v>9033</v>
      </c>
      <c r="R11123" t="s">
        <v>551</v>
      </c>
      <c r="Z11123">
        <v>50</v>
      </c>
      <c r="AT11123">
        <v>50</v>
      </c>
      <c r="BM11123">
        <v>50</v>
      </c>
    </row>
    <row r="11124" spans="1:65" x14ac:dyDescent="0.25">
      <c r="A11124" t="s">
        <v>9034</v>
      </c>
      <c r="R11124" t="s">
        <v>551</v>
      </c>
      <c r="Z11124">
        <v>30</v>
      </c>
      <c r="AT11124">
        <v>30</v>
      </c>
      <c r="BM11124">
        <v>30</v>
      </c>
    </row>
    <row r="11125" spans="1:65" x14ac:dyDescent="0.25">
      <c r="A11125" t="s">
        <v>9035</v>
      </c>
      <c r="Z11125" t="s">
        <v>9037</v>
      </c>
      <c r="AT11125" t="s">
        <v>9037</v>
      </c>
      <c r="BM11125" t="s">
        <v>9037</v>
      </c>
    </row>
    <row r="11126" spans="1:65" x14ac:dyDescent="0.25">
      <c r="A11126" t="s">
        <v>8975</v>
      </c>
      <c r="R11126" t="s">
        <v>2442</v>
      </c>
      <c r="Z11126" t="s">
        <v>4910</v>
      </c>
      <c r="AT11126" t="s">
        <v>4910</v>
      </c>
      <c r="BM11126" t="s">
        <v>4910</v>
      </c>
    </row>
    <row r="11127" spans="1:65" x14ac:dyDescent="0.25">
      <c r="A11127" t="s">
        <v>4982</v>
      </c>
      <c r="R11127" t="s">
        <v>4911</v>
      </c>
      <c r="Z11127" t="s">
        <v>4917</v>
      </c>
      <c r="AT11127" t="s">
        <v>4917</v>
      </c>
      <c r="BM11127" t="s">
        <v>4917</v>
      </c>
    </row>
    <row r="11128" spans="1:65" x14ac:dyDescent="0.25">
      <c r="A11128" t="s">
        <v>4983</v>
      </c>
      <c r="Z11128" t="s">
        <v>2440</v>
      </c>
      <c r="AT11128" t="s">
        <v>2440</v>
      </c>
      <c r="BM11128" t="s">
        <v>2440</v>
      </c>
    </row>
    <row r="11129" spans="1:65" x14ac:dyDescent="0.25">
      <c r="A11129" t="s">
        <v>9038</v>
      </c>
      <c r="R11129" t="s">
        <v>713</v>
      </c>
      <c r="Z11129">
        <v>2.1</v>
      </c>
      <c r="AT11129">
        <v>2.1</v>
      </c>
      <c r="BM11129">
        <v>2.4</v>
      </c>
    </row>
    <row r="11130" spans="1:65" x14ac:dyDescent="0.25">
      <c r="A11130" t="s">
        <v>4984</v>
      </c>
      <c r="R11130" t="s">
        <v>2433</v>
      </c>
      <c r="Z11130" t="s">
        <v>4926</v>
      </c>
      <c r="AT11130" t="s">
        <v>4926</v>
      </c>
      <c r="BM11130" t="s">
        <v>4926</v>
      </c>
    </row>
    <row r="11131" spans="1:65" x14ac:dyDescent="0.25">
      <c r="A11131" t="s">
        <v>9010</v>
      </c>
      <c r="R11131" t="s">
        <v>713</v>
      </c>
      <c r="Z11131">
        <v>85</v>
      </c>
      <c r="AT11131">
        <v>85</v>
      </c>
      <c r="BM11131">
        <v>88</v>
      </c>
    </row>
    <row r="11132" spans="1:65" x14ac:dyDescent="0.25">
      <c r="A11132" t="s">
        <v>1001</v>
      </c>
      <c r="R11132" t="s">
        <v>4986</v>
      </c>
      <c r="Z11132" t="s">
        <v>9906</v>
      </c>
      <c r="AT11132" t="s">
        <v>10022</v>
      </c>
      <c r="BM11132" t="s">
        <v>5108</v>
      </c>
    </row>
    <row r="11133" spans="1:65" x14ac:dyDescent="0.25">
      <c r="A11133" t="s">
        <v>10774</v>
      </c>
    </row>
    <row r="11134" spans="1:65" x14ac:dyDescent="0.25">
      <c r="A11134" t="s">
        <v>10775</v>
      </c>
    </row>
    <row r="11136" spans="1:65" x14ac:dyDescent="0.25">
      <c r="A11136" t="s">
        <v>10776</v>
      </c>
    </row>
    <row r="11138" spans="1:75" x14ac:dyDescent="0.25">
      <c r="A11138" t="s">
        <v>10777</v>
      </c>
    </row>
    <row r="11139" spans="1:75" x14ac:dyDescent="0.25">
      <c r="G11139" t="s">
        <v>5025</v>
      </c>
      <c r="AF11139" t="s">
        <v>9935</v>
      </c>
      <c r="AT11139" t="s">
        <v>9936</v>
      </c>
      <c r="BJ11139" t="s">
        <v>9937</v>
      </c>
      <c r="BW11139" t="s">
        <v>10060</v>
      </c>
    </row>
    <row r="11140" spans="1:75" x14ac:dyDescent="0.25">
      <c r="G11140" t="s">
        <v>8937</v>
      </c>
      <c r="X11140" t="s">
        <v>2424</v>
      </c>
      <c r="AF11140">
        <v>5</v>
      </c>
      <c r="AT11140">
        <v>7.1</v>
      </c>
      <c r="BJ11140">
        <v>10</v>
      </c>
      <c r="BW11140">
        <v>12.5</v>
      </c>
    </row>
    <row r="11141" spans="1:75" x14ac:dyDescent="0.25">
      <c r="G11141" t="s">
        <v>8957</v>
      </c>
      <c r="X11141" t="s">
        <v>2424</v>
      </c>
      <c r="AF11141">
        <v>5.6</v>
      </c>
      <c r="AT11141">
        <v>8</v>
      </c>
      <c r="BJ11141">
        <v>11.2</v>
      </c>
      <c r="BW11141">
        <v>14</v>
      </c>
    </row>
    <row r="11142" spans="1:75" x14ac:dyDescent="0.25">
      <c r="G11142" t="s">
        <v>8996</v>
      </c>
      <c r="X11142" t="s">
        <v>2427</v>
      </c>
      <c r="AF11142">
        <v>46</v>
      </c>
      <c r="AT11142">
        <v>46</v>
      </c>
      <c r="BJ11142">
        <v>49</v>
      </c>
      <c r="BW11142">
        <v>50</v>
      </c>
    </row>
    <row r="11143" spans="1:75" x14ac:dyDescent="0.25">
      <c r="G11143" t="s">
        <v>8996</v>
      </c>
      <c r="X11143" t="s">
        <v>2427</v>
      </c>
      <c r="AF11143">
        <v>48</v>
      </c>
      <c r="AT11143">
        <v>48</v>
      </c>
      <c r="BJ11143">
        <v>50</v>
      </c>
      <c r="BW11143">
        <v>51</v>
      </c>
    </row>
    <row r="11144" spans="1:75" x14ac:dyDescent="0.25">
      <c r="G11144" t="s">
        <v>2435</v>
      </c>
      <c r="X11144" t="s">
        <v>2436</v>
      </c>
      <c r="AF11144" t="s">
        <v>9029</v>
      </c>
      <c r="AT11144" t="s">
        <v>2437</v>
      </c>
      <c r="BJ11144" t="s">
        <v>2437</v>
      </c>
      <c r="BW11144" t="s">
        <v>2437</v>
      </c>
    </row>
    <row r="11145" spans="1:75" x14ac:dyDescent="0.25">
      <c r="G11145" t="s">
        <v>9030</v>
      </c>
      <c r="X11145" t="s">
        <v>2436</v>
      </c>
      <c r="AF11145" t="s">
        <v>9031</v>
      </c>
      <c r="AT11145" t="s">
        <v>9028</v>
      </c>
      <c r="BJ11145" t="s">
        <v>9028</v>
      </c>
      <c r="BW11145" t="s">
        <v>9028</v>
      </c>
    </row>
    <row r="11146" spans="1:75" x14ac:dyDescent="0.25">
      <c r="G11146" t="s">
        <v>9032</v>
      </c>
      <c r="X11146" t="s">
        <v>551</v>
      </c>
      <c r="AF11146">
        <v>5</v>
      </c>
      <c r="AT11146">
        <v>5</v>
      </c>
      <c r="BJ11146">
        <v>5</v>
      </c>
      <c r="BW11146">
        <v>3</v>
      </c>
    </row>
    <row r="11147" spans="1:75" x14ac:dyDescent="0.25">
      <c r="G11147" t="s">
        <v>9033</v>
      </c>
      <c r="X11147" t="s">
        <v>551</v>
      </c>
      <c r="AF11147">
        <v>50</v>
      </c>
      <c r="AT11147">
        <v>50</v>
      </c>
      <c r="BJ11147">
        <v>75</v>
      </c>
      <c r="BW11147">
        <v>75</v>
      </c>
    </row>
    <row r="11148" spans="1:75" x14ac:dyDescent="0.25">
      <c r="G11148" t="s">
        <v>9034</v>
      </c>
      <c r="X11148" t="s">
        <v>551</v>
      </c>
      <c r="AF11148">
        <v>30</v>
      </c>
      <c r="AT11148">
        <v>30</v>
      </c>
      <c r="BJ11148">
        <v>30</v>
      </c>
      <c r="BW11148">
        <v>30</v>
      </c>
    </row>
    <row r="11149" spans="1:75" x14ac:dyDescent="0.25">
      <c r="G11149" t="s">
        <v>9035</v>
      </c>
      <c r="AF11149" t="s">
        <v>9037</v>
      </c>
      <c r="AT11149" t="s">
        <v>9037</v>
      </c>
      <c r="BJ11149" t="s">
        <v>9037</v>
      </c>
      <c r="BW11149" t="s">
        <v>9037</v>
      </c>
    </row>
    <row r="11150" spans="1:75" x14ac:dyDescent="0.25">
      <c r="G11150" t="s">
        <v>8975</v>
      </c>
      <c r="X11150" t="s">
        <v>2442</v>
      </c>
      <c r="AF11150" t="s">
        <v>2443</v>
      </c>
      <c r="AT11150" t="s">
        <v>2443</v>
      </c>
      <c r="BJ11150" t="s">
        <v>2443</v>
      </c>
      <c r="BW11150" t="s">
        <v>2443</v>
      </c>
    </row>
    <row r="11151" spans="1:75" x14ac:dyDescent="0.25">
      <c r="G11151" t="s">
        <v>4982</v>
      </c>
      <c r="X11151" t="s">
        <v>4911</v>
      </c>
      <c r="AF11151">
        <v>16</v>
      </c>
      <c r="AT11151">
        <v>20</v>
      </c>
      <c r="BJ11151">
        <v>25</v>
      </c>
      <c r="BW11151">
        <v>25</v>
      </c>
    </row>
    <row r="11152" spans="1:75" x14ac:dyDescent="0.25">
      <c r="A11152" t="s">
        <v>9773</v>
      </c>
    </row>
    <row r="11153" spans="7:75" x14ac:dyDescent="0.25">
      <c r="G11153" t="s">
        <v>4983</v>
      </c>
      <c r="AF11153" t="s">
        <v>2440</v>
      </c>
      <c r="AT11153" t="s">
        <v>2440</v>
      </c>
      <c r="BJ11153" t="s">
        <v>2440</v>
      </c>
      <c r="BW11153" t="s">
        <v>2440</v>
      </c>
    </row>
    <row r="11154" spans="7:75" x14ac:dyDescent="0.25">
      <c r="G11154" t="s">
        <v>9038</v>
      </c>
      <c r="X11154" t="s">
        <v>713</v>
      </c>
      <c r="AF11154">
        <v>1.35</v>
      </c>
      <c r="AT11154">
        <v>1.9</v>
      </c>
      <c r="BJ11154">
        <v>3.1</v>
      </c>
      <c r="BW11154">
        <v>3.1</v>
      </c>
    </row>
    <row r="11155" spans="7:75" x14ac:dyDescent="0.25">
      <c r="G11155" t="s">
        <v>4984</v>
      </c>
      <c r="X11155" t="s">
        <v>2433</v>
      </c>
      <c r="AF11155" t="s">
        <v>9902</v>
      </c>
      <c r="AT11155" t="s">
        <v>4926</v>
      </c>
      <c r="BJ11155" t="s">
        <v>9939</v>
      </c>
      <c r="BW11155" t="s">
        <v>9939</v>
      </c>
    </row>
    <row r="11156" spans="7:75" x14ac:dyDescent="0.25">
      <c r="G11156" t="s">
        <v>9010</v>
      </c>
      <c r="X11156" t="s">
        <v>713</v>
      </c>
      <c r="AF11156">
        <v>45</v>
      </c>
      <c r="AT11156">
        <v>74</v>
      </c>
      <c r="BJ11156">
        <v>104</v>
      </c>
      <c r="BW11156">
        <v>104</v>
      </c>
    </row>
    <row r="11157" spans="7:75" x14ac:dyDescent="0.25">
      <c r="G11157" t="s">
        <v>1001</v>
      </c>
      <c r="X11157" t="s">
        <v>4986</v>
      </c>
      <c r="AF11157" t="s">
        <v>9322</v>
      </c>
      <c r="AT11157" t="s">
        <v>9940</v>
      </c>
      <c r="BJ11157" t="s">
        <v>9941</v>
      </c>
      <c r="BW11157" t="s">
        <v>10064</v>
      </c>
    </row>
    <row r="11159" spans="7:75" x14ac:dyDescent="0.25">
      <c r="G11159" t="s">
        <v>10778</v>
      </c>
    </row>
    <row r="11161" spans="7:75" x14ac:dyDescent="0.25">
      <c r="G11161" t="s">
        <v>5025</v>
      </c>
      <c r="AF11161" t="s">
        <v>9938</v>
      </c>
      <c r="AY11161" t="s">
        <v>10083</v>
      </c>
      <c r="BT11161" t="s">
        <v>10084</v>
      </c>
    </row>
    <row r="11162" spans="7:75" x14ac:dyDescent="0.25">
      <c r="G11162" t="s">
        <v>8937</v>
      </c>
      <c r="X11162" t="s">
        <v>2424</v>
      </c>
      <c r="AF11162">
        <v>10</v>
      </c>
      <c r="AY11162">
        <v>12.5</v>
      </c>
      <c r="BT11162">
        <v>14</v>
      </c>
    </row>
    <row r="11163" spans="7:75" x14ac:dyDescent="0.25">
      <c r="G11163" t="s">
        <v>8957</v>
      </c>
      <c r="X11163" t="s">
        <v>2424</v>
      </c>
      <c r="AF11163">
        <v>11.2</v>
      </c>
      <c r="AY11163">
        <v>14</v>
      </c>
      <c r="BT11163">
        <v>16</v>
      </c>
    </row>
    <row r="11164" spans="7:75" x14ac:dyDescent="0.25">
      <c r="G11164" t="s">
        <v>8996</v>
      </c>
      <c r="X11164" t="s">
        <v>2427</v>
      </c>
      <c r="AF11164">
        <v>49</v>
      </c>
      <c r="AY11164">
        <v>51</v>
      </c>
      <c r="BT11164">
        <v>51</v>
      </c>
    </row>
    <row r="11165" spans="7:75" x14ac:dyDescent="0.25">
      <c r="G11165" t="s">
        <v>8996</v>
      </c>
      <c r="X11165" t="s">
        <v>2427</v>
      </c>
      <c r="AF11165">
        <v>50</v>
      </c>
      <c r="AY11165">
        <v>52</v>
      </c>
      <c r="BT11165">
        <v>53</v>
      </c>
    </row>
    <row r="11166" spans="7:75" x14ac:dyDescent="0.25">
      <c r="G11166" t="s">
        <v>2435</v>
      </c>
      <c r="X11166" t="s">
        <v>2436</v>
      </c>
      <c r="AF11166" t="s">
        <v>2437</v>
      </c>
      <c r="AY11166" t="s">
        <v>2437</v>
      </c>
      <c r="BT11166" t="s">
        <v>2437</v>
      </c>
    </row>
    <row r="11167" spans="7:75" x14ac:dyDescent="0.25">
      <c r="G11167" t="s">
        <v>9030</v>
      </c>
      <c r="X11167" t="s">
        <v>2436</v>
      </c>
      <c r="AF11167" t="s">
        <v>9028</v>
      </c>
      <c r="AY11167" t="s">
        <v>9028</v>
      </c>
      <c r="BT11167" t="s">
        <v>9028</v>
      </c>
    </row>
    <row r="11168" spans="7:75" x14ac:dyDescent="0.25">
      <c r="G11168" t="s">
        <v>9032</v>
      </c>
      <c r="X11168" t="s">
        <v>551</v>
      </c>
      <c r="AF11168">
        <v>5</v>
      </c>
      <c r="AY11168">
        <v>5</v>
      </c>
      <c r="BT11168">
        <v>5</v>
      </c>
    </row>
    <row r="11169" spans="1:72" x14ac:dyDescent="0.25">
      <c r="G11169" t="s">
        <v>9033</v>
      </c>
      <c r="X11169" t="s">
        <v>551</v>
      </c>
      <c r="AF11169">
        <v>75</v>
      </c>
      <c r="AY11169">
        <v>75</v>
      </c>
      <c r="BT11169">
        <v>75</v>
      </c>
    </row>
    <row r="11170" spans="1:72" x14ac:dyDescent="0.25">
      <c r="G11170" t="s">
        <v>9034</v>
      </c>
      <c r="X11170" t="s">
        <v>551</v>
      </c>
      <c r="AF11170">
        <v>30</v>
      </c>
      <c r="AY11170">
        <v>30</v>
      </c>
      <c r="BT11170">
        <v>30</v>
      </c>
    </row>
    <row r="11171" spans="1:72" x14ac:dyDescent="0.25">
      <c r="G11171" t="s">
        <v>9035</v>
      </c>
      <c r="AF11171" t="s">
        <v>9037</v>
      </c>
      <c r="AY11171" t="s">
        <v>9037</v>
      </c>
      <c r="BT11171" t="s">
        <v>9037</v>
      </c>
    </row>
    <row r="11172" spans="1:72" x14ac:dyDescent="0.25">
      <c r="G11172" t="s">
        <v>8975</v>
      </c>
      <c r="X11172" t="s">
        <v>2442</v>
      </c>
      <c r="AF11172" t="s">
        <v>4910</v>
      </c>
      <c r="AY11172" t="s">
        <v>4910</v>
      </c>
      <c r="BT11172" t="s">
        <v>4910</v>
      </c>
    </row>
    <row r="11173" spans="1:72" x14ac:dyDescent="0.25">
      <c r="G11173" t="s">
        <v>4982</v>
      </c>
      <c r="X11173" t="s">
        <v>4911</v>
      </c>
      <c r="AF11173" t="s">
        <v>4917</v>
      </c>
      <c r="AY11173" t="s">
        <v>4917</v>
      </c>
      <c r="BT11173" t="s">
        <v>4917</v>
      </c>
    </row>
    <row r="11174" spans="1:72" x14ac:dyDescent="0.25">
      <c r="G11174" t="s">
        <v>4983</v>
      </c>
      <c r="AF11174" t="s">
        <v>2440</v>
      </c>
      <c r="AY11174" t="s">
        <v>2440</v>
      </c>
      <c r="BT11174" t="s">
        <v>2440</v>
      </c>
    </row>
    <row r="11175" spans="1:72" x14ac:dyDescent="0.25">
      <c r="G11175" t="s">
        <v>9038</v>
      </c>
      <c r="X11175" t="s">
        <v>713</v>
      </c>
      <c r="AF11175">
        <v>2.6</v>
      </c>
      <c r="AY11175">
        <v>2.6</v>
      </c>
      <c r="BT11175">
        <v>2.6</v>
      </c>
    </row>
    <row r="11176" spans="1:72" x14ac:dyDescent="0.25">
      <c r="G11176" t="s">
        <v>4984</v>
      </c>
      <c r="X11176" t="s">
        <v>2433</v>
      </c>
      <c r="AF11176" t="s">
        <v>5071</v>
      </c>
      <c r="AY11176" t="s">
        <v>5071</v>
      </c>
      <c r="BT11176" t="s">
        <v>5071</v>
      </c>
    </row>
    <row r="11177" spans="1:72" x14ac:dyDescent="0.25">
      <c r="G11177" t="s">
        <v>9010</v>
      </c>
      <c r="X11177" t="s">
        <v>713</v>
      </c>
      <c r="AF11177">
        <v>95</v>
      </c>
      <c r="AY11177">
        <v>95</v>
      </c>
      <c r="BT11177">
        <v>95</v>
      </c>
    </row>
    <row r="11178" spans="1:72" x14ac:dyDescent="0.25">
      <c r="G11178" t="s">
        <v>1001</v>
      </c>
      <c r="X11178" t="s">
        <v>4986</v>
      </c>
      <c r="AF11178" t="s">
        <v>9942</v>
      </c>
      <c r="AY11178" t="s">
        <v>10085</v>
      </c>
      <c r="BT11178" t="s">
        <v>5109</v>
      </c>
    </row>
    <row r="11179" spans="1:72" x14ac:dyDescent="0.25">
      <c r="A11179" t="s">
        <v>10779</v>
      </c>
    </row>
    <row r="11182" spans="1:72" x14ac:dyDescent="0.25">
      <c r="A11182" t="s">
        <v>10780</v>
      </c>
    </row>
    <row r="11184" spans="1:72" x14ac:dyDescent="0.25">
      <c r="A11184" t="s">
        <v>10781</v>
      </c>
    </row>
    <row r="11186" spans="1:93" x14ac:dyDescent="0.25">
      <c r="A11186" t="s">
        <v>10782</v>
      </c>
    </row>
    <row r="11187" spans="1:93" x14ac:dyDescent="0.25">
      <c r="G11187" t="s">
        <v>5025</v>
      </c>
      <c r="AF11187" t="s">
        <v>10569</v>
      </c>
      <c r="BJ11187" t="s">
        <v>10570</v>
      </c>
    </row>
    <row r="11188" spans="1:93" x14ac:dyDescent="0.25">
      <c r="G11188" t="s">
        <v>8937</v>
      </c>
      <c r="X11188" t="s">
        <v>2424</v>
      </c>
      <c r="AF11188">
        <v>19</v>
      </c>
      <c r="BJ11188">
        <v>22.5</v>
      </c>
    </row>
    <row r="11189" spans="1:93" x14ac:dyDescent="0.25">
      <c r="G11189" t="s">
        <v>8957</v>
      </c>
      <c r="X11189" t="s">
        <v>2424</v>
      </c>
      <c r="AF11189">
        <v>22.4</v>
      </c>
      <c r="BJ11189">
        <v>27</v>
      </c>
    </row>
    <row r="11190" spans="1:93" x14ac:dyDescent="0.25">
      <c r="G11190" t="s">
        <v>8996</v>
      </c>
      <c r="X11190" t="s">
        <v>2427</v>
      </c>
      <c r="AF11190">
        <v>58</v>
      </c>
      <c r="BJ11190">
        <v>61</v>
      </c>
    </row>
    <row r="11191" spans="1:93" x14ac:dyDescent="0.25">
      <c r="G11191" t="s">
        <v>8996</v>
      </c>
      <c r="X11191" t="s">
        <v>2427</v>
      </c>
      <c r="AF11191">
        <v>60</v>
      </c>
      <c r="BJ11191">
        <v>63</v>
      </c>
    </row>
    <row r="11192" spans="1:93" x14ac:dyDescent="0.25">
      <c r="G11192" t="s">
        <v>2435</v>
      </c>
      <c r="X11192" t="s">
        <v>2436</v>
      </c>
      <c r="AF11192" t="s">
        <v>10571</v>
      </c>
      <c r="BJ11192" t="s">
        <v>10571</v>
      </c>
    </row>
    <row r="11193" spans="1:93" x14ac:dyDescent="0.25">
      <c r="G11193" t="s">
        <v>9030</v>
      </c>
      <c r="X11193" t="s">
        <v>2436</v>
      </c>
      <c r="AF11193" t="s">
        <v>9029</v>
      </c>
      <c r="BJ11193" t="s">
        <v>9029</v>
      </c>
    </row>
    <row r="11194" spans="1:93" x14ac:dyDescent="0.25">
      <c r="G11194" t="s">
        <v>9032</v>
      </c>
      <c r="X11194" t="s">
        <v>551</v>
      </c>
      <c r="AF11194">
        <v>5</v>
      </c>
      <c r="BJ11194">
        <v>5</v>
      </c>
    </row>
    <row r="11195" spans="1:93" x14ac:dyDescent="0.25">
      <c r="G11195" t="s">
        <v>9033</v>
      </c>
      <c r="X11195" t="s">
        <v>551</v>
      </c>
      <c r="AF11195">
        <v>100</v>
      </c>
      <c r="BJ11195">
        <v>100</v>
      </c>
    </row>
    <row r="11196" spans="1:93" x14ac:dyDescent="0.25">
      <c r="G11196" t="s">
        <v>9034</v>
      </c>
      <c r="X11196" t="s">
        <v>551</v>
      </c>
      <c r="AF11196">
        <v>30</v>
      </c>
      <c r="BJ11196">
        <v>30</v>
      </c>
    </row>
    <row r="11197" spans="1:93" x14ac:dyDescent="0.25">
      <c r="G11197" t="s">
        <v>9035</v>
      </c>
      <c r="AF11197" t="s">
        <v>9037</v>
      </c>
      <c r="BJ11197" t="s">
        <v>9037</v>
      </c>
    </row>
    <row r="11198" spans="1:93" x14ac:dyDescent="0.25">
      <c r="G11198" t="s">
        <v>8975</v>
      </c>
      <c r="X11198" t="s">
        <v>2442</v>
      </c>
      <c r="AF11198" t="s">
        <v>4910</v>
      </c>
      <c r="BJ11198" t="s">
        <v>4910</v>
      </c>
    </row>
    <row r="11199" spans="1:93" x14ac:dyDescent="0.25">
      <c r="G11199" t="s">
        <v>4982</v>
      </c>
      <c r="X11199" t="s">
        <v>4911</v>
      </c>
      <c r="AF11199" t="s">
        <v>10557</v>
      </c>
      <c r="BJ11199" t="s">
        <v>10558</v>
      </c>
    </row>
    <row r="11200" spans="1:93" x14ac:dyDescent="0.25">
      <c r="CO11200" t="s">
        <v>9773</v>
      </c>
    </row>
    <row r="11201" spans="1:82" x14ac:dyDescent="0.25">
      <c r="G11201" t="s">
        <v>4983</v>
      </c>
      <c r="AF11201" t="s">
        <v>2440</v>
      </c>
      <c r="BJ11201" t="s">
        <v>2440</v>
      </c>
    </row>
    <row r="11202" spans="1:82" x14ac:dyDescent="0.25">
      <c r="G11202" t="s">
        <v>9038</v>
      </c>
      <c r="X11202" t="s">
        <v>713</v>
      </c>
      <c r="AF11202">
        <v>5</v>
      </c>
      <c r="BJ11202">
        <v>5</v>
      </c>
    </row>
    <row r="11203" spans="1:82" x14ac:dyDescent="0.25">
      <c r="G11203" t="s">
        <v>4984</v>
      </c>
      <c r="X11203" t="s">
        <v>2433</v>
      </c>
      <c r="AF11203" t="s">
        <v>9939</v>
      </c>
      <c r="BJ11203" t="s">
        <v>9939</v>
      </c>
    </row>
    <row r="11204" spans="1:82" x14ac:dyDescent="0.25">
      <c r="G11204" t="s">
        <v>9010</v>
      </c>
      <c r="X11204" t="s">
        <v>713</v>
      </c>
      <c r="AF11204">
        <v>142</v>
      </c>
      <c r="BJ11204">
        <v>142</v>
      </c>
    </row>
    <row r="11205" spans="1:82" x14ac:dyDescent="0.25">
      <c r="G11205" t="s">
        <v>1001</v>
      </c>
      <c r="X11205" t="s">
        <v>4986</v>
      </c>
      <c r="AF11205" t="s">
        <v>10572</v>
      </c>
      <c r="BJ11205" t="s">
        <v>10573</v>
      </c>
    </row>
    <row r="11207" spans="1:82" x14ac:dyDescent="0.25">
      <c r="A11207" t="s">
        <v>9634</v>
      </c>
    </row>
    <row r="11208" spans="1:82" x14ac:dyDescent="0.25">
      <c r="G11208" t="s">
        <v>10783</v>
      </c>
    </row>
    <row r="11209" spans="1:82" x14ac:dyDescent="0.25">
      <c r="A11209" t="s">
        <v>10784</v>
      </c>
    </row>
    <row r="11210" spans="1:82" x14ac:dyDescent="0.25">
      <c r="G11210" t="s">
        <v>9831</v>
      </c>
      <c r="R11210">
        <v>5</v>
      </c>
      <c r="Z11210">
        <v>20</v>
      </c>
      <c r="AH11210" t="s">
        <v>3756</v>
      </c>
      <c r="AP11210">
        <v>20</v>
      </c>
      <c r="AZ11210" t="s">
        <v>9029</v>
      </c>
      <c r="BJ11210" t="s">
        <v>9031</v>
      </c>
      <c r="BT11210">
        <v>0.9</v>
      </c>
      <c r="CD11210">
        <v>20</v>
      </c>
    </row>
    <row r="11211" spans="1:82" x14ac:dyDescent="0.25">
      <c r="G11211" t="s">
        <v>9832</v>
      </c>
      <c r="R11211">
        <v>5</v>
      </c>
      <c r="Z11211">
        <v>30</v>
      </c>
      <c r="AH11211" t="s">
        <v>3756</v>
      </c>
      <c r="AP11211">
        <v>20</v>
      </c>
      <c r="AZ11211" t="s">
        <v>2437</v>
      </c>
      <c r="BJ11211" t="s">
        <v>9028</v>
      </c>
      <c r="BT11211">
        <v>1.4</v>
      </c>
      <c r="CD11211">
        <v>35</v>
      </c>
    </row>
    <row r="11212" spans="1:82" x14ac:dyDescent="0.25">
      <c r="G11212" t="s">
        <v>9833</v>
      </c>
      <c r="R11212">
        <v>5</v>
      </c>
      <c r="Z11212">
        <v>30</v>
      </c>
      <c r="AH11212" t="s">
        <v>5240</v>
      </c>
      <c r="AP11212">
        <v>30</v>
      </c>
      <c r="AZ11212" t="s">
        <v>2437</v>
      </c>
      <c r="BJ11212" t="s">
        <v>9028</v>
      </c>
      <c r="BT11212">
        <v>1.7</v>
      </c>
      <c r="CD11212">
        <v>35</v>
      </c>
    </row>
    <row r="11213" spans="1:82" x14ac:dyDescent="0.25">
      <c r="G11213" t="s">
        <v>10222</v>
      </c>
      <c r="R11213">
        <v>5</v>
      </c>
      <c r="Z11213">
        <v>30</v>
      </c>
      <c r="AH11213" t="s">
        <v>5240</v>
      </c>
      <c r="AP11213">
        <v>30</v>
      </c>
      <c r="AZ11213" t="s">
        <v>2437</v>
      </c>
      <c r="BJ11213" t="s">
        <v>9028</v>
      </c>
      <c r="BT11213">
        <v>1.9</v>
      </c>
      <c r="CD11213">
        <v>35</v>
      </c>
    </row>
    <row r="11214" spans="1:82" x14ac:dyDescent="0.25">
      <c r="G11214" t="s">
        <v>10223</v>
      </c>
      <c r="R11214">
        <v>5</v>
      </c>
      <c r="Z11214">
        <v>30</v>
      </c>
      <c r="AH11214" t="s">
        <v>5240</v>
      </c>
      <c r="AP11214">
        <v>30</v>
      </c>
      <c r="AZ11214" t="s">
        <v>2437</v>
      </c>
      <c r="BJ11214" t="s">
        <v>9028</v>
      </c>
      <c r="BT11214">
        <v>2.2000000000000002</v>
      </c>
      <c r="CD11214">
        <v>35</v>
      </c>
    </row>
    <row r="11215" spans="1:82" x14ac:dyDescent="0.25">
      <c r="A11215" t="s">
        <v>10785</v>
      </c>
    </row>
    <row r="11216" spans="1:82" x14ac:dyDescent="0.25">
      <c r="G11216" t="s">
        <v>9834</v>
      </c>
      <c r="R11216">
        <v>5</v>
      </c>
      <c r="Z11216">
        <v>30</v>
      </c>
      <c r="AH11216" t="s">
        <v>5240</v>
      </c>
      <c r="AP11216">
        <v>30</v>
      </c>
      <c r="AZ11216" t="s">
        <v>2437</v>
      </c>
      <c r="BJ11216" t="s">
        <v>9028</v>
      </c>
      <c r="BT11216">
        <v>1.7</v>
      </c>
      <c r="CD11216">
        <v>35</v>
      </c>
    </row>
    <row r="11217" spans="1:82" x14ac:dyDescent="0.25">
      <c r="G11217" t="s">
        <v>10245</v>
      </c>
      <c r="R11217">
        <v>5</v>
      </c>
      <c r="Z11217">
        <v>30</v>
      </c>
      <c r="AH11217" t="s">
        <v>5240</v>
      </c>
      <c r="AP11217">
        <v>30</v>
      </c>
      <c r="AZ11217" t="s">
        <v>2437</v>
      </c>
      <c r="BJ11217" t="s">
        <v>9028</v>
      </c>
      <c r="BT11217">
        <v>1.9</v>
      </c>
      <c r="CD11217">
        <v>35</v>
      </c>
    </row>
    <row r="11218" spans="1:82" x14ac:dyDescent="0.25">
      <c r="G11218" t="s">
        <v>10246</v>
      </c>
      <c r="R11218">
        <v>5</v>
      </c>
      <c r="Z11218">
        <v>30</v>
      </c>
      <c r="AH11218" t="s">
        <v>5240</v>
      </c>
      <c r="AP11218">
        <v>30</v>
      </c>
      <c r="AZ11218" t="s">
        <v>2437</v>
      </c>
      <c r="BJ11218" t="s">
        <v>9028</v>
      </c>
      <c r="BT11218">
        <v>2.2000000000000002</v>
      </c>
      <c r="CD11218">
        <v>35</v>
      </c>
    </row>
    <row r="11219" spans="1:82" x14ac:dyDescent="0.25">
      <c r="A11219" t="s">
        <v>10786</v>
      </c>
    </row>
    <row r="11220" spans="1:82" x14ac:dyDescent="0.25">
      <c r="G11220" t="s">
        <v>9895</v>
      </c>
      <c r="R11220">
        <v>2</v>
      </c>
      <c r="Z11220">
        <v>20</v>
      </c>
      <c r="AH11220" t="s">
        <v>5280</v>
      </c>
      <c r="AP11220">
        <v>10</v>
      </c>
      <c r="AZ11220" t="s">
        <v>9028</v>
      </c>
      <c r="BJ11220" t="s">
        <v>9031</v>
      </c>
      <c r="BT11220">
        <v>0.6</v>
      </c>
      <c r="CD11220">
        <v>20</v>
      </c>
    </row>
    <row r="11221" spans="1:82" x14ac:dyDescent="0.25">
      <c r="G11221" t="s">
        <v>9896</v>
      </c>
      <c r="R11221">
        <v>2</v>
      </c>
      <c r="Z11221">
        <v>20</v>
      </c>
      <c r="AH11221" t="s">
        <v>5280</v>
      </c>
      <c r="AP11221">
        <v>10</v>
      </c>
      <c r="AZ11221" t="s">
        <v>9029</v>
      </c>
      <c r="BJ11221" t="s">
        <v>9031</v>
      </c>
      <c r="BT11221">
        <v>0.9</v>
      </c>
      <c r="CD11221">
        <v>20</v>
      </c>
    </row>
    <row r="11222" spans="1:82" x14ac:dyDescent="0.25">
      <c r="G11222" t="s">
        <v>9897</v>
      </c>
      <c r="R11222">
        <v>5</v>
      </c>
      <c r="Z11222">
        <v>30</v>
      </c>
      <c r="AH11222" t="s">
        <v>3756</v>
      </c>
      <c r="AP11222">
        <v>30</v>
      </c>
      <c r="AZ11222" t="s">
        <v>9029</v>
      </c>
      <c r="BJ11222" t="s">
        <v>9031</v>
      </c>
      <c r="BT11222">
        <v>0.9</v>
      </c>
      <c r="CD11222">
        <v>20</v>
      </c>
    </row>
    <row r="11223" spans="1:82" x14ac:dyDescent="0.25">
      <c r="G11223" t="s">
        <v>9898</v>
      </c>
      <c r="R11223">
        <v>5</v>
      </c>
      <c r="Z11223">
        <v>50</v>
      </c>
      <c r="AH11223" t="s">
        <v>3756</v>
      </c>
      <c r="AP11223">
        <v>30</v>
      </c>
      <c r="AZ11223" t="s">
        <v>2437</v>
      </c>
      <c r="BJ11223" t="s">
        <v>9028</v>
      </c>
      <c r="BT11223">
        <v>1.3</v>
      </c>
      <c r="CD11223">
        <v>35</v>
      </c>
    </row>
    <row r="11224" spans="1:82" x14ac:dyDescent="0.25">
      <c r="G11224" t="s">
        <v>9899</v>
      </c>
      <c r="R11224">
        <v>5</v>
      </c>
      <c r="Z11224">
        <v>50</v>
      </c>
      <c r="AH11224" t="s">
        <v>3756</v>
      </c>
      <c r="AP11224">
        <v>30</v>
      </c>
      <c r="AZ11224" t="s">
        <v>2437</v>
      </c>
      <c r="BJ11224" t="s">
        <v>9028</v>
      </c>
      <c r="BT11224">
        <v>2</v>
      </c>
      <c r="CD11224">
        <v>35</v>
      </c>
    </row>
    <row r="11225" spans="1:82" x14ac:dyDescent="0.25">
      <c r="G11225" t="s">
        <v>9900</v>
      </c>
      <c r="R11225">
        <v>5</v>
      </c>
      <c r="Z11225">
        <v>50</v>
      </c>
      <c r="AH11225" t="s">
        <v>5240</v>
      </c>
      <c r="AP11225">
        <v>30</v>
      </c>
      <c r="AZ11225" t="s">
        <v>2437</v>
      </c>
      <c r="BJ11225" t="s">
        <v>9028</v>
      </c>
      <c r="BT11225">
        <v>2.1</v>
      </c>
      <c r="CD11225">
        <v>35</v>
      </c>
    </row>
    <row r="11226" spans="1:82" x14ac:dyDescent="0.25">
      <c r="A11226" t="s">
        <v>9773</v>
      </c>
      <c r="G11226" t="s">
        <v>10000</v>
      </c>
      <c r="R11226">
        <v>5</v>
      </c>
      <c r="Z11226">
        <v>50</v>
      </c>
      <c r="AH11226" t="s">
        <v>5240</v>
      </c>
      <c r="AP11226">
        <v>30</v>
      </c>
      <c r="AZ11226" t="s">
        <v>2437</v>
      </c>
      <c r="BJ11226" t="s">
        <v>9028</v>
      </c>
      <c r="BT11226">
        <v>2.1</v>
      </c>
      <c r="CD11226">
        <v>35</v>
      </c>
    </row>
    <row r="11227" spans="1:82" x14ac:dyDescent="0.25">
      <c r="G11227" t="s">
        <v>10001</v>
      </c>
      <c r="R11227">
        <v>5</v>
      </c>
      <c r="Z11227">
        <v>50</v>
      </c>
      <c r="AH11227" t="s">
        <v>5240</v>
      </c>
      <c r="AP11227">
        <v>30</v>
      </c>
      <c r="AZ11227" t="s">
        <v>2437</v>
      </c>
      <c r="BJ11227" t="s">
        <v>9028</v>
      </c>
      <c r="BT11227">
        <v>2.4</v>
      </c>
      <c r="CD11227">
        <v>35</v>
      </c>
    </row>
    <row r="11229" spans="1:82" x14ac:dyDescent="0.25">
      <c r="G11229" t="s">
        <v>10787</v>
      </c>
    </row>
    <row r="11231" spans="1:82" x14ac:dyDescent="0.25">
      <c r="G11231" t="s">
        <v>9901</v>
      </c>
      <c r="R11231">
        <v>5</v>
      </c>
      <c r="Z11231">
        <v>50</v>
      </c>
      <c r="AH11231" t="s">
        <v>5240</v>
      </c>
      <c r="AP11231">
        <v>30</v>
      </c>
      <c r="AZ11231" t="s">
        <v>2437</v>
      </c>
      <c r="BJ11231" t="s">
        <v>9028</v>
      </c>
      <c r="BT11231">
        <v>2.1</v>
      </c>
      <c r="CD11231">
        <v>35</v>
      </c>
    </row>
    <row r="11232" spans="1:82" x14ac:dyDescent="0.25">
      <c r="G11232" t="s">
        <v>10020</v>
      </c>
      <c r="R11232">
        <v>5</v>
      </c>
      <c r="Z11232">
        <v>50</v>
      </c>
      <c r="AH11232" t="s">
        <v>5240</v>
      </c>
      <c r="AP11232">
        <v>30</v>
      </c>
      <c r="AZ11232" t="s">
        <v>2437</v>
      </c>
      <c r="BJ11232" t="s">
        <v>9028</v>
      </c>
      <c r="BT11232">
        <v>2.1</v>
      </c>
      <c r="CD11232">
        <v>35</v>
      </c>
    </row>
    <row r="11233" spans="1:82" x14ac:dyDescent="0.25">
      <c r="G11233" t="s">
        <v>10021</v>
      </c>
      <c r="R11233">
        <v>5</v>
      </c>
      <c r="Z11233">
        <v>50</v>
      </c>
      <c r="AH11233" t="s">
        <v>5240</v>
      </c>
      <c r="AP11233">
        <v>30</v>
      </c>
      <c r="AZ11233" t="s">
        <v>2437</v>
      </c>
      <c r="BJ11233" t="s">
        <v>9028</v>
      </c>
      <c r="BT11233">
        <v>2.4</v>
      </c>
      <c r="CD11233">
        <v>35</v>
      </c>
    </row>
    <row r="11235" spans="1:82" x14ac:dyDescent="0.25">
      <c r="G11235" t="s">
        <v>10788</v>
      </c>
    </row>
    <row r="11237" spans="1:82" x14ac:dyDescent="0.25">
      <c r="G11237" t="s">
        <v>9935</v>
      </c>
      <c r="R11237">
        <v>5</v>
      </c>
      <c r="Z11237">
        <v>50</v>
      </c>
      <c r="AH11237" t="s">
        <v>3756</v>
      </c>
      <c r="AP11237">
        <v>30</v>
      </c>
      <c r="AZ11237" t="s">
        <v>9029</v>
      </c>
      <c r="BJ11237" t="s">
        <v>9031</v>
      </c>
      <c r="BT11237">
        <v>1.35</v>
      </c>
      <c r="CD11237">
        <v>20</v>
      </c>
    </row>
    <row r="11238" spans="1:82" x14ac:dyDescent="0.25">
      <c r="G11238" t="s">
        <v>9936</v>
      </c>
      <c r="R11238">
        <v>5</v>
      </c>
      <c r="Z11238">
        <v>50</v>
      </c>
      <c r="AH11238" t="s">
        <v>5240</v>
      </c>
      <c r="AP11238">
        <v>30</v>
      </c>
      <c r="AZ11238" t="s">
        <v>2437</v>
      </c>
      <c r="BJ11238" t="s">
        <v>9028</v>
      </c>
      <c r="BT11238">
        <v>1.9</v>
      </c>
      <c r="CD11238">
        <v>35</v>
      </c>
    </row>
    <row r="11239" spans="1:82" x14ac:dyDescent="0.25">
      <c r="G11239" t="s">
        <v>9937</v>
      </c>
      <c r="R11239">
        <v>5</v>
      </c>
      <c r="Z11239">
        <v>75</v>
      </c>
      <c r="AH11239" t="s">
        <v>5240</v>
      </c>
      <c r="AP11239">
        <v>30</v>
      </c>
      <c r="AZ11239" t="s">
        <v>2437</v>
      </c>
      <c r="BJ11239" t="s">
        <v>9028</v>
      </c>
      <c r="BT11239">
        <v>3.1</v>
      </c>
      <c r="CD11239">
        <v>35</v>
      </c>
    </row>
    <row r="11240" spans="1:82" x14ac:dyDescent="0.25">
      <c r="G11240" t="s">
        <v>10060</v>
      </c>
      <c r="R11240">
        <v>3</v>
      </c>
      <c r="Z11240">
        <v>75</v>
      </c>
      <c r="AH11240" t="s">
        <v>5240</v>
      </c>
      <c r="AP11240">
        <v>30</v>
      </c>
      <c r="AZ11240" t="s">
        <v>2437</v>
      </c>
      <c r="BJ11240" t="s">
        <v>9028</v>
      </c>
      <c r="BT11240">
        <v>3.1</v>
      </c>
      <c r="CD11240">
        <v>35</v>
      </c>
    </row>
    <row r="11242" spans="1:82" x14ac:dyDescent="0.25">
      <c r="G11242" t="s">
        <v>10789</v>
      </c>
    </row>
    <row r="11244" spans="1:82" x14ac:dyDescent="0.25">
      <c r="G11244" t="s">
        <v>9938</v>
      </c>
      <c r="R11244">
        <v>5</v>
      </c>
      <c r="Z11244">
        <v>75</v>
      </c>
      <c r="AH11244" t="s">
        <v>5240</v>
      </c>
      <c r="AP11244">
        <v>30</v>
      </c>
      <c r="AZ11244" t="s">
        <v>2437</v>
      </c>
      <c r="BJ11244" t="s">
        <v>9028</v>
      </c>
      <c r="BT11244">
        <v>2.6</v>
      </c>
      <c r="CD11244">
        <v>40</v>
      </c>
    </row>
    <row r="11245" spans="1:82" x14ac:dyDescent="0.25">
      <c r="G11245" t="s">
        <v>10083</v>
      </c>
      <c r="R11245">
        <v>5</v>
      </c>
      <c r="Z11245">
        <v>75</v>
      </c>
      <c r="AH11245" t="s">
        <v>5240</v>
      </c>
      <c r="AP11245">
        <v>30</v>
      </c>
      <c r="AZ11245" t="s">
        <v>2437</v>
      </c>
      <c r="BJ11245" t="s">
        <v>9028</v>
      </c>
      <c r="BT11245">
        <v>2.6</v>
      </c>
      <c r="CD11245">
        <v>40</v>
      </c>
    </row>
    <row r="11246" spans="1:82" x14ac:dyDescent="0.25">
      <c r="G11246" t="s">
        <v>10084</v>
      </c>
      <c r="R11246">
        <v>5</v>
      </c>
      <c r="Z11246">
        <v>75</v>
      </c>
      <c r="AH11246" t="s">
        <v>5240</v>
      </c>
      <c r="AP11246">
        <v>30</v>
      </c>
      <c r="AZ11246" t="s">
        <v>2437</v>
      </c>
      <c r="BJ11246" t="s">
        <v>9028</v>
      </c>
      <c r="BT11246">
        <v>2.6</v>
      </c>
      <c r="CD11246">
        <v>40</v>
      </c>
    </row>
    <row r="11248" spans="1:82" x14ac:dyDescent="0.25">
      <c r="A11248" t="s">
        <v>10790</v>
      </c>
    </row>
    <row r="11249" spans="1:82" x14ac:dyDescent="0.25">
      <c r="G11249" t="s">
        <v>10569</v>
      </c>
      <c r="R11249">
        <v>5</v>
      </c>
      <c r="Z11249">
        <v>100</v>
      </c>
      <c r="AH11249" t="s">
        <v>5240</v>
      </c>
      <c r="AP11249">
        <v>30</v>
      </c>
      <c r="AZ11249" t="s">
        <v>10571</v>
      </c>
      <c r="BJ11249" t="s">
        <v>9029</v>
      </c>
      <c r="BT11249">
        <v>5</v>
      </c>
      <c r="CD11249">
        <v>40</v>
      </c>
    </row>
    <row r="11250" spans="1:82" x14ac:dyDescent="0.25">
      <c r="G11250" t="s">
        <v>10570</v>
      </c>
      <c r="R11250">
        <v>5</v>
      </c>
      <c r="Z11250">
        <v>100</v>
      </c>
      <c r="AH11250" t="s">
        <v>5240</v>
      </c>
      <c r="AP11250">
        <v>30</v>
      </c>
      <c r="AZ11250" t="s">
        <v>10571</v>
      </c>
      <c r="BJ11250" t="s">
        <v>9029</v>
      </c>
      <c r="BT11250">
        <v>5</v>
      </c>
      <c r="CD11250">
        <v>80</v>
      </c>
    </row>
    <row r="11256" spans="1:82" x14ac:dyDescent="0.25">
      <c r="A11256" t="s">
        <v>9657</v>
      </c>
    </row>
    <row r="11257" spans="1:82" x14ac:dyDescent="0.25">
      <c r="G11257" t="s">
        <v>9658</v>
      </c>
    </row>
    <row r="11258" spans="1:82" x14ac:dyDescent="0.25">
      <c r="A11258" t="s">
        <v>10791</v>
      </c>
    </row>
    <row r="11259" spans="1:82" x14ac:dyDescent="0.25">
      <c r="G11259" t="s">
        <v>9831</v>
      </c>
      <c r="R11259">
        <v>15</v>
      </c>
      <c r="Z11259">
        <v>16</v>
      </c>
      <c r="AH11259" t="s">
        <v>10190</v>
      </c>
      <c r="AQ11259" t="s">
        <v>10195</v>
      </c>
      <c r="BB11259">
        <v>16</v>
      </c>
      <c r="BJ11259" t="s">
        <v>2443</v>
      </c>
      <c r="BT11259" t="s">
        <v>9672</v>
      </c>
      <c r="CC11259" t="s">
        <v>2439</v>
      </c>
    </row>
    <row r="11260" spans="1:82" x14ac:dyDescent="0.25">
      <c r="G11260" t="s">
        <v>9832</v>
      </c>
      <c r="R11260">
        <v>15</v>
      </c>
      <c r="Z11260">
        <v>16</v>
      </c>
      <c r="AH11260" t="s">
        <v>10418</v>
      </c>
      <c r="AQ11260" t="s">
        <v>10421</v>
      </c>
      <c r="BB11260">
        <v>16</v>
      </c>
      <c r="BJ11260" t="s">
        <v>2443</v>
      </c>
      <c r="BT11260" t="s">
        <v>9672</v>
      </c>
      <c r="CC11260" t="s">
        <v>2439</v>
      </c>
    </row>
    <row r="11261" spans="1:82" x14ac:dyDescent="0.25">
      <c r="G11261" t="s">
        <v>9833</v>
      </c>
      <c r="R11261" t="s">
        <v>2324</v>
      </c>
      <c r="Z11261" t="s">
        <v>2324</v>
      </c>
      <c r="AH11261" t="s">
        <v>10419</v>
      </c>
      <c r="AQ11261" t="s">
        <v>10236</v>
      </c>
      <c r="BB11261">
        <v>20</v>
      </c>
      <c r="BJ11261" t="s">
        <v>2443</v>
      </c>
      <c r="BT11261" t="s">
        <v>9672</v>
      </c>
      <c r="CC11261" t="s">
        <v>2439</v>
      </c>
    </row>
    <row r="11262" spans="1:82" x14ac:dyDescent="0.25">
      <c r="G11262" t="s">
        <v>10222</v>
      </c>
      <c r="R11262" t="s">
        <v>2324</v>
      </c>
      <c r="Z11262" t="s">
        <v>2324</v>
      </c>
      <c r="AH11262" t="s">
        <v>10420</v>
      </c>
      <c r="AQ11262" t="s">
        <v>10198</v>
      </c>
      <c r="BB11262">
        <v>25</v>
      </c>
      <c r="BJ11262" t="s">
        <v>2443</v>
      </c>
      <c r="BT11262" t="s">
        <v>9672</v>
      </c>
      <c r="CC11262" t="s">
        <v>2439</v>
      </c>
    </row>
    <row r="11263" spans="1:82" x14ac:dyDescent="0.25">
      <c r="G11263" t="s">
        <v>10223</v>
      </c>
      <c r="R11263" t="s">
        <v>2324</v>
      </c>
      <c r="Z11263" t="s">
        <v>2324</v>
      </c>
      <c r="AH11263" t="s">
        <v>10194</v>
      </c>
      <c r="AQ11263" t="s">
        <v>10422</v>
      </c>
      <c r="BB11263">
        <v>25</v>
      </c>
      <c r="BJ11263" t="s">
        <v>2443</v>
      </c>
      <c r="BT11263" t="s">
        <v>9672</v>
      </c>
      <c r="CC11263" t="s">
        <v>2439</v>
      </c>
    </row>
    <row r="11264" spans="1:82" x14ac:dyDescent="0.25">
      <c r="A11264" t="s">
        <v>10785</v>
      </c>
    </row>
    <row r="11265" spans="1:81" x14ac:dyDescent="0.25">
      <c r="G11265" t="s">
        <v>9834</v>
      </c>
      <c r="R11265" t="s">
        <v>2324</v>
      </c>
      <c r="Z11265" t="s">
        <v>2324</v>
      </c>
      <c r="AH11265" t="s">
        <v>10446</v>
      </c>
      <c r="AQ11265" t="s">
        <v>10448</v>
      </c>
      <c r="BJ11265" t="s">
        <v>4910</v>
      </c>
      <c r="BT11265" t="s">
        <v>4916</v>
      </c>
      <c r="CC11265" t="s">
        <v>2439</v>
      </c>
    </row>
    <row r="11266" spans="1:81" x14ac:dyDescent="0.25">
      <c r="G11266" t="s">
        <v>10245</v>
      </c>
      <c r="R11266" t="s">
        <v>2324</v>
      </c>
      <c r="Z11266" t="s">
        <v>2324</v>
      </c>
      <c r="AH11266" t="s">
        <v>10447</v>
      </c>
      <c r="AQ11266" t="s">
        <v>10237</v>
      </c>
      <c r="BJ11266" t="s">
        <v>4910</v>
      </c>
      <c r="BT11266" t="s">
        <v>4916</v>
      </c>
      <c r="CC11266" t="s">
        <v>2439</v>
      </c>
    </row>
    <row r="11267" spans="1:81" x14ac:dyDescent="0.25">
      <c r="G11267" t="s">
        <v>10246</v>
      </c>
      <c r="R11267" t="s">
        <v>2324</v>
      </c>
      <c r="Z11267" t="s">
        <v>2324</v>
      </c>
      <c r="AH11267" t="s">
        <v>10194</v>
      </c>
      <c r="AQ11267" t="s">
        <v>10422</v>
      </c>
      <c r="BJ11267" t="s">
        <v>4910</v>
      </c>
      <c r="BT11267" t="s">
        <v>4916</v>
      </c>
      <c r="CC11267" t="s">
        <v>2439</v>
      </c>
    </row>
    <row r="11268" spans="1:81" x14ac:dyDescent="0.25">
      <c r="A11268" t="s">
        <v>10786</v>
      </c>
    </row>
    <row r="11269" spans="1:81" x14ac:dyDescent="0.25">
      <c r="G11269" t="s">
        <v>9895</v>
      </c>
      <c r="R11269">
        <v>7.9</v>
      </c>
      <c r="Z11269">
        <v>2.7</v>
      </c>
      <c r="AH11269" t="s">
        <v>10352</v>
      </c>
      <c r="AQ11269" t="s">
        <v>10354</v>
      </c>
      <c r="BB11269">
        <v>10</v>
      </c>
      <c r="BJ11269" t="s">
        <v>2443</v>
      </c>
      <c r="BT11269" t="s">
        <v>2444</v>
      </c>
      <c r="CC11269" t="s">
        <v>2439</v>
      </c>
    </row>
    <row r="11270" spans="1:81" x14ac:dyDescent="0.25">
      <c r="G11270" t="s">
        <v>9896</v>
      </c>
      <c r="R11270">
        <v>9.1999999999999993</v>
      </c>
      <c r="Z11270">
        <v>4.4000000000000004</v>
      </c>
      <c r="AH11270" t="s">
        <v>10353</v>
      </c>
      <c r="AQ11270" t="s">
        <v>10355</v>
      </c>
      <c r="BB11270">
        <v>10</v>
      </c>
      <c r="BJ11270" t="s">
        <v>2443</v>
      </c>
      <c r="BT11270" t="s">
        <v>2444</v>
      </c>
      <c r="CC11270" t="s">
        <v>2439</v>
      </c>
    </row>
    <row r="11271" spans="1:81" x14ac:dyDescent="0.25">
      <c r="G11271" t="s">
        <v>9897</v>
      </c>
      <c r="R11271">
        <v>15</v>
      </c>
      <c r="Z11271">
        <v>8.5</v>
      </c>
      <c r="AH11271" t="s">
        <v>10792</v>
      </c>
      <c r="AQ11271" t="s">
        <v>10793</v>
      </c>
      <c r="BB11271">
        <v>16</v>
      </c>
      <c r="BJ11271" t="s">
        <v>2443</v>
      </c>
      <c r="BT11271" t="s">
        <v>9672</v>
      </c>
      <c r="CC11271" t="s">
        <v>2439</v>
      </c>
    </row>
    <row r="11272" spans="1:81" x14ac:dyDescent="0.25">
      <c r="G11272" t="s">
        <v>9898</v>
      </c>
      <c r="R11272">
        <v>16</v>
      </c>
      <c r="Z11272" t="s">
        <v>2324</v>
      </c>
      <c r="AH11272" t="s">
        <v>10794</v>
      </c>
      <c r="AQ11272" t="s">
        <v>10795</v>
      </c>
      <c r="BB11272">
        <v>16</v>
      </c>
      <c r="BJ11272" t="s">
        <v>2443</v>
      </c>
      <c r="BT11272" t="s">
        <v>9672</v>
      </c>
      <c r="CC11272" t="s">
        <v>2439</v>
      </c>
    </row>
    <row r="11273" spans="1:81" x14ac:dyDescent="0.25">
      <c r="G11273" t="s">
        <v>9899</v>
      </c>
      <c r="R11273">
        <v>16</v>
      </c>
      <c r="Z11273" t="s">
        <v>2324</v>
      </c>
      <c r="AH11273" t="s">
        <v>10796</v>
      </c>
      <c r="AQ11273" t="s">
        <v>10797</v>
      </c>
      <c r="BB11273">
        <v>16</v>
      </c>
      <c r="BJ11273" t="s">
        <v>2443</v>
      </c>
      <c r="BT11273" t="s">
        <v>9672</v>
      </c>
      <c r="CC11273" t="s">
        <v>2439</v>
      </c>
    </row>
    <row r="11274" spans="1:81" x14ac:dyDescent="0.25">
      <c r="G11274" t="s">
        <v>9900</v>
      </c>
      <c r="R11274">
        <v>22.5</v>
      </c>
      <c r="Z11274">
        <v>13.8</v>
      </c>
      <c r="AH11274" t="s">
        <v>10798</v>
      </c>
      <c r="AQ11274" t="s">
        <v>10799</v>
      </c>
      <c r="BB11274">
        <v>25</v>
      </c>
      <c r="BJ11274" t="s">
        <v>2443</v>
      </c>
      <c r="BT11274" t="s">
        <v>10800</v>
      </c>
      <c r="CC11274" t="s">
        <v>2439</v>
      </c>
    </row>
    <row r="11275" spans="1:81" x14ac:dyDescent="0.25">
      <c r="A11275" t="s">
        <v>9773</v>
      </c>
    </row>
    <row r="11276" spans="1:81" x14ac:dyDescent="0.25">
      <c r="G11276" t="s">
        <v>10000</v>
      </c>
      <c r="R11276">
        <v>23</v>
      </c>
      <c r="Z11276">
        <v>20.5</v>
      </c>
      <c r="AH11276" t="s">
        <v>10801</v>
      </c>
      <c r="AQ11276" t="s">
        <v>10802</v>
      </c>
      <c r="BB11276">
        <v>25</v>
      </c>
      <c r="BJ11276" t="s">
        <v>2443</v>
      </c>
      <c r="BT11276" t="s">
        <v>10800</v>
      </c>
      <c r="CC11276" t="s">
        <v>2439</v>
      </c>
    </row>
    <row r="11277" spans="1:81" x14ac:dyDescent="0.25">
      <c r="G11277" t="s">
        <v>10001</v>
      </c>
      <c r="R11277">
        <v>29.2</v>
      </c>
      <c r="Z11277" t="s">
        <v>2324</v>
      </c>
      <c r="AH11277" t="s">
        <v>10803</v>
      </c>
      <c r="AQ11277" t="s">
        <v>10804</v>
      </c>
      <c r="BB11277">
        <v>32</v>
      </c>
      <c r="BJ11277" t="s">
        <v>2443</v>
      </c>
      <c r="BT11277" t="s">
        <v>10800</v>
      </c>
      <c r="CC11277" t="s">
        <v>2439</v>
      </c>
    </row>
    <row r="11279" spans="1:81" x14ac:dyDescent="0.25">
      <c r="G11279" t="s">
        <v>10787</v>
      </c>
    </row>
    <row r="11281" spans="7:81" x14ac:dyDescent="0.25">
      <c r="G11281" t="s">
        <v>9901</v>
      </c>
      <c r="R11281" t="s">
        <v>10805</v>
      </c>
      <c r="Z11281" t="s">
        <v>10806</v>
      </c>
      <c r="AH11281" t="s">
        <v>10627</v>
      </c>
      <c r="AQ11281" t="s">
        <v>10630</v>
      </c>
      <c r="BJ11281" t="s">
        <v>4910</v>
      </c>
      <c r="BT11281" t="s">
        <v>4916</v>
      </c>
      <c r="CC11281" t="s">
        <v>2439</v>
      </c>
    </row>
    <row r="11282" spans="7:81" x14ac:dyDescent="0.25">
      <c r="G11282" t="s">
        <v>10020</v>
      </c>
      <c r="R11282" t="s">
        <v>10807</v>
      </c>
      <c r="Z11282" t="s">
        <v>10808</v>
      </c>
      <c r="AH11282" t="s">
        <v>10628</v>
      </c>
      <c r="AQ11282" t="s">
        <v>10631</v>
      </c>
      <c r="BJ11282" t="s">
        <v>4910</v>
      </c>
      <c r="BT11282" t="s">
        <v>4916</v>
      </c>
      <c r="CC11282" t="s">
        <v>2439</v>
      </c>
    </row>
    <row r="11283" spans="7:81" x14ac:dyDescent="0.25">
      <c r="G11283" t="s">
        <v>10021</v>
      </c>
      <c r="R11283" t="s">
        <v>10809</v>
      </c>
      <c r="Z11283" t="s">
        <v>2324</v>
      </c>
      <c r="AH11283" t="s">
        <v>10629</v>
      </c>
      <c r="AQ11283" t="s">
        <v>10632</v>
      </c>
      <c r="BJ11283" t="s">
        <v>4910</v>
      </c>
      <c r="BT11283" t="s">
        <v>4916</v>
      </c>
      <c r="CC11283" t="s">
        <v>2439</v>
      </c>
    </row>
    <row r="11285" spans="7:81" x14ac:dyDescent="0.25">
      <c r="G11285" t="s">
        <v>10788</v>
      </c>
    </row>
    <row r="11287" spans="7:81" x14ac:dyDescent="0.25">
      <c r="G11287" t="s">
        <v>9935</v>
      </c>
      <c r="R11287">
        <v>13.1</v>
      </c>
      <c r="Z11287">
        <v>7.1</v>
      </c>
      <c r="AH11287" t="s">
        <v>10810</v>
      </c>
      <c r="AQ11287" t="s">
        <v>10811</v>
      </c>
      <c r="BB11287">
        <v>16</v>
      </c>
      <c r="BJ11287" t="s">
        <v>2443</v>
      </c>
      <c r="BT11287" t="s">
        <v>9672</v>
      </c>
      <c r="CC11287" t="s">
        <v>2439</v>
      </c>
    </row>
    <row r="11288" spans="7:81" x14ac:dyDescent="0.25">
      <c r="G11288" t="s">
        <v>9936</v>
      </c>
      <c r="R11288">
        <v>20.8</v>
      </c>
      <c r="Z11288">
        <v>7.6</v>
      </c>
      <c r="AH11288" t="s">
        <v>10812</v>
      </c>
      <c r="AQ11288" t="s">
        <v>10813</v>
      </c>
      <c r="BB11288">
        <v>20</v>
      </c>
      <c r="BJ11288" t="s">
        <v>2443</v>
      </c>
      <c r="BT11288" t="s">
        <v>9672</v>
      </c>
      <c r="CC11288" t="s">
        <v>2439</v>
      </c>
    </row>
    <row r="11289" spans="7:81" x14ac:dyDescent="0.25">
      <c r="G11289" t="s">
        <v>9937</v>
      </c>
      <c r="R11289">
        <v>22.8</v>
      </c>
      <c r="Z11289">
        <v>8.3000000000000007</v>
      </c>
      <c r="AH11289" t="s">
        <v>10135</v>
      </c>
      <c r="AQ11289" t="s">
        <v>10140</v>
      </c>
      <c r="BB11289">
        <v>25</v>
      </c>
      <c r="BJ11289" t="s">
        <v>2443</v>
      </c>
      <c r="BT11289" t="s">
        <v>10800</v>
      </c>
      <c r="CC11289" t="s">
        <v>2439</v>
      </c>
    </row>
    <row r="11290" spans="7:81" x14ac:dyDescent="0.25">
      <c r="G11290" t="s">
        <v>10060</v>
      </c>
      <c r="R11290">
        <v>22.8</v>
      </c>
      <c r="Z11290">
        <v>13.3</v>
      </c>
      <c r="AH11290" t="s">
        <v>10814</v>
      </c>
      <c r="AQ11290" t="s">
        <v>10141</v>
      </c>
      <c r="BB11290">
        <v>25</v>
      </c>
      <c r="BJ11290" t="s">
        <v>2443</v>
      </c>
      <c r="BT11290" t="s">
        <v>10800</v>
      </c>
      <c r="CC11290" t="s">
        <v>2439</v>
      </c>
    </row>
    <row r="11292" spans="7:81" x14ac:dyDescent="0.25">
      <c r="G11292" t="s">
        <v>10789</v>
      </c>
    </row>
    <row r="11294" spans="7:81" x14ac:dyDescent="0.25">
      <c r="G11294" t="s">
        <v>9938</v>
      </c>
      <c r="R11294" t="s">
        <v>10815</v>
      </c>
      <c r="Z11294" t="s">
        <v>10816</v>
      </c>
      <c r="AH11294" t="s">
        <v>10817</v>
      </c>
      <c r="AQ11294" t="s">
        <v>10818</v>
      </c>
      <c r="BJ11294" t="s">
        <v>4910</v>
      </c>
      <c r="BT11294" t="s">
        <v>4916</v>
      </c>
      <c r="CC11294" t="s">
        <v>2439</v>
      </c>
    </row>
    <row r="11295" spans="7:81" x14ac:dyDescent="0.25">
      <c r="G11295" t="s">
        <v>10083</v>
      </c>
      <c r="R11295" t="s">
        <v>10815</v>
      </c>
      <c r="Z11295" t="s">
        <v>10819</v>
      </c>
      <c r="AH11295" t="s">
        <v>10820</v>
      </c>
      <c r="AQ11295" t="s">
        <v>10821</v>
      </c>
      <c r="BJ11295" t="s">
        <v>4910</v>
      </c>
      <c r="BT11295" t="s">
        <v>4916</v>
      </c>
      <c r="CC11295" t="s">
        <v>2439</v>
      </c>
    </row>
    <row r="11296" spans="7:81" x14ac:dyDescent="0.25">
      <c r="G11296" t="s">
        <v>10084</v>
      </c>
      <c r="R11296" t="s">
        <v>10815</v>
      </c>
      <c r="Z11296" t="s">
        <v>10822</v>
      </c>
      <c r="AH11296" t="s">
        <v>10823</v>
      </c>
      <c r="AQ11296" t="s">
        <v>10824</v>
      </c>
      <c r="BJ11296" t="s">
        <v>4910</v>
      </c>
      <c r="BT11296" t="s">
        <v>4916</v>
      </c>
      <c r="CC11296" t="s">
        <v>2439</v>
      </c>
    </row>
    <row r="11297" spans="1:81" x14ac:dyDescent="0.25">
      <c r="A11297" t="s">
        <v>10790</v>
      </c>
    </row>
    <row r="11298" spans="1:81" x14ac:dyDescent="0.25">
      <c r="G11298" t="s">
        <v>10569</v>
      </c>
      <c r="R11298" t="s">
        <v>10825</v>
      </c>
      <c r="Z11298">
        <v>9.1</v>
      </c>
      <c r="AH11298" t="s">
        <v>10551</v>
      </c>
      <c r="AQ11298" t="s">
        <v>10555</v>
      </c>
      <c r="BJ11298" t="s">
        <v>4910</v>
      </c>
      <c r="BT11298" t="s">
        <v>4916</v>
      </c>
      <c r="CC11298" t="s">
        <v>2439</v>
      </c>
    </row>
    <row r="11299" spans="1:81" x14ac:dyDescent="0.25">
      <c r="G11299" t="s">
        <v>10570</v>
      </c>
      <c r="R11299" t="s">
        <v>10826</v>
      </c>
      <c r="Z11299">
        <v>12.5</v>
      </c>
      <c r="AH11299" t="s">
        <v>10552</v>
      </c>
      <c r="AQ11299" t="s">
        <v>10556</v>
      </c>
      <c r="BJ11299" t="s">
        <v>4910</v>
      </c>
      <c r="BT11299" t="s">
        <v>10827</v>
      </c>
      <c r="CC11299" t="s">
        <v>2439</v>
      </c>
    </row>
    <row r="11303" spans="1:81" x14ac:dyDescent="0.25">
      <c r="A11303" t="s">
        <v>9711</v>
      </c>
    </row>
    <row r="11304" spans="1:81" x14ac:dyDescent="0.25">
      <c r="G11304" t="s">
        <v>10828</v>
      </c>
    </row>
    <row r="11305" spans="1:81" x14ac:dyDescent="0.25">
      <c r="A11305" t="s">
        <v>10829</v>
      </c>
    </row>
    <row r="11306" spans="1:81" x14ac:dyDescent="0.25">
      <c r="G11306" t="s">
        <v>9831</v>
      </c>
      <c r="R11306">
        <v>63</v>
      </c>
      <c r="AG11306">
        <v>65</v>
      </c>
      <c r="AT11306">
        <v>46</v>
      </c>
      <c r="BJ11306">
        <v>48</v>
      </c>
      <c r="BW11306" t="s">
        <v>2324</v>
      </c>
    </row>
    <row r="11307" spans="1:81" x14ac:dyDescent="0.25">
      <c r="G11307" t="s">
        <v>9832</v>
      </c>
      <c r="R11307">
        <v>65</v>
      </c>
      <c r="AG11307">
        <v>68</v>
      </c>
      <c r="AT11307">
        <v>48</v>
      </c>
      <c r="BJ11307">
        <v>51</v>
      </c>
      <c r="BW11307" t="s">
        <v>2324</v>
      </c>
    </row>
    <row r="11308" spans="1:81" x14ac:dyDescent="0.25">
      <c r="G11308" t="s">
        <v>9833</v>
      </c>
      <c r="R11308">
        <v>70</v>
      </c>
      <c r="AG11308">
        <v>72</v>
      </c>
      <c r="AT11308">
        <v>53</v>
      </c>
      <c r="BJ11308">
        <v>55</v>
      </c>
      <c r="BW11308" t="s">
        <v>2324</v>
      </c>
    </row>
    <row r="11309" spans="1:81" x14ac:dyDescent="0.25">
      <c r="G11309" t="s">
        <v>10222</v>
      </c>
      <c r="R11309">
        <v>70</v>
      </c>
      <c r="AG11309">
        <v>77</v>
      </c>
      <c r="AT11309">
        <v>53</v>
      </c>
      <c r="BJ11309">
        <v>60</v>
      </c>
      <c r="BW11309" t="s">
        <v>2324</v>
      </c>
    </row>
    <row r="11310" spans="1:81" x14ac:dyDescent="0.25">
      <c r="G11310" t="s">
        <v>10223</v>
      </c>
      <c r="R11310">
        <v>74</v>
      </c>
      <c r="AG11310">
        <v>76</v>
      </c>
      <c r="AT11310">
        <v>57</v>
      </c>
      <c r="BJ11310">
        <v>59</v>
      </c>
      <c r="BW11310" t="s">
        <v>2324</v>
      </c>
    </row>
    <row r="11311" spans="1:81" x14ac:dyDescent="0.25">
      <c r="A11311" t="s">
        <v>10785</v>
      </c>
    </row>
    <row r="11312" spans="1:81" x14ac:dyDescent="0.25">
      <c r="G11312" t="s">
        <v>9834</v>
      </c>
      <c r="R11312">
        <v>70</v>
      </c>
      <c r="AG11312">
        <v>72</v>
      </c>
      <c r="AT11312">
        <v>53</v>
      </c>
      <c r="BJ11312">
        <v>55</v>
      </c>
      <c r="BW11312" t="s">
        <v>2324</v>
      </c>
    </row>
    <row r="11313" spans="1:93" x14ac:dyDescent="0.25">
      <c r="G11313" t="s">
        <v>10245</v>
      </c>
      <c r="R11313">
        <v>70</v>
      </c>
      <c r="AG11313">
        <v>77</v>
      </c>
      <c r="AT11313">
        <v>53</v>
      </c>
      <c r="BJ11313">
        <v>60</v>
      </c>
      <c r="BW11313" t="s">
        <v>2324</v>
      </c>
    </row>
    <row r="11314" spans="1:93" x14ac:dyDescent="0.25">
      <c r="G11314" t="s">
        <v>10246</v>
      </c>
      <c r="R11314">
        <v>74</v>
      </c>
      <c r="AG11314">
        <v>76</v>
      </c>
      <c r="AT11314">
        <v>57</v>
      </c>
      <c r="BJ11314">
        <v>59</v>
      </c>
      <c r="BW11314" t="s">
        <v>2324</v>
      </c>
    </row>
    <row r="11315" spans="1:93" x14ac:dyDescent="0.25">
      <c r="A11315" t="s">
        <v>10786</v>
      </c>
    </row>
    <row r="11316" spans="1:93" x14ac:dyDescent="0.25">
      <c r="G11316" t="s">
        <v>9895</v>
      </c>
      <c r="R11316">
        <v>61</v>
      </c>
      <c r="AG11316">
        <v>62</v>
      </c>
      <c r="AT11316">
        <v>46</v>
      </c>
      <c r="BJ11316">
        <v>47</v>
      </c>
      <c r="BW11316" t="s">
        <v>10830</v>
      </c>
    </row>
    <row r="11317" spans="1:93" x14ac:dyDescent="0.25">
      <c r="G11317" t="s">
        <v>9896</v>
      </c>
      <c r="R11317">
        <v>64</v>
      </c>
      <c r="AG11317">
        <v>65</v>
      </c>
      <c r="AT11317">
        <v>49</v>
      </c>
      <c r="BJ11317">
        <v>50</v>
      </c>
      <c r="BW11317" t="s">
        <v>5958</v>
      </c>
    </row>
    <row r="11318" spans="1:93" x14ac:dyDescent="0.25">
      <c r="G11318" t="s">
        <v>9897</v>
      </c>
      <c r="R11318">
        <v>63</v>
      </c>
      <c r="AG11318">
        <v>65</v>
      </c>
      <c r="AT11318">
        <v>46</v>
      </c>
      <c r="BJ11318">
        <v>48</v>
      </c>
      <c r="BW11318" t="s">
        <v>10831</v>
      </c>
    </row>
    <row r="11319" spans="1:93" x14ac:dyDescent="0.25">
      <c r="G11319" t="s">
        <v>9898</v>
      </c>
      <c r="R11319">
        <v>68</v>
      </c>
      <c r="AG11319">
        <v>71</v>
      </c>
      <c r="AT11319">
        <v>50</v>
      </c>
      <c r="BJ11319">
        <v>52</v>
      </c>
      <c r="BW11319" t="s">
        <v>2324</v>
      </c>
    </row>
    <row r="11320" spans="1:93" x14ac:dyDescent="0.25">
      <c r="G11320" t="s">
        <v>9899</v>
      </c>
      <c r="R11320">
        <v>68</v>
      </c>
      <c r="AG11320">
        <v>71</v>
      </c>
      <c r="AT11320">
        <v>52</v>
      </c>
      <c r="BJ11320">
        <v>55</v>
      </c>
      <c r="BW11320" t="s">
        <v>2324</v>
      </c>
    </row>
    <row r="11321" spans="1:93" x14ac:dyDescent="0.25">
      <c r="G11321" t="s">
        <v>9900</v>
      </c>
      <c r="R11321">
        <v>70</v>
      </c>
      <c r="AG11321">
        <v>73</v>
      </c>
      <c r="AT11321">
        <v>53</v>
      </c>
      <c r="BJ11321">
        <v>56</v>
      </c>
      <c r="BW11321" t="s">
        <v>2324</v>
      </c>
    </row>
    <row r="11322" spans="1:93" x14ac:dyDescent="0.25">
      <c r="G11322" t="s">
        <v>10000</v>
      </c>
      <c r="R11322">
        <v>73</v>
      </c>
      <c r="AG11322">
        <v>74</v>
      </c>
      <c r="AT11322">
        <v>56</v>
      </c>
      <c r="BJ11322">
        <v>56</v>
      </c>
      <c r="BW11322" t="s">
        <v>2324</v>
      </c>
    </row>
    <row r="11323" spans="1:93" x14ac:dyDescent="0.25">
      <c r="CO11323" t="s">
        <v>9773</v>
      </c>
    </row>
    <row r="11324" spans="1:93" x14ac:dyDescent="0.25">
      <c r="G11324" t="s">
        <v>10001</v>
      </c>
      <c r="R11324">
        <v>74</v>
      </c>
      <c r="AG11324">
        <v>74</v>
      </c>
      <c r="AT11324">
        <v>57</v>
      </c>
      <c r="BJ11324">
        <v>56</v>
      </c>
      <c r="BW11324" t="s">
        <v>2324</v>
      </c>
    </row>
    <row r="11326" spans="1:93" x14ac:dyDescent="0.25">
      <c r="A11326" t="s">
        <v>10787</v>
      </c>
    </row>
    <row r="11328" spans="1:93" x14ac:dyDescent="0.25">
      <c r="G11328" t="s">
        <v>9901</v>
      </c>
      <c r="R11328">
        <v>70</v>
      </c>
      <c r="AG11328">
        <v>73</v>
      </c>
      <c r="AT11328">
        <v>53</v>
      </c>
      <c r="BJ11328">
        <v>56</v>
      </c>
      <c r="BW11328" t="s">
        <v>2324</v>
      </c>
    </row>
    <row r="11329" spans="1:75" x14ac:dyDescent="0.25">
      <c r="G11329" t="s">
        <v>10020</v>
      </c>
      <c r="R11329">
        <v>73</v>
      </c>
      <c r="AG11329">
        <v>74</v>
      </c>
      <c r="AT11329">
        <v>56</v>
      </c>
      <c r="BJ11329">
        <v>56</v>
      </c>
      <c r="BW11329" t="s">
        <v>2324</v>
      </c>
    </row>
    <row r="11330" spans="1:75" x14ac:dyDescent="0.25">
      <c r="G11330" t="s">
        <v>10021</v>
      </c>
      <c r="R11330">
        <v>74</v>
      </c>
      <c r="AG11330">
        <v>74</v>
      </c>
      <c r="AT11330">
        <v>57</v>
      </c>
      <c r="BJ11330">
        <v>56</v>
      </c>
      <c r="BW11330" t="s">
        <v>2324</v>
      </c>
    </row>
    <row r="11332" spans="1:75" x14ac:dyDescent="0.25">
      <c r="A11332" t="s">
        <v>10788</v>
      </c>
    </row>
    <row r="11334" spans="1:75" x14ac:dyDescent="0.25">
      <c r="G11334" t="s">
        <v>9935</v>
      </c>
      <c r="R11334">
        <v>63</v>
      </c>
      <c r="AG11334">
        <v>65</v>
      </c>
      <c r="AT11334">
        <v>46</v>
      </c>
      <c r="BJ11334">
        <v>48</v>
      </c>
      <c r="BW11334" t="s">
        <v>10831</v>
      </c>
    </row>
    <row r="11335" spans="1:75" x14ac:dyDescent="0.25">
      <c r="G11335" t="s">
        <v>9936</v>
      </c>
      <c r="R11335">
        <v>63</v>
      </c>
      <c r="AG11335">
        <v>65</v>
      </c>
      <c r="AT11335">
        <v>46</v>
      </c>
      <c r="BJ11335">
        <v>48</v>
      </c>
      <c r="BW11335" t="s">
        <v>10831</v>
      </c>
    </row>
    <row r="11336" spans="1:75" x14ac:dyDescent="0.25">
      <c r="G11336" t="s">
        <v>9937</v>
      </c>
      <c r="R11336">
        <v>66</v>
      </c>
      <c r="AG11336">
        <v>67</v>
      </c>
      <c r="AT11336">
        <v>49</v>
      </c>
      <c r="BJ11336">
        <v>50</v>
      </c>
      <c r="BW11336" t="s">
        <v>10832</v>
      </c>
    </row>
    <row r="11337" spans="1:75" x14ac:dyDescent="0.25">
      <c r="G11337" t="s">
        <v>10060</v>
      </c>
      <c r="R11337">
        <v>67</v>
      </c>
      <c r="AG11337">
        <v>68</v>
      </c>
      <c r="AT11337">
        <v>50</v>
      </c>
      <c r="BJ11337">
        <v>51</v>
      </c>
      <c r="BW11337" t="s">
        <v>2324</v>
      </c>
    </row>
    <row r="11339" spans="1:75" x14ac:dyDescent="0.25">
      <c r="A11339" t="s">
        <v>10789</v>
      </c>
    </row>
    <row r="11341" spans="1:75" x14ac:dyDescent="0.25">
      <c r="G11341" t="s">
        <v>9938</v>
      </c>
      <c r="R11341">
        <v>66</v>
      </c>
      <c r="AG11341">
        <v>67</v>
      </c>
      <c r="AT11341">
        <v>49</v>
      </c>
      <c r="BJ11341">
        <v>50</v>
      </c>
      <c r="BW11341">
        <v>45</v>
      </c>
    </row>
    <row r="11342" spans="1:75" x14ac:dyDescent="0.25">
      <c r="G11342" t="s">
        <v>10083</v>
      </c>
      <c r="R11342">
        <v>68</v>
      </c>
      <c r="AG11342">
        <v>69</v>
      </c>
      <c r="AT11342">
        <v>51</v>
      </c>
      <c r="BJ11342">
        <v>52</v>
      </c>
      <c r="BW11342">
        <v>45</v>
      </c>
    </row>
    <row r="11343" spans="1:75" x14ac:dyDescent="0.25">
      <c r="G11343" t="s">
        <v>10084</v>
      </c>
      <c r="R11343">
        <v>68</v>
      </c>
      <c r="AG11343">
        <v>70</v>
      </c>
      <c r="AT11343">
        <v>51</v>
      </c>
      <c r="BJ11343">
        <v>53</v>
      </c>
      <c r="BW11343">
        <v>45</v>
      </c>
    </row>
    <row r="11344" spans="1:75" x14ac:dyDescent="0.25">
      <c r="A11344" t="s">
        <v>10790</v>
      </c>
    </row>
    <row r="11345" spans="1:81" x14ac:dyDescent="0.25">
      <c r="G11345" t="s">
        <v>10569</v>
      </c>
      <c r="R11345">
        <v>76</v>
      </c>
      <c r="AG11345">
        <v>76</v>
      </c>
      <c r="AT11345">
        <v>58</v>
      </c>
      <c r="BJ11345">
        <v>60</v>
      </c>
      <c r="BW11345" t="s">
        <v>10833</v>
      </c>
    </row>
    <row r="11346" spans="1:81" x14ac:dyDescent="0.25">
      <c r="G11346" t="s">
        <v>10570</v>
      </c>
      <c r="R11346">
        <v>78</v>
      </c>
      <c r="AG11346">
        <v>80</v>
      </c>
      <c r="AT11346">
        <v>61</v>
      </c>
      <c r="BJ11346">
        <v>63</v>
      </c>
      <c r="BW11346" t="s">
        <v>10834</v>
      </c>
    </row>
    <row r="11347" spans="1:81" x14ac:dyDescent="0.25">
      <c r="A11347" t="s">
        <v>10835</v>
      </c>
    </row>
    <row r="11350" spans="1:81" x14ac:dyDescent="0.25">
      <c r="A11350" t="s">
        <v>10836</v>
      </c>
    </row>
    <row r="11351" spans="1:81" x14ac:dyDescent="0.25">
      <c r="G11351" t="s">
        <v>10837</v>
      </c>
    </row>
    <row r="11352" spans="1:81" x14ac:dyDescent="0.25">
      <c r="CC11352" t="s">
        <v>5150</v>
      </c>
    </row>
    <row r="11353" spans="1:81" x14ac:dyDescent="0.25">
      <c r="W11353" t="s">
        <v>10838</v>
      </c>
    </row>
    <row r="11355" spans="1:81" x14ac:dyDescent="0.25">
      <c r="CC11355" t="s">
        <v>5150</v>
      </c>
    </row>
    <row r="11356" spans="1:81" x14ac:dyDescent="0.25">
      <c r="A11356" t="s">
        <v>10839</v>
      </c>
    </row>
    <row r="11358" spans="1:81" x14ac:dyDescent="0.25">
      <c r="CC11358" t="s">
        <v>9751</v>
      </c>
    </row>
    <row r="11359" spans="1:81" x14ac:dyDescent="0.25">
      <c r="A11359" t="s">
        <v>10840</v>
      </c>
    </row>
    <row r="11361" spans="1:81" x14ac:dyDescent="0.25">
      <c r="CC11361" t="s">
        <v>9754</v>
      </c>
    </row>
    <row r="11362" spans="1:81" x14ac:dyDescent="0.25">
      <c r="W11362" t="s">
        <v>10841</v>
      </c>
    </row>
    <row r="11364" spans="1:81" x14ac:dyDescent="0.25">
      <c r="A11364" t="s">
        <v>9773</v>
      </c>
    </row>
    <row r="11366" spans="1:81" x14ac:dyDescent="0.25">
      <c r="CC11366" t="s">
        <v>9842</v>
      </c>
    </row>
    <row r="11367" spans="1:81" x14ac:dyDescent="0.25">
      <c r="W11367" t="s">
        <v>10842</v>
      </c>
    </row>
    <row r="11370" spans="1:81" x14ac:dyDescent="0.25">
      <c r="CC11370" t="s">
        <v>10843</v>
      </c>
    </row>
    <row r="11371" spans="1:81" x14ac:dyDescent="0.25">
      <c r="W11371" t="s">
        <v>10844</v>
      </c>
    </row>
    <row r="11374" spans="1:81" x14ac:dyDescent="0.25">
      <c r="CC11374" t="s">
        <v>10845</v>
      </c>
    </row>
    <row r="11375" spans="1:81" x14ac:dyDescent="0.25">
      <c r="A11375" t="s">
        <v>10846</v>
      </c>
    </row>
    <row r="11377" spans="1:84" x14ac:dyDescent="0.25">
      <c r="CC11377" t="s">
        <v>5154</v>
      </c>
    </row>
    <row r="11378" spans="1:84" x14ac:dyDescent="0.25">
      <c r="A11378" t="s">
        <v>10847</v>
      </c>
    </row>
    <row r="11380" spans="1:84" x14ac:dyDescent="0.25">
      <c r="A11380" t="s">
        <v>10848</v>
      </c>
    </row>
    <row r="11381" spans="1:84" x14ac:dyDescent="0.25">
      <c r="A11381" t="s">
        <v>10849</v>
      </c>
    </row>
    <row r="11384" spans="1:84" x14ac:dyDescent="0.25">
      <c r="A11384" t="s">
        <v>10850</v>
      </c>
    </row>
    <row r="11385" spans="1:84" x14ac:dyDescent="0.25">
      <c r="CF11385" t="s">
        <v>10409</v>
      </c>
    </row>
    <row r="11386" spans="1:84" x14ac:dyDescent="0.25">
      <c r="A11386" t="s">
        <v>10851</v>
      </c>
    </row>
    <row r="11388" spans="1:84" x14ac:dyDescent="0.25">
      <c r="CF11388" t="s">
        <v>10027</v>
      </c>
    </row>
    <row r="11389" spans="1:84" x14ac:dyDescent="0.25">
      <c r="A11389" t="s">
        <v>10852</v>
      </c>
    </row>
    <row r="11391" spans="1:84" x14ac:dyDescent="0.25">
      <c r="CF11391" t="s">
        <v>10853</v>
      </c>
    </row>
    <row r="11392" spans="1:84" x14ac:dyDescent="0.25">
      <c r="A11392" t="s">
        <v>10854</v>
      </c>
    </row>
    <row r="11394" spans="1:88" x14ac:dyDescent="0.25">
      <c r="CJ11394" t="s">
        <v>9773</v>
      </c>
    </row>
    <row r="11396" spans="1:88" x14ac:dyDescent="0.25">
      <c r="CF11396" t="s">
        <v>9727</v>
      </c>
    </row>
    <row r="11397" spans="1:88" x14ac:dyDescent="0.25">
      <c r="A11397" t="s">
        <v>10855</v>
      </c>
    </row>
    <row r="11400" spans="1:88" x14ac:dyDescent="0.25">
      <c r="CF11400" t="s">
        <v>9515</v>
      </c>
    </row>
    <row r="11401" spans="1:88" x14ac:dyDescent="0.25">
      <c r="A11401" t="s">
        <v>10856</v>
      </c>
    </row>
    <row r="11404" spans="1:88" x14ac:dyDescent="0.25">
      <c r="CF11404" t="s">
        <v>10327</v>
      </c>
    </row>
    <row r="11405" spans="1:88" x14ac:dyDescent="0.25">
      <c r="A11405" t="s">
        <v>10857</v>
      </c>
    </row>
    <row r="11407" spans="1:88" x14ac:dyDescent="0.25">
      <c r="A11407" t="s">
        <v>10858</v>
      </c>
    </row>
    <row r="11408" spans="1:88" x14ac:dyDescent="0.25">
      <c r="G11408" t="s">
        <v>10850</v>
      </c>
    </row>
    <row r="11409" spans="1:89" x14ac:dyDescent="0.25">
      <c r="CK11409" t="s">
        <v>9722</v>
      </c>
    </row>
    <row r="11410" spans="1:89" x14ac:dyDescent="0.25">
      <c r="A11410" t="s">
        <v>10859</v>
      </c>
    </row>
    <row r="11412" spans="1:89" x14ac:dyDescent="0.25">
      <c r="CK11412" t="s">
        <v>9722</v>
      </c>
    </row>
    <row r="11413" spans="1:89" x14ac:dyDescent="0.25">
      <c r="A11413" t="s">
        <v>10860</v>
      </c>
    </row>
    <row r="11415" spans="1:89" x14ac:dyDescent="0.25">
      <c r="CK11415" t="s">
        <v>9296</v>
      </c>
    </row>
    <row r="11416" spans="1:89" x14ac:dyDescent="0.25">
      <c r="A11416" t="s">
        <v>10861</v>
      </c>
    </row>
    <row r="11418" spans="1:89" x14ac:dyDescent="0.25">
      <c r="A11418" t="s">
        <v>9773</v>
      </c>
    </row>
    <row r="11422" spans="1:89" x14ac:dyDescent="0.25">
      <c r="A11422" t="s">
        <v>10862</v>
      </c>
    </row>
    <row r="11423" spans="1:89" x14ac:dyDescent="0.25">
      <c r="G11423" t="s">
        <v>10850</v>
      </c>
    </row>
    <row r="11424" spans="1:89" x14ac:dyDescent="0.25">
      <c r="CK11424" t="s">
        <v>9011</v>
      </c>
    </row>
    <row r="11425" spans="1:93" x14ac:dyDescent="0.25">
      <c r="A11425" t="s">
        <v>10863</v>
      </c>
    </row>
    <row r="11427" spans="1:93" x14ac:dyDescent="0.25">
      <c r="CK11427" t="s">
        <v>10864</v>
      </c>
    </row>
    <row r="11428" spans="1:93" x14ac:dyDescent="0.25">
      <c r="A11428" t="s">
        <v>10865</v>
      </c>
    </row>
    <row r="11430" spans="1:93" x14ac:dyDescent="0.25">
      <c r="CK11430" t="s">
        <v>9515</v>
      </c>
    </row>
    <row r="11431" spans="1:93" x14ac:dyDescent="0.25">
      <c r="A11431" t="s">
        <v>10866</v>
      </c>
    </row>
    <row r="11433" spans="1:93" x14ac:dyDescent="0.25">
      <c r="CO11433" t="s">
        <v>9773</v>
      </c>
    </row>
    <row r="11437" spans="1:93" x14ac:dyDescent="0.25">
      <c r="A11437" t="s">
        <v>10867</v>
      </c>
    </row>
    <row r="11438" spans="1:93" x14ac:dyDescent="0.25">
      <c r="G11438" t="s">
        <v>10850</v>
      </c>
    </row>
    <row r="11439" spans="1:93" x14ac:dyDescent="0.25">
      <c r="A11439" t="s">
        <v>9761</v>
      </c>
      <c r="CK11439" t="s">
        <v>9074</v>
      </c>
    </row>
    <row r="11441" spans="1:89" x14ac:dyDescent="0.25">
      <c r="A11441" t="s">
        <v>9762</v>
      </c>
      <c r="CK11441" t="s">
        <v>9077</v>
      </c>
    </row>
    <row r="11443" spans="1:89" x14ac:dyDescent="0.25">
      <c r="A11443" t="s">
        <v>10868</v>
      </c>
      <c r="AY11443" t="s">
        <v>5154</v>
      </c>
    </row>
    <row r="11444" spans="1:89" x14ac:dyDescent="0.25">
      <c r="Y11444" t="s">
        <v>10869</v>
      </c>
      <c r="BY11444" t="s">
        <v>5154</v>
      </c>
    </row>
    <row r="11445" spans="1:89" x14ac:dyDescent="0.25">
      <c r="I11445" t="s">
        <v>10870</v>
      </c>
      <c r="AX11445" t="s">
        <v>10036</v>
      </c>
    </row>
    <row r="11446" spans="1:89" x14ac:dyDescent="0.25">
      <c r="A11446" t="s">
        <v>9773</v>
      </c>
    </row>
    <row r="11447" spans="1:89" x14ac:dyDescent="0.25">
      <c r="Y11447" t="s">
        <v>10868</v>
      </c>
      <c r="AY11447" t="s">
        <v>5154</v>
      </c>
    </row>
    <row r="11448" spans="1:89" x14ac:dyDescent="0.25">
      <c r="Y11448" t="s">
        <v>10869</v>
      </c>
      <c r="BY11448" t="s">
        <v>5154</v>
      </c>
    </row>
    <row r="11449" spans="1:89" x14ac:dyDescent="0.25">
      <c r="G11449" t="s">
        <v>10871</v>
      </c>
      <c r="V11449" t="s">
        <v>10872</v>
      </c>
      <c r="BY11449" t="s">
        <v>10873</v>
      </c>
    </row>
    <row r="11451" spans="1:89" x14ac:dyDescent="0.25">
      <c r="A11451" t="s">
        <v>10867</v>
      </c>
    </row>
    <row r="11454" spans="1:89" x14ac:dyDescent="0.25">
      <c r="G11454" t="s">
        <v>10850</v>
      </c>
    </row>
    <row r="11455" spans="1:89" x14ac:dyDescent="0.25">
      <c r="CK11455" t="s">
        <v>9518</v>
      </c>
    </row>
    <row r="11456" spans="1:89" x14ac:dyDescent="0.25">
      <c r="A11456" t="s">
        <v>10874</v>
      </c>
    </row>
    <row r="11458" spans="1:93" x14ac:dyDescent="0.25">
      <c r="CK11458" t="s">
        <v>9077</v>
      </c>
    </row>
    <row r="11459" spans="1:93" x14ac:dyDescent="0.25">
      <c r="A11459" t="s">
        <v>10875</v>
      </c>
    </row>
    <row r="11461" spans="1:93" x14ac:dyDescent="0.25">
      <c r="A11461" t="s">
        <v>10876</v>
      </c>
      <c r="BO11461" t="s">
        <v>10877</v>
      </c>
    </row>
    <row r="11462" spans="1:93" x14ac:dyDescent="0.25">
      <c r="A11462" t="s">
        <v>10868</v>
      </c>
      <c r="AY11462" t="s">
        <v>5154</v>
      </c>
    </row>
    <row r="11463" spans="1:93" x14ac:dyDescent="0.25">
      <c r="CO11463" t="s">
        <v>9773</v>
      </c>
    </row>
    <row r="11464" spans="1:93" x14ac:dyDescent="0.25">
      <c r="Y11464" t="s">
        <v>10869</v>
      </c>
      <c r="BY11464" t="s">
        <v>5154</v>
      </c>
    </row>
    <row r="11465" spans="1:93" x14ac:dyDescent="0.25">
      <c r="A11465" t="s">
        <v>10878</v>
      </c>
      <c r="BG11465" t="s">
        <v>10879</v>
      </c>
    </row>
    <row r="11467" spans="1:93" x14ac:dyDescent="0.25">
      <c r="A11467" t="s">
        <v>10880</v>
      </c>
      <c r="BM11467" t="s">
        <v>10881</v>
      </c>
    </row>
    <row r="11468" spans="1:93" x14ac:dyDescent="0.25">
      <c r="A11468" t="s">
        <v>10882</v>
      </c>
      <c r="BM11468" t="s">
        <v>10883</v>
      </c>
    </row>
    <row r="11469" spans="1:93" x14ac:dyDescent="0.25">
      <c r="A11469" t="s">
        <v>10884</v>
      </c>
      <c r="BM11469" t="s">
        <v>10883</v>
      </c>
    </row>
    <row r="11470" spans="1:93" x14ac:dyDescent="0.25">
      <c r="A11470" t="s">
        <v>10885</v>
      </c>
      <c r="BM11470" t="s">
        <v>10881</v>
      </c>
    </row>
    <row r="11471" spans="1:93" x14ac:dyDescent="0.25">
      <c r="A11471" t="s">
        <v>10886</v>
      </c>
      <c r="BM11471" t="s">
        <v>10881</v>
      </c>
    </row>
    <row r="11472" spans="1:93" x14ac:dyDescent="0.25">
      <c r="A11472" t="s">
        <v>10887</v>
      </c>
      <c r="BM11472" t="s">
        <v>10881</v>
      </c>
    </row>
    <row r="11473" spans="1:52" x14ac:dyDescent="0.25">
      <c r="A11473" t="s">
        <v>10888</v>
      </c>
    </row>
    <row r="11474" spans="1:52" x14ac:dyDescent="0.25">
      <c r="AM11474" t="s">
        <v>10889</v>
      </c>
    </row>
    <row r="11477" spans="1:52" x14ac:dyDescent="0.25">
      <c r="A11477" t="s">
        <v>10890</v>
      </c>
    </row>
    <row r="11480" spans="1:52" x14ac:dyDescent="0.25">
      <c r="A11480" t="s">
        <v>10891</v>
      </c>
      <c r="AM11480" t="s">
        <v>10892</v>
      </c>
    </row>
    <row r="11482" spans="1:52" x14ac:dyDescent="0.25">
      <c r="A11482" t="s">
        <v>10893</v>
      </c>
    </row>
    <row r="11483" spans="1:52" x14ac:dyDescent="0.25">
      <c r="A11483" t="s">
        <v>10894</v>
      </c>
      <c r="AZ11483" t="s">
        <v>10895</v>
      </c>
    </row>
    <row r="11489" spans="1:75" x14ac:dyDescent="0.25">
      <c r="A11489" t="s">
        <v>10896</v>
      </c>
    </row>
    <row r="11490" spans="1:75" x14ac:dyDescent="0.25">
      <c r="A11490" t="s">
        <v>10897</v>
      </c>
    </row>
    <row r="11491" spans="1:75" x14ac:dyDescent="0.25">
      <c r="A11491" t="s">
        <v>10898</v>
      </c>
    </row>
    <row r="11492" spans="1:75" x14ac:dyDescent="0.25">
      <c r="A11492" t="s">
        <v>10899</v>
      </c>
    </row>
    <row r="11493" spans="1:75" x14ac:dyDescent="0.25">
      <c r="A11493" t="s">
        <v>10900</v>
      </c>
      <c r="AJ11493" t="s">
        <v>10901</v>
      </c>
    </row>
    <row r="11494" spans="1:75" x14ac:dyDescent="0.25">
      <c r="A11494" t="s">
        <v>10902</v>
      </c>
    </row>
    <row r="11495" spans="1:75" x14ac:dyDescent="0.25">
      <c r="A11495" t="s">
        <v>10903</v>
      </c>
    </row>
    <row r="11496" spans="1:75" x14ac:dyDescent="0.25">
      <c r="AX11496" t="s">
        <v>10904</v>
      </c>
      <c r="BW11496" t="s">
        <v>10905</v>
      </c>
    </row>
    <row r="11497" spans="1:75" x14ac:dyDescent="0.25">
      <c r="A11497" t="s">
        <v>1622</v>
      </c>
    </row>
    <row r="11498" spans="1:75" x14ac:dyDescent="0.25">
      <c r="AS11498" t="s">
        <v>10906</v>
      </c>
    </row>
    <row r="11501" spans="1:75" x14ac:dyDescent="0.25">
      <c r="A11501" t="s">
        <v>10907</v>
      </c>
      <c r="O11501" t="s">
        <v>10908</v>
      </c>
    </row>
    <row r="11502" spans="1:75" x14ac:dyDescent="0.25">
      <c r="AJ11502" t="s">
        <v>10909</v>
      </c>
    </row>
    <row r="11504" spans="1:75" x14ac:dyDescent="0.25">
      <c r="AS11504" t="s">
        <v>10910</v>
      </c>
    </row>
    <row r="11505" spans="1:72" x14ac:dyDescent="0.25">
      <c r="A11505" t="s">
        <v>10911</v>
      </c>
    </row>
    <row r="11506" spans="1:72" x14ac:dyDescent="0.25">
      <c r="BG11506" t="s">
        <v>10912</v>
      </c>
    </row>
    <row r="11508" spans="1:72" x14ac:dyDescent="0.25">
      <c r="AS11508" t="s">
        <v>10913</v>
      </c>
    </row>
    <row r="11509" spans="1:72" x14ac:dyDescent="0.25">
      <c r="AS11509" t="s">
        <v>10914</v>
      </c>
    </row>
    <row r="11510" spans="1:72" x14ac:dyDescent="0.25">
      <c r="A11510" t="s">
        <v>10915</v>
      </c>
    </row>
    <row r="11511" spans="1:72" x14ac:dyDescent="0.25">
      <c r="A11511" t="s">
        <v>10916</v>
      </c>
    </row>
    <row r="11512" spans="1:72" x14ac:dyDescent="0.25">
      <c r="A11512" t="s">
        <v>10917</v>
      </c>
    </row>
    <row r="11513" spans="1:72" x14ac:dyDescent="0.25">
      <c r="A11513" t="s">
        <v>10918</v>
      </c>
    </row>
    <row r="11514" spans="1:72" x14ac:dyDescent="0.25">
      <c r="A11514" t="s">
        <v>10919</v>
      </c>
    </row>
    <row r="11515" spans="1:72" x14ac:dyDescent="0.25">
      <c r="A11515" t="s">
        <v>10920</v>
      </c>
    </row>
    <row r="11516" spans="1:72" x14ac:dyDescent="0.25">
      <c r="A11516" t="s">
        <v>10921</v>
      </c>
      <c r="N11516" t="s">
        <v>2225</v>
      </c>
      <c r="AF11516" t="s">
        <v>10922</v>
      </c>
      <c r="AS11516" t="s">
        <v>10921</v>
      </c>
      <c r="BG11516" t="s">
        <v>2225</v>
      </c>
      <c r="BT11516" t="s">
        <v>10922</v>
      </c>
    </row>
    <row r="11517" spans="1:72" x14ac:dyDescent="0.25">
      <c r="A11517" t="s">
        <v>10923</v>
      </c>
      <c r="N11517" t="s">
        <v>10924</v>
      </c>
      <c r="AF11517" t="s">
        <v>10925</v>
      </c>
      <c r="AS11517" t="s">
        <v>10926</v>
      </c>
      <c r="BG11517" t="s">
        <v>10927</v>
      </c>
      <c r="BT11517" t="s">
        <v>10928</v>
      </c>
    </row>
    <row r="11518" spans="1:72" x14ac:dyDescent="0.25">
      <c r="A11518" t="s">
        <v>10929</v>
      </c>
      <c r="N11518" t="s">
        <v>10930</v>
      </c>
      <c r="AF11518" t="s">
        <v>10931</v>
      </c>
      <c r="AS11518" t="s">
        <v>10932</v>
      </c>
      <c r="BG11518" t="s">
        <v>10933</v>
      </c>
      <c r="BT11518" t="s">
        <v>10934</v>
      </c>
    </row>
    <row r="11519" spans="1:72" x14ac:dyDescent="0.25">
      <c r="AS11519" t="s">
        <v>10935</v>
      </c>
    </row>
    <row r="11520" spans="1:72" x14ac:dyDescent="0.25">
      <c r="A11520" t="s">
        <v>10936</v>
      </c>
    </row>
    <row r="11522" spans="1:45" x14ac:dyDescent="0.25">
      <c r="A11522" t="s">
        <v>10937</v>
      </c>
    </row>
    <row r="11523" spans="1:45" x14ac:dyDescent="0.25">
      <c r="A11523" t="s">
        <v>10938</v>
      </c>
    </row>
    <row r="11524" spans="1:45" x14ac:dyDescent="0.25">
      <c r="A11524" t="s">
        <v>10939</v>
      </c>
    </row>
    <row r="11525" spans="1:45" x14ac:dyDescent="0.25">
      <c r="A11525" t="s">
        <v>10940</v>
      </c>
    </row>
    <row r="11526" spans="1:45" x14ac:dyDescent="0.25">
      <c r="A11526" t="s">
        <v>10941</v>
      </c>
    </row>
    <row r="11527" spans="1:45" x14ac:dyDescent="0.25">
      <c r="AS11527" t="s">
        <v>10942</v>
      </c>
    </row>
    <row r="11529" spans="1:45" x14ac:dyDescent="0.25">
      <c r="AS11529" t="s">
        <v>10943</v>
      </c>
    </row>
    <row r="11530" spans="1:45" x14ac:dyDescent="0.25">
      <c r="A11530" t="s">
        <v>10944</v>
      </c>
      <c r="O11530" t="s">
        <v>10945</v>
      </c>
      <c r="AB11530" t="s">
        <v>10946</v>
      </c>
      <c r="AS11530" t="s">
        <v>10947</v>
      </c>
    </row>
    <row r="11531" spans="1:45" x14ac:dyDescent="0.25">
      <c r="A11531" t="s">
        <v>10948</v>
      </c>
      <c r="O11531" t="s">
        <v>10949</v>
      </c>
      <c r="AB11531" t="s">
        <v>10950</v>
      </c>
      <c r="AS11531" t="s">
        <v>10951</v>
      </c>
    </row>
    <row r="11532" spans="1:45" x14ac:dyDescent="0.25">
      <c r="A11532" t="s">
        <v>10952</v>
      </c>
      <c r="O11532" t="s">
        <v>10953</v>
      </c>
      <c r="AB11532" t="s">
        <v>10954</v>
      </c>
      <c r="AS11532" t="s">
        <v>10955</v>
      </c>
    </row>
    <row r="11533" spans="1:45" x14ac:dyDescent="0.25">
      <c r="A11533" t="s">
        <v>10956</v>
      </c>
      <c r="O11533" t="s">
        <v>10957</v>
      </c>
      <c r="AB11533" t="s">
        <v>10954</v>
      </c>
      <c r="AS11533" t="s">
        <v>10958</v>
      </c>
    </row>
    <row r="11534" spans="1:45" x14ac:dyDescent="0.25">
      <c r="A11534" t="s">
        <v>10959</v>
      </c>
      <c r="O11534" t="s">
        <v>10960</v>
      </c>
      <c r="AB11534" t="s">
        <v>10961</v>
      </c>
      <c r="AS11534" t="s">
        <v>10962</v>
      </c>
    </row>
    <row r="11535" spans="1:45" x14ac:dyDescent="0.25">
      <c r="AP11535">
        <v>2</v>
      </c>
    </row>
    <row r="11538" spans="1:78" x14ac:dyDescent="0.25">
      <c r="A11538" t="s">
        <v>10963</v>
      </c>
    </row>
    <row r="11539" spans="1:78" x14ac:dyDescent="0.25">
      <c r="A11539" t="s">
        <v>10964</v>
      </c>
    </row>
    <row r="11540" spans="1:78" x14ac:dyDescent="0.25">
      <c r="BZ11540" t="s">
        <v>10965</v>
      </c>
    </row>
    <row r="11542" spans="1:78" x14ac:dyDescent="0.25">
      <c r="A11542" t="s">
        <v>10966</v>
      </c>
    </row>
    <row r="11543" spans="1:78" x14ac:dyDescent="0.25">
      <c r="A11543" t="s">
        <v>10967</v>
      </c>
    </row>
    <row r="11544" spans="1:78" x14ac:dyDescent="0.25">
      <c r="AS11544" t="s">
        <v>10968</v>
      </c>
    </row>
    <row r="11546" spans="1:78" x14ac:dyDescent="0.25">
      <c r="A11546" t="s">
        <v>10969</v>
      </c>
    </row>
    <row r="11547" spans="1:78" x14ac:dyDescent="0.25">
      <c r="AS11547" t="s">
        <v>10970</v>
      </c>
    </row>
    <row r="11549" spans="1:78" x14ac:dyDescent="0.25">
      <c r="A11549" t="s">
        <v>10971</v>
      </c>
    </row>
    <row r="11550" spans="1:78" x14ac:dyDescent="0.25">
      <c r="A11550" t="s">
        <v>10972</v>
      </c>
    </row>
    <row r="11551" spans="1:78" x14ac:dyDescent="0.25">
      <c r="AS11551" t="s">
        <v>10973</v>
      </c>
    </row>
    <row r="11552" spans="1:78" x14ac:dyDescent="0.25">
      <c r="AJ11552" t="s">
        <v>10974</v>
      </c>
    </row>
    <row r="11555" spans="36:36" x14ac:dyDescent="0.25">
      <c r="AJ11555" t="s">
        <v>10975</v>
      </c>
    </row>
    <row r="11557" spans="36:36" x14ac:dyDescent="0.25">
      <c r="AJ11557" t="s">
        <v>10976</v>
      </c>
    </row>
    <row r="11559" spans="36:36" x14ac:dyDescent="0.25">
      <c r="AJ11559" t="s">
        <v>10977</v>
      </c>
    </row>
    <row r="11561" spans="36:36" x14ac:dyDescent="0.25">
      <c r="AJ11561" t="s">
        <v>10978</v>
      </c>
    </row>
    <row r="11563" spans="36:36" x14ac:dyDescent="0.25">
      <c r="AJ11563" t="s">
        <v>10979</v>
      </c>
    </row>
    <row r="11565" spans="36:36" x14ac:dyDescent="0.25">
      <c r="AJ11565" t="s">
        <v>10980</v>
      </c>
    </row>
    <row r="11567" spans="36:36" x14ac:dyDescent="0.25">
      <c r="AJ11567" t="s">
        <v>10981</v>
      </c>
    </row>
    <row r="11569" spans="1:75" x14ac:dyDescent="0.25">
      <c r="AJ11569" t="s">
        <v>10982</v>
      </c>
    </row>
    <row r="11571" spans="1:75" x14ac:dyDescent="0.25">
      <c r="A11571" t="s">
        <v>10983</v>
      </c>
    </row>
    <row r="11572" spans="1:75" x14ac:dyDescent="0.25">
      <c r="AS11572" t="s">
        <v>10984</v>
      </c>
    </row>
    <row r="11574" spans="1:75" x14ac:dyDescent="0.25">
      <c r="A11574" t="s">
        <v>10985</v>
      </c>
    </row>
    <row r="11575" spans="1:75" x14ac:dyDescent="0.25">
      <c r="AS11575" t="s">
        <v>10986</v>
      </c>
    </row>
    <row r="11576" spans="1:75" x14ac:dyDescent="0.25">
      <c r="A11576" t="s">
        <v>10987</v>
      </c>
    </row>
    <row r="11578" spans="1:75" x14ac:dyDescent="0.25">
      <c r="A11578" t="s">
        <v>10988</v>
      </c>
    </row>
    <row r="11579" spans="1:75" x14ac:dyDescent="0.25">
      <c r="A11579" t="s">
        <v>10989</v>
      </c>
    </row>
    <row r="11580" spans="1:75" x14ac:dyDescent="0.25">
      <c r="A11580" t="s">
        <v>10990</v>
      </c>
      <c r="AB11580" t="s">
        <v>10991</v>
      </c>
    </row>
    <row r="11581" spans="1:75" x14ac:dyDescent="0.25">
      <c r="A11581" t="s">
        <v>10921</v>
      </c>
      <c r="N11581" t="s">
        <v>2225</v>
      </c>
      <c r="AI11581" t="s">
        <v>10922</v>
      </c>
      <c r="AS11581" t="s">
        <v>10921</v>
      </c>
      <c r="BE11581" t="s">
        <v>2225</v>
      </c>
      <c r="BW11581" t="s">
        <v>10922</v>
      </c>
    </row>
    <row r="11582" spans="1:75" x14ac:dyDescent="0.25">
      <c r="A11582" t="s">
        <v>10992</v>
      </c>
      <c r="N11582" t="s">
        <v>10993</v>
      </c>
      <c r="AI11582" t="s">
        <v>10994</v>
      </c>
      <c r="AS11582" t="s">
        <v>10995</v>
      </c>
    </row>
    <row r="11583" spans="1:75" x14ac:dyDescent="0.25">
      <c r="A11583" t="s">
        <v>10996</v>
      </c>
      <c r="N11583" t="s">
        <v>10993</v>
      </c>
      <c r="AI11583" t="s">
        <v>10997</v>
      </c>
      <c r="AS11583" t="s">
        <v>10998</v>
      </c>
      <c r="BE11583" t="s">
        <v>10999</v>
      </c>
      <c r="BW11583" t="s">
        <v>11000</v>
      </c>
    </row>
    <row r="11584" spans="1:75" x14ac:dyDescent="0.25">
      <c r="A11584" t="s">
        <v>11001</v>
      </c>
      <c r="AS11584" t="s">
        <v>11002</v>
      </c>
      <c r="BE11584" t="s">
        <v>11003</v>
      </c>
      <c r="BW11584" t="s">
        <v>11004</v>
      </c>
    </row>
    <row r="11585" spans="1:75" x14ac:dyDescent="0.25">
      <c r="A11585" t="s">
        <v>11005</v>
      </c>
      <c r="N11585" t="s">
        <v>11006</v>
      </c>
      <c r="AI11585" t="s">
        <v>11007</v>
      </c>
      <c r="AS11585" t="s">
        <v>11008</v>
      </c>
      <c r="BE11585" t="s">
        <v>10999</v>
      </c>
      <c r="BW11585" t="s">
        <v>11004</v>
      </c>
    </row>
    <row r="11586" spans="1:75" x14ac:dyDescent="0.25">
      <c r="A11586" t="s">
        <v>11009</v>
      </c>
      <c r="N11586" t="s">
        <v>11010</v>
      </c>
      <c r="AI11586" t="s">
        <v>11011</v>
      </c>
      <c r="AS11586" t="s">
        <v>11012</v>
      </c>
      <c r="BE11586" t="s">
        <v>11013</v>
      </c>
      <c r="BW11586" t="s">
        <v>11014</v>
      </c>
    </row>
    <row r="11587" spans="1:75" x14ac:dyDescent="0.25">
      <c r="A11587" t="s">
        <v>11015</v>
      </c>
      <c r="N11587" t="s">
        <v>11016</v>
      </c>
      <c r="AI11587" t="s">
        <v>11011</v>
      </c>
      <c r="AS11587" t="s">
        <v>11017</v>
      </c>
      <c r="BE11587" t="s">
        <v>11018</v>
      </c>
      <c r="BW11587" t="s">
        <v>11019</v>
      </c>
    </row>
    <row r="11588" spans="1:75" x14ac:dyDescent="0.25">
      <c r="A11588" t="s">
        <v>11020</v>
      </c>
      <c r="N11588" t="s">
        <v>11021</v>
      </c>
      <c r="AI11588" t="s">
        <v>11022</v>
      </c>
      <c r="AS11588" t="s">
        <v>11023</v>
      </c>
      <c r="BE11588" t="s">
        <v>11024</v>
      </c>
      <c r="BW11588" t="s">
        <v>11025</v>
      </c>
    </row>
    <row r="11589" spans="1:75" x14ac:dyDescent="0.25">
      <c r="A11589" t="s">
        <v>11026</v>
      </c>
    </row>
    <row r="11590" spans="1:75" x14ac:dyDescent="0.25">
      <c r="AJ11590" t="s">
        <v>11027</v>
      </c>
    </row>
    <row r="11592" spans="1:75" x14ac:dyDescent="0.25">
      <c r="A11592" t="s">
        <v>11028</v>
      </c>
    </row>
    <row r="11593" spans="1:75" x14ac:dyDescent="0.25">
      <c r="AJ11593" t="s">
        <v>11029</v>
      </c>
    </row>
    <row r="11595" spans="1:75" x14ac:dyDescent="0.25">
      <c r="A11595" t="s">
        <v>11030</v>
      </c>
      <c r="O11595" t="s">
        <v>11031</v>
      </c>
      <c r="AI11595" t="s">
        <v>11032</v>
      </c>
      <c r="AS11595" t="s">
        <v>11033</v>
      </c>
      <c r="BG11595" t="s">
        <v>11034</v>
      </c>
      <c r="BW11595" t="s">
        <v>11035</v>
      </c>
    </row>
    <row r="11596" spans="1:75" x14ac:dyDescent="0.25">
      <c r="A11596" t="s">
        <v>11036</v>
      </c>
      <c r="O11596" t="s">
        <v>11037</v>
      </c>
      <c r="AI11596" t="s">
        <v>11038</v>
      </c>
      <c r="AS11596" t="s">
        <v>11039</v>
      </c>
      <c r="BG11596" t="s">
        <v>11040</v>
      </c>
      <c r="BW11596" t="s">
        <v>11041</v>
      </c>
    </row>
    <row r="11597" spans="1:75" x14ac:dyDescent="0.25">
      <c r="A11597" t="s">
        <v>11042</v>
      </c>
      <c r="O11597" t="s">
        <v>11043</v>
      </c>
      <c r="AI11597" t="s">
        <v>11044</v>
      </c>
      <c r="AS11597" t="s">
        <v>11045</v>
      </c>
    </row>
    <row r="11598" spans="1:75" x14ac:dyDescent="0.25">
      <c r="A11598" t="s">
        <v>11046</v>
      </c>
      <c r="O11598" t="s">
        <v>11043</v>
      </c>
      <c r="AI11598" t="s">
        <v>11047</v>
      </c>
      <c r="AS11598" t="s">
        <v>11048</v>
      </c>
      <c r="BG11598" t="s">
        <v>11049</v>
      </c>
      <c r="BW11598" t="s">
        <v>11050</v>
      </c>
    </row>
    <row r="11599" spans="1:75" x14ac:dyDescent="0.25">
      <c r="A11599" t="s">
        <v>11051</v>
      </c>
      <c r="AS11599" t="s">
        <v>11052</v>
      </c>
      <c r="BG11599" t="s">
        <v>11053</v>
      </c>
      <c r="BW11599" t="s">
        <v>11054</v>
      </c>
    </row>
    <row r="11600" spans="1:75" x14ac:dyDescent="0.25">
      <c r="A11600" t="s">
        <v>11055</v>
      </c>
      <c r="O11600" t="s">
        <v>11056</v>
      </c>
      <c r="AI11600" t="s">
        <v>11057</v>
      </c>
      <c r="AS11600" t="s">
        <v>11058</v>
      </c>
      <c r="BG11600" t="s">
        <v>11049</v>
      </c>
      <c r="BW11600" t="s">
        <v>11054</v>
      </c>
    </row>
    <row r="11601" spans="1:76" x14ac:dyDescent="0.25">
      <c r="A11601" t="s">
        <v>11059</v>
      </c>
      <c r="O11601" t="s">
        <v>11060</v>
      </c>
      <c r="AI11601" t="s">
        <v>11061</v>
      </c>
      <c r="AS11601" t="s">
        <v>11062</v>
      </c>
      <c r="BG11601" t="s">
        <v>11063</v>
      </c>
      <c r="BW11601" t="s">
        <v>11064</v>
      </c>
    </row>
    <row r="11602" spans="1:76" x14ac:dyDescent="0.25">
      <c r="A11602" t="s">
        <v>11065</v>
      </c>
      <c r="O11602" t="s">
        <v>11066</v>
      </c>
      <c r="AI11602" t="s">
        <v>11067</v>
      </c>
      <c r="AS11602" t="s">
        <v>11068</v>
      </c>
      <c r="BG11602" t="s">
        <v>11069</v>
      </c>
      <c r="BW11602" t="s">
        <v>11070</v>
      </c>
    </row>
    <row r="11603" spans="1:76" x14ac:dyDescent="0.25">
      <c r="A11603" t="s">
        <v>11071</v>
      </c>
      <c r="O11603" t="s">
        <v>11051</v>
      </c>
      <c r="AI11603" t="s">
        <v>11072</v>
      </c>
      <c r="AS11603" t="s">
        <v>11073</v>
      </c>
      <c r="BG11603" t="s">
        <v>11074</v>
      </c>
      <c r="BW11603" t="s">
        <v>11075</v>
      </c>
    </row>
    <row r="11604" spans="1:76" x14ac:dyDescent="0.25">
      <c r="AS11604" t="s">
        <v>11076</v>
      </c>
      <c r="BG11604" t="s">
        <v>11077</v>
      </c>
      <c r="BW11604" t="s">
        <v>11078</v>
      </c>
    </row>
    <row r="11605" spans="1:76" x14ac:dyDescent="0.25">
      <c r="AP11605">
        <v>4</v>
      </c>
      <c r="AS11605" t="s">
        <v>11079</v>
      </c>
      <c r="BG11605" t="s">
        <v>11080</v>
      </c>
      <c r="BW11605" t="s">
        <v>11081</v>
      </c>
    </row>
    <row r="11607" spans="1:76" x14ac:dyDescent="0.25">
      <c r="A11607" t="s">
        <v>10921</v>
      </c>
      <c r="N11607" t="s">
        <v>2225</v>
      </c>
      <c r="AC11607" t="s">
        <v>10922</v>
      </c>
      <c r="AQ11607" t="s">
        <v>10921</v>
      </c>
      <c r="AY11607" t="s">
        <v>2225</v>
      </c>
      <c r="BX11607" t="s">
        <v>10922</v>
      </c>
    </row>
    <row r="11608" spans="1:76" x14ac:dyDescent="0.25">
      <c r="A11608" t="s">
        <v>11082</v>
      </c>
      <c r="N11608" t="s">
        <v>11083</v>
      </c>
      <c r="AC11608" t="s">
        <v>11081</v>
      </c>
      <c r="AQ11608" t="s">
        <v>11084</v>
      </c>
      <c r="AY11608" t="s">
        <v>11085</v>
      </c>
      <c r="BX11608" t="s">
        <v>11072</v>
      </c>
    </row>
    <row r="11609" spans="1:76" x14ac:dyDescent="0.25">
      <c r="A11609" t="s">
        <v>11086</v>
      </c>
      <c r="N11609" t="s">
        <v>11083</v>
      </c>
      <c r="AC11609" t="s">
        <v>11087</v>
      </c>
      <c r="AQ11609" t="s">
        <v>11088</v>
      </c>
      <c r="AY11609" t="s">
        <v>11089</v>
      </c>
      <c r="BX11609" t="s">
        <v>11090</v>
      </c>
    </row>
    <row r="11610" spans="1:76" x14ac:dyDescent="0.25">
      <c r="A11610" t="s">
        <v>11091</v>
      </c>
    </row>
    <row r="11611" spans="1:76" x14ac:dyDescent="0.25">
      <c r="AJ11611" t="s">
        <v>11092</v>
      </c>
    </row>
    <row r="11613" spans="1:76" x14ac:dyDescent="0.25">
      <c r="A11613" t="s">
        <v>11093</v>
      </c>
    </row>
    <row r="11614" spans="1:76" x14ac:dyDescent="0.25">
      <c r="AS11614" t="s">
        <v>11094</v>
      </c>
    </row>
    <row r="11616" spans="1:76" x14ac:dyDescent="0.25">
      <c r="A11616" t="s">
        <v>11095</v>
      </c>
    </row>
    <row r="11617" spans="1:75" x14ac:dyDescent="0.25">
      <c r="A11617" t="s">
        <v>11096</v>
      </c>
    </row>
    <row r="11618" spans="1:75" x14ac:dyDescent="0.25">
      <c r="A11618" t="s">
        <v>11097</v>
      </c>
      <c r="BT11618" t="s">
        <v>11032</v>
      </c>
    </row>
    <row r="11619" spans="1:75" x14ac:dyDescent="0.25">
      <c r="AS11619" t="s">
        <v>11098</v>
      </c>
    </row>
    <row r="11620" spans="1:75" x14ac:dyDescent="0.25">
      <c r="A11620" t="s">
        <v>11099</v>
      </c>
    </row>
    <row r="11622" spans="1:75" x14ac:dyDescent="0.25">
      <c r="A11622" t="s">
        <v>11100</v>
      </c>
    </row>
    <row r="11623" spans="1:75" x14ac:dyDescent="0.25">
      <c r="A11623" t="s">
        <v>11101</v>
      </c>
    </row>
    <row r="11624" spans="1:75" x14ac:dyDescent="0.25">
      <c r="A11624" t="s">
        <v>11102</v>
      </c>
    </row>
    <row r="11625" spans="1:75" x14ac:dyDescent="0.25">
      <c r="A11625" t="s">
        <v>11103</v>
      </c>
    </row>
    <row r="11626" spans="1:75" x14ac:dyDescent="0.25">
      <c r="A11626" t="s">
        <v>11104</v>
      </c>
    </row>
    <row r="11627" spans="1:75" x14ac:dyDescent="0.25">
      <c r="A11627" t="s">
        <v>11105</v>
      </c>
    </row>
    <row r="11628" spans="1:75" x14ac:dyDescent="0.25">
      <c r="A11628" t="s">
        <v>11106</v>
      </c>
      <c r="N11628" t="s">
        <v>11107</v>
      </c>
      <c r="AI11628" t="s">
        <v>11108</v>
      </c>
      <c r="AS11628" t="s">
        <v>11109</v>
      </c>
      <c r="BG11628" t="s">
        <v>11110</v>
      </c>
      <c r="BW11628" t="s">
        <v>11111</v>
      </c>
    </row>
    <row r="11629" spans="1:75" x14ac:dyDescent="0.25">
      <c r="A11629" t="s">
        <v>11112</v>
      </c>
      <c r="AS11629" t="s">
        <v>11113</v>
      </c>
      <c r="BG11629" t="s">
        <v>11114</v>
      </c>
      <c r="BW11629" t="s">
        <v>11115</v>
      </c>
    </row>
    <row r="11630" spans="1:75" x14ac:dyDescent="0.25">
      <c r="A11630" t="s">
        <v>11116</v>
      </c>
      <c r="N11630" t="s">
        <v>11117</v>
      </c>
      <c r="AI11630" t="s">
        <v>11118</v>
      </c>
      <c r="AS11630" t="s">
        <v>11119</v>
      </c>
      <c r="BG11630" t="s">
        <v>11120</v>
      </c>
      <c r="BW11630" t="s">
        <v>11121</v>
      </c>
    </row>
    <row r="11631" spans="1:75" x14ac:dyDescent="0.25">
      <c r="A11631" t="s">
        <v>11122</v>
      </c>
      <c r="N11631" t="s">
        <v>11123</v>
      </c>
      <c r="AI11631" t="s">
        <v>11067</v>
      </c>
      <c r="AS11631" t="s">
        <v>11124</v>
      </c>
      <c r="BG11631" t="s">
        <v>11125</v>
      </c>
      <c r="BW11631" t="s">
        <v>11121</v>
      </c>
    </row>
    <row r="11632" spans="1:75" x14ac:dyDescent="0.25">
      <c r="A11632" t="s">
        <v>11126</v>
      </c>
      <c r="N11632" t="s">
        <v>11117</v>
      </c>
      <c r="AI11632" t="s">
        <v>11067</v>
      </c>
      <c r="AS11632" t="s">
        <v>11127</v>
      </c>
      <c r="BG11632" t="s">
        <v>11128</v>
      </c>
      <c r="BW11632" t="s">
        <v>11121</v>
      </c>
    </row>
    <row r="11633" spans="1:78" x14ac:dyDescent="0.25">
      <c r="A11633" t="s">
        <v>11129</v>
      </c>
      <c r="N11633" t="s">
        <v>11130</v>
      </c>
      <c r="AI11633" t="s">
        <v>11131</v>
      </c>
      <c r="AS11633" t="s">
        <v>11132</v>
      </c>
      <c r="BG11633" t="s">
        <v>11133</v>
      </c>
      <c r="BW11633" t="s">
        <v>11121</v>
      </c>
    </row>
    <row r="11634" spans="1:78" x14ac:dyDescent="0.25">
      <c r="AP11634">
        <v>5</v>
      </c>
    </row>
    <row r="11636" spans="1:78" x14ac:dyDescent="0.25">
      <c r="A11636" t="s">
        <v>10963</v>
      </c>
    </row>
    <row r="11637" spans="1:78" x14ac:dyDescent="0.25">
      <c r="A11637" t="s">
        <v>11134</v>
      </c>
    </row>
    <row r="11638" spans="1:78" x14ac:dyDescent="0.25">
      <c r="BZ11638" t="s">
        <v>11135</v>
      </c>
    </row>
    <row r="11640" spans="1:78" x14ac:dyDescent="0.25">
      <c r="A11640" t="s">
        <v>11136</v>
      </c>
    </row>
    <row r="11641" spans="1:78" x14ac:dyDescent="0.25">
      <c r="BZ11641" t="s">
        <v>11135</v>
      </c>
    </row>
    <row r="11643" spans="1:78" x14ac:dyDescent="0.25">
      <c r="A11643" t="s">
        <v>11137</v>
      </c>
    </row>
    <row r="11644" spans="1:78" x14ac:dyDescent="0.25">
      <c r="BZ11644" t="s">
        <v>11138</v>
      </c>
    </row>
    <row r="11646" spans="1:78" x14ac:dyDescent="0.25">
      <c r="AS11646" t="s">
        <v>11139</v>
      </c>
    </row>
    <row r="11647" spans="1:78" x14ac:dyDescent="0.25">
      <c r="A11647" t="s">
        <v>11140</v>
      </c>
    </row>
    <row r="11648" spans="1:78" x14ac:dyDescent="0.25">
      <c r="BZ11648" t="s">
        <v>11141</v>
      </c>
    </row>
    <row r="11650" spans="1:78" x14ac:dyDescent="0.25">
      <c r="A11650" t="s">
        <v>11142</v>
      </c>
    </row>
    <row r="11651" spans="1:78" x14ac:dyDescent="0.25">
      <c r="BZ11651" t="s">
        <v>11143</v>
      </c>
    </row>
    <row r="11653" spans="1:78" x14ac:dyDescent="0.25">
      <c r="A11653" t="s">
        <v>11144</v>
      </c>
    </row>
    <row r="11654" spans="1:78" x14ac:dyDescent="0.25">
      <c r="BZ11654" t="s">
        <v>11145</v>
      </c>
    </row>
    <row r="11656" spans="1:78" x14ac:dyDescent="0.25">
      <c r="A11656" t="s">
        <v>11146</v>
      </c>
      <c r="O11656" t="s">
        <v>11147</v>
      </c>
      <c r="AF11656" t="s">
        <v>11148</v>
      </c>
      <c r="AS11656" t="s">
        <v>11149</v>
      </c>
    </row>
    <row r="11657" spans="1:78" x14ac:dyDescent="0.25">
      <c r="A11657" t="s">
        <v>11150</v>
      </c>
      <c r="O11657" t="s">
        <v>11147</v>
      </c>
      <c r="AF11657" t="s">
        <v>11151</v>
      </c>
      <c r="AS11657" t="s">
        <v>11152</v>
      </c>
    </row>
    <row r="11658" spans="1:78" x14ac:dyDescent="0.25">
      <c r="A11658" t="s">
        <v>11153</v>
      </c>
      <c r="O11658" t="s">
        <v>11147</v>
      </c>
      <c r="AF11658" t="s">
        <v>11154</v>
      </c>
      <c r="AS11658" t="s">
        <v>11155</v>
      </c>
    </row>
    <row r="11659" spans="1:78" x14ac:dyDescent="0.25">
      <c r="A11659" t="s">
        <v>11156</v>
      </c>
      <c r="AP11659" t="s">
        <v>11157</v>
      </c>
      <c r="BG11659" t="s">
        <v>11158</v>
      </c>
      <c r="BX11659" t="s">
        <v>11159</v>
      </c>
    </row>
    <row r="11660" spans="1:78" x14ac:dyDescent="0.25">
      <c r="A11660" t="s">
        <v>11160</v>
      </c>
      <c r="AP11660" t="s">
        <v>11161</v>
      </c>
      <c r="BG11660" t="s">
        <v>11162</v>
      </c>
      <c r="BX11660" t="s">
        <v>11163</v>
      </c>
    </row>
    <row r="11661" spans="1:78" x14ac:dyDescent="0.25">
      <c r="A11661" t="s">
        <v>11164</v>
      </c>
      <c r="AP11661" t="s">
        <v>11165</v>
      </c>
      <c r="BG11661" t="s">
        <v>11166</v>
      </c>
      <c r="BX11661" t="s">
        <v>11167</v>
      </c>
    </row>
    <row r="11662" spans="1:78" x14ac:dyDescent="0.25">
      <c r="A11662" t="s">
        <v>11168</v>
      </c>
    </row>
    <row r="11663" spans="1:78" x14ac:dyDescent="0.25">
      <c r="AJ11663" t="s">
        <v>11169</v>
      </c>
    </row>
    <row r="11665" spans="1:76" x14ac:dyDescent="0.25">
      <c r="A11665" t="s">
        <v>11170</v>
      </c>
    </row>
    <row r="11666" spans="1:76" x14ac:dyDescent="0.25">
      <c r="AJ11666" t="s">
        <v>11169</v>
      </c>
    </row>
    <row r="11668" spans="1:76" x14ac:dyDescent="0.25">
      <c r="A11668">
        <v>6</v>
      </c>
    </row>
    <row r="11672" spans="1:76" x14ac:dyDescent="0.25">
      <c r="A11672" t="s">
        <v>11171</v>
      </c>
      <c r="AP11672" t="s">
        <v>10921</v>
      </c>
      <c r="AY11672" t="s">
        <v>2225</v>
      </c>
      <c r="BW11672" t="s">
        <v>10922</v>
      </c>
    </row>
    <row r="11673" spans="1:76" x14ac:dyDescent="0.25">
      <c r="A11673" t="s">
        <v>11172</v>
      </c>
      <c r="AP11673" t="s">
        <v>11173</v>
      </c>
      <c r="AY11673" t="s">
        <v>11174</v>
      </c>
      <c r="BW11673" t="s">
        <v>11175</v>
      </c>
    </row>
    <row r="11674" spans="1:76" x14ac:dyDescent="0.25">
      <c r="A11674" t="s">
        <v>11176</v>
      </c>
      <c r="O11674" t="s">
        <v>11177</v>
      </c>
      <c r="AI11674" t="s">
        <v>11178</v>
      </c>
      <c r="AS11674" t="s">
        <v>11179</v>
      </c>
      <c r="BG11674" t="s">
        <v>11180</v>
      </c>
      <c r="BX11674" t="s">
        <v>11181</v>
      </c>
    </row>
    <row r="11675" spans="1:76" x14ac:dyDescent="0.25">
      <c r="A11675" t="s">
        <v>11182</v>
      </c>
      <c r="O11675" t="s">
        <v>11183</v>
      </c>
      <c r="AI11675" t="s">
        <v>11184</v>
      </c>
      <c r="AS11675" t="s">
        <v>11185</v>
      </c>
      <c r="BG11675" t="s">
        <v>11186</v>
      </c>
      <c r="BX11675" t="s">
        <v>11187</v>
      </c>
    </row>
    <row r="11676" spans="1:76" x14ac:dyDescent="0.25">
      <c r="O11676" t="s">
        <v>11188</v>
      </c>
    </row>
    <row r="11677" spans="1:76" x14ac:dyDescent="0.25">
      <c r="A11677" t="s">
        <v>11189</v>
      </c>
    </row>
    <row r="11679" spans="1:76" x14ac:dyDescent="0.25">
      <c r="AQ11679" t="s">
        <v>5268</v>
      </c>
    </row>
    <row r="11680" spans="1:76" x14ac:dyDescent="0.25">
      <c r="A11680" t="s">
        <v>1654</v>
      </c>
    </row>
    <row r="11685" spans="1:72" x14ac:dyDescent="0.25">
      <c r="A11685" t="s">
        <v>10963</v>
      </c>
    </row>
    <row r="11687" spans="1:72" x14ac:dyDescent="0.25">
      <c r="A11687" t="s">
        <v>11190</v>
      </c>
    </row>
    <row r="11688" spans="1:72" x14ac:dyDescent="0.25">
      <c r="A11688">
        <v>8</v>
      </c>
    </row>
    <row r="11690" spans="1:72" x14ac:dyDescent="0.25">
      <c r="A11690" t="s">
        <v>11171</v>
      </c>
      <c r="AP11690" t="s">
        <v>10921</v>
      </c>
      <c r="BE11690" t="s">
        <v>2225</v>
      </c>
      <c r="BT11690" t="s">
        <v>10922</v>
      </c>
    </row>
    <row r="11691" spans="1:72" x14ac:dyDescent="0.25">
      <c r="A11691" t="s">
        <v>11191</v>
      </c>
      <c r="AP11691" t="s">
        <v>11192</v>
      </c>
      <c r="BE11691" t="s">
        <v>11193</v>
      </c>
      <c r="BT11691" t="s">
        <v>11194</v>
      </c>
    </row>
    <row r="11692" spans="1:72" x14ac:dyDescent="0.25">
      <c r="A11692" t="s">
        <v>11195</v>
      </c>
    </row>
    <row r="11693" spans="1:72" x14ac:dyDescent="0.25">
      <c r="AS11693" t="s">
        <v>11196</v>
      </c>
    </row>
    <row r="11694" spans="1:72" x14ac:dyDescent="0.25">
      <c r="A11694">
        <v>9</v>
      </c>
    </row>
    <row r="11696" spans="1:72" x14ac:dyDescent="0.25">
      <c r="A11696" t="s">
        <v>10963</v>
      </c>
    </row>
    <row r="11698" spans="1:77" x14ac:dyDescent="0.25">
      <c r="AS11698" t="s">
        <v>11197</v>
      </c>
    </row>
    <row r="11699" spans="1:77" x14ac:dyDescent="0.25">
      <c r="A11699" t="s">
        <v>11198</v>
      </c>
    </row>
    <row r="11700" spans="1:77" x14ac:dyDescent="0.25">
      <c r="A11700" t="s">
        <v>11199</v>
      </c>
    </row>
    <row r="11701" spans="1:77" x14ac:dyDescent="0.25">
      <c r="A11701" t="s">
        <v>11200</v>
      </c>
    </row>
    <row r="11702" spans="1:77" x14ac:dyDescent="0.25">
      <c r="A11702" t="s">
        <v>11201</v>
      </c>
    </row>
    <row r="11703" spans="1:77" x14ac:dyDescent="0.25">
      <c r="AS11703" t="s">
        <v>11202</v>
      </c>
    </row>
    <row r="11704" spans="1:77" x14ac:dyDescent="0.25">
      <c r="A11704" t="s">
        <v>11203</v>
      </c>
    </row>
    <row r="11705" spans="1:77" x14ac:dyDescent="0.25">
      <c r="AS11705" t="s">
        <v>11204</v>
      </c>
    </row>
    <row r="11706" spans="1:77" x14ac:dyDescent="0.25">
      <c r="A11706">
        <v>10</v>
      </c>
    </row>
    <row r="11707" spans="1:77" x14ac:dyDescent="0.25">
      <c r="A11707" t="s">
        <v>10963</v>
      </c>
    </row>
    <row r="11708" spans="1:77" x14ac:dyDescent="0.25">
      <c r="A11708" t="s">
        <v>11205</v>
      </c>
      <c r="AI11708" t="s">
        <v>11206</v>
      </c>
    </row>
    <row r="11709" spans="1:77" x14ac:dyDescent="0.25">
      <c r="BY11709" t="s">
        <v>11207</v>
      </c>
    </row>
    <row r="11711" spans="1:77" x14ac:dyDescent="0.25">
      <c r="A11711" t="s">
        <v>11208</v>
      </c>
      <c r="AP11711" t="s">
        <v>11209</v>
      </c>
    </row>
    <row r="11712" spans="1:77" x14ac:dyDescent="0.25">
      <c r="A11712" t="s">
        <v>11210</v>
      </c>
    </row>
    <row r="11713" spans="1:77" x14ac:dyDescent="0.25">
      <c r="AS11713" t="s">
        <v>11211</v>
      </c>
    </row>
    <row r="11715" spans="1:77" x14ac:dyDescent="0.25">
      <c r="AS11715" t="s">
        <v>11212</v>
      </c>
      <c r="BG11715" t="s">
        <v>11213</v>
      </c>
    </row>
    <row r="11716" spans="1:77" x14ac:dyDescent="0.25">
      <c r="BY11716" t="s">
        <v>10961</v>
      </c>
    </row>
    <row r="11719" spans="1:77" x14ac:dyDescent="0.25">
      <c r="AS11719" t="s">
        <v>11214</v>
      </c>
    </row>
    <row r="11720" spans="1:77" x14ac:dyDescent="0.25">
      <c r="A11720" t="s">
        <v>11215</v>
      </c>
    </row>
    <row r="11721" spans="1:77" x14ac:dyDescent="0.25">
      <c r="A11721" t="s">
        <v>11216</v>
      </c>
      <c r="AP11721" t="s">
        <v>11217</v>
      </c>
    </row>
    <row r="11722" spans="1:77" x14ac:dyDescent="0.25">
      <c r="AS11722" t="s">
        <v>11218</v>
      </c>
    </row>
    <row r="11723" spans="1:77" x14ac:dyDescent="0.25">
      <c r="A11723" t="s">
        <v>11219</v>
      </c>
    </row>
    <row r="11724" spans="1:77" x14ac:dyDescent="0.25">
      <c r="A11724" t="s">
        <v>11220</v>
      </c>
    </row>
    <row r="11725" spans="1:77" x14ac:dyDescent="0.25">
      <c r="AS11725" t="s">
        <v>11221</v>
      </c>
    </row>
    <row r="11726" spans="1:77" x14ac:dyDescent="0.25">
      <c r="A11726" t="s">
        <v>11222</v>
      </c>
    </row>
    <row r="11727" spans="1:77" x14ac:dyDescent="0.25">
      <c r="AI11727" t="s">
        <v>10954</v>
      </c>
    </row>
    <row r="11729" spans="1:77" x14ac:dyDescent="0.25">
      <c r="A11729" t="s">
        <v>11223</v>
      </c>
    </row>
    <row r="11731" spans="1:77" x14ac:dyDescent="0.25">
      <c r="BG11731" t="s">
        <v>11224</v>
      </c>
    </row>
    <row r="11732" spans="1:77" x14ac:dyDescent="0.25">
      <c r="AS11732" t="s">
        <v>11225</v>
      </c>
    </row>
    <row r="11733" spans="1:77" x14ac:dyDescent="0.25">
      <c r="BY11733" t="s">
        <v>11226</v>
      </c>
    </row>
    <row r="11736" spans="1:77" x14ac:dyDescent="0.25">
      <c r="A11736" t="s">
        <v>11227</v>
      </c>
    </row>
    <row r="11737" spans="1:77" x14ac:dyDescent="0.25">
      <c r="A11737" t="s">
        <v>11228</v>
      </c>
    </row>
    <row r="11738" spans="1:77" x14ac:dyDescent="0.25">
      <c r="AS11738" t="s">
        <v>11229</v>
      </c>
    </row>
    <row r="11740" spans="1:77" x14ac:dyDescent="0.25">
      <c r="A11740" t="s">
        <v>11230</v>
      </c>
    </row>
    <row r="11741" spans="1:77" x14ac:dyDescent="0.25">
      <c r="A11741" t="s">
        <v>11231</v>
      </c>
    </row>
    <row r="11742" spans="1:77" x14ac:dyDescent="0.25">
      <c r="AI11742" t="s">
        <v>11232</v>
      </c>
    </row>
    <row r="11744" spans="1:77" x14ac:dyDescent="0.25">
      <c r="A11744" t="s">
        <v>11233</v>
      </c>
      <c r="AM11744" t="s">
        <v>11234</v>
      </c>
    </row>
    <row r="11745" spans="1:75" x14ac:dyDescent="0.25">
      <c r="A11745">
        <v>11</v>
      </c>
    </row>
    <row r="11746" spans="1:75" x14ac:dyDescent="0.25">
      <c r="A11746" t="s">
        <v>10921</v>
      </c>
      <c r="N11746" t="s">
        <v>2225</v>
      </c>
      <c r="AI11746" t="s">
        <v>10922</v>
      </c>
      <c r="AQ11746" t="s">
        <v>10921</v>
      </c>
      <c r="AY11746" t="s">
        <v>2225</v>
      </c>
      <c r="BW11746" t="s">
        <v>10922</v>
      </c>
    </row>
    <row r="11747" spans="1:75" x14ac:dyDescent="0.25">
      <c r="A11747" t="s">
        <v>11235</v>
      </c>
      <c r="N11747" t="s">
        <v>11236</v>
      </c>
      <c r="AI11747" t="s">
        <v>11237</v>
      </c>
      <c r="AQ11747" t="s">
        <v>11238</v>
      </c>
      <c r="AY11747" t="s">
        <v>11239</v>
      </c>
      <c r="BW11747" t="s">
        <v>11240</v>
      </c>
    </row>
    <row r="11749" spans="1:75" x14ac:dyDescent="0.25">
      <c r="AS11749" t="s">
        <v>11241</v>
      </c>
    </row>
    <row r="11751" spans="1:75" x14ac:dyDescent="0.25">
      <c r="A11751" t="s">
        <v>2872</v>
      </c>
    </row>
    <row r="11753" spans="1:75" x14ac:dyDescent="0.25">
      <c r="A11753">
        <v>150007</v>
      </c>
      <c r="O11753" t="s">
        <v>11242</v>
      </c>
      <c r="AI11753" t="s">
        <v>11240</v>
      </c>
      <c r="AS11753" t="s">
        <v>11243</v>
      </c>
    </row>
    <row r="11754" spans="1:75" x14ac:dyDescent="0.25">
      <c r="A11754" t="s">
        <v>11244</v>
      </c>
      <c r="O11754" t="s">
        <v>11245</v>
      </c>
      <c r="AI11754" t="s">
        <v>11246</v>
      </c>
      <c r="AS11754" t="s">
        <v>11247</v>
      </c>
    </row>
    <row r="11755" spans="1:75" x14ac:dyDescent="0.25">
      <c r="A11755">
        <v>150003</v>
      </c>
      <c r="O11755" t="s">
        <v>11248</v>
      </c>
      <c r="AI11755" t="s">
        <v>11240</v>
      </c>
      <c r="AS11755" t="s">
        <v>11249</v>
      </c>
    </row>
    <row r="11756" spans="1:75" x14ac:dyDescent="0.25">
      <c r="A11756" t="s">
        <v>11250</v>
      </c>
      <c r="O11756" t="s">
        <v>11251</v>
      </c>
      <c r="AI11756" t="s">
        <v>11252</v>
      </c>
      <c r="AS11756">
        <v>121106035</v>
      </c>
    </row>
    <row r="11757" spans="1:75" x14ac:dyDescent="0.25">
      <c r="AP11757">
        <v>12</v>
      </c>
    </row>
    <row r="11762" spans="1:76" x14ac:dyDescent="0.25">
      <c r="A11762" t="s">
        <v>10963</v>
      </c>
    </row>
    <row r="11764" spans="1:76" x14ac:dyDescent="0.25">
      <c r="AS11764" t="s">
        <v>11253</v>
      </c>
    </row>
    <row r="11765" spans="1:76" x14ac:dyDescent="0.25">
      <c r="O11765" t="s">
        <v>11254</v>
      </c>
      <c r="AC11765" t="s">
        <v>11255</v>
      </c>
      <c r="AS11765" t="s">
        <v>11256</v>
      </c>
      <c r="BG11765" t="s">
        <v>11257</v>
      </c>
      <c r="BX11765" t="s">
        <v>11258</v>
      </c>
    </row>
    <row r="11766" spans="1:76" x14ac:dyDescent="0.25">
      <c r="O11766" t="s">
        <v>11259</v>
      </c>
      <c r="AC11766" t="s">
        <v>11255</v>
      </c>
      <c r="AS11766" t="s">
        <v>11260</v>
      </c>
      <c r="BG11766" t="s">
        <v>11261</v>
      </c>
      <c r="BX11766" t="s">
        <v>11262</v>
      </c>
    </row>
    <row r="11767" spans="1:76" x14ac:dyDescent="0.25">
      <c r="BG11767" t="s">
        <v>11263</v>
      </c>
    </row>
    <row r="11768" spans="1:76" x14ac:dyDescent="0.25">
      <c r="O11768" t="s">
        <v>11264</v>
      </c>
      <c r="AC11768" t="s">
        <v>11265</v>
      </c>
      <c r="AS11768" t="s">
        <v>11266</v>
      </c>
      <c r="BG11768" t="s">
        <v>11267</v>
      </c>
      <c r="BX11768" t="s">
        <v>11258</v>
      </c>
    </row>
    <row r="11769" spans="1:76" x14ac:dyDescent="0.25">
      <c r="BG11769" t="s">
        <v>11268</v>
      </c>
    </row>
    <row r="11770" spans="1:76" x14ac:dyDescent="0.25">
      <c r="BG11770" t="s">
        <v>11263</v>
      </c>
    </row>
    <row r="11771" spans="1:76" x14ac:dyDescent="0.25">
      <c r="O11771" t="s">
        <v>11269</v>
      </c>
      <c r="AC11771" t="s">
        <v>11270</v>
      </c>
      <c r="AS11771" t="s">
        <v>11271</v>
      </c>
      <c r="BG11771" t="s">
        <v>11267</v>
      </c>
      <c r="BX11771" t="s">
        <v>11262</v>
      </c>
    </row>
    <row r="11772" spans="1:76" x14ac:dyDescent="0.25">
      <c r="BG11772" t="s">
        <v>11268</v>
      </c>
    </row>
    <row r="11773" spans="1:76" x14ac:dyDescent="0.25">
      <c r="O11773" t="s">
        <v>11272</v>
      </c>
      <c r="AC11773" t="s">
        <v>10965</v>
      </c>
      <c r="AS11773" t="s">
        <v>11273</v>
      </c>
      <c r="BG11773" t="s">
        <v>11274</v>
      </c>
      <c r="BX11773" t="s">
        <v>11275</v>
      </c>
    </row>
    <row r="11774" spans="1:76" x14ac:dyDescent="0.25">
      <c r="AS11774" t="s">
        <v>11276</v>
      </c>
    </row>
    <row r="11775" spans="1:76" x14ac:dyDescent="0.25">
      <c r="A11775">
        <v>13</v>
      </c>
    </row>
    <row r="11779" spans="1:84" x14ac:dyDescent="0.25">
      <c r="G11779" t="s">
        <v>10963</v>
      </c>
    </row>
    <row r="11781" spans="1:84" x14ac:dyDescent="0.25">
      <c r="A11781" t="s">
        <v>11277</v>
      </c>
      <c r="AX11781" t="s">
        <v>11278</v>
      </c>
      <c r="BL11781" t="s">
        <v>11279</v>
      </c>
      <c r="CF11781" t="s">
        <v>11280</v>
      </c>
    </row>
    <row r="11782" spans="1:84" x14ac:dyDescent="0.25">
      <c r="BL11782" t="s">
        <v>11281</v>
      </c>
    </row>
    <row r="11783" spans="1:84" x14ac:dyDescent="0.25">
      <c r="A11783" t="s">
        <v>11282</v>
      </c>
      <c r="AX11783" t="s">
        <v>11283</v>
      </c>
      <c r="BL11783" t="s">
        <v>11284</v>
      </c>
      <c r="CF11783" t="s">
        <v>11285</v>
      </c>
    </row>
    <row r="11784" spans="1:84" x14ac:dyDescent="0.25">
      <c r="A11784" t="s">
        <v>11286</v>
      </c>
      <c r="AX11784" t="s">
        <v>11287</v>
      </c>
      <c r="BL11784" t="s">
        <v>11288</v>
      </c>
      <c r="CF11784" t="s">
        <v>11289</v>
      </c>
    </row>
    <row r="11785" spans="1:84" x14ac:dyDescent="0.25">
      <c r="A11785" t="s">
        <v>11290</v>
      </c>
      <c r="AX11785" t="s">
        <v>11291</v>
      </c>
      <c r="BL11785" t="s">
        <v>11292</v>
      </c>
      <c r="CF11785" t="s">
        <v>11293</v>
      </c>
    </row>
    <row r="11786" spans="1:84" x14ac:dyDescent="0.25">
      <c r="A11786" t="s">
        <v>11294</v>
      </c>
      <c r="AX11786" t="s">
        <v>11295</v>
      </c>
      <c r="BL11786" t="s">
        <v>11296</v>
      </c>
      <c r="CF11786" t="s">
        <v>11297</v>
      </c>
    </row>
    <row r="11788" spans="1:84" x14ac:dyDescent="0.25">
      <c r="G11788" t="s">
        <v>7507</v>
      </c>
    </row>
    <row r="11789" spans="1:84" x14ac:dyDescent="0.25">
      <c r="V11789" t="s">
        <v>11298</v>
      </c>
    </row>
    <row r="11790" spans="1:84" x14ac:dyDescent="0.25">
      <c r="A11790">
        <v>98315</v>
      </c>
      <c r="AM11790" t="s">
        <v>11299</v>
      </c>
    </row>
    <row r="11792" spans="1:84" x14ac:dyDescent="0.25">
      <c r="A11792">
        <v>14</v>
      </c>
    </row>
    <row r="11796" spans="1:119" x14ac:dyDescent="0.25">
      <c r="A11796" t="s">
        <v>11300</v>
      </c>
    </row>
    <row r="11797" spans="1:119" x14ac:dyDescent="0.25">
      <c r="A11797" t="s">
        <v>11301</v>
      </c>
      <c r="DK11797" t="s">
        <v>11300</v>
      </c>
    </row>
    <row r="11799" spans="1:119" x14ac:dyDescent="0.25">
      <c r="A11799" t="s">
        <v>11302</v>
      </c>
    </row>
    <row r="11801" spans="1:119" x14ac:dyDescent="0.25">
      <c r="A11801" t="s">
        <v>11301</v>
      </c>
    </row>
    <row r="11802" spans="1:119" x14ac:dyDescent="0.25">
      <c r="DO11802" t="s">
        <v>11300</v>
      </c>
    </row>
    <row r="11803" spans="1:119" x14ac:dyDescent="0.25">
      <c r="F11803" t="s">
        <v>11303</v>
      </c>
      <c r="AG11803" t="s">
        <v>11304</v>
      </c>
      <c r="BG11803" t="s">
        <v>11305</v>
      </c>
      <c r="BW11803" t="s">
        <v>11306</v>
      </c>
      <c r="CO11803" t="s">
        <v>11307</v>
      </c>
      <c r="DB11803" t="s">
        <v>11308</v>
      </c>
    </row>
    <row r="11804" spans="1:119" x14ac:dyDescent="0.25">
      <c r="AG11804" t="s">
        <v>11309</v>
      </c>
      <c r="BG11804" t="s">
        <v>11310</v>
      </c>
      <c r="BW11804" t="s">
        <v>11311</v>
      </c>
      <c r="CO11804" t="s">
        <v>11312</v>
      </c>
      <c r="DB11804" t="s">
        <v>11313</v>
      </c>
    </row>
    <row r="11805" spans="1:119" x14ac:dyDescent="0.25">
      <c r="AG11805" t="s">
        <v>11314</v>
      </c>
    </row>
    <row r="11806" spans="1:119" x14ac:dyDescent="0.25">
      <c r="F11806" t="s">
        <v>11315</v>
      </c>
      <c r="AG11806" t="s">
        <v>11316</v>
      </c>
      <c r="BG11806" t="s">
        <v>11317</v>
      </c>
      <c r="BW11806" t="s">
        <v>11318</v>
      </c>
      <c r="CO11806" t="s">
        <v>11319</v>
      </c>
      <c r="DB11806" t="s">
        <v>5991</v>
      </c>
    </row>
    <row r="11807" spans="1:119" x14ac:dyDescent="0.25">
      <c r="BW11807" t="s">
        <v>11320</v>
      </c>
      <c r="CO11807" t="s">
        <v>11321</v>
      </c>
    </row>
    <row r="11809" spans="1:106" x14ac:dyDescent="0.25">
      <c r="BW11809" t="s">
        <v>11322</v>
      </c>
      <c r="CO11809" t="s">
        <v>11323</v>
      </c>
    </row>
    <row r="11810" spans="1:106" x14ac:dyDescent="0.25">
      <c r="BW11810" t="s">
        <v>11324</v>
      </c>
      <c r="CO11810" t="s">
        <v>11325</v>
      </c>
    </row>
    <row r="11811" spans="1:106" x14ac:dyDescent="0.25">
      <c r="F11811" t="s">
        <v>11326</v>
      </c>
      <c r="AG11811" t="s">
        <v>11327</v>
      </c>
      <c r="BG11811" t="s">
        <v>11328</v>
      </c>
      <c r="BW11811" t="s">
        <v>11329</v>
      </c>
      <c r="CO11811" t="s">
        <v>11330</v>
      </c>
      <c r="DB11811" t="s">
        <v>11331</v>
      </c>
    </row>
    <row r="11814" spans="1:106" x14ac:dyDescent="0.25">
      <c r="A11814" t="s">
        <v>11332</v>
      </c>
    </row>
    <row r="11815" spans="1:106" x14ac:dyDescent="0.25">
      <c r="A11815" t="s">
        <v>11333</v>
      </c>
    </row>
    <row r="11816" spans="1:106" x14ac:dyDescent="0.25">
      <c r="A11816" t="s">
        <v>11334</v>
      </c>
    </row>
    <row r="11817" spans="1:106" x14ac:dyDescent="0.25">
      <c r="A11817" t="s">
        <v>11335</v>
      </c>
      <c r="CK11817" t="s">
        <v>11300</v>
      </c>
    </row>
    <row r="11818" spans="1:106" x14ac:dyDescent="0.25">
      <c r="A11818" t="s">
        <v>11336</v>
      </c>
      <c r="AH11818" t="s">
        <v>11337</v>
      </c>
    </row>
    <row r="11819" spans="1:106" x14ac:dyDescent="0.25">
      <c r="A11819" t="s">
        <v>11318</v>
      </c>
    </row>
    <row r="11820" spans="1:106" x14ac:dyDescent="0.25">
      <c r="A11820" t="s">
        <v>11338</v>
      </c>
    </row>
    <row r="11821" spans="1:106" x14ac:dyDescent="0.25">
      <c r="A11821" t="s">
        <v>11339</v>
      </c>
    </row>
    <row r="11824" spans="1:106" x14ac:dyDescent="0.25">
      <c r="A11824" t="s">
        <v>11340</v>
      </c>
    </row>
    <row r="11825" spans="1:43" x14ac:dyDescent="0.25">
      <c r="A11825" t="s">
        <v>11333</v>
      </c>
    </row>
    <row r="11826" spans="1:43" x14ac:dyDescent="0.25">
      <c r="A11826" t="s">
        <v>11341</v>
      </c>
    </row>
    <row r="11827" spans="1:43" x14ac:dyDescent="0.25">
      <c r="A11827" t="s">
        <v>11342</v>
      </c>
    </row>
    <row r="11828" spans="1:43" x14ac:dyDescent="0.25">
      <c r="V11828" t="s">
        <v>11343</v>
      </c>
    </row>
    <row r="11829" spans="1:43" x14ac:dyDescent="0.25">
      <c r="A11829" t="s">
        <v>11344</v>
      </c>
    </row>
    <row r="11830" spans="1:43" x14ac:dyDescent="0.25">
      <c r="AM11830" t="s">
        <v>11345</v>
      </c>
    </row>
    <row r="11831" spans="1:43" x14ac:dyDescent="0.25">
      <c r="AM11831" t="s">
        <v>1823</v>
      </c>
    </row>
    <row r="11832" spans="1:43" x14ac:dyDescent="0.25">
      <c r="AQ11832" t="s">
        <v>11338</v>
      </c>
    </row>
    <row r="11834" spans="1:43" x14ac:dyDescent="0.25">
      <c r="A11834" t="s">
        <v>11339</v>
      </c>
    </row>
    <row r="11837" spans="1:43" x14ac:dyDescent="0.25">
      <c r="A11837" t="s">
        <v>11333</v>
      </c>
      <c r="AF11837" t="s">
        <v>11340</v>
      </c>
    </row>
    <row r="11838" spans="1:43" x14ac:dyDescent="0.25">
      <c r="L11838" t="s">
        <v>11346</v>
      </c>
    </row>
    <row r="11839" spans="1:43" x14ac:dyDescent="0.25">
      <c r="A11839" t="s">
        <v>11342</v>
      </c>
    </row>
    <row r="11840" spans="1:43" x14ac:dyDescent="0.25">
      <c r="V11840" t="s">
        <v>11343</v>
      </c>
    </row>
    <row r="11841" spans="1:62" x14ac:dyDescent="0.25">
      <c r="A11841" t="s">
        <v>11344</v>
      </c>
      <c r="AH11841" t="s">
        <v>11347</v>
      </c>
    </row>
    <row r="11842" spans="1:62" x14ac:dyDescent="0.25">
      <c r="A11842" t="s">
        <v>11339</v>
      </c>
    </row>
    <row r="11845" spans="1:62" x14ac:dyDescent="0.25">
      <c r="A11845" t="s">
        <v>11348</v>
      </c>
    </row>
    <row r="11846" spans="1:62" x14ac:dyDescent="0.25">
      <c r="A11846" t="s">
        <v>11333</v>
      </c>
    </row>
    <row r="11847" spans="1:62" x14ac:dyDescent="0.25">
      <c r="A11847" t="s">
        <v>11349</v>
      </c>
    </row>
    <row r="11848" spans="1:62" x14ac:dyDescent="0.25">
      <c r="A11848" t="s">
        <v>11342</v>
      </c>
    </row>
    <row r="11849" spans="1:62" x14ac:dyDescent="0.25">
      <c r="A11849" t="s">
        <v>11350</v>
      </c>
      <c r="AO11849" t="s">
        <v>11351</v>
      </c>
    </row>
    <row r="11850" spans="1:62" x14ac:dyDescent="0.25">
      <c r="M11850" t="s">
        <v>11352</v>
      </c>
      <c r="AM11850" t="s">
        <v>11347</v>
      </c>
      <c r="BJ11850" t="s">
        <v>11353</v>
      </c>
    </row>
    <row r="11851" spans="1:62" x14ac:dyDescent="0.25">
      <c r="AM11851" t="s">
        <v>1823</v>
      </c>
    </row>
    <row r="11852" spans="1:62" x14ac:dyDescent="0.25">
      <c r="AQ11852" t="s">
        <v>11338</v>
      </c>
    </row>
    <row r="11855" spans="1:62" x14ac:dyDescent="0.25">
      <c r="A11855" t="s">
        <v>11339</v>
      </c>
    </row>
    <row r="11858" spans="1:69" x14ac:dyDescent="0.25">
      <c r="A11858" t="s">
        <v>11354</v>
      </c>
    </row>
    <row r="11859" spans="1:69" x14ac:dyDescent="0.25">
      <c r="A11859" t="s">
        <v>11333</v>
      </c>
    </row>
    <row r="11860" spans="1:69" x14ac:dyDescent="0.25">
      <c r="A11860" t="s">
        <v>11355</v>
      </c>
    </row>
    <row r="11861" spans="1:69" x14ac:dyDescent="0.25">
      <c r="A11861" t="s">
        <v>11342</v>
      </c>
    </row>
    <row r="11862" spans="1:69" x14ac:dyDescent="0.25">
      <c r="A11862" t="s">
        <v>11356</v>
      </c>
      <c r="BH11862" t="s">
        <v>11351</v>
      </c>
    </row>
    <row r="11863" spans="1:69" x14ac:dyDescent="0.25">
      <c r="A11863" t="s">
        <v>11357</v>
      </c>
      <c r="AI11863" t="s">
        <v>11358</v>
      </c>
      <c r="BQ11863" t="s">
        <v>11353</v>
      </c>
    </row>
    <row r="11864" spans="1:69" x14ac:dyDescent="0.25">
      <c r="A11864" t="s">
        <v>11338</v>
      </c>
    </row>
    <row r="11865" spans="1:69" x14ac:dyDescent="0.25">
      <c r="A11865" t="s">
        <v>11339</v>
      </c>
    </row>
    <row r="11868" spans="1:69" x14ac:dyDescent="0.25">
      <c r="A11868" t="s">
        <v>11359</v>
      </c>
    </row>
    <row r="11869" spans="1:69" x14ac:dyDescent="0.25">
      <c r="A11869" t="s">
        <v>11333</v>
      </c>
    </row>
    <row r="11870" spans="1:69" x14ac:dyDescent="0.25">
      <c r="L11870" t="s">
        <v>11349</v>
      </c>
    </row>
    <row r="11871" spans="1:69" x14ac:dyDescent="0.25">
      <c r="A11871" t="s">
        <v>11342</v>
      </c>
    </row>
    <row r="11872" spans="1:69" x14ac:dyDescent="0.25">
      <c r="A11872" t="s">
        <v>11356</v>
      </c>
      <c r="AM11872" t="s">
        <v>5190</v>
      </c>
    </row>
    <row r="11873" spans="1:91" x14ac:dyDescent="0.25">
      <c r="L11873" t="s">
        <v>11357</v>
      </c>
      <c r="AI11873" t="s">
        <v>11360</v>
      </c>
    </row>
    <row r="11874" spans="1:91" x14ac:dyDescent="0.25">
      <c r="CM11874" t="s">
        <v>11361</v>
      </c>
    </row>
    <row r="11876" spans="1:91" x14ac:dyDescent="0.25">
      <c r="AQ11876" t="s">
        <v>11338</v>
      </c>
    </row>
    <row r="11878" spans="1:91" x14ac:dyDescent="0.25">
      <c r="A11878" t="s">
        <v>11339</v>
      </c>
    </row>
    <row r="11881" spans="1:91" x14ac:dyDescent="0.25">
      <c r="A11881" t="s">
        <v>11333</v>
      </c>
      <c r="AF11881" t="s">
        <v>11362</v>
      </c>
    </row>
    <row r="11882" spans="1:91" x14ac:dyDescent="0.25">
      <c r="L11882" t="s">
        <v>11363</v>
      </c>
    </row>
    <row r="11883" spans="1:91" x14ac:dyDescent="0.25">
      <c r="A11883" t="s">
        <v>11364</v>
      </c>
      <c r="AU11883" t="s">
        <v>11300</v>
      </c>
    </row>
    <row r="11884" spans="1:91" x14ac:dyDescent="0.25">
      <c r="A11884" t="s">
        <v>11365</v>
      </c>
    </row>
    <row r="11885" spans="1:91" x14ac:dyDescent="0.25">
      <c r="A11885" t="s">
        <v>11339</v>
      </c>
    </row>
    <row r="11888" spans="1:91" x14ac:dyDescent="0.25">
      <c r="A11888" t="s">
        <v>11333</v>
      </c>
      <c r="AF11888" t="s">
        <v>11366</v>
      </c>
      <c r="BS11888" t="s">
        <v>11367</v>
      </c>
    </row>
    <row r="11889" spans="1:86" x14ac:dyDescent="0.25">
      <c r="A11889" t="s">
        <v>11368</v>
      </c>
      <c r="AU11889" t="s">
        <v>11369</v>
      </c>
      <c r="CH11889" t="s">
        <v>11300</v>
      </c>
    </row>
    <row r="11890" spans="1:86" x14ac:dyDescent="0.25">
      <c r="A11890" t="s">
        <v>11370</v>
      </c>
    </row>
    <row r="11891" spans="1:86" x14ac:dyDescent="0.25">
      <c r="A11891" t="s">
        <v>11371</v>
      </c>
    </row>
    <row r="11892" spans="1:86" x14ac:dyDescent="0.25">
      <c r="A11892" t="s">
        <v>11372</v>
      </c>
    </row>
    <row r="11895" spans="1:86" x14ac:dyDescent="0.25">
      <c r="A11895" t="s">
        <v>11373</v>
      </c>
    </row>
    <row r="11896" spans="1:86" x14ac:dyDescent="0.25">
      <c r="A11896" t="s">
        <v>11351</v>
      </c>
      <c r="AV11896" t="s">
        <v>5190</v>
      </c>
    </row>
    <row r="11898" spans="1:86" x14ac:dyDescent="0.25">
      <c r="F11898" t="s">
        <v>11374</v>
      </c>
      <c r="W11898" t="s">
        <v>11375</v>
      </c>
      <c r="AO11898" t="s">
        <v>11374</v>
      </c>
      <c r="BE11898" t="s">
        <v>11376</v>
      </c>
    </row>
    <row r="11899" spans="1:86" x14ac:dyDescent="0.25">
      <c r="F11899" t="s">
        <v>11374</v>
      </c>
      <c r="W11899" t="s">
        <v>11377</v>
      </c>
      <c r="AO11899" t="s">
        <v>11374</v>
      </c>
      <c r="BE11899" t="s">
        <v>11378</v>
      </c>
    </row>
    <row r="11900" spans="1:86" x14ac:dyDescent="0.25">
      <c r="F11900" t="s">
        <v>11374</v>
      </c>
      <c r="W11900" t="s">
        <v>11379</v>
      </c>
      <c r="AO11900" t="s">
        <v>11380</v>
      </c>
      <c r="BE11900" t="s">
        <v>11381</v>
      </c>
    </row>
    <row r="11901" spans="1:86" x14ac:dyDescent="0.25">
      <c r="F11901" t="s">
        <v>11380</v>
      </c>
      <c r="W11901" t="s">
        <v>11382</v>
      </c>
      <c r="AO11901" t="s">
        <v>11380</v>
      </c>
      <c r="BE11901" t="s">
        <v>11383</v>
      </c>
    </row>
    <row r="11902" spans="1:86" x14ac:dyDescent="0.25">
      <c r="F11902" t="s">
        <v>11380</v>
      </c>
      <c r="W11902" t="s">
        <v>11384</v>
      </c>
      <c r="AO11902" t="s">
        <v>11380</v>
      </c>
      <c r="BE11902" t="s">
        <v>11385</v>
      </c>
    </row>
    <row r="11903" spans="1:86" x14ac:dyDescent="0.25">
      <c r="F11903" t="s">
        <v>11380</v>
      </c>
      <c r="W11903" t="s">
        <v>11386</v>
      </c>
      <c r="AO11903" t="s">
        <v>11380</v>
      </c>
      <c r="BE11903" t="s">
        <v>11387</v>
      </c>
    </row>
    <row r="11904" spans="1:86" x14ac:dyDescent="0.25">
      <c r="F11904" t="s">
        <v>11380</v>
      </c>
      <c r="W11904" t="s">
        <v>11388</v>
      </c>
      <c r="AO11904" t="s">
        <v>11380</v>
      </c>
      <c r="BE11904" t="s">
        <v>11389</v>
      </c>
    </row>
    <row r="11905" spans="6:119" x14ac:dyDescent="0.25">
      <c r="F11905" t="s">
        <v>11380</v>
      </c>
      <c r="W11905" t="s">
        <v>11390</v>
      </c>
      <c r="AO11905" t="s">
        <v>11380</v>
      </c>
      <c r="BE11905" t="s">
        <v>11391</v>
      </c>
    </row>
    <row r="11906" spans="6:119" x14ac:dyDescent="0.25">
      <c r="F11906" t="s">
        <v>11380</v>
      </c>
      <c r="W11906" t="s">
        <v>11392</v>
      </c>
      <c r="AO11906" t="s">
        <v>11393</v>
      </c>
      <c r="BE11906" t="s">
        <v>11394</v>
      </c>
    </row>
    <row r="11907" spans="6:119" x14ac:dyDescent="0.25">
      <c r="DO11907" t="s">
        <v>11300</v>
      </c>
    </row>
    <row r="11908" spans="6:119" x14ac:dyDescent="0.25">
      <c r="F11908" t="s">
        <v>11395</v>
      </c>
      <c r="W11908" t="s">
        <v>11396</v>
      </c>
      <c r="AO11908" t="s">
        <v>11393</v>
      </c>
      <c r="BE11908" t="s">
        <v>11397</v>
      </c>
    </row>
    <row r="11909" spans="6:119" x14ac:dyDescent="0.25">
      <c r="F11909" t="s">
        <v>11395</v>
      </c>
      <c r="W11909" t="s">
        <v>11398</v>
      </c>
      <c r="AO11909" t="s">
        <v>11393</v>
      </c>
      <c r="BE11909" t="s">
        <v>11399</v>
      </c>
    </row>
    <row r="11910" spans="6:119" x14ac:dyDescent="0.25">
      <c r="F11910" t="s">
        <v>11395</v>
      </c>
      <c r="W11910" t="s">
        <v>11400</v>
      </c>
      <c r="AO11910" t="s">
        <v>11393</v>
      </c>
      <c r="BE11910" t="s">
        <v>11401</v>
      </c>
    </row>
    <row r="11911" spans="6:119" x14ac:dyDescent="0.25">
      <c r="F11911" t="s">
        <v>11393</v>
      </c>
      <c r="W11911" t="s">
        <v>11402</v>
      </c>
      <c r="AO11911" t="s">
        <v>11403</v>
      </c>
      <c r="BE11911" t="s">
        <v>11404</v>
      </c>
    </row>
    <row r="11912" spans="6:119" x14ac:dyDescent="0.25">
      <c r="F11912" t="s">
        <v>11393</v>
      </c>
      <c r="W11912" t="s">
        <v>11405</v>
      </c>
      <c r="AO11912" t="s">
        <v>11403</v>
      </c>
      <c r="BE11912" t="s">
        <v>11406</v>
      </c>
    </row>
    <row r="11913" spans="6:119" x14ac:dyDescent="0.25">
      <c r="F11913" t="s">
        <v>11393</v>
      </c>
      <c r="W11913" t="s">
        <v>11407</v>
      </c>
      <c r="AO11913" t="s">
        <v>11403</v>
      </c>
      <c r="BE11913" t="s">
        <v>11408</v>
      </c>
    </row>
    <row r="11914" spans="6:119" x14ac:dyDescent="0.25">
      <c r="F11914" t="s">
        <v>11393</v>
      </c>
      <c r="W11914" t="s">
        <v>11409</v>
      </c>
      <c r="AO11914" t="s">
        <v>11403</v>
      </c>
      <c r="BE11914" t="s">
        <v>11410</v>
      </c>
    </row>
    <row r="11915" spans="6:119" x14ac:dyDescent="0.25">
      <c r="F11915" t="s">
        <v>11393</v>
      </c>
      <c r="W11915" t="s">
        <v>11411</v>
      </c>
      <c r="AO11915" t="s">
        <v>11403</v>
      </c>
      <c r="BE11915" t="s">
        <v>11412</v>
      </c>
    </row>
    <row r="11916" spans="6:119" x14ac:dyDescent="0.25">
      <c r="F11916" t="s">
        <v>11403</v>
      </c>
      <c r="W11916" t="s">
        <v>11413</v>
      </c>
      <c r="AO11916" t="s">
        <v>11403</v>
      </c>
      <c r="BE11916" t="s">
        <v>11414</v>
      </c>
    </row>
    <row r="11917" spans="6:119" x14ac:dyDescent="0.25">
      <c r="F11917" t="s">
        <v>11403</v>
      </c>
      <c r="W11917" t="s">
        <v>11415</v>
      </c>
      <c r="AO11917" t="s">
        <v>11416</v>
      </c>
      <c r="BE11917" t="s">
        <v>11417</v>
      </c>
    </row>
    <row r="11918" spans="6:119" x14ac:dyDescent="0.25">
      <c r="F11918" t="s">
        <v>11403</v>
      </c>
      <c r="W11918" t="s">
        <v>11418</v>
      </c>
      <c r="AO11918" t="s">
        <v>11416</v>
      </c>
      <c r="BE11918" t="s">
        <v>11419</v>
      </c>
    </row>
    <row r="11919" spans="6:119" x14ac:dyDescent="0.25">
      <c r="F11919" t="s">
        <v>11403</v>
      </c>
      <c r="W11919" t="s">
        <v>11420</v>
      </c>
      <c r="AO11919" t="s">
        <v>11416</v>
      </c>
      <c r="BE11919" t="s">
        <v>11421</v>
      </c>
    </row>
    <row r="11920" spans="6:119" x14ac:dyDescent="0.25">
      <c r="F11920" t="s">
        <v>11403</v>
      </c>
      <c r="W11920" t="s">
        <v>11422</v>
      </c>
      <c r="AO11920" t="s">
        <v>11416</v>
      </c>
      <c r="BE11920" t="s">
        <v>11423</v>
      </c>
    </row>
    <row r="11922" spans="1:23" x14ac:dyDescent="0.25">
      <c r="F11922" t="s">
        <v>11403</v>
      </c>
      <c r="W11922" t="s">
        <v>11424</v>
      </c>
    </row>
    <row r="11923" spans="1:23" x14ac:dyDescent="0.25">
      <c r="F11923" t="s">
        <v>11416</v>
      </c>
      <c r="W11923" t="s">
        <v>11425</v>
      </c>
    </row>
    <row r="11924" spans="1:23" x14ac:dyDescent="0.25">
      <c r="F11924" t="s">
        <v>11416</v>
      </c>
      <c r="W11924" t="s">
        <v>11426</v>
      </c>
    </row>
    <row r="11925" spans="1:23" x14ac:dyDescent="0.25">
      <c r="F11925" t="s">
        <v>11416</v>
      </c>
      <c r="W11925" t="s">
        <v>11427</v>
      </c>
    </row>
    <row r="11926" spans="1:23" x14ac:dyDescent="0.25">
      <c r="F11926" t="s">
        <v>11416</v>
      </c>
      <c r="W11926" t="s">
        <v>11428</v>
      </c>
    </row>
    <row r="11927" spans="1:23" x14ac:dyDescent="0.25">
      <c r="F11927" t="s">
        <v>11416</v>
      </c>
      <c r="W11927" t="s">
        <v>11429</v>
      </c>
    </row>
    <row r="11932" spans="1:23" x14ac:dyDescent="0.25">
      <c r="A11932" t="s">
        <v>11430</v>
      </c>
    </row>
    <row r="11933" spans="1:23" x14ac:dyDescent="0.25">
      <c r="A11933" t="s">
        <v>11333</v>
      </c>
    </row>
    <row r="11934" spans="1:23" x14ac:dyDescent="0.25">
      <c r="L11934" t="s">
        <v>11431</v>
      </c>
    </row>
    <row r="11935" spans="1:23" x14ac:dyDescent="0.25">
      <c r="A11935" t="s">
        <v>2872</v>
      </c>
      <c r="V11935" t="s">
        <v>11432</v>
      </c>
    </row>
    <row r="11936" spans="1:23" x14ac:dyDescent="0.25">
      <c r="A11936" t="s">
        <v>11433</v>
      </c>
    </row>
    <row r="11937" spans="1:9" x14ac:dyDescent="0.25">
      <c r="A11937" t="s">
        <v>11434</v>
      </c>
    </row>
    <row r="11944" spans="1:9" x14ac:dyDescent="0.25">
      <c r="A11944" t="s">
        <v>11435</v>
      </c>
    </row>
    <row r="11946" spans="1:9" x14ac:dyDescent="0.25">
      <c r="A11946" t="s">
        <v>11436</v>
      </c>
    </row>
    <row r="11948" spans="1:9" x14ac:dyDescent="0.25">
      <c r="I11948" t="s">
        <v>11437</v>
      </c>
    </row>
    <row r="11949" spans="1:9" x14ac:dyDescent="0.25">
      <c r="A11949" t="s">
        <v>11438</v>
      </c>
    </row>
    <row r="11951" spans="1:9" x14ac:dyDescent="0.25">
      <c r="I11951" t="s">
        <v>11439</v>
      </c>
    </row>
    <row r="11953" spans="1:94" x14ac:dyDescent="0.25">
      <c r="I11953" t="s">
        <v>11440</v>
      </c>
    </row>
    <row r="11955" spans="1:94" x14ac:dyDescent="0.25">
      <c r="I11955" t="s">
        <v>11441</v>
      </c>
    </row>
    <row r="11957" spans="1:94" x14ac:dyDescent="0.25">
      <c r="I11957" t="s">
        <v>11442</v>
      </c>
    </row>
    <row r="11958" spans="1:94" x14ac:dyDescent="0.25">
      <c r="BJ11958" t="s">
        <v>11443</v>
      </c>
      <c r="BQ11958" t="s">
        <v>11444</v>
      </c>
    </row>
    <row r="11961" spans="1:94" x14ac:dyDescent="0.25">
      <c r="I11961" t="s">
        <v>11445</v>
      </c>
    </row>
    <row r="11963" spans="1:94" x14ac:dyDescent="0.25">
      <c r="I11963" t="s">
        <v>11446</v>
      </c>
    </row>
    <row r="11964" spans="1:94" x14ac:dyDescent="0.25">
      <c r="I11964" t="s">
        <v>5194</v>
      </c>
    </row>
    <row r="11966" spans="1:94" x14ac:dyDescent="0.25">
      <c r="CP11966" t="s">
        <v>11438</v>
      </c>
    </row>
    <row r="11967" spans="1:94" x14ac:dyDescent="0.25">
      <c r="A11967" t="s">
        <v>11447</v>
      </c>
      <c r="BT11967" t="s">
        <v>11448</v>
      </c>
    </row>
    <row r="11968" spans="1:94" x14ac:dyDescent="0.25">
      <c r="BT11968" t="s">
        <v>11449</v>
      </c>
      <c r="CD11968" t="s">
        <v>11450</v>
      </c>
    </row>
    <row r="11969" spans="1:90" x14ac:dyDescent="0.25">
      <c r="A11969" t="s">
        <v>11451</v>
      </c>
      <c r="W11969" t="s">
        <v>11452</v>
      </c>
      <c r="AG11969" t="s">
        <v>11453</v>
      </c>
      <c r="AS11969" t="s">
        <v>11454</v>
      </c>
    </row>
    <row r="11970" spans="1:90" x14ac:dyDescent="0.25">
      <c r="AG11970" t="s">
        <v>11455</v>
      </c>
    </row>
    <row r="11971" spans="1:90" x14ac:dyDescent="0.25">
      <c r="A11971" t="s">
        <v>11456</v>
      </c>
      <c r="W11971" t="s">
        <v>8457</v>
      </c>
      <c r="AG11971" t="s">
        <v>11457</v>
      </c>
    </row>
    <row r="11972" spans="1:90" x14ac:dyDescent="0.25">
      <c r="A11972" t="s">
        <v>11447</v>
      </c>
      <c r="BT11972" t="s">
        <v>11448</v>
      </c>
    </row>
    <row r="11973" spans="1:90" x14ac:dyDescent="0.25">
      <c r="BT11973" t="s">
        <v>11449</v>
      </c>
      <c r="CD11973" t="s">
        <v>11450</v>
      </c>
    </row>
    <row r="11974" spans="1:90" x14ac:dyDescent="0.25">
      <c r="A11974" t="s">
        <v>11451</v>
      </c>
      <c r="W11974" t="s">
        <v>11452</v>
      </c>
      <c r="AG11974" t="s">
        <v>11453</v>
      </c>
      <c r="AS11974" t="s">
        <v>11454</v>
      </c>
    </row>
    <row r="11975" spans="1:90" x14ac:dyDescent="0.25">
      <c r="AG11975" t="s">
        <v>11455</v>
      </c>
    </row>
    <row r="11976" spans="1:90" x14ac:dyDescent="0.25">
      <c r="A11976" t="s">
        <v>11456</v>
      </c>
      <c r="W11976" t="s">
        <v>8457</v>
      </c>
      <c r="AG11976" t="s">
        <v>11457</v>
      </c>
    </row>
    <row r="11977" spans="1:90" x14ac:dyDescent="0.25">
      <c r="A11977" t="s">
        <v>11447</v>
      </c>
      <c r="BT11977" t="s">
        <v>11448</v>
      </c>
    </row>
    <row r="11978" spans="1:90" x14ac:dyDescent="0.25">
      <c r="BT11978" t="s">
        <v>11449</v>
      </c>
      <c r="CD11978" t="s">
        <v>11450</v>
      </c>
    </row>
    <row r="11979" spans="1:90" x14ac:dyDescent="0.25">
      <c r="A11979" t="s">
        <v>11451</v>
      </c>
      <c r="W11979" t="s">
        <v>11452</v>
      </c>
      <c r="AG11979" t="s">
        <v>11453</v>
      </c>
      <c r="AS11979" t="s">
        <v>11454</v>
      </c>
    </row>
    <row r="11980" spans="1:90" x14ac:dyDescent="0.25">
      <c r="AG11980" t="s">
        <v>11455</v>
      </c>
    </row>
    <row r="11981" spans="1:90" x14ac:dyDescent="0.25">
      <c r="A11981" t="s">
        <v>11456</v>
      </c>
      <c r="W11981" t="s">
        <v>8457</v>
      </c>
      <c r="AG11981" t="s">
        <v>11457</v>
      </c>
    </row>
    <row r="11982" spans="1:90" x14ac:dyDescent="0.25">
      <c r="CL11982">
        <v>5</v>
      </c>
    </row>
    <row r="11984" spans="1:90" x14ac:dyDescent="0.25">
      <c r="A11984" t="s">
        <v>11458</v>
      </c>
    </row>
    <row r="11985" spans="1:42" x14ac:dyDescent="0.25">
      <c r="A11985" t="s">
        <v>11459</v>
      </c>
    </row>
    <row r="11986" spans="1:42" x14ac:dyDescent="0.25">
      <c r="A11986" t="s">
        <v>11460</v>
      </c>
      <c r="V11986" t="s">
        <v>11461</v>
      </c>
      <c r="AJ11986" t="s">
        <v>11462</v>
      </c>
    </row>
    <row r="11987" spans="1:42" x14ac:dyDescent="0.25">
      <c r="A11987" t="s">
        <v>11463</v>
      </c>
    </row>
    <row r="11989" spans="1:42" x14ac:dyDescent="0.25">
      <c r="A11989">
        <v>6</v>
      </c>
    </row>
    <row r="11993" spans="1:42" x14ac:dyDescent="0.25">
      <c r="A11993" t="s">
        <v>11464</v>
      </c>
    </row>
    <row r="11994" spans="1:42" x14ac:dyDescent="0.25">
      <c r="A11994" t="s">
        <v>11465</v>
      </c>
      <c r="AP11994" t="s">
        <v>11466</v>
      </c>
    </row>
    <row r="11995" spans="1:42" x14ac:dyDescent="0.25">
      <c r="A11995" t="s">
        <v>11467</v>
      </c>
    </row>
    <row r="12001" spans="1:81" x14ac:dyDescent="0.25">
      <c r="A12001">
        <v>7</v>
      </c>
    </row>
    <row r="12004" spans="1:81" x14ac:dyDescent="0.25">
      <c r="A12004" t="s">
        <v>11468</v>
      </c>
    </row>
    <row r="12006" spans="1:81" x14ac:dyDescent="0.25">
      <c r="A12006" t="s">
        <v>11469</v>
      </c>
      <c r="BW12006" t="s">
        <v>11470</v>
      </c>
    </row>
    <row r="12007" spans="1:81" x14ac:dyDescent="0.25">
      <c r="A12007" t="s">
        <v>11471</v>
      </c>
      <c r="AW12007" t="s">
        <v>11472</v>
      </c>
    </row>
    <row r="12008" spans="1:81" x14ac:dyDescent="0.25">
      <c r="A12008" t="s">
        <v>11473</v>
      </c>
    </row>
    <row r="12010" spans="1:81" x14ac:dyDescent="0.25">
      <c r="A12010" t="s">
        <v>2879</v>
      </c>
    </row>
    <row r="12011" spans="1:81" x14ac:dyDescent="0.25">
      <c r="A12011" t="s">
        <v>573</v>
      </c>
      <c r="N12011" t="s">
        <v>11474</v>
      </c>
      <c r="AA12011" t="s">
        <v>745</v>
      </c>
      <c r="AH12011" t="s">
        <v>11475</v>
      </c>
      <c r="AO12011" t="s">
        <v>11476</v>
      </c>
      <c r="AU12011" t="s">
        <v>11477</v>
      </c>
      <c r="BH12011" t="s">
        <v>11478</v>
      </c>
      <c r="BM12011" t="s">
        <v>11479</v>
      </c>
      <c r="BY12011" t="s">
        <v>11480</v>
      </c>
    </row>
    <row r="12012" spans="1:81" x14ac:dyDescent="0.25">
      <c r="N12012" t="s">
        <v>11481</v>
      </c>
      <c r="U12012" t="s">
        <v>11482</v>
      </c>
      <c r="AU12012" t="s">
        <v>11483</v>
      </c>
      <c r="BA12012" t="s">
        <v>11484</v>
      </c>
      <c r="BM12012" t="s">
        <v>11485</v>
      </c>
      <c r="BT12012" t="s">
        <v>11486</v>
      </c>
    </row>
    <row r="12013" spans="1:81" x14ac:dyDescent="0.25">
      <c r="A12013" t="s">
        <v>11487</v>
      </c>
      <c r="S12013" t="s">
        <v>11488</v>
      </c>
      <c r="AF12013" t="s">
        <v>11489</v>
      </c>
      <c r="AY12013" t="s">
        <v>11490</v>
      </c>
      <c r="BL12013" t="s">
        <v>11491</v>
      </c>
      <c r="BU12013" t="s">
        <v>11492</v>
      </c>
      <c r="CC12013" t="s">
        <v>11493</v>
      </c>
    </row>
    <row r="12014" spans="1:81" x14ac:dyDescent="0.25">
      <c r="A12014" t="s">
        <v>2879</v>
      </c>
    </row>
    <row r="12015" spans="1:81" x14ac:dyDescent="0.25">
      <c r="A12015" t="s">
        <v>2879</v>
      </c>
    </row>
    <row r="12016" spans="1:81" x14ac:dyDescent="0.25">
      <c r="A12016" t="s">
        <v>2879</v>
      </c>
    </row>
    <row r="12017" spans="1:81" x14ac:dyDescent="0.25">
      <c r="A12017" t="s">
        <v>2879</v>
      </c>
    </row>
    <row r="12018" spans="1:81" x14ac:dyDescent="0.25">
      <c r="A12018" t="s">
        <v>11494</v>
      </c>
    </row>
    <row r="12019" spans="1:81" x14ac:dyDescent="0.25">
      <c r="A12019" t="s">
        <v>2879</v>
      </c>
    </row>
    <row r="12020" spans="1:81" x14ac:dyDescent="0.25">
      <c r="A12020" t="s">
        <v>2880</v>
      </c>
    </row>
    <row r="12021" spans="1:81" x14ac:dyDescent="0.25">
      <c r="A12021" t="s">
        <v>573</v>
      </c>
      <c r="N12021" t="s">
        <v>11474</v>
      </c>
      <c r="AA12021" t="s">
        <v>745</v>
      </c>
      <c r="AH12021" t="s">
        <v>11475</v>
      </c>
      <c r="AO12021" t="s">
        <v>11476</v>
      </c>
      <c r="AU12021" t="s">
        <v>11477</v>
      </c>
      <c r="BH12021" t="s">
        <v>11478</v>
      </c>
      <c r="BM12021" t="s">
        <v>11479</v>
      </c>
      <c r="BY12021" t="s">
        <v>11480</v>
      </c>
    </row>
    <row r="12022" spans="1:81" x14ac:dyDescent="0.25">
      <c r="N12022" t="s">
        <v>11481</v>
      </c>
      <c r="U12022" t="s">
        <v>11482</v>
      </c>
      <c r="AU12022" t="s">
        <v>11483</v>
      </c>
      <c r="BA12022" t="s">
        <v>11484</v>
      </c>
      <c r="BM12022" t="s">
        <v>11485</v>
      </c>
      <c r="BT12022" t="s">
        <v>11486</v>
      </c>
    </row>
    <row r="12023" spans="1:81" x14ac:dyDescent="0.25">
      <c r="A12023" t="s">
        <v>11495</v>
      </c>
      <c r="S12023" t="s">
        <v>11496</v>
      </c>
      <c r="AF12023" t="s">
        <v>11497</v>
      </c>
      <c r="AY12023" t="s">
        <v>11498</v>
      </c>
      <c r="BL12023" t="s">
        <v>11499</v>
      </c>
      <c r="BU12023" t="s">
        <v>11500</v>
      </c>
      <c r="CC12023" t="s">
        <v>11501</v>
      </c>
    </row>
    <row r="12024" spans="1:81" x14ac:dyDescent="0.25">
      <c r="A12024" t="s">
        <v>2879</v>
      </c>
    </row>
    <row r="12025" spans="1:81" x14ac:dyDescent="0.25">
      <c r="A12025" t="s">
        <v>2880</v>
      </c>
    </row>
    <row r="12026" spans="1:81" x14ac:dyDescent="0.25">
      <c r="A12026" t="s">
        <v>2879</v>
      </c>
    </row>
    <row r="12027" spans="1:81" x14ac:dyDescent="0.25">
      <c r="A12027" t="s">
        <v>2880</v>
      </c>
    </row>
    <row r="12028" spans="1:81" x14ac:dyDescent="0.25">
      <c r="A12028" t="s">
        <v>2879</v>
      </c>
    </row>
    <row r="12029" spans="1:81" x14ac:dyDescent="0.25">
      <c r="A12029" t="s">
        <v>2880</v>
      </c>
    </row>
    <row r="12030" spans="1:81" x14ac:dyDescent="0.25">
      <c r="A12030" t="s">
        <v>11502</v>
      </c>
    </row>
    <row r="12032" spans="1:81" x14ac:dyDescent="0.25">
      <c r="A12032" t="s">
        <v>11503</v>
      </c>
      <c r="K12032" t="s">
        <v>11504</v>
      </c>
    </row>
    <row r="12033" spans="1:84" x14ac:dyDescent="0.25">
      <c r="A12033" t="s">
        <v>573</v>
      </c>
    </row>
    <row r="12034" spans="1:84" x14ac:dyDescent="0.25">
      <c r="A12034" t="s">
        <v>11505</v>
      </c>
      <c r="K12034" t="s">
        <v>11506</v>
      </c>
    </row>
    <row r="12044" spans="1:84" x14ac:dyDescent="0.25">
      <c r="A12044" t="s">
        <v>11507</v>
      </c>
      <c r="BP12044" t="s">
        <v>11470</v>
      </c>
    </row>
    <row r="12045" spans="1:84" x14ac:dyDescent="0.25">
      <c r="A12045" t="s">
        <v>11473</v>
      </c>
    </row>
    <row r="12046" spans="1:84" x14ac:dyDescent="0.25">
      <c r="I12046" t="s">
        <v>2879</v>
      </c>
      <c r="P12046" t="s">
        <v>2880</v>
      </c>
      <c r="X12046" t="s">
        <v>9104</v>
      </c>
    </row>
    <row r="12048" spans="1:84" x14ac:dyDescent="0.25">
      <c r="F12048" t="s">
        <v>573</v>
      </c>
      <c r="S12048" t="s">
        <v>11474</v>
      </c>
      <c r="AF12048" t="s">
        <v>745</v>
      </c>
      <c r="AK12048" t="s">
        <v>11475</v>
      </c>
      <c r="AS12048" t="s">
        <v>11476</v>
      </c>
      <c r="AY12048" t="s">
        <v>11477</v>
      </c>
      <c r="BL12048" t="s">
        <v>11478</v>
      </c>
      <c r="BQ12048" t="s">
        <v>11479</v>
      </c>
      <c r="CF12048" t="s">
        <v>11480</v>
      </c>
    </row>
    <row r="12049" spans="7:86" x14ac:dyDescent="0.25">
      <c r="S12049" t="s">
        <v>11481</v>
      </c>
      <c r="Y12049" t="s">
        <v>11482</v>
      </c>
      <c r="AY12049" t="s">
        <v>11483</v>
      </c>
      <c r="BE12049" t="s">
        <v>11484</v>
      </c>
      <c r="BQ12049" t="s">
        <v>11485</v>
      </c>
      <c r="BW12049" t="s">
        <v>11486</v>
      </c>
    </row>
    <row r="12051" spans="7:86" x14ac:dyDescent="0.25">
      <c r="G12051" t="s">
        <v>11508</v>
      </c>
      <c r="AG12051" t="s">
        <v>11509</v>
      </c>
      <c r="BO12051" t="s">
        <v>11510</v>
      </c>
    </row>
    <row r="12052" spans="7:86" x14ac:dyDescent="0.25">
      <c r="BY12052">
        <v>4.8</v>
      </c>
    </row>
    <row r="12053" spans="7:86" x14ac:dyDescent="0.25">
      <c r="U12053" t="s">
        <v>11511</v>
      </c>
      <c r="BA12053" t="s">
        <v>11512</v>
      </c>
      <c r="CH12053" t="s">
        <v>11513</v>
      </c>
    </row>
    <row r="12055" spans="7:86" x14ac:dyDescent="0.25">
      <c r="BT12055" t="s">
        <v>2879</v>
      </c>
      <c r="BY12055" t="s">
        <v>2880</v>
      </c>
    </row>
    <row r="12057" spans="7:86" x14ac:dyDescent="0.25">
      <c r="BO12057" t="s">
        <v>11514</v>
      </c>
      <c r="BY12057">
        <v>4.8</v>
      </c>
    </row>
    <row r="12059" spans="7:86" x14ac:dyDescent="0.25">
      <c r="BT12059" t="s">
        <v>2879</v>
      </c>
      <c r="BY12059" t="s">
        <v>2880</v>
      </c>
    </row>
    <row r="12061" spans="7:86" x14ac:dyDescent="0.25">
      <c r="BO12061" t="s">
        <v>11515</v>
      </c>
      <c r="BY12061">
        <v>4.8</v>
      </c>
    </row>
    <row r="12063" spans="7:86" x14ac:dyDescent="0.25">
      <c r="BT12063" t="s">
        <v>2879</v>
      </c>
      <c r="BY12063" t="s">
        <v>2880</v>
      </c>
    </row>
    <row r="12065" spans="7:81" x14ac:dyDescent="0.25">
      <c r="BO12065" t="s">
        <v>11516</v>
      </c>
      <c r="BY12065">
        <v>4.5999999999999996</v>
      </c>
    </row>
    <row r="12067" spans="7:81" x14ac:dyDescent="0.25">
      <c r="G12067" t="s">
        <v>11517</v>
      </c>
      <c r="R12067" t="s">
        <v>11518</v>
      </c>
      <c r="AC12067" t="s">
        <v>11519</v>
      </c>
      <c r="AW12067" t="s">
        <v>11520</v>
      </c>
      <c r="BT12067" t="s">
        <v>2880</v>
      </c>
      <c r="BY12067" t="s">
        <v>2880</v>
      </c>
      <c r="CC12067" t="s">
        <v>11521</v>
      </c>
    </row>
    <row r="12069" spans="7:81" x14ac:dyDescent="0.25">
      <c r="BO12069" t="s">
        <v>11522</v>
      </c>
    </row>
    <row r="12071" spans="7:81" x14ac:dyDescent="0.25">
      <c r="BT12071" t="s">
        <v>2880</v>
      </c>
      <c r="BY12071" t="s">
        <v>9104</v>
      </c>
    </row>
    <row r="12073" spans="7:81" x14ac:dyDescent="0.25">
      <c r="BO12073" t="s">
        <v>11523</v>
      </c>
    </row>
    <row r="12075" spans="7:81" x14ac:dyDescent="0.25">
      <c r="BT12075" t="s">
        <v>2880</v>
      </c>
      <c r="BY12075" t="s">
        <v>9104</v>
      </c>
    </row>
    <row r="12077" spans="7:81" x14ac:dyDescent="0.25">
      <c r="I12077" t="s">
        <v>11524</v>
      </c>
    </row>
    <row r="12079" spans="7:81" x14ac:dyDescent="0.25">
      <c r="I12079" t="s">
        <v>2880</v>
      </c>
      <c r="P12079" t="s">
        <v>9104</v>
      </c>
    </row>
    <row r="12081" spans="6:86" x14ac:dyDescent="0.25">
      <c r="F12081" t="s">
        <v>573</v>
      </c>
      <c r="S12081" t="s">
        <v>11474</v>
      </c>
      <c r="AF12081" t="s">
        <v>745</v>
      </c>
      <c r="AK12081" t="s">
        <v>11475</v>
      </c>
      <c r="AS12081" t="s">
        <v>11476</v>
      </c>
      <c r="AY12081" t="s">
        <v>11477</v>
      </c>
      <c r="BL12081" t="s">
        <v>11478</v>
      </c>
      <c r="BQ12081" t="s">
        <v>11479</v>
      </c>
      <c r="CF12081" t="s">
        <v>11480</v>
      </c>
    </row>
    <row r="12082" spans="6:86" x14ac:dyDescent="0.25">
      <c r="S12082" t="s">
        <v>11481</v>
      </c>
      <c r="Y12082" t="s">
        <v>11482</v>
      </c>
      <c r="AY12082" t="s">
        <v>11483</v>
      </c>
      <c r="BE12082" t="s">
        <v>11484</v>
      </c>
      <c r="BQ12082" t="s">
        <v>11485</v>
      </c>
      <c r="BW12082" t="s">
        <v>11486</v>
      </c>
    </row>
    <row r="12084" spans="6:86" x14ac:dyDescent="0.25">
      <c r="G12084" t="s">
        <v>11525</v>
      </c>
      <c r="AG12084" t="s">
        <v>11526</v>
      </c>
      <c r="BO12084" t="s">
        <v>11527</v>
      </c>
    </row>
    <row r="12085" spans="6:86" x14ac:dyDescent="0.25">
      <c r="BZ12085">
        <v>4.5999999999999996</v>
      </c>
    </row>
    <row r="12086" spans="6:86" x14ac:dyDescent="0.25">
      <c r="U12086" t="s">
        <v>11488</v>
      </c>
      <c r="BA12086" t="s">
        <v>11490</v>
      </c>
      <c r="CH12086" t="s">
        <v>11528</v>
      </c>
    </row>
    <row r="12088" spans="6:86" x14ac:dyDescent="0.25">
      <c r="BT12088" t="s">
        <v>2880</v>
      </c>
      <c r="BY12088" t="s">
        <v>2880</v>
      </c>
    </row>
    <row r="12090" spans="6:86" x14ac:dyDescent="0.25">
      <c r="BO12090" t="s">
        <v>11529</v>
      </c>
      <c r="BY12090">
        <v>4.5999999999999996</v>
      </c>
    </row>
    <row r="12093" spans="6:86" x14ac:dyDescent="0.25">
      <c r="G12093" t="s">
        <v>11409</v>
      </c>
      <c r="R12093" t="s">
        <v>11530</v>
      </c>
      <c r="AC12093" t="s">
        <v>11531</v>
      </c>
      <c r="AW12093" t="s">
        <v>11532</v>
      </c>
      <c r="BT12093" t="s">
        <v>2880</v>
      </c>
      <c r="BY12093" t="s">
        <v>2880</v>
      </c>
      <c r="CC12093" t="s">
        <v>11533</v>
      </c>
    </row>
    <row r="12095" spans="6:86" x14ac:dyDescent="0.25">
      <c r="BO12095" t="s">
        <v>11522</v>
      </c>
    </row>
    <row r="12097" spans="1:77" x14ac:dyDescent="0.25">
      <c r="G12097" t="s">
        <v>11534</v>
      </c>
      <c r="BT12097" t="s">
        <v>2880</v>
      </c>
      <c r="BY12097" t="s">
        <v>9104</v>
      </c>
    </row>
    <row r="12110" spans="1:77" x14ac:dyDescent="0.25">
      <c r="A12110" t="s">
        <v>11535</v>
      </c>
    </row>
    <row r="12111" spans="1:77" x14ac:dyDescent="0.25">
      <c r="A12111" t="s">
        <v>2880</v>
      </c>
    </row>
    <row r="12112" spans="1:77" x14ac:dyDescent="0.25">
      <c r="A12112" t="s">
        <v>9104</v>
      </c>
    </row>
    <row r="12113" spans="1:81" x14ac:dyDescent="0.25">
      <c r="A12113" t="s">
        <v>573</v>
      </c>
      <c r="N12113" t="s">
        <v>11474</v>
      </c>
      <c r="AA12113" t="s">
        <v>745</v>
      </c>
      <c r="AH12113" t="s">
        <v>11475</v>
      </c>
      <c r="AO12113" t="s">
        <v>11476</v>
      </c>
      <c r="AU12113" t="s">
        <v>11477</v>
      </c>
      <c r="BH12113" t="s">
        <v>11478</v>
      </c>
      <c r="BM12113" t="s">
        <v>11479</v>
      </c>
      <c r="BY12113" t="s">
        <v>11480</v>
      </c>
    </row>
    <row r="12114" spans="1:81" x14ac:dyDescent="0.25">
      <c r="N12114" t="s">
        <v>11481</v>
      </c>
      <c r="U12114" t="s">
        <v>11482</v>
      </c>
      <c r="AU12114" t="s">
        <v>11483</v>
      </c>
      <c r="BA12114" t="s">
        <v>11484</v>
      </c>
      <c r="BM12114" t="s">
        <v>11485</v>
      </c>
      <c r="BT12114" t="s">
        <v>11486</v>
      </c>
    </row>
    <row r="12115" spans="1:81" x14ac:dyDescent="0.25">
      <c r="A12115" t="s">
        <v>11473</v>
      </c>
    </row>
    <row r="12117" spans="1:81" x14ac:dyDescent="0.25">
      <c r="A12117" t="s">
        <v>11536</v>
      </c>
      <c r="S12117" t="s">
        <v>11537</v>
      </c>
      <c r="AF12117" t="s">
        <v>11538</v>
      </c>
      <c r="AY12117" t="s">
        <v>11498</v>
      </c>
      <c r="BL12117" t="s">
        <v>11539</v>
      </c>
      <c r="BU12117" t="s">
        <v>11540</v>
      </c>
      <c r="CC12117" t="s">
        <v>11541</v>
      </c>
    </row>
    <row r="12118" spans="1:81" x14ac:dyDescent="0.25">
      <c r="A12118" t="s">
        <v>2880</v>
      </c>
    </row>
    <row r="12119" spans="1:81" x14ac:dyDescent="0.25">
      <c r="A12119" t="s">
        <v>9104</v>
      </c>
    </row>
    <row r="12120" spans="1:81" x14ac:dyDescent="0.25">
      <c r="A12120" t="s">
        <v>2880</v>
      </c>
    </row>
    <row r="12121" spans="1:81" x14ac:dyDescent="0.25">
      <c r="A12121" t="s">
        <v>9104</v>
      </c>
    </row>
    <row r="12122" spans="1:81" x14ac:dyDescent="0.25">
      <c r="A12122" t="s">
        <v>2880</v>
      </c>
    </row>
    <row r="12123" spans="1:81" x14ac:dyDescent="0.25">
      <c r="A12123" t="s">
        <v>9104</v>
      </c>
    </row>
    <row r="12124" spans="1:81" x14ac:dyDescent="0.25">
      <c r="A12124" t="s">
        <v>11542</v>
      </c>
      <c r="S12124" t="s">
        <v>11543</v>
      </c>
      <c r="AF12124" t="s">
        <v>11544</v>
      </c>
      <c r="AY12124" t="s">
        <v>11545</v>
      </c>
      <c r="BL12124" t="s">
        <v>11546</v>
      </c>
      <c r="CC12124" t="s">
        <v>11547</v>
      </c>
    </row>
    <row r="12125" spans="1:81" x14ac:dyDescent="0.25">
      <c r="A12125" t="s">
        <v>2880</v>
      </c>
    </row>
    <row r="12126" spans="1:81" x14ac:dyDescent="0.25">
      <c r="A12126" t="s">
        <v>9104</v>
      </c>
    </row>
    <row r="12127" spans="1:81" x14ac:dyDescent="0.25">
      <c r="A12127" t="s">
        <v>2880</v>
      </c>
    </row>
    <row r="12128" spans="1:81" x14ac:dyDescent="0.25">
      <c r="A12128" t="s">
        <v>9104</v>
      </c>
    </row>
    <row r="12129" spans="1:81" x14ac:dyDescent="0.25">
      <c r="A12129" t="s">
        <v>11548</v>
      </c>
    </row>
    <row r="12130" spans="1:81" x14ac:dyDescent="0.25">
      <c r="A12130" t="s">
        <v>2880</v>
      </c>
    </row>
    <row r="12131" spans="1:81" x14ac:dyDescent="0.25">
      <c r="A12131" t="s">
        <v>9104</v>
      </c>
    </row>
    <row r="12132" spans="1:81" x14ac:dyDescent="0.25">
      <c r="A12132" t="s">
        <v>2880</v>
      </c>
    </row>
    <row r="12133" spans="1:81" x14ac:dyDescent="0.25">
      <c r="A12133" t="s">
        <v>9104</v>
      </c>
    </row>
    <row r="12134" spans="1:81" x14ac:dyDescent="0.25">
      <c r="A12134" t="s">
        <v>573</v>
      </c>
      <c r="N12134" t="s">
        <v>11474</v>
      </c>
      <c r="AA12134" t="s">
        <v>745</v>
      </c>
      <c r="AH12134" t="s">
        <v>11475</v>
      </c>
      <c r="AO12134" t="s">
        <v>11476</v>
      </c>
      <c r="AU12134" t="s">
        <v>11477</v>
      </c>
      <c r="BH12134" t="s">
        <v>11478</v>
      </c>
      <c r="BM12134" t="s">
        <v>11479</v>
      </c>
      <c r="BY12134" t="s">
        <v>11480</v>
      </c>
    </row>
    <row r="12135" spans="1:81" x14ac:dyDescent="0.25">
      <c r="N12135" t="s">
        <v>11481</v>
      </c>
      <c r="U12135" t="s">
        <v>11482</v>
      </c>
      <c r="AU12135" t="s">
        <v>11483</v>
      </c>
      <c r="BA12135" t="s">
        <v>11484</v>
      </c>
      <c r="BM12135" t="s">
        <v>11485</v>
      </c>
      <c r="BT12135" t="s">
        <v>11486</v>
      </c>
    </row>
    <row r="12136" spans="1:81" x14ac:dyDescent="0.25">
      <c r="A12136" t="s">
        <v>11549</v>
      </c>
      <c r="S12136" t="s">
        <v>11550</v>
      </c>
      <c r="AF12136" t="s">
        <v>11551</v>
      </c>
      <c r="AY12136" t="s">
        <v>11490</v>
      </c>
      <c r="BL12136" t="s">
        <v>11552</v>
      </c>
      <c r="BU12136" t="s">
        <v>11553</v>
      </c>
      <c r="CC12136" t="s">
        <v>11554</v>
      </c>
    </row>
    <row r="12137" spans="1:81" x14ac:dyDescent="0.25">
      <c r="A12137" t="s">
        <v>2880</v>
      </c>
    </row>
    <row r="12138" spans="1:81" x14ac:dyDescent="0.25">
      <c r="A12138" t="s">
        <v>9104</v>
      </c>
    </row>
    <row r="12139" spans="1:81" x14ac:dyDescent="0.25">
      <c r="A12139" t="s">
        <v>2880</v>
      </c>
    </row>
    <row r="12140" spans="1:81" x14ac:dyDescent="0.25">
      <c r="A12140" t="s">
        <v>9104</v>
      </c>
    </row>
    <row r="12141" spans="1:81" x14ac:dyDescent="0.25">
      <c r="A12141" t="s">
        <v>11555</v>
      </c>
      <c r="S12141" t="s">
        <v>11518</v>
      </c>
      <c r="AF12141" t="s">
        <v>11556</v>
      </c>
      <c r="BA12141" t="s">
        <v>11520</v>
      </c>
      <c r="BL12141" t="s">
        <v>11557</v>
      </c>
      <c r="CC12141" t="s">
        <v>11558</v>
      </c>
    </row>
    <row r="12142" spans="1:81" x14ac:dyDescent="0.25">
      <c r="A12142" t="s">
        <v>2880</v>
      </c>
    </row>
    <row r="12143" spans="1:81" x14ac:dyDescent="0.25">
      <c r="A12143" t="s">
        <v>9104</v>
      </c>
    </row>
    <row r="12144" spans="1:81" x14ac:dyDescent="0.25">
      <c r="A12144" t="s">
        <v>2880</v>
      </c>
    </row>
    <row r="12145" spans="1:11" x14ac:dyDescent="0.25">
      <c r="A12145" t="s">
        <v>9104</v>
      </c>
    </row>
    <row r="12146" spans="1:11" x14ac:dyDescent="0.25">
      <c r="A12146" t="s">
        <v>11502</v>
      </c>
    </row>
    <row r="12148" spans="1:11" x14ac:dyDescent="0.25">
      <c r="A12148" t="s">
        <v>11503</v>
      </c>
      <c r="K12148" t="s">
        <v>11559</v>
      </c>
    </row>
    <row r="12149" spans="1:11" x14ac:dyDescent="0.25">
      <c r="A12149" t="s">
        <v>573</v>
      </c>
      <c r="K12149" t="s">
        <v>11560</v>
      </c>
    </row>
    <row r="12150" spans="1:11" x14ac:dyDescent="0.25">
      <c r="A12150" t="s">
        <v>11505</v>
      </c>
      <c r="K12150" t="s">
        <v>11506</v>
      </c>
    </row>
    <row r="12164" spans="1:87" x14ac:dyDescent="0.25">
      <c r="A12164" t="s">
        <v>11561</v>
      </c>
    </row>
    <row r="12165" spans="1:87" x14ac:dyDescent="0.25">
      <c r="I12165" t="s">
        <v>2880</v>
      </c>
      <c r="P12165" t="s">
        <v>9104</v>
      </c>
    </row>
    <row r="12166" spans="1:87" x14ac:dyDescent="0.25">
      <c r="A12166" t="s">
        <v>11473</v>
      </c>
    </row>
    <row r="12168" spans="1:87" x14ac:dyDescent="0.25">
      <c r="F12168" t="s">
        <v>573</v>
      </c>
      <c r="S12168" t="s">
        <v>11474</v>
      </c>
      <c r="AF12168" t="s">
        <v>745</v>
      </c>
      <c r="AK12168" t="s">
        <v>11475</v>
      </c>
      <c r="AS12168" t="s">
        <v>11476</v>
      </c>
      <c r="AY12168" t="s">
        <v>11477</v>
      </c>
      <c r="BL12168" t="s">
        <v>11478</v>
      </c>
      <c r="BQ12168" t="s">
        <v>11479</v>
      </c>
      <c r="CF12168" t="s">
        <v>11480</v>
      </c>
    </row>
    <row r="12169" spans="1:87" x14ac:dyDescent="0.25">
      <c r="S12169" t="s">
        <v>11481</v>
      </c>
      <c r="Y12169" t="s">
        <v>11482</v>
      </c>
      <c r="AY12169" t="s">
        <v>11483</v>
      </c>
      <c r="BE12169" t="s">
        <v>11484</v>
      </c>
      <c r="BQ12169" t="s">
        <v>11485</v>
      </c>
      <c r="BW12169" t="s">
        <v>11486</v>
      </c>
    </row>
    <row r="12171" spans="1:87" x14ac:dyDescent="0.25">
      <c r="G12171" t="s">
        <v>11562</v>
      </c>
      <c r="AG12171" t="s">
        <v>11563</v>
      </c>
      <c r="BO12171" t="s">
        <v>11564</v>
      </c>
    </row>
    <row r="12172" spans="1:87" x14ac:dyDescent="0.25">
      <c r="BY12172">
        <v>4</v>
      </c>
    </row>
    <row r="12173" spans="1:87" x14ac:dyDescent="0.25">
      <c r="U12173" t="s">
        <v>11565</v>
      </c>
      <c r="BA12173" t="s">
        <v>11490</v>
      </c>
      <c r="CI12173" t="s">
        <v>11566</v>
      </c>
    </row>
    <row r="12175" spans="1:87" x14ac:dyDescent="0.25">
      <c r="BT12175" t="s">
        <v>2880</v>
      </c>
      <c r="BY12175" t="s">
        <v>9104</v>
      </c>
    </row>
    <row r="12177" spans="7:81" x14ac:dyDescent="0.25">
      <c r="BO12177" t="s">
        <v>11567</v>
      </c>
      <c r="BY12177">
        <v>3.9</v>
      </c>
    </row>
    <row r="12180" spans="7:81" x14ac:dyDescent="0.25">
      <c r="G12180" t="s">
        <v>11568</v>
      </c>
      <c r="R12180" t="s">
        <v>11569</v>
      </c>
      <c r="AC12180" t="s">
        <v>11570</v>
      </c>
      <c r="AW12180" t="s">
        <v>11571</v>
      </c>
      <c r="BT12180" t="s">
        <v>2880</v>
      </c>
      <c r="BY12180" t="s">
        <v>9104</v>
      </c>
      <c r="CC12180" t="s">
        <v>11572</v>
      </c>
    </row>
    <row r="12182" spans="7:81" x14ac:dyDescent="0.25">
      <c r="BO12182" t="s">
        <v>11573</v>
      </c>
    </row>
    <row r="12184" spans="7:81" x14ac:dyDescent="0.25">
      <c r="BT12184" t="s">
        <v>2880</v>
      </c>
      <c r="BY12184" t="s">
        <v>9104</v>
      </c>
    </row>
    <row r="12186" spans="7:81" x14ac:dyDescent="0.25">
      <c r="BO12186" t="s">
        <v>11574</v>
      </c>
    </row>
    <row r="12188" spans="7:81" x14ac:dyDescent="0.25">
      <c r="I12188" t="s">
        <v>11575</v>
      </c>
      <c r="BT12188" t="s">
        <v>2880</v>
      </c>
      <c r="BY12188" t="s">
        <v>9104</v>
      </c>
    </row>
    <row r="12191" spans="7:81" x14ac:dyDescent="0.25">
      <c r="I12191" t="s">
        <v>2880</v>
      </c>
      <c r="P12191" t="s">
        <v>9104</v>
      </c>
    </row>
    <row r="12193" spans="6:87" x14ac:dyDescent="0.25">
      <c r="F12193" t="s">
        <v>573</v>
      </c>
      <c r="S12193" t="s">
        <v>11474</v>
      </c>
      <c r="AF12193" t="s">
        <v>745</v>
      </c>
      <c r="AK12193" t="s">
        <v>11475</v>
      </c>
      <c r="AS12193" t="s">
        <v>11476</v>
      </c>
      <c r="AY12193" t="s">
        <v>11477</v>
      </c>
      <c r="BL12193" t="s">
        <v>11478</v>
      </c>
      <c r="BQ12193" t="s">
        <v>11479</v>
      </c>
      <c r="CF12193" t="s">
        <v>11480</v>
      </c>
    </row>
    <row r="12194" spans="6:87" x14ac:dyDescent="0.25">
      <c r="S12194" t="s">
        <v>11481</v>
      </c>
      <c r="Y12194" t="s">
        <v>11482</v>
      </c>
      <c r="AY12194" t="s">
        <v>11483</v>
      </c>
      <c r="BE12194" t="s">
        <v>11484</v>
      </c>
      <c r="BQ12194" t="s">
        <v>11485</v>
      </c>
      <c r="BW12194" t="s">
        <v>11486</v>
      </c>
    </row>
    <row r="12196" spans="6:87" x14ac:dyDescent="0.25">
      <c r="G12196" t="s">
        <v>11576</v>
      </c>
      <c r="AG12196" t="s">
        <v>11563</v>
      </c>
      <c r="BO12196" t="s">
        <v>11564</v>
      </c>
    </row>
    <row r="12197" spans="6:87" x14ac:dyDescent="0.25">
      <c r="BY12197">
        <v>4</v>
      </c>
    </row>
    <row r="12198" spans="6:87" x14ac:dyDescent="0.25">
      <c r="U12198" t="s">
        <v>11565</v>
      </c>
      <c r="BA12198" t="s">
        <v>11490</v>
      </c>
      <c r="CI12198" t="s">
        <v>11566</v>
      </c>
    </row>
    <row r="12200" spans="6:87" x14ac:dyDescent="0.25">
      <c r="BT12200" t="s">
        <v>2880</v>
      </c>
      <c r="BY12200" t="s">
        <v>9104</v>
      </c>
    </row>
    <row r="12202" spans="6:87" x14ac:dyDescent="0.25">
      <c r="BO12202" t="s">
        <v>11567</v>
      </c>
      <c r="BY12202">
        <v>3.9</v>
      </c>
    </row>
    <row r="12205" spans="6:87" x14ac:dyDescent="0.25">
      <c r="BT12205" t="s">
        <v>2880</v>
      </c>
      <c r="BY12205" t="s">
        <v>9104</v>
      </c>
    </row>
    <row r="12207" spans="6:87" x14ac:dyDescent="0.25">
      <c r="AS12207" t="s">
        <v>11577</v>
      </c>
    </row>
    <row r="12214" spans="1:84" x14ac:dyDescent="0.25">
      <c r="A12214" t="s">
        <v>11578</v>
      </c>
    </row>
    <row r="12215" spans="1:84" x14ac:dyDescent="0.25">
      <c r="A12215" t="s">
        <v>11579</v>
      </c>
      <c r="E12215" t="s">
        <v>573</v>
      </c>
      <c r="N12215" t="s">
        <v>11474</v>
      </c>
      <c r="V12215" t="s">
        <v>11580</v>
      </c>
      <c r="AH12215" t="s">
        <v>2872</v>
      </c>
      <c r="AT12215" t="s">
        <v>11581</v>
      </c>
      <c r="BG12215" t="s">
        <v>11582</v>
      </c>
      <c r="BM12215" t="s">
        <v>11583</v>
      </c>
      <c r="CF12215" t="s">
        <v>5990</v>
      </c>
    </row>
    <row r="12216" spans="1:84" x14ac:dyDescent="0.25">
      <c r="N12216" t="s">
        <v>11584</v>
      </c>
      <c r="S12216" t="s">
        <v>11585</v>
      </c>
      <c r="V12216" t="s">
        <v>11586</v>
      </c>
      <c r="Z12216" t="s">
        <v>11587</v>
      </c>
      <c r="AE12216" t="s">
        <v>11588</v>
      </c>
      <c r="AH12216" t="s">
        <v>11589</v>
      </c>
      <c r="AK12216" t="s">
        <v>11590</v>
      </c>
      <c r="AP12216" t="s">
        <v>11591</v>
      </c>
      <c r="AT12216" t="s">
        <v>11592</v>
      </c>
      <c r="AX12216" t="s">
        <v>11593</v>
      </c>
      <c r="BM12216" t="s">
        <v>11594</v>
      </c>
      <c r="BW12216" t="s">
        <v>11595</v>
      </c>
      <c r="CF12216" t="s">
        <v>11596</v>
      </c>
    </row>
    <row r="12217" spans="1:84" x14ac:dyDescent="0.25">
      <c r="BM12217" t="s">
        <v>10678</v>
      </c>
      <c r="BQ12217" t="s">
        <v>4928</v>
      </c>
      <c r="BW12217" t="s">
        <v>11597</v>
      </c>
    </row>
    <row r="12218" spans="1:84" x14ac:dyDescent="0.25">
      <c r="A12218" t="s">
        <v>11598</v>
      </c>
      <c r="AU12218" t="s">
        <v>11599</v>
      </c>
      <c r="CA12218" t="s">
        <v>11600</v>
      </c>
    </row>
    <row r="12220" spans="1:84" x14ac:dyDescent="0.25">
      <c r="A12220" t="s">
        <v>11601</v>
      </c>
      <c r="W12220">
        <v>3.2</v>
      </c>
      <c r="Z12220">
        <v>20</v>
      </c>
      <c r="AF12220">
        <v>3</v>
      </c>
      <c r="AH12220" t="s">
        <v>5272</v>
      </c>
      <c r="AM12220">
        <v>0.97</v>
      </c>
      <c r="AP12220">
        <v>7.5</v>
      </c>
      <c r="AS12220">
        <v>15</v>
      </c>
      <c r="AX12220" t="s">
        <v>11602</v>
      </c>
      <c r="BD12220">
        <v>2.5</v>
      </c>
      <c r="BG12220">
        <v>2.4</v>
      </c>
      <c r="BJ12220" t="s">
        <v>11603</v>
      </c>
      <c r="BQ12220" t="s">
        <v>11604</v>
      </c>
    </row>
    <row r="12221" spans="1:84" x14ac:dyDescent="0.25">
      <c r="A12221" t="s">
        <v>11605</v>
      </c>
      <c r="W12221">
        <v>4</v>
      </c>
      <c r="Z12221">
        <v>20</v>
      </c>
      <c r="AF12221">
        <v>3</v>
      </c>
      <c r="AH12221" t="s">
        <v>5272</v>
      </c>
      <c r="AM12221">
        <v>0.97</v>
      </c>
      <c r="AP12221">
        <v>7.5</v>
      </c>
      <c r="AS12221">
        <v>15</v>
      </c>
      <c r="AX12221" t="s">
        <v>11606</v>
      </c>
      <c r="BD12221">
        <v>3.5</v>
      </c>
      <c r="BG12221">
        <v>2.4</v>
      </c>
      <c r="BJ12221" t="s">
        <v>11603</v>
      </c>
      <c r="BQ12221" t="s">
        <v>11604</v>
      </c>
    </row>
    <row r="12222" spans="1:84" x14ac:dyDescent="0.25">
      <c r="A12222" t="s">
        <v>11607</v>
      </c>
      <c r="W12222">
        <v>2.2000000000000002</v>
      </c>
      <c r="Z12222">
        <v>20</v>
      </c>
      <c r="AF12222">
        <v>3</v>
      </c>
      <c r="AH12222" t="s">
        <v>5272</v>
      </c>
      <c r="AM12222">
        <v>0.95</v>
      </c>
      <c r="AP12222">
        <v>7.5</v>
      </c>
      <c r="AS12222">
        <v>15</v>
      </c>
      <c r="AX12222" t="s">
        <v>11608</v>
      </c>
      <c r="BD12222">
        <v>2</v>
      </c>
      <c r="BG12222">
        <v>2.2000000000000002</v>
      </c>
      <c r="BJ12222" t="s">
        <v>11603</v>
      </c>
      <c r="BQ12222" t="s">
        <v>11604</v>
      </c>
    </row>
    <row r="12223" spans="1:84" x14ac:dyDescent="0.25">
      <c r="A12223" t="s">
        <v>11609</v>
      </c>
      <c r="W12223">
        <v>3.2</v>
      </c>
      <c r="Z12223">
        <v>20</v>
      </c>
      <c r="AF12223">
        <v>3</v>
      </c>
      <c r="AH12223" t="s">
        <v>5272</v>
      </c>
      <c r="AM12223">
        <v>0.95</v>
      </c>
      <c r="AP12223">
        <v>7.5</v>
      </c>
      <c r="AS12223">
        <v>15</v>
      </c>
      <c r="AX12223" t="s">
        <v>11610</v>
      </c>
      <c r="BD12223">
        <v>2.5</v>
      </c>
      <c r="BG12223">
        <v>2.2999999999999998</v>
      </c>
      <c r="BJ12223" t="s">
        <v>11603</v>
      </c>
      <c r="BQ12223" t="s">
        <v>11604</v>
      </c>
    </row>
    <row r="12224" spans="1:84" x14ac:dyDescent="0.25">
      <c r="A12224" t="s">
        <v>11611</v>
      </c>
      <c r="W12224">
        <v>4</v>
      </c>
      <c r="Z12224">
        <v>20</v>
      </c>
      <c r="AF12224">
        <v>3</v>
      </c>
      <c r="AH12224" t="s">
        <v>5272</v>
      </c>
      <c r="AM12224">
        <v>0.95</v>
      </c>
      <c r="AP12224">
        <v>7.5</v>
      </c>
      <c r="AS12224">
        <v>15</v>
      </c>
      <c r="AX12224" t="s">
        <v>11612</v>
      </c>
      <c r="BD12224">
        <v>3.5</v>
      </c>
      <c r="BG12224">
        <v>2.4</v>
      </c>
      <c r="BJ12224" t="s">
        <v>11603</v>
      </c>
      <c r="BQ12224" t="s">
        <v>11604</v>
      </c>
    </row>
    <row r="12225" spans="1:69" x14ac:dyDescent="0.25">
      <c r="A12225" t="s">
        <v>11613</v>
      </c>
      <c r="W12225">
        <v>2.2000000000000002</v>
      </c>
      <c r="Z12225">
        <v>20</v>
      </c>
      <c r="AF12225">
        <v>3</v>
      </c>
      <c r="AH12225" t="s">
        <v>5272</v>
      </c>
      <c r="AM12225">
        <v>0.95</v>
      </c>
      <c r="AP12225">
        <v>7.5</v>
      </c>
      <c r="AS12225">
        <v>15</v>
      </c>
      <c r="AX12225" t="s">
        <v>11608</v>
      </c>
      <c r="BD12225">
        <v>2</v>
      </c>
      <c r="BG12225">
        <v>2.2000000000000002</v>
      </c>
      <c r="BJ12225" t="s">
        <v>11603</v>
      </c>
      <c r="BQ12225" t="s">
        <v>11604</v>
      </c>
    </row>
    <row r="12226" spans="1:69" x14ac:dyDescent="0.25">
      <c r="A12226" t="s">
        <v>11614</v>
      </c>
      <c r="W12226">
        <v>3.2</v>
      </c>
      <c r="Z12226">
        <v>20</v>
      </c>
      <c r="AF12226">
        <v>3</v>
      </c>
      <c r="AH12226" t="s">
        <v>5272</v>
      </c>
      <c r="AM12226">
        <v>0.95</v>
      </c>
      <c r="AP12226">
        <v>7.5</v>
      </c>
      <c r="AS12226">
        <v>15</v>
      </c>
      <c r="AX12226" t="s">
        <v>11610</v>
      </c>
      <c r="BD12226">
        <v>2.5</v>
      </c>
      <c r="BG12226">
        <v>2.2999999999999998</v>
      </c>
      <c r="BJ12226" t="s">
        <v>11603</v>
      </c>
      <c r="BQ12226" t="s">
        <v>11604</v>
      </c>
    </row>
    <row r="12227" spans="1:69" x14ac:dyDescent="0.25">
      <c r="A12227" t="s">
        <v>11615</v>
      </c>
      <c r="W12227">
        <v>4</v>
      </c>
      <c r="Z12227">
        <v>20</v>
      </c>
      <c r="AF12227">
        <v>3</v>
      </c>
      <c r="AH12227" t="s">
        <v>5272</v>
      </c>
      <c r="AM12227">
        <v>0.95</v>
      </c>
      <c r="AP12227">
        <v>7.5</v>
      </c>
      <c r="AS12227">
        <v>15</v>
      </c>
      <c r="AX12227" t="s">
        <v>11612</v>
      </c>
      <c r="BD12227">
        <v>3.5</v>
      </c>
      <c r="BG12227">
        <v>2.4</v>
      </c>
      <c r="BJ12227" t="s">
        <v>11603</v>
      </c>
      <c r="BQ12227" t="s">
        <v>11604</v>
      </c>
    </row>
    <row r="12228" spans="1:69" x14ac:dyDescent="0.25">
      <c r="A12228" t="s">
        <v>11616</v>
      </c>
      <c r="W12228">
        <v>4.7</v>
      </c>
      <c r="Z12228">
        <v>20</v>
      </c>
      <c r="AF12228">
        <v>3</v>
      </c>
      <c r="AH12228" t="s">
        <v>5272</v>
      </c>
      <c r="AM12228">
        <v>0.95</v>
      </c>
      <c r="AP12228">
        <v>7.5</v>
      </c>
      <c r="AS12228">
        <v>15</v>
      </c>
      <c r="AX12228" t="s">
        <v>5354</v>
      </c>
      <c r="BD12228">
        <v>4.3</v>
      </c>
      <c r="BG12228">
        <v>4.5999999999999996</v>
      </c>
      <c r="BJ12228" t="s">
        <v>11617</v>
      </c>
      <c r="BQ12228" t="s">
        <v>11618</v>
      </c>
    </row>
    <row r="12229" spans="1:69" x14ac:dyDescent="0.25">
      <c r="A12229" t="s">
        <v>11619</v>
      </c>
      <c r="W12229">
        <v>6</v>
      </c>
      <c r="Z12229">
        <v>30</v>
      </c>
      <c r="AF12229">
        <v>3</v>
      </c>
      <c r="AH12229" t="s">
        <v>5280</v>
      </c>
      <c r="AM12229">
        <v>1.3</v>
      </c>
      <c r="AP12229">
        <v>7.5</v>
      </c>
      <c r="AS12229">
        <v>15</v>
      </c>
      <c r="AX12229" t="s">
        <v>5533</v>
      </c>
      <c r="BD12229">
        <v>5</v>
      </c>
      <c r="BG12229">
        <v>4.0999999999999996</v>
      </c>
      <c r="BJ12229" t="s">
        <v>11617</v>
      </c>
      <c r="BQ12229" t="s">
        <v>11618</v>
      </c>
    </row>
    <row r="12230" spans="1:69" x14ac:dyDescent="0.25">
      <c r="A12230" t="s">
        <v>11620</v>
      </c>
      <c r="W12230">
        <v>7.4</v>
      </c>
      <c r="Z12230">
        <v>30</v>
      </c>
      <c r="AF12230">
        <v>3</v>
      </c>
      <c r="AH12230" t="s">
        <v>5280</v>
      </c>
      <c r="AM12230">
        <v>1.3</v>
      </c>
      <c r="AP12230">
        <v>7.5</v>
      </c>
      <c r="AS12230">
        <v>15</v>
      </c>
      <c r="AX12230" t="s">
        <v>5391</v>
      </c>
      <c r="BD12230">
        <v>6.5</v>
      </c>
      <c r="BG12230">
        <v>4.3</v>
      </c>
      <c r="BJ12230" t="s">
        <v>11617</v>
      </c>
      <c r="BQ12230" t="s">
        <v>11618</v>
      </c>
    </row>
    <row r="12231" spans="1:69" x14ac:dyDescent="0.25">
      <c r="A12231" t="s">
        <v>11621</v>
      </c>
      <c r="W12231">
        <v>3.2</v>
      </c>
      <c r="Z12231">
        <v>15</v>
      </c>
      <c r="AF12231">
        <v>3</v>
      </c>
      <c r="AH12231" t="s">
        <v>5057</v>
      </c>
      <c r="AM12231">
        <v>0.7</v>
      </c>
      <c r="AP12231">
        <v>7.5</v>
      </c>
      <c r="AS12231">
        <v>15</v>
      </c>
      <c r="AX12231" t="s">
        <v>11622</v>
      </c>
      <c r="BD12231">
        <v>2.5</v>
      </c>
      <c r="BG12231">
        <v>2.2000000000000002</v>
      </c>
      <c r="BJ12231" t="s">
        <v>11603</v>
      </c>
      <c r="BQ12231" t="s">
        <v>11604</v>
      </c>
    </row>
    <row r="12232" spans="1:69" x14ac:dyDescent="0.25">
      <c r="A12232" t="s">
        <v>11623</v>
      </c>
      <c r="W12232">
        <v>4</v>
      </c>
      <c r="Z12232">
        <v>15</v>
      </c>
      <c r="AF12232">
        <v>3</v>
      </c>
      <c r="AH12232" t="s">
        <v>5057</v>
      </c>
      <c r="AM12232">
        <v>0.7</v>
      </c>
      <c r="AP12232">
        <v>7.5</v>
      </c>
      <c r="AS12232">
        <v>15</v>
      </c>
      <c r="AX12232" t="s">
        <v>11624</v>
      </c>
      <c r="BD12232">
        <v>3.5</v>
      </c>
      <c r="BG12232">
        <v>2.2999999999999998</v>
      </c>
      <c r="BJ12232" t="s">
        <v>11603</v>
      </c>
      <c r="BQ12232" t="s">
        <v>11604</v>
      </c>
    </row>
    <row r="12233" spans="1:69" x14ac:dyDescent="0.25">
      <c r="A12233" t="s">
        <v>11625</v>
      </c>
      <c r="W12233">
        <v>6</v>
      </c>
      <c r="Z12233">
        <v>30</v>
      </c>
      <c r="AF12233">
        <v>3</v>
      </c>
      <c r="AH12233" t="s">
        <v>5280</v>
      </c>
      <c r="AM12233">
        <v>1.3</v>
      </c>
      <c r="AP12233">
        <v>7.5</v>
      </c>
      <c r="AS12233">
        <v>15</v>
      </c>
      <c r="AX12233" t="s">
        <v>5533</v>
      </c>
      <c r="BD12233">
        <v>5</v>
      </c>
      <c r="BG12233">
        <v>3.8</v>
      </c>
      <c r="BJ12233" t="s">
        <v>11617</v>
      </c>
      <c r="BQ12233" t="s">
        <v>11618</v>
      </c>
    </row>
    <row r="12234" spans="1:69" x14ac:dyDescent="0.25">
      <c r="A12234" t="s">
        <v>11626</v>
      </c>
      <c r="W12234">
        <v>7.4</v>
      </c>
      <c r="Z12234">
        <v>30</v>
      </c>
      <c r="AF12234">
        <v>3</v>
      </c>
      <c r="AH12234" t="s">
        <v>5280</v>
      </c>
      <c r="AM12234">
        <v>1.3</v>
      </c>
      <c r="AP12234">
        <v>7.5</v>
      </c>
      <c r="AS12234">
        <v>15</v>
      </c>
      <c r="AX12234" t="s">
        <v>5391</v>
      </c>
      <c r="BD12234">
        <v>6.5</v>
      </c>
      <c r="BG12234">
        <v>4.0999999999999996</v>
      </c>
      <c r="BJ12234" t="s">
        <v>11617</v>
      </c>
      <c r="BQ12234" t="s">
        <v>11618</v>
      </c>
    </row>
    <row r="12235" spans="1:69" x14ac:dyDescent="0.25">
      <c r="A12235" t="s">
        <v>11627</v>
      </c>
      <c r="W12235">
        <v>2.2000000000000002</v>
      </c>
      <c r="Z12235">
        <v>15</v>
      </c>
      <c r="AF12235">
        <v>3</v>
      </c>
      <c r="AH12235" t="s">
        <v>5057</v>
      </c>
      <c r="AM12235">
        <v>0.7</v>
      </c>
      <c r="AP12235">
        <v>7.5</v>
      </c>
      <c r="AS12235">
        <v>15</v>
      </c>
      <c r="AX12235" t="s">
        <v>11628</v>
      </c>
      <c r="BD12235">
        <v>2</v>
      </c>
      <c r="BG12235">
        <v>2.1</v>
      </c>
      <c r="BJ12235" t="s">
        <v>11603</v>
      </c>
      <c r="BQ12235" t="s">
        <v>11604</v>
      </c>
    </row>
    <row r="12236" spans="1:69" x14ac:dyDescent="0.25">
      <c r="A12236" t="s">
        <v>11629</v>
      </c>
      <c r="W12236">
        <v>3.2</v>
      </c>
      <c r="Z12236">
        <v>15</v>
      </c>
      <c r="AF12236">
        <v>3</v>
      </c>
      <c r="AH12236" t="s">
        <v>5057</v>
      </c>
      <c r="AM12236">
        <v>0.7</v>
      </c>
      <c r="AP12236">
        <v>7.5</v>
      </c>
      <c r="AS12236">
        <v>15</v>
      </c>
      <c r="AX12236" t="s">
        <v>11630</v>
      </c>
      <c r="BD12236">
        <v>2.5</v>
      </c>
      <c r="BG12236">
        <v>2.1</v>
      </c>
      <c r="BJ12236" t="s">
        <v>11603</v>
      </c>
      <c r="BQ12236" t="s">
        <v>11604</v>
      </c>
    </row>
    <row r="12237" spans="1:69" x14ac:dyDescent="0.25">
      <c r="A12237" t="s">
        <v>11631</v>
      </c>
      <c r="W12237">
        <v>3.5</v>
      </c>
      <c r="Z12237">
        <v>15</v>
      </c>
      <c r="AF12237">
        <v>3</v>
      </c>
      <c r="AH12237" t="s">
        <v>5057</v>
      </c>
      <c r="AM12237">
        <v>0.7</v>
      </c>
      <c r="AP12237">
        <v>7.5</v>
      </c>
      <c r="AS12237">
        <v>15</v>
      </c>
      <c r="AX12237" t="s">
        <v>11632</v>
      </c>
      <c r="BD12237">
        <v>3.5</v>
      </c>
      <c r="BG12237">
        <v>2.2000000000000002</v>
      </c>
      <c r="BJ12237" t="s">
        <v>11603</v>
      </c>
      <c r="BQ12237" t="s">
        <v>11604</v>
      </c>
    </row>
    <row r="12238" spans="1:69" x14ac:dyDescent="0.25">
      <c r="A12238" t="s">
        <v>11633</v>
      </c>
      <c r="W12238">
        <v>4.3</v>
      </c>
      <c r="Z12238">
        <v>20</v>
      </c>
      <c r="AF12238">
        <v>3</v>
      </c>
      <c r="AH12238" t="s">
        <v>5272</v>
      </c>
      <c r="AM12238">
        <v>0.93</v>
      </c>
      <c r="AP12238">
        <v>7.5</v>
      </c>
      <c r="AS12238">
        <v>15</v>
      </c>
      <c r="AX12238" t="s">
        <v>11634</v>
      </c>
      <c r="BD12238">
        <v>4.3</v>
      </c>
      <c r="BG12238">
        <v>2.7</v>
      </c>
      <c r="BJ12238" t="s">
        <v>11603</v>
      </c>
      <c r="BQ12238" t="s">
        <v>11604</v>
      </c>
    </row>
    <row r="12239" spans="1:69" x14ac:dyDescent="0.25">
      <c r="A12239" t="s">
        <v>11635</v>
      </c>
      <c r="W12239">
        <v>6</v>
      </c>
      <c r="Z12239">
        <v>30</v>
      </c>
      <c r="AF12239">
        <v>3</v>
      </c>
      <c r="AH12239" t="s">
        <v>5280</v>
      </c>
      <c r="AM12239">
        <v>1.3</v>
      </c>
      <c r="AP12239">
        <v>7.5</v>
      </c>
      <c r="AS12239">
        <v>15</v>
      </c>
      <c r="AX12239" t="s">
        <v>5533</v>
      </c>
      <c r="BD12239">
        <v>5</v>
      </c>
      <c r="BG12239">
        <v>3.8</v>
      </c>
      <c r="BJ12239" t="s">
        <v>11617</v>
      </c>
      <c r="BQ12239" t="s">
        <v>11618</v>
      </c>
    </row>
    <row r="12240" spans="1:69" x14ac:dyDescent="0.25">
      <c r="A12240" t="s">
        <v>11636</v>
      </c>
      <c r="W12240">
        <v>7.4</v>
      </c>
      <c r="Z12240">
        <v>30</v>
      </c>
      <c r="AF12240">
        <v>3</v>
      </c>
      <c r="AH12240" t="s">
        <v>5280</v>
      </c>
      <c r="AM12240">
        <v>1.3</v>
      </c>
      <c r="AP12240">
        <v>7.5</v>
      </c>
      <c r="AS12240">
        <v>15</v>
      </c>
      <c r="AX12240" t="s">
        <v>5391</v>
      </c>
      <c r="BD12240">
        <v>6.5</v>
      </c>
      <c r="BG12240">
        <v>4.0999999999999996</v>
      </c>
      <c r="BJ12240" t="s">
        <v>11617</v>
      </c>
      <c r="BQ12240" t="s">
        <v>11618</v>
      </c>
    </row>
    <row r="12241" spans="1:80" x14ac:dyDescent="0.25">
      <c r="A12241" t="s">
        <v>11637</v>
      </c>
      <c r="W12241">
        <v>3.2</v>
      </c>
      <c r="Z12241">
        <v>15</v>
      </c>
      <c r="AF12241">
        <v>3</v>
      </c>
      <c r="AH12241" t="s">
        <v>5057</v>
      </c>
      <c r="AM12241">
        <v>0.53</v>
      </c>
      <c r="AP12241">
        <v>7.5</v>
      </c>
      <c r="AS12241">
        <v>15</v>
      </c>
      <c r="AX12241" t="s">
        <v>11638</v>
      </c>
      <c r="BD12241">
        <v>2.5</v>
      </c>
      <c r="BG12241">
        <v>2.1</v>
      </c>
      <c r="BJ12241" t="s">
        <v>11603</v>
      </c>
      <c r="BQ12241" t="s">
        <v>11604</v>
      </c>
    </row>
    <row r="12242" spans="1:80" x14ac:dyDescent="0.25">
      <c r="A12242" t="s">
        <v>11639</v>
      </c>
      <c r="W12242">
        <v>3.5</v>
      </c>
      <c r="Z12242">
        <v>15</v>
      </c>
      <c r="AF12242">
        <v>3</v>
      </c>
      <c r="AH12242" t="s">
        <v>5057</v>
      </c>
      <c r="AM12242">
        <v>0.53</v>
      </c>
      <c r="AP12242">
        <v>7.5</v>
      </c>
      <c r="AS12242">
        <v>15</v>
      </c>
      <c r="AX12242" t="s">
        <v>11640</v>
      </c>
      <c r="BD12242">
        <v>3.5</v>
      </c>
      <c r="BG12242">
        <v>2.2999999999999998</v>
      </c>
      <c r="BJ12242" t="s">
        <v>11603</v>
      </c>
      <c r="BQ12242" t="s">
        <v>11604</v>
      </c>
    </row>
    <row r="12243" spans="1:80" x14ac:dyDescent="0.25">
      <c r="A12243" t="s">
        <v>11641</v>
      </c>
      <c r="W12243">
        <v>6</v>
      </c>
      <c r="Z12243">
        <v>30</v>
      </c>
      <c r="AF12243">
        <v>3</v>
      </c>
      <c r="AH12243" t="s">
        <v>5280</v>
      </c>
      <c r="AM12243">
        <v>1.3</v>
      </c>
      <c r="AP12243">
        <v>7.5</v>
      </c>
      <c r="AS12243">
        <v>15</v>
      </c>
      <c r="AX12243" t="s">
        <v>5533</v>
      </c>
      <c r="BD12243">
        <v>5</v>
      </c>
      <c r="BG12243">
        <v>3.8</v>
      </c>
      <c r="BJ12243" t="s">
        <v>11617</v>
      </c>
      <c r="BQ12243" t="s">
        <v>11618</v>
      </c>
    </row>
    <row r="12244" spans="1:80" x14ac:dyDescent="0.25">
      <c r="A12244" t="s">
        <v>11642</v>
      </c>
      <c r="W12244">
        <v>7.4</v>
      </c>
      <c r="Z12244">
        <v>30</v>
      </c>
      <c r="AF12244">
        <v>3</v>
      </c>
      <c r="AH12244" t="s">
        <v>5280</v>
      </c>
      <c r="AM12244">
        <v>1.3</v>
      </c>
      <c r="AP12244">
        <v>7.5</v>
      </c>
      <c r="AS12244">
        <v>15</v>
      </c>
      <c r="AX12244" t="s">
        <v>5391</v>
      </c>
      <c r="BD12244">
        <v>6.5</v>
      </c>
      <c r="BG12244">
        <v>4.0999999999999996</v>
      </c>
      <c r="BJ12244" t="s">
        <v>11617</v>
      </c>
      <c r="BQ12244" t="s">
        <v>11618</v>
      </c>
    </row>
    <row r="12245" spans="1:80" x14ac:dyDescent="0.25">
      <c r="A12245" t="s">
        <v>11643</v>
      </c>
      <c r="W12245">
        <v>2.9</v>
      </c>
      <c r="Z12245">
        <v>25</v>
      </c>
      <c r="AF12245">
        <v>3</v>
      </c>
      <c r="AH12245" t="s">
        <v>5272</v>
      </c>
      <c r="AM12245">
        <v>0.55000000000000004</v>
      </c>
      <c r="AP12245">
        <v>5</v>
      </c>
      <c r="AS12245">
        <v>12</v>
      </c>
      <c r="AX12245" t="s">
        <v>11644</v>
      </c>
      <c r="BD12245">
        <v>2.8</v>
      </c>
      <c r="BG12245">
        <v>2.6</v>
      </c>
      <c r="BJ12245" t="s">
        <v>11603</v>
      </c>
      <c r="BQ12245" t="s">
        <v>11604</v>
      </c>
    </row>
    <row r="12246" spans="1:80" x14ac:dyDescent="0.25">
      <c r="A12246" t="s">
        <v>11645</v>
      </c>
      <c r="W12246">
        <v>3.8</v>
      </c>
      <c r="Z12246">
        <v>25</v>
      </c>
      <c r="AF12246">
        <v>3</v>
      </c>
      <c r="AH12246" t="s">
        <v>5272</v>
      </c>
      <c r="AM12246">
        <v>0.55000000000000004</v>
      </c>
      <c r="AP12246">
        <v>5</v>
      </c>
      <c r="AS12246">
        <v>12</v>
      </c>
      <c r="AX12246" t="s">
        <v>5412</v>
      </c>
      <c r="BD12246">
        <v>3.6</v>
      </c>
      <c r="BG12246">
        <v>2.7</v>
      </c>
      <c r="BJ12246" t="s">
        <v>11603</v>
      </c>
      <c r="BQ12246" t="s">
        <v>11604</v>
      </c>
    </row>
    <row r="12247" spans="1:80" x14ac:dyDescent="0.25">
      <c r="A12247" t="s">
        <v>11646</v>
      </c>
      <c r="W12247">
        <v>5.2</v>
      </c>
      <c r="Z12247">
        <v>30</v>
      </c>
      <c r="AF12247">
        <v>3</v>
      </c>
      <c r="AH12247" t="s">
        <v>3756</v>
      </c>
      <c r="AM12247">
        <v>1</v>
      </c>
      <c r="AP12247">
        <v>5</v>
      </c>
      <c r="AS12247">
        <v>12</v>
      </c>
      <c r="AX12247" t="s">
        <v>5534</v>
      </c>
      <c r="BD12247">
        <v>5.2</v>
      </c>
      <c r="BG12247">
        <v>4.0999999999999996</v>
      </c>
      <c r="BJ12247" t="s">
        <v>11617</v>
      </c>
      <c r="BQ12247" t="s">
        <v>11618</v>
      </c>
    </row>
    <row r="12248" spans="1:80" x14ac:dyDescent="0.25">
      <c r="A12248" t="s">
        <v>11647</v>
      </c>
      <c r="W12248">
        <v>7.4</v>
      </c>
      <c r="Z12248">
        <v>50</v>
      </c>
      <c r="AF12248">
        <v>3</v>
      </c>
      <c r="AH12248" t="s">
        <v>7051</v>
      </c>
      <c r="AM12248">
        <v>1.6</v>
      </c>
      <c r="AP12248">
        <v>5</v>
      </c>
      <c r="AS12248">
        <v>12</v>
      </c>
      <c r="AX12248" t="s">
        <v>11648</v>
      </c>
      <c r="BD12248">
        <v>7</v>
      </c>
      <c r="BG12248">
        <v>4.8</v>
      </c>
      <c r="BJ12248" t="s">
        <v>11617</v>
      </c>
      <c r="BQ12248" t="s">
        <v>11618</v>
      </c>
    </row>
    <row r="12249" spans="1:80" x14ac:dyDescent="0.25">
      <c r="A12249" t="s">
        <v>11649</v>
      </c>
      <c r="W12249">
        <v>2.9</v>
      </c>
      <c r="Z12249">
        <v>25</v>
      </c>
      <c r="AF12249">
        <v>3</v>
      </c>
      <c r="AH12249" t="s">
        <v>5272</v>
      </c>
      <c r="AM12249">
        <v>0.55000000000000004</v>
      </c>
      <c r="AP12249">
        <v>5</v>
      </c>
      <c r="AS12249">
        <v>12</v>
      </c>
      <c r="AX12249" t="s">
        <v>11644</v>
      </c>
      <c r="BD12249">
        <v>2.8</v>
      </c>
      <c r="BG12249">
        <v>2.6</v>
      </c>
      <c r="BJ12249" t="s">
        <v>11603</v>
      </c>
      <c r="BQ12249" t="s">
        <v>11604</v>
      </c>
    </row>
    <row r="12250" spans="1:80" x14ac:dyDescent="0.25">
      <c r="A12250" t="s">
        <v>11650</v>
      </c>
      <c r="W12250">
        <v>3.8</v>
      </c>
      <c r="Z12250">
        <v>25</v>
      </c>
      <c r="AF12250">
        <v>3</v>
      </c>
      <c r="AH12250" t="s">
        <v>5272</v>
      </c>
      <c r="AM12250">
        <v>0.55000000000000004</v>
      </c>
      <c r="AP12250">
        <v>5</v>
      </c>
      <c r="AS12250">
        <v>12</v>
      </c>
      <c r="AX12250" t="s">
        <v>5412</v>
      </c>
      <c r="BD12250">
        <v>3.6</v>
      </c>
      <c r="BG12250">
        <v>2.7</v>
      </c>
      <c r="BJ12250" t="s">
        <v>11603</v>
      </c>
      <c r="BQ12250" t="s">
        <v>11604</v>
      </c>
    </row>
    <row r="12251" spans="1:80" x14ac:dyDescent="0.25">
      <c r="A12251" t="s">
        <v>11651</v>
      </c>
    </row>
    <row r="12253" spans="1:80" x14ac:dyDescent="0.25">
      <c r="A12253" t="s">
        <v>11652</v>
      </c>
    </row>
    <row r="12255" spans="1:80" x14ac:dyDescent="0.25">
      <c r="A12255" t="s">
        <v>11653</v>
      </c>
      <c r="CB12255" t="s">
        <v>11654</v>
      </c>
    </row>
    <row r="12256" spans="1:80" x14ac:dyDescent="0.25">
      <c r="A12256" t="s">
        <v>2879</v>
      </c>
    </row>
    <row r="12257" spans="1:94" x14ac:dyDescent="0.25">
      <c r="A12257" t="s">
        <v>2880</v>
      </c>
    </row>
    <row r="12258" spans="1:94" x14ac:dyDescent="0.25">
      <c r="A12258" t="s">
        <v>9104</v>
      </c>
    </row>
    <row r="12259" spans="1:94" x14ac:dyDescent="0.25">
      <c r="A12259" t="s">
        <v>573</v>
      </c>
      <c r="N12259" t="s">
        <v>11474</v>
      </c>
      <c r="Z12259" t="s">
        <v>11655</v>
      </c>
      <c r="AF12259" t="s">
        <v>11475</v>
      </c>
      <c r="AM12259" t="s">
        <v>11476</v>
      </c>
      <c r="AS12259" t="s">
        <v>11477</v>
      </c>
      <c r="BG12259" t="s">
        <v>11478</v>
      </c>
      <c r="BM12259" t="s">
        <v>11479</v>
      </c>
      <c r="CA12259" t="s">
        <v>11656</v>
      </c>
    </row>
    <row r="12260" spans="1:94" x14ac:dyDescent="0.25">
      <c r="N12260" t="s">
        <v>11481</v>
      </c>
      <c r="S12260" t="s">
        <v>11482</v>
      </c>
      <c r="AS12260" t="s">
        <v>11483</v>
      </c>
      <c r="AY12260" t="s">
        <v>11484</v>
      </c>
      <c r="BM12260" t="s">
        <v>11485</v>
      </c>
      <c r="BT12260" t="s">
        <v>11486</v>
      </c>
    </row>
    <row r="12261" spans="1:94" x14ac:dyDescent="0.25">
      <c r="BQ12261" t="s">
        <v>2879</v>
      </c>
      <c r="BT12261">
        <v>4.6399999999999997</v>
      </c>
      <c r="BW12261" t="s">
        <v>2880</v>
      </c>
    </row>
    <row r="12262" spans="1:94" x14ac:dyDescent="0.25">
      <c r="A12262" t="s">
        <v>2880</v>
      </c>
    </row>
    <row r="12263" spans="1:94" x14ac:dyDescent="0.25">
      <c r="A12263" t="s">
        <v>2879</v>
      </c>
    </row>
    <row r="12264" spans="1:94" x14ac:dyDescent="0.25">
      <c r="A12264" t="s">
        <v>2879</v>
      </c>
    </row>
    <row r="12265" spans="1:94" x14ac:dyDescent="0.25">
      <c r="A12265" t="s">
        <v>2880</v>
      </c>
    </row>
    <row r="12266" spans="1:94" x14ac:dyDescent="0.25">
      <c r="A12266" t="s">
        <v>2880</v>
      </c>
    </row>
    <row r="12267" spans="1:94" x14ac:dyDescent="0.25">
      <c r="A12267" t="s">
        <v>9104</v>
      </c>
    </row>
    <row r="12268" spans="1:94" x14ac:dyDescent="0.25">
      <c r="A12268" t="s">
        <v>2880</v>
      </c>
    </row>
    <row r="12269" spans="1:94" x14ac:dyDescent="0.25">
      <c r="A12269" t="s">
        <v>9104</v>
      </c>
    </row>
    <row r="12270" spans="1:94" x14ac:dyDescent="0.25">
      <c r="A12270" t="s">
        <v>2880</v>
      </c>
    </row>
    <row r="12271" spans="1:94" x14ac:dyDescent="0.25">
      <c r="A12271" t="s">
        <v>9104</v>
      </c>
    </row>
    <row r="12272" spans="1:94" x14ac:dyDescent="0.25">
      <c r="A12272" t="s">
        <v>11657</v>
      </c>
      <c r="CP12272" t="s">
        <v>11658</v>
      </c>
    </row>
    <row r="12273" spans="1:79" x14ac:dyDescent="0.25">
      <c r="F12273" t="s">
        <v>11659</v>
      </c>
    </row>
    <row r="12274" spans="1:79" x14ac:dyDescent="0.25">
      <c r="F12274" t="s">
        <v>573</v>
      </c>
      <c r="S12274" t="s">
        <v>11481</v>
      </c>
      <c r="AB12274" t="s">
        <v>11660</v>
      </c>
      <c r="BJ12274" t="s">
        <v>11661</v>
      </c>
    </row>
    <row r="12276" spans="1:79" x14ac:dyDescent="0.25">
      <c r="A12276" t="s">
        <v>11662</v>
      </c>
    </row>
    <row r="12278" spans="1:79" x14ac:dyDescent="0.25">
      <c r="F12278" t="s">
        <v>11663</v>
      </c>
      <c r="P12278" t="s">
        <v>11664</v>
      </c>
      <c r="BK12278" t="s">
        <v>11665</v>
      </c>
    </row>
    <row r="12280" spans="1:79" x14ac:dyDescent="0.25">
      <c r="A12280">
        <v>15</v>
      </c>
    </row>
    <row r="12281" spans="1:79" x14ac:dyDescent="0.25">
      <c r="A12281" t="s">
        <v>11375</v>
      </c>
      <c r="O12281">
        <v>2</v>
      </c>
      <c r="Z12281">
        <v>2.2000000000000002</v>
      </c>
      <c r="AC12281" t="s">
        <v>11666</v>
      </c>
      <c r="AS12281">
        <v>10.5</v>
      </c>
      <c r="AU12281">
        <v>6.35</v>
      </c>
      <c r="BI12281">
        <v>9.52</v>
      </c>
      <c r="BM12281" t="s">
        <v>11667</v>
      </c>
      <c r="BU12281">
        <v>735</v>
      </c>
    </row>
    <row r="12282" spans="1:79" x14ac:dyDescent="0.25">
      <c r="A12282" t="s">
        <v>11377</v>
      </c>
      <c r="O12282">
        <v>2.5</v>
      </c>
      <c r="Z12282">
        <v>3.2</v>
      </c>
      <c r="AC12282" t="s">
        <v>11666</v>
      </c>
      <c r="AS12282">
        <v>10.5</v>
      </c>
      <c r="AU12282">
        <v>6.35</v>
      </c>
      <c r="BI12282">
        <v>9.52</v>
      </c>
      <c r="BM12282" t="s">
        <v>11667</v>
      </c>
      <c r="BU12282">
        <v>808</v>
      </c>
    </row>
    <row r="12283" spans="1:79" x14ac:dyDescent="0.25">
      <c r="A12283" t="s">
        <v>11379</v>
      </c>
      <c r="O12283">
        <v>3.5</v>
      </c>
      <c r="Z12283">
        <v>4</v>
      </c>
      <c r="AC12283" t="s">
        <v>11666</v>
      </c>
      <c r="AS12283">
        <v>10.5</v>
      </c>
      <c r="AU12283">
        <v>6.35</v>
      </c>
      <c r="BI12283">
        <v>9.52</v>
      </c>
      <c r="BM12283" t="s">
        <v>11667</v>
      </c>
      <c r="BU12283">
        <v>897</v>
      </c>
    </row>
    <row r="12286" spans="1:79" x14ac:dyDescent="0.25">
      <c r="A12286" t="s">
        <v>11668</v>
      </c>
    </row>
    <row r="12287" spans="1:79" x14ac:dyDescent="0.25">
      <c r="F12287" t="s">
        <v>573</v>
      </c>
      <c r="S12287" t="s">
        <v>11474</v>
      </c>
      <c r="AJ12287" t="s">
        <v>11475</v>
      </c>
      <c r="AT12287" t="s">
        <v>11476</v>
      </c>
      <c r="BQ12287" t="s">
        <v>11478</v>
      </c>
      <c r="CA12287" t="s">
        <v>11656</v>
      </c>
    </row>
    <row r="12288" spans="1:79" x14ac:dyDescent="0.25">
      <c r="S12288" t="s">
        <v>11481</v>
      </c>
      <c r="AB12288" t="s">
        <v>11482</v>
      </c>
      <c r="BJ12288" t="s">
        <v>11484</v>
      </c>
    </row>
    <row r="12289" spans="1:88" x14ac:dyDescent="0.25">
      <c r="F12289" t="s">
        <v>11396</v>
      </c>
      <c r="S12289">
        <v>2</v>
      </c>
      <c r="AE12289">
        <v>2.2000000000000002</v>
      </c>
      <c r="AH12289" t="s">
        <v>11666</v>
      </c>
      <c r="AW12289">
        <v>9.9</v>
      </c>
      <c r="AY12289">
        <v>6.35</v>
      </c>
      <c r="BM12289">
        <v>9.52</v>
      </c>
      <c r="BQ12289" t="s">
        <v>11667</v>
      </c>
      <c r="BY12289">
        <v>641</v>
      </c>
    </row>
    <row r="12290" spans="1:88" x14ac:dyDescent="0.25">
      <c r="F12290" t="s">
        <v>11398</v>
      </c>
      <c r="S12290">
        <v>2.5</v>
      </c>
      <c r="AE12290">
        <v>3.2</v>
      </c>
      <c r="AH12290" t="s">
        <v>11666</v>
      </c>
      <c r="AW12290">
        <v>9.9</v>
      </c>
      <c r="AY12290">
        <v>6.35</v>
      </c>
      <c r="BM12290">
        <v>9.52</v>
      </c>
      <c r="BQ12290" t="s">
        <v>11667</v>
      </c>
      <c r="BY12290">
        <v>704</v>
      </c>
    </row>
    <row r="12291" spans="1:88" x14ac:dyDescent="0.25">
      <c r="F12291" t="s">
        <v>11400</v>
      </c>
      <c r="S12291">
        <v>3.5</v>
      </c>
      <c r="AE12291">
        <v>4</v>
      </c>
      <c r="AH12291" t="s">
        <v>11666</v>
      </c>
      <c r="AW12291">
        <v>9.9</v>
      </c>
      <c r="AY12291">
        <v>6.35</v>
      </c>
      <c r="BM12291">
        <v>9.52</v>
      </c>
      <c r="BQ12291" t="s">
        <v>11667</v>
      </c>
      <c r="BY12291">
        <v>782</v>
      </c>
    </row>
    <row r="12292" spans="1:88" x14ac:dyDescent="0.25">
      <c r="H12292" t="s">
        <v>11669</v>
      </c>
    </row>
    <row r="12293" spans="1:88" x14ac:dyDescent="0.25">
      <c r="CJ12293" t="s">
        <v>11470</v>
      </c>
    </row>
    <row r="12295" spans="1:88" x14ac:dyDescent="0.25">
      <c r="A12295" t="s">
        <v>11658</v>
      </c>
    </row>
    <row r="12297" spans="1:88" x14ac:dyDescent="0.25">
      <c r="F12297" t="s">
        <v>573</v>
      </c>
      <c r="S12297" t="s">
        <v>11474</v>
      </c>
      <c r="AJ12297" t="s">
        <v>11475</v>
      </c>
      <c r="AT12297" t="s">
        <v>11476</v>
      </c>
      <c r="BQ12297" t="s">
        <v>11478</v>
      </c>
      <c r="CA12297" t="s">
        <v>11656</v>
      </c>
    </row>
    <row r="12298" spans="1:88" x14ac:dyDescent="0.25">
      <c r="S12298" t="s">
        <v>11481</v>
      </c>
      <c r="AB12298" t="s">
        <v>11482</v>
      </c>
      <c r="BJ12298" t="s">
        <v>11484</v>
      </c>
    </row>
    <row r="12299" spans="1:88" x14ac:dyDescent="0.25">
      <c r="F12299" t="s">
        <v>11382</v>
      </c>
      <c r="S12299">
        <v>2</v>
      </c>
      <c r="AE12299">
        <v>2.2000000000000002</v>
      </c>
      <c r="AH12299" t="s">
        <v>11670</v>
      </c>
      <c r="AW12299">
        <v>9.9</v>
      </c>
      <c r="AY12299">
        <v>6.35</v>
      </c>
      <c r="BM12299">
        <v>9.52</v>
      </c>
      <c r="BQ12299" t="s">
        <v>11667</v>
      </c>
      <c r="BY12299">
        <v>616</v>
      </c>
    </row>
    <row r="12300" spans="1:88" x14ac:dyDescent="0.25">
      <c r="F12300" t="s">
        <v>11384</v>
      </c>
      <c r="S12300">
        <v>2.5</v>
      </c>
      <c r="AE12300">
        <v>3.2</v>
      </c>
      <c r="AH12300" t="s">
        <v>11670</v>
      </c>
      <c r="AW12300">
        <v>9.9</v>
      </c>
      <c r="AY12300">
        <v>6.35</v>
      </c>
      <c r="BM12300">
        <v>9.52</v>
      </c>
      <c r="BQ12300" t="s">
        <v>11667</v>
      </c>
      <c r="BY12300">
        <v>677</v>
      </c>
    </row>
    <row r="12301" spans="1:88" x14ac:dyDescent="0.25">
      <c r="F12301" t="s">
        <v>11386</v>
      </c>
      <c r="S12301">
        <v>3.5</v>
      </c>
      <c r="AE12301">
        <v>4</v>
      </c>
      <c r="AH12301" t="s">
        <v>11670</v>
      </c>
      <c r="AW12301">
        <v>9.9</v>
      </c>
      <c r="AY12301">
        <v>6.35</v>
      </c>
      <c r="BM12301">
        <v>9.52</v>
      </c>
      <c r="BQ12301" t="s">
        <v>11667</v>
      </c>
      <c r="BY12301">
        <v>752</v>
      </c>
    </row>
    <row r="12302" spans="1:88" x14ac:dyDescent="0.25">
      <c r="F12302" t="s">
        <v>11390</v>
      </c>
      <c r="S12302">
        <v>5</v>
      </c>
      <c r="AE12302">
        <v>6</v>
      </c>
      <c r="AH12302" t="s">
        <v>11671</v>
      </c>
      <c r="AW12302">
        <v>12.3</v>
      </c>
      <c r="AY12302">
        <v>6.35</v>
      </c>
      <c r="BM12302">
        <v>12.7</v>
      </c>
      <c r="BQ12302" t="s">
        <v>11667</v>
      </c>
      <c r="BY12302" t="s">
        <v>11672</v>
      </c>
    </row>
    <row r="12303" spans="1:88" x14ac:dyDescent="0.25">
      <c r="F12303" t="s">
        <v>11392</v>
      </c>
      <c r="S12303">
        <v>6.5</v>
      </c>
      <c r="AE12303">
        <v>7.4</v>
      </c>
      <c r="AH12303" t="s">
        <v>11671</v>
      </c>
      <c r="AW12303">
        <v>12.3</v>
      </c>
      <c r="AY12303">
        <v>6.35</v>
      </c>
      <c r="BM12303">
        <v>15.88</v>
      </c>
      <c r="BQ12303" t="s">
        <v>11667</v>
      </c>
      <c r="BY12303" t="s">
        <v>11673</v>
      </c>
    </row>
    <row r="12305" spans="6:88" x14ac:dyDescent="0.25">
      <c r="H12305" t="s">
        <v>11674</v>
      </c>
    </row>
    <row r="12306" spans="6:88" x14ac:dyDescent="0.25">
      <c r="CJ12306" t="s">
        <v>11470</v>
      </c>
    </row>
    <row r="12309" spans="6:88" x14ac:dyDescent="0.25">
      <c r="F12309" t="s">
        <v>573</v>
      </c>
      <c r="S12309" t="s">
        <v>11675</v>
      </c>
      <c r="AJ12309" t="s">
        <v>11475</v>
      </c>
      <c r="AT12309" t="s">
        <v>11676</v>
      </c>
      <c r="BQ12309" t="s">
        <v>11677</v>
      </c>
      <c r="CA12309" t="s">
        <v>11656</v>
      </c>
    </row>
    <row r="12310" spans="6:88" x14ac:dyDescent="0.25">
      <c r="S12310" t="s">
        <v>11678</v>
      </c>
      <c r="AB12310" t="s">
        <v>11679</v>
      </c>
      <c r="BJ12310" t="s">
        <v>11484</v>
      </c>
    </row>
    <row r="12312" spans="6:88" x14ac:dyDescent="0.25">
      <c r="F12312" t="s">
        <v>11402</v>
      </c>
      <c r="S12312">
        <v>2</v>
      </c>
      <c r="AE12312">
        <v>2.2000000000000002</v>
      </c>
      <c r="AH12312" t="s">
        <v>11666</v>
      </c>
      <c r="AW12312">
        <v>9.9</v>
      </c>
      <c r="AY12312">
        <v>6.35</v>
      </c>
      <c r="BM12312">
        <v>9.52</v>
      </c>
      <c r="BQ12312" t="s">
        <v>11667</v>
      </c>
      <c r="BY12312">
        <v>445</v>
      </c>
    </row>
    <row r="12313" spans="6:88" x14ac:dyDescent="0.25">
      <c r="F12313" t="s">
        <v>11405</v>
      </c>
      <c r="S12313">
        <v>2.5</v>
      </c>
      <c r="AE12313">
        <v>3.2</v>
      </c>
      <c r="AH12313" t="s">
        <v>11666</v>
      </c>
      <c r="AW12313">
        <v>9.9</v>
      </c>
      <c r="AY12313">
        <v>6.35</v>
      </c>
      <c r="BM12313">
        <v>9.52</v>
      </c>
      <c r="BQ12313" t="s">
        <v>11667</v>
      </c>
      <c r="BY12313">
        <v>488</v>
      </c>
    </row>
    <row r="12314" spans="6:88" x14ac:dyDescent="0.25">
      <c r="F12314" t="s">
        <v>11407</v>
      </c>
      <c r="S12314">
        <v>3.5</v>
      </c>
      <c r="AE12314">
        <v>4</v>
      </c>
      <c r="AH12314" t="s">
        <v>11666</v>
      </c>
      <c r="AW12314">
        <v>9.9</v>
      </c>
      <c r="AY12314">
        <v>6.35</v>
      </c>
      <c r="BM12314">
        <v>9.52</v>
      </c>
      <c r="BQ12314" t="s">
        <v>11667</v>
      </c>
      <c r="BY12314">
        <v>543</v>
      </c>
    </row>
    <row r="12315" spans="6:88" x14ac:dyDescent="0.25">
      <c r="F12315" t="s">
        <v>11409</v>
      </c>
      <c r="S12315">
        <v>5</v>
      </c>
      <c r="AE12315">
        <v>6</v>
      </c>
      <c r="AH12315" t="s">
        <v>11671</v>
      </c>
      <c r="AW12315">
        <v>12.3</v>
      </c>
      <c r="AY12315">
        <v>6.35</v>
      </c>
      <c r="BM12315">
        <v>12.7</v>
      </c>
      <c r="BQ12315" t="s">
        <v>11667</v>
      </c>
      <c r="BY12315">
        <v>835</v>
      </c>
    </row>
    <row r="12316" spans="6:88" x14ac:dyDescent="0.25">
      <c r="F12316" t="s">
        <v>11411</v>
      </c>
      <c r="S12316">
        <v>6.5</v>
      </c>
      <c r="AE12316">
        <v>7.4</v>
      </c>
      <c r="AH12316" t="s">
        <v>11671</v>
      </c>
      <c r="AW12316">
        <v>12.3</v>
      </c>
      <c r="AY12316">
        <v>6.35</v>
      </c>
      <c r="BM12316">
        <v>15.88</v>
      </c>
      <c r="BQ12316" t="s">
        <v>11667</v>
      </c>
      <c r="BY12316" t="s">
        <v>11680</v>
      </c>
    </row>
    <row r="12318" spans="6:88" x14ac:dyDescent="0.25">
      <c r="H12318">
        <v>16</v>
      </c>
    </row>
    <row r="12323" spans="1:74" x14ac:dyDescent="0.25">
      <c r="A12323" t="s">
        <v>11681</v>
      </c>
    </row>
    <row r="12324" spans="1:74" x14ac:dyDescent="0.25">
      <c r="A12324" t="s">
        <v>573</v>
      </c>
      <c r="N12324" t="s">
        <v>11474</v>
      </c>
      <c r="AG12324" t="s">
        <v>11475</v>
      </c>
      <c r="AP12324" t="s">
        <v>11476</v>
      </c>
      <c r="AX12324" t="s">
        <v>11477</v>
      </c>
      <c r="BO12324" t="s">
        <v>11478</v>
      </c>
      <c r="BV12324" t="s">
        <v>11656</v>
      </c>
    </row>
    <row r="12325" spans="1:74" x14ac:dyDescent="0.25">
      <c r="N12325" t="s">
        <v>11481</v>
      </c>
      <c r="W12325" t="s">
        <v>11482</v>
      </c>
      <c r="AX12325" t="s">
        <v>11483</v>
      </c>
      <c r="BG12325" t="s">
        <v>11484</v>
      </c>
    </row>
    <row r="12326" spans="1:74" x14ac:dyDescent="0.25">
      <c r="A12326" t="s">
        <v>11413</v>
      </c>
      <c r="O12326">
        <v>2</v>
      </c>
      <c r="Z12326">
        <v>2.2000000000000002</v>
      </c>
      <c r="AC12326" t="s">
        <v>11682</v>
      </c>
      <c r="AS12326">
        <v>9.1</v>
      </c>
      <c r="AU12326">
        <v>6.35</v>
      </c>
      <c r="BI12326">
        <v>9.52</v>
      </c>
      <c r="BM12326" t="s">
        <v>11667</v>
      </c>
      <c r="BU12326">
        <v>374</v>
      </c>
    </row>
    <row r="12327" spans="1:74" x14ac:dyDescent="0.25">
      <c r="A12327" t="s">
        <v>11415</v>
      </c>
      <c r="O12327">
        <v>2.5</v>
      </c>
      <c r="Z12327">
        <v>3.2</v>
      </c>
      <c r="AC12327" t="s">
        <v>11682</v>
      </c>
      <c r="AS12327">
        <v>9.1</v>
      </c>
      <c r="AU12327">
        <v>6.35</v>
      </c>
      <c r="BI12327">
        <v>9.52</v>
      </c>
      <c r="BM12327" t="s">
        <v>11667</v>
      </c>
      <c r="BU12327">
        <v>411</v>
      </c>
    </row>
    <row r="12328" spans="1:74" x14ac:dyDescent="0.25">
      <c r="A12328" t="s">
        <v>11418</v>
      </c>
      <c r="O12328">
        <v>3.5</v>
      </c>
      <c r="Z12328">
        <v>3.5</v>
      </c>
      <c r="AC12328" t="s">
        <v>11682</v>
      </c>
      <c r="AS12328">
        <v>9.1</v>
      </c>
      <c r="AU12328">
        <v>6.35</v>
      </c>
      <c r="BI12328">
        <v>9.52</v>
      </c>
      <c r="BM12328" t="s">
        <v>11667</v>
      </c>
      <c r="BU12328">
        <v>457</v>
      </c>
    </row>
    <row r="12329" spans="1:74" x14ac:dyDescent="0.25">
      <c r="A12329" t="s">
        <v>11422</v>
      </c>
      <c r="O12329">
        <v>5</v>
      </c>
      <c r="Z12329">
        <v>6</v>
      </c>
      <c r="AC12329" t="s">
        <v>11671</v>
      </c>
      <c r="AS12329">
        <v>12.5</v>
      </c>
      <c r="AU12329">
        <v>6.35</v>
      </c>
      <c r="BI12329">
        <v>12.7</v>
      </c>
      <c r="BM12329" t="s">
        <v>11667</v>
      </c>
      <c r="BU12329">
        <v>704</v>
      </c>
    </row>
    <row r="12330" spans="1:74" x14ac:dyDescent="0.25">
      <c r="A12330" t="s">
        <v>11424</v>
      </c>
      <c r="O12330">
        <v>6.5</v>
      </c>
      <c r="Z12330">
        <v>7.4</v>
      </c>
      <c r="AC12330" t="s">
        <v>11671</v>
      </c>
      <c r="AS12330">
        <v>12.5</v>
      </c>
      <c r="AU12330">
        <v>6.35</v>
      </c>
      <c r="BI12330">
        <v>15.88</v>
      </c>
      <c r="BM12330" t="s">
        <v>11667</v>
      </c>
      <c r="BU12330">
        <v>938</v>
      </c>
    </row>
    <row r="12331" spans="1:74" x14ac:dyDescent="0.25">
      <c r="A12331" t="s">
        <v>11683</v>
      </c>
    </row>
    <row r="12332" spans="1:74" x14ac:dyDescent="0.25">
      <c r="A12332" t="s">
        <v>11658</v>
      </c>
    </row>
    <row r="12334" spans="1:74" x14ac:dyDescent="0.25">
      <c r="A12334" t="s">
        <v>573</v>
      </c>
      <c r="N12334" t="s">
        <v>11474</v>
      </c>
      <c r="AG12334" t="s">
        <v>11475</v>
      </c>
      <c r="AP12334" t="s">
        <v>11476</v>
      </c>
      <c r="AX12334" t="s">
        <v>11477</v>
      </c>
      <c r="BO12334" t="s">
        <v>11478</v>
      </c>
      <c r="BV12334" t="s">
        <v>11656</v>
      </c>
    </row>
    <row r="12335" spans="1:74" x14ac:dyDescent="0.25">
      <c r="N12335" t="s">
        <v>11481</v>
      </c>
      <c r="W12335" t="s">
        <v>11482</v>
      </c>
      <c r="AX12335" t="s">
        <v>11483</v>
      </c>
      <c r="BG12335" t="s">
        <v>11484</v>
      </c>
    </row>
    <row r="12336" spans="1:74" x14ac:dyDescent="0.25">
      <c r="A12336" t="s">
        <v>11425</v>
      </c>
      <c r="O12336">
        <v>2</v>
      </c>
      <c r="Z12336">
        <v>2.2000000000000002</v>
      </c>
      <c r="AC12336" t="s">
        <v>11682</v>
      </c>
      <c r="AS12336">
        <v>9.1</v>
      </c>
      <c r="AU12336">
        <v>6.35</v>
      </c>
      <c r="BI12336">
        <v>9.52</v>
      </c>
      <c r="BM12336" t="s">
        <v>11667</v>
      </c>
      <c r="BU12336">
        <v>360</v>
      </c>
    </row>
    <row r="12337" spans="1:79" x14ac:dyDescent="0.25">
      <c r="A12337" t="s">
        <v>11426</v>
      </c>
      <c r="O12337">
        <v>2.5</v>
      </c>
      <c r="Z12337">
        <v>3.2</v>
      </c>
      <c r="AC12337" t="s">
        <v>11682</v>
      </c>
      <c r="AS12337">
        <v>9.1</v>
      </c>
      <c r="AU12337">
        <v>6.35</v>
      </c>
      <c r="BI12337">
        <v>9.52</v>
      </c>
      <c r="BM12337" t="s">
        <v>11667</v>
      </c>
      <c r="BU12337">
        <v>396</v>
      </c>
    </row>
    <row r="12338" spans="1:79" x14ac:dyDescent="0.25">
      <c r="A12338" t="s">
        <v>11427</v>
      </c>
      <c r="O12338">
        <v>3.5</v>
      </c>
      <c r="Z12338">
        <v>3.5</v>
      </c>
      <c r="AC12338" t="s">
        <v>11682</v>
      </c>
      <c r="AS12338">
        <v>9.1</v>
      </c>
      <c r="AU12338">
        <v>6.35</v>
      </c>
      <c r="BI12338">
        <v>9.52</v>
      </c>
      <c r="BM12338" t="s">
        <v>11667</v>
      </c>
      <c r="BU12338">
        <v>440</v>
      </c>
    </row>
    <row r="12339" spans="1:79" x14ac:dyDescent="0.25">
      <c r="A12339" t="s">
        <v>11428</v>
      </c>
      <c r="O12339">
        <v>5</v>
      </c>
      <c r="Z12339">
        <v>6</v>
      </c>
      <c r="AC12339" t="s">
        <v>11671</v>
      </c>
      <c r="AS12339">
        <v>12.5</v>
      </c>
      <c r="AU12339">
        <v>6.35</v>
      </c>
      <c r="BI12339">
        <v>12.7</v>
      </c>
      <c r="BM12339" t="s">
        <v>11667</v>
      </c>
      <c r="BU12339">
        <v>677</v>
      </c>
    </row>
    <row r="12340" spans="1:79" x14ac:dyDescent="0.25">
      <c r="A12340" t="s">
        <v>11429</v>
      </c>
      <c r="O12340">
        <v>6.5</v>
      </c>
      <c r="Z12340">
        <v>7.4</v>
      </c>
      <c r="AC12340" t="s">
        <v>11671</v>
      </c>
      <c r="AS12340">
        <v>12.5</v>
      </c>
      <c r="AU12340">
        <v>6.35</v>
      </c>
      <c r="BI12340">
        <v>15.88</v>
      </c>
      <c r="BM12340" t="s">
        <v>11667</v>
      </c>
      <c r="BU12340">
        <v>894</v>
      </c>
    </row>
    <row r="12341" spans="1:79" x14ac:dyDescent="0.25">
      <c r="A12341" t="s">
        <v>11502</v>
      </c>
    </row>
    <row r="12343" spans="1:79" x14ac:dyDescent="0.25">
      <c r="A12343" t="s">
        <v>11503</v>
      </c>
      <c r="K12343" t="s">
        <v>11684</v>
      </c>
    </row>
    <row r="12344" spans="1:79" x14ac:dyDescent="0.25">
      <c r="A12344" t="s">
        <v>573</v>
      </c>
      <c r="K12344" t="s">
        <v>11685</v>
      </c>
    </row>
    <row r="12345" spans="1:79" x14ac:dyDescent="0.25">
      <c r="A12345" t="s">
        <v>11505</v>
      </c>
      <c r="K12345" t="s">
        <v>11686</v>
      </c>
    </row>
    <row r="12347" spans="1:79" x14ac:dyDescent="0.25">
      <c r="A12347" t="s">
        <v>11687</v>
      </c>
    </row>
    <row r="12349" spans="1:79" x14ac:dyDescent="0.25">
      <c r="A12349" t="s">
        <v>11688</v>
      </c>
    </row>
    <row r="12350" spans="1:79" x14ac:dyDescent="0.25">
      <c r="F12350" t="s">
        <v>573</v>
      </c>
      <c r="S12350" t="s">
        <v>11474</v>
      </c>
      <c r="AJ12350" t="s">
        <v>11475</v>
      </c>
      <c r="AT12350" t="s">
        <v>11476</v>
      </c>
      <c r="BQ12350" t="s">
        <v>11478</v>
      </c>
      <c r="CA12350" t="s">
        <v>11656</v>
      </c>
    </row>
    <row r="12351" spans="1:79" x14ac:dyDescent="0.25">
      <c r="S12351" t="s">
        <v>11481</v>
      </c>
      <c r="AB12351" t="s">
        <v>11482</v>
      </c>
      <c r="BJ12351" t="s">
        <v>11484</v>
      </c>
    </row>
    <row r="12352" spans="1:79" x14ac:dyDescent="0.25">
      <c r="F12352" t="s">
        <v>11689</v>
      </c>
      <c r="S12352">
        <v>1.6</v>
      </c>
      <c r="AE12352">
        <v>2</v>
      </c>
      <c r="AH12352" t="s">
        <v>11690</v>
      </c>
      <c r="AW12352">
        <v>11.5</v>
      </c>
      <c r="AY12352">
        <v>6.35</v>
      </c>
      <c r="BM12352">
        <v>9.52</v>
      </c>
      <c r="BQ12352" t="s">
        <v>11667</v>
      </c>
      <c r="BY12352">
        <v>628</v>
      </c>
    </row>
    <row r="12353" spans="1:81" x14ac:dyDescent="0.25">
      <c r="F12353" t="s">
        <v>11691</v>
      </c>
      <c r="S12353">
        <v>2</v>
      </c>
      <c r="AE12353">
        <v>2.2000000000000002</v>
      </c>
      <c r="AH12353" t="s">
        <v>11690</v>
      </c>
      <c r="AW12353">
        <v>11.5</v>
      </c>
      <c r="AY12353">
        <v>6.35</v>
      </c>
      <c r="BM12353">
        <v>9.52</v>
      </c>
      <c r="BQ12353" t="s">
        <v>11667</v>
      </c>
      <c r="BY12353">
        <v>656</v>
      </c>
    </row>
    <row r="12354" spans="1:81" x14ac:dyDescent="0.25">
      <c r="F12354" t="s">
        <v>11692</v>
      </c>
      <c r="S12354">
        <v>2.6</v>
      </c>
      <c r="AE12354">
        <v>2.9</v>
      </c>
      <c r="AH12354" t="s">
        <v>11690</v>
      </c>
      <c r="AW12354">
        <v>11.5</v>
      </c>
      <c r="AY12354">
        <v>6.35</v>
      </c>
      <c r="BM12354">
        <v>9.52</v>
      </c>
      <c r="BQ12354" t="s">
        <v>11667</v>
      </c>
      <c r="BY12354">
        <v>723</v>
      </c>
    </row>
    <row r="12355" spans="1:81" x14ac:dyDescent="0.25">
      <c r="F12355" t="s">
        <v>11693</v>
      </c>
      <c r="S12355">
        <v>3.5</v>
      </c>
      <c r="AE12355">
        <v>3.8</v>
      </c>
      <c r="AH12355" t="s">
        <v>11690</v>
      </c>
      <c r="AW12355">
        <v>11.5</v>
      </c>
      <c r="AY12355">
        <v>6.35</v>
      </c>
      <c r="BM12355">
        <v>9.52</v>
      </c>
      <c r="BQ12355" t="s">
        <v>11667</v>
      </c>
      <c r="BY12355">
        <v>824</v>
      </c>
    </row>
    <row r="12356" spans="1:81" x14ac:dyDescent="0.25">
      <c r="F12356" t="s">
        <v>11694</v>
      </c>
      <c r="S12356">
        <v>5.2</v>
      </c>
      <c r="AE12356">
        <v>5.6</v>
      </c>
      <c r="AH12356" t="s">
        <v>11690</v>
      </c>
      <c r="AW12356">
        <v>11.8</v>
      </c>
      <c r="AY12356">
        <v>6.35</v>
      </c>
      <c r="BM12356">
        <v>12.7</v>
      </c>
      <c r="BQ12356" t="s">
        <v>11667</v>
      </c>
      <c r="BY12356">
        <v>961</v>
      </c>
    </row>
    <row r="12357" spans="1:81" x14ac:dyDescent="0.25">
      <c r="A12357" t="s">
        <v>11695</v>
      </c>
    </row>
    <row r="12358" spans="1:81" x14ac:dyDescent="0.25">
      <c r="F12358" t="s">
        <v>573</v>
      </c>
      <c r="S12358" t="s">
        <v>11474</v>
      </c>
      <c r="AJ12358" t="s">
        <v>11475</v>
      </c>
      <c r="AT12358" t="s">
        <v>11476</v>
      </c>
      <c r="BQ12358" t="s">
        <v>11478</v>
      </c>
      <c r="CA12358" t="s">
        <v>11656</v>
      </c>
    </row>
    <row r="12359" spans="1:81" x14ac:dyDescent="0.25">
      <c r="S12359" t="s">
        <v>11481</v>
      </c>
      <c r="AB12359" t="s">
        <v>11482</v>
      </c>
      <c r="BJ12359" t="s">
        <v>11484</v>
      </c>
    </row>
    <row r="12360" spans="1:81" x14ac:dyDescent="0.25">
      <c r="F12360" t="s">
        <v>11696</v>
      </c>
      <c r="S12360">
        <v>2.6</v>
      </c>
      <c r="AE12360">
        <v>2.9</v>
      </c>
      <c r="AH12360" t="s">
        <v>11697</v>
      </c>
      <c r="AW12360">
        <v>9.5</v>
      </c>
      <c r="AY12360">
        <v>6.35</v>
      </c>
      <c r="BM12360">
        <v>9.52</v>
      </c>
      <c r="BQ12360" t="s">
        <v>11667</v>
      </c>
      <c r="BY12360">
        <v>656</v>
      </c>
    </row>
    <row r="12361" spans="1:81" x14ac:dyDescent="0.25">
      <c r="F12361" t="s">
        <v>11698</v>
      </c>
      <c r="S12361">
        <v>3.5</v>
      </c>
      <c r="AE12361">
        <v>3.8</v>
      </c>
      <c r="AH12361" t="s">
        <v>11697</v>
      </c>
      <c r="AW12361">
        <v>9.5</v>
      </c>
      <c r="AY12361">
        <v>6.35</v>
      </c>
      <c r="BM12361">
        <v>9.52</v>
      </c>
      <c r="BQ12361" t="s">
        <v>11667</v>
      </c>
      <c r="BY12361">
        <v>801</v>
      </c>
    </row>
    <row r="12362" spans="1:81" x14ac:dyDescent="0.25">
      <c r="A12362" t="s">
        <v>11699</v>
      </c>
    </row>
    <row r="12363" spans="1:81" x14ac:dyDescent="0.25">
      <c r="AQ12363" t="s">
        <v>11700</v>
      </c>
    </row>
    <row r="12364" spans="1:81" x14ac:dyDescent="0.25">
      <c r="F12364" t="s">
        <v>11701</v>
      </c>
      <c r="P12364" t="s">
        <v>11453</v>
      </c>
      <c r="Y12364" t="s">
        <v>11454</v>
      </c>
    </row>
    <row r="12366" spans="1:81" x14ac:dyDescent="0.25">
      <c r="F12366" t="s">
        <v>11503</v>
      </c>
      <c r="P12366" t="s">
        <v>11702</v>
      </c>
      <c r="Y12366" t="s">
        <v>11703</v>
      </c>
    </row>
    <row r="12367" spans="1:81" x14ac:dyDescent="0.25">
      <c r="AQ12367" t="s">
        <v>11704</v>
      </c>
      <c r="CC12367" t="s">
        <v>11453</v>
      </c>
    </row>
    <row r="12368" spans="1:81" x14ac:dyDescent="0.25">
      <c r="AQ12368" t="s">
        <v>11503</v>
      </c>
      <c r="BA12368" t="s">
        <v>11705</v>
      </c>
    </row>
    <row r="12369" spans="1:74" x14ac:dyDescent="0.25">
      <c r="F12369" t="s">
        <v>573</v>
      </c>
    </row>
    <row r="12370" spans="1:74" x14ac:dyDescent="0.25">
      <c r="F12370" t="s">
        <v>3050</v>
      </c>
      <c r="P12370" t="s">
        <v>11706</v>
      </c>
      <c r="Y12370" t="s">
        <v>11707</v>
      </c>
    </row>
    <row r="12371" spans="1:74" x14ac:dyDescent="0.25">
      <c r="AQ12371" t="s">
        <v>573</v>
      </c>
    </row>
    <row r="12372" spans="1:74" x14ac:dyDescent="0.25">
      <c r="F12372" t="s">
        <v>11505</v>
      </c>
      <c r="P12372">
        <v>252</v>
      </c>
      <c r="Y12372">
        <v>273</v>
      </c>
    </row>
    <row r="12373" spans="1:74" x14ac:dyDescent="0.25">
      <c r="AQ12373" t="s">
        <v>11505</v>
      </c>
      <c r="BA12373" t="s">
        <v>11708</v>
      </c>
    </row>
    <row r="12376" spans="1:74" x14ac:dyDescent="0.25">
      <c r="A12376">
        <v>18</v>
      </c>
    </row>
    <row r="12377" spans="1:74" x14ac:dyDescent="0.25">
      <c r="A12377" t="s">
        <v>11709</v>
      </c>
    </row>
    <row r="12378" spans="1:74" x14ac:dyDescent="0.25">
      <c r="A12378" t="s">
        <v>573</v>
      </c>
      <c r="N12378" t="s">
        <v>11474</v>
      </c>
      <c r="AG12378" t="s">
        <v>11475</v>
      </c>
      <c r="AP12378" t="s">
        <v>11476</v>
      </c>
      <c r="AX12378" t="s">
        <v>11477</v>
      </c>
      <c r="BO12378" t="s">
        <v>11478</v>
      </c>
      <c r="BV12378" t="s">
        <v>11656</v>
      </c>
    </row>
    <row r="12379" spans="1:74" x14ac:dyDescent="0.25">
      <c r="N12379" t="s">
        <v>11481</v>
      </c>
      <c r="W12379" t="s">
        <v>11482</v>
      </c>
      <c r="AX12379" t="s">
        <v>11483</v>
      </c>
      <c r="BG12379" t="s">
        <v>11484</v>
      </c>
    </row>
    <row r="12380" spans="1:74" x14ac:dyDescent="0.25">
      <c r="A12380" t="s">
        <v>11710</v>
      </c>
      <c r="O12380">
        <v>2.6</v>
      </c>
      <c r="Z12380">
        <v>2.9</v>
      </c>
      <c r="AC12380" t="s">
        <v>11711</v>
      </c>
      <c r="AS12380">
        <v>15</v>
      </c>
      <c r="AU12380">
        <v>6.35</v>
      </c>
      <c r="BI12380">
        <v>9.52</v>
      </c>
      <c r="BM12380" t="s">
        <v>11667</v>
      </c>
      <c r="BU12380">
        <v>890</v>
      </c>
    </row>
    <row r="12381" spans="1:74" x14ac:dyDescent="0.25">
      <c r="A12381" t="s">
        <v>11712</v>
      </c>
      <c r="O12381">
        <v>3.5</v>
      </c>
      <c r="Z12381">
        <v>3.8</v>
      </c>
      <c r="AC12381" t="s">
        <v>11711</v>
      </c>
      <c r="AS12381">
        <v>15</v>
      </c>
      <c r="AU12381">
        <v>6.35</v>
      </c>
      <c r="BI12381">
        <v>9.52</v>
      </c>
      <c r="BM12381" t="s">
        <v>11667</v>
      </c>
      <c r="BU12381">
        <v>922</v>
      </c>
    </row>
    <row r="12382" spans="1:74" x14ac:dyDescent="0.25">
      <c r="A12382" t="s">
        <v>11658</v>
      </c>
    </row>
    <row r="12384" spans="1:74" x14ac:dyDescent="0.25">
      <c r="A12384" t="s">
        <v>11713</v>
      </c>
    </row>
    <row r="12385" spans="1:79" x14ac:dyDescent="0.25">
      <c r="A12385" t="s">
        <v>573</v>
      </c>
      <c r="N12385" t="s">
        <v>11474</v>
      </c>
      <c r="AG12385" t="s">
        <v>11475</v>
      </c>
      <c r="AP12385" t="s">
        <v>11476</v>
      </c>
      <c r="AX12385" t="s">
        <v>11477</v>
      </c>
      <c r="BO12385" t="s">
        <v>11478</v>
      </c>
      <c r="BV12385" t="s">
        <v>11656</v>
      </c>
    </row>
    <row r="12386" spans="1:79" x14ac:dyDescent="0.25">
      <c r="N12386" t="s">
        <v>11481</v>
      </c>
      <c r="W12386" t="s">
        <v>11482</v>
      </c>
      <c r="AX12386" t="s">
        <v>11483</v>
      </c>
      <c r="BG12386" t="s">
        <v>11484</v>
      </c>
    </row>
    <row r="12387" spans="1:79" x14ac:dyDescent="0.25">
      <c r="A12387" t="s">
        <v>11714</v>
      </c>
    </row>
    <row r="12388" spans="1:79" x14ac:dyDescent="0.25">
      <c r="A12388" t="s">
        <v>11715</v>
      </c>
    </row>
    <row r="12389" spans="1:79" x14ac:dyDescent="0.25">
      <c r="A12389" t="s">
        <v>11701</v>
      </c>
      <c r="AW12389" t="s">
        <v>11716</v>
      </c>
    </row>
    <row r="12390" spans="1:79" x14ac:dyDescent="0.25">
      <c r="A12390" t="s">
        <v>11503</v>
      </c>
      <c r="K12390" t="s">
        <v>11717</v>
      </c>
    </row>
    <row r="12391" spans="1:79" x14ac:dyDescent="0.25">
      <c r="A12391" t="s">
        <v>573</v>
      </c>
      <c r="K12391" t="s">
        <v>11718</v>
      </c>
    </row>
    <row r="12392" spans="1:79" x14ac:dyDescent="0.25">
      <c r="A12392" t="s">
        <v>11505</v>
      </c>
      <c r="K12392" t="s">
        <v>11719</v>
      </c>
    </row>
    <row r="12394" spans="1:79" x14ac:dyDescent="0.25">
      <c r="A12394" t="s">
        <v>11720</v>
      </c>
    </row>
    <row r="12395" spans="1:79" x14ac:dyDescent="0.25">
      <c r="A12395" t="s">
        <v>11721</v>
      </c>
    </row>
    <row r="12396" spans="1:79" x14ac:dyDescent="0.25">
      <c r="F12396" t="s">
        <v>573</v>
      </c>
      <c r="S12396" t="s">
        <v>11474</v>
      </c>
      <c r="AJ12396" t="s">
        <v>11475</v>
      </c>
      <c r="AT12396" t="s">
        <v>11476</v>
      </c>
      <c r="BQ12396" t="s">
        <v>11478</v>
      </c>
      <c r="CA12396" t="s">
        <v>11656</v>
      </c>
    </row>
    <row r="12397" spans="1:79" x14ac:dyDescent="0.25">
      <c r="S12397" t="s">
        <v>11481</v>
      </c>
      <c r="AB12397" t="s">
        <v>11482</v>
      </c>
      <c r="BJ12397" t="s">
        <v>11484</v>
      </c>
    </row>
    <row r="12398" spans="1:79" x14ac:dyDescent="0.25">
      <c r="F12398" t="s">
        <v>11722</v>
      </c>
      <c r="S12398">
        <v>2.6</v>
      </c>
      <c r="AE12398">
        <v>2.9</v>
      </c>
      <c r="AH12398" t="s">
        <v>11723</v>
      </c>
      <c r="AW12398">
        <v>15.7</v>
      </c>
      <c r="AY12398">
        <v>6.35</v>
      </c>
      <c r="BM12398">
        <v>9.52</v>
      </c>
      <c r="BQ12398" t="s">
        <v>11667</v>
      </c>
      <c r="BY12398">
        <v>729</v>
      </c>
    </row>
    <row r="12399" spans="1:79" x14ac:dyDescent="0.25">
      <c r="F12399" t="s">
        <v>11724</v>
      </c>
      <c r="S12399">
        <v>3.5</v>
      </c>
      <c r="AE12399">
        <v>3.8</v>
      </c>
      <c r="AH12399" t="s">
        <v>11723</v>
      </c>
      <c r="AW12399">
        <v>15.7</v>
      </c>
      <c r="AY12399">
        <v>6.35</v>
      </c>
      <c r="BM12399">
        <v>9.52</v>
      </c>
      <c r="BQ12399" t="s">
        <v>11667</v>
      </c>
      <c r="BY12399">
        <v>811</v>
      </c>
    </row>
    <row r="12400" spans="1:79" x14ac:dyDescent="0.25">
      <c r="F12400" t="s">
        <v>11725</v>
      </c>
      <c r="S12400">
        <v>5.2</v>
      </c>
      <c r="AE12400">
        <v>5.6</v>
      </c>
      <c r="AH12400" t="s">
        <v>11723</v>
      </c>
      <c r="AW12400">
        <v>15.7</v>
      </c>
      <c r="AY12400">
        <v>6.35</v>
      </c>
      <c r="BM12400">
        <v>12.7</v>
      </c>
      <c r="BQ12400" t="s">
        <v>11667</v>
      </c>
      <c r="BY12400">
        <v>965</v>
      </c>
    </row>
    <row r="12401" spans="1:86" x14ac:dyDescent="0.25">
      <c r="A12401" t="s">
        <v>11726</v>
      </c>
    </row>
    <row r="12402" spans="1:86" x14ac:dyDescent="0.25">
      <c r="F12402" t="s">
        <v>573</v>
      </c>
      <c r="O12402" t="s">
        <v>11474</v>
      </c>
      <c r="X12402" t="s">
        <v>11727</v>
      </c>
      <c r="AK12402" t="s">
        <v>2872</v>
      </c>
      <c r="AX12402" t="s">
        <v>11581</v>
      </c>
      <c r="BH12402" t="s">
        <v>11728</v>
      </c>
      <c r="BM12402" t="s">
        <v>11583</v>
      </c>
      <c r="CH12402" t="s">
        <v>5990</v>
      </c>
    </row>
    <row r="12403" spans="1:86" x14ac:dyDescent="0.25">
      <c r="O12403" t="s">
        <v>11481</v>
      </c>
      <c r="S12403" t="s">
        <v>11482</v>
      </c>
      <c r="X12403" t="s">
        <v>11586</v>
      </c>
      <c r="AC12403" t="s">
        <v>11729</v>
      </c>
      <c r="AH12403" t="s">
        <v>11730</v>
      </c>
      <c r="AK12403" t="s">
        <v>11589</v>
      </c>
      <c r="AO12403" t="s">
        <v>11590</v>
      </c>
      <c r="AT12403" t="s">
        <v>11591</v>
      </c>
      <c r="AX12403" t="s">
        <v>11592</v>
      </c>
      <c r="BM12403" t="s">
        <v>11594</v>
      </c>
      <c r="BY12403" t="s">
        <v>11731</v>
      </c>
      <c r="CH12403" t="s">
        <v>11732</v>
      </c>
    </row>
    <row r="12404" spans="1:86" x14ac:dyDescent="0.25">
      <c r="BM12404" t="s">
        <v>10678</v>
      </c>
      <c r="BS12404" t="s">
        <v>11733</v>
      </c>
      <c r="BY12404" t="s">
        <v>11734</v>
      </c>
    </row>
    <row r="12405" spans="1:86" x14ac:dyDescent="0.25">
      <c r="F12405" t="s">
        <v>2401</v>
      </c>
      <c r="O12405">
        <v>4</v>
      </c>
      <c r="S12405">
        <v>4.2</v>
      </c>
      <c r="X12405" t="s">
        <v>5240</v>
      </c>
      <c r="AE12405">
        <v>20</v>
      </c>
      <c r="AF12405" t="s">
        <v>11735</v>
      </c>
      <c r="AJ12405">
        <v>1</v>
      </c>
      <c r="AP12405">
        <v>30</v>
      </c>
      <c r="AS12405">
        <v>10</v>
      </c>
      <c r="AX12405" t="s">
        <v>10771</v>
      </c>
      <c r="BC12405">
        <v>9.8000000000000007</v>
      </c>
      <c r="BG12405" t="s">
        <v>11603</v>
      </c>
      <c r="BM12405" t="s">
        <v>11604</v>
      </c>
      <c r="BS12405" t="s">
        <v>11736</v>
      </c>
      <c r="BY12405" t="s">
        <v>11737</v>
      </c>
      <c r="CH12405">
        <v>45</v>
      </c>
    </row>
    <row r="12406" spans="1:86" x14ac:dyDescent="0.25">
      <c r="F12406" t="s">
        <v>2405</v>
      </c>
      <c r="O12406">
        <v>5</v>
      </c>
      <c r="S12406">
        <v>5.6</v>
      </c>
      <c r="X12406" t="s">
        <v>5240</v>
      </c>
      <c r="AE12406">
        <v>20</v>
      </c>
      <c r="AF12406" t="s">
        <v>11735</v>
      </c>
      <c r="AJ12406">
        <v>1.2</v>
      </c>
      <c r="AP12406">
        <v>30</v>
      </c>
      <c r="AS12406">
        <v>10</v>
      </c>
      <c r="AX12406" t="s">
        <v>5288</v>
      </c>
      <c r="BC12406">
        <v>11.8</v>
      </c>
      <c r="BG12406" t="s">
        <v>11603</v>
      </c>
      <c r="BM12406" t="s">
        <v>11604</v>
      </c>
      <c r="BS12406" t="s">
        <v>11736</v>
      </c>
      <c r="BY12406" t="s">
        <v>11737</v>
      </c>
      <c r="CH12406">
        <v>46</v>
      </c>
    </row>
    <row r="12407" spans="1:86" x14ac:dyDescent="0.25">
      <c r="F12407" t="s">
        <v>2408</v>
      </c>
      <c r="O12407">
        <v>5.2</v>
      </c>
      <c r="S12407">
        <v>6.3</v>
      </c>
      <c r="X12407" t="s">
        <v>7054</v>
      </c>
      <c r="AE12407">
        <v>25</v>
      </c>
      <c r="AF12407" t="s">
        <v>11735</v>
      </c>
      <c r="AJ12407">
        <v>1.55</v>
      </c>
      <c r="AP12407">
        <v>30</v>
      </c>
      <c r="AS12407">
        <v>10</v>
      </c>
      <c r="AX12407" t="s">
        <v>11738</v>
      </c>
      <c r="BC12407">
        <v>11.9</v>
      </c>
      <c r="BG12407" t="s">
        <v>11603</v>
      </c>
      <c r="BM12407" t="s">
        <v>11604</v>
      </c>
      <c r="BS12407" t="s">
        <v>11736</v>
      </c>
      <c r="BY12407" t="s">
        <v>11737</v>
      </c>
      <c r="CH12407">
        <v>46</v>
      </c>
    </row>
    <row r="12408" spans="1:86" x14ac:dyDescent="0.25">
      <c r="F12408" t="s">
        <v>2410</v>
      </c>
      <c r="O12408">
        <v>6.8</v>
      </c>
      <c r="S12408">
        <v>8</v>
      </c>
      <c r="X12408" t="s">
        <v>7054</v>
      </c>
      <c r="AE12408">
        <v>25</v>
      </c>
      <c r="AF12408" t="s">
        <v>11735</v>
      </c>
      <c r="AJ12408">
        <v>2</v>
      </c>
      <c r="AP12408">
        <v>30</v>
      </c>
      <c r="AS12408">
        <v>10</v>
      </c>
      <c r="AX12408" t="s">
        <v>11739</v>
      </c>
      <c r="BC12408">
        <v>17.5</v>
      </c>
      <c r="BG12408" t="s">
        <v>11617</v>
      </c>
      <c r="BM12408" t="s">
        <v>11618</v>
      </c>
      <c r="BS12408" t="s">
        <v>11736</v>
      </c>
      <c r="BY12408" t="s">
        <v>11737</v>
      </c>
      <c r="CH12408">
        <v>48</v>
      </c>
    </row>
    <row r="12409" spans="1:86" x14ac:dyDescent="0.25">
      <c r="F12409" t="s">
        <v>2412</v>
      </c>
      <c r="O12409">
        <v>8</v>
      </c>
      <c r="S12409">
        <v>9.3000000000000007</v>
      </c>
      <c r="X12409" t="s">
        <v>7057</v>
      </c>
      <c r="AE12409">
        <v>25</v>
      </c>
      <c r="AF12409" t="s">
        <v>11735</v>
      </c>
      <c r="AJ12409">
        <v>2</v>
      </c>
      <c r="AP12409">
        <v>30</v>
      </c>
      <c r="AS12409">
        <v>20</v>
      </c>
      <c r="AX12409" t="s">
        <v>11740</v>
      </c>
      <c r="BC12409">
        <v>17.8</v>
      </c>
      <c r="BG12409" t="s">
        <v>11617</v>
      </c>
      <c r="BM12409" t="s">
        <v>11618</v>
      </c>
      <c r="BS12409" t="s">
        <v>11736</v>
      </c>
      <c r="BY12409" t="s">
        <v>11737</v>
      </c>
      <c r="CH12409">
        <v>48</v>
      </c>
    </row>
    <row r="12410" spans="1:86" x14ac:dyDescent="0.25">
      <c r="F12410" t="s">
        <v>2414</v>
      </c>
      <c r="O12410">
        <v>10</v>
      </c>
      <c r="S12410">
        <v>12</v>
      </c>
      <c r="X12410" t="s">
        <v>10062</v>
      </c>
      <c r="AE12410">
        <v>25</v>
      </c>
      <c r="AF12410" t="s">
        <v>11735</v>
      </c>
      <c r="AJ12410">
        <v>2.7</v>
      </c>
      <c r="AP12410">
        <v>30</v>
      </c>
      <c r="AS12410">
        <v>10</v>
      </c>
      <c r="AX12410" t="s">
        <v>11741</v>
      </c>
      <c r="BC12410">
        <v>24.5</v>
      </c>
      <c r="BG12410" t="s">
        <v>11742</v>
      </c>
      <c r="BM12410" t="s">
        <v>11618</v>
      </c>
      <c r="BS12410" t="s">
        <v>11736</v>
      </c>
      <c r="BY12410" t="s">
        <v>11737</v>
      </c>
      <c r="CH12410">
        <v>54</v>
      </c>
    </row>
    <row r="12414" spans="1:86" x14ac:dyDescent="0.25">
      <c r="AY12414" t="s">
        <v>11743</v>
      </c>
    </row>
    <row r="12415" spans="1:86" x14ac:dyDescent="0.25">
      <c r="A12415" t="s">
        <v>11744</v>
      </c>
    </row>
    <row r="12418" spans="1:80" x14ac:dyDescent="0.25">
      <c r="F12418" t="s">
        <v>11503</v>
      </c>
      <c r="O12418" t="s">
        <v>11745</v>
      </c>
    </row>
    <row r="12419" spans="1:80" x14ac:dyDescent="0.25">
      <c r="F12419" t="s">
        <v>573</v>
      </c>
      <c r="O12419" t="s">
        <v>11746</v>
      </c>
    </row>
    <row r="12420" spans="1:80" x14ac:dyDescent="0.25">
      <c r="F12420" t="s">
        <v>11505</v>
      </c>
      <c r="O12420" t="s">
        <v>11747</v>
      </c>
    </row>
    <row r="12422" spans="1:80" x14ac:dyDescent="0.25">
      <c r="A12422">
        <v>20</v>
      </c>
    </row>
    <row r="12424" spans="1:80" x14ac:dyDescent="0.25">
      <c r="A12424" t="s">
        <v>11748</v>
      </c>
    </row>
    <row r="12425" spans="1:80" x14ac:dyDescent="0.25">
      <c r="Q12425" t="s">
        <v>11503</v>
      </c>
      <c r="AB12425" t="s">
        <v>2401</v>
      </c>
      <c r="AK12425" t="s">
        <v>2405</v>
      </c>
      <c r="AW12425" t="s">
        <v>2408</v>
      </c>
      <c r="BH12425" t="s">
        <v>2410</v>
      </c>
      <c r="BQ12425" t="s">
        <v>2412</v>
      </c>
      <c r="CB12425" t="s">
        <v>2414</v>
      </c>
    </row>
    <row r="12426" spans="1:80" x14ac:dyDescent="0.25">
      <c r="F12426" t="s">
        <v>11503</v>
      </c>
      <c r="Q12426" t="s">
        <v>11749</v>
      </c>
      <c r="AB12426" t="s">
        <v>5194</v>
      </c>
      <c r="AK12426">
        <v>5</v>
      </c>
      <c r="AW12426">
        <v>5.2</v>
      </c>
      <c r="BH12426">
        <v>6.8</v>
      </c>
      <c r="BQ12426">
        <v>8</v>
      </c>
      <c r="CB12426">
        <v>10</v>
      </c>
    </row>
    <row r="12427" spans="1:80" x14ac:dyDescent="0.25">
      <c r="F12427" t="s">
        <v>11750</v>
      </c>
      <c r="Q12427">
        <v>2</v>
      </c>
      <c r="AB12427" t="s">
        <v>11360</v>
      </c>
      <c r="AK12427" t="s">
        <v>11360</v>
      </c>
      <c r="AW12427" t="s">
        <v>11360</v>
      </c>
      <c r="BH12427" t="s">
        <v>11360</v>
      </c>
      <c r="BQ12427" t="s">
        <v>11360</v>
      </c>
      <c r="CB12427" t="s">
        <v>11360</v>
      </c>
    </row>
    <row r="12428" spans="1:80" x14ac:dyDescent="0.25">
      <c r="Q12428" t="s">
        <v>11751</v>
      </c>
    </row>
    <row r="12429" spans="1:80" x14ac:dyDescent="0.25">
      <c r="F12429" t="s">
        <v>11752</v>
      </c>
      <c r="Q12429" t="s">
        <v>11753</v>
      </c>
      <c r="AB12429" t="s">
        <v>11360</v>
      </c>
      <c r="AK12429" t="s">
        <v>11360</v>
      </c>
      <c r="AW12429" t="s">
        <v>11360</v>
      </c>
      <c r="BH12429" t="s">
        <v>11360</v>
      </c>
      <c r="BQ12429" t="s">
        <v>11360</v>
      </c>
      <c r="CB12429" t="s">
        <v>11360</v>
      </c>
    </row>
    <row r="12430" spans="1:80" x14ac:dyDescent="0.25">
      <c r="Q12430">
        <v>3.5</v>
      </c>
    </row>
    <row r="12431" spans="1:80" x14ac:dyDescent="0.25">
      <c r="F12431" t="s">
        <v>11754</v>
      </c>
      <c r="Q12431">
        <v>2</v>
      </c>
      <c r="AB12431" t="s">
        <v>11755</v>
      </c>
      <c r="AK12431" t="s">
        <v>11756</v>
      </c>
      <c r="AW12431" t="s">
        <v>11756</v>
      </c>
      <c r="BH12431" t="s">
        <v>11756</v>
      </c>
      <c r="BQ12431" t="s">
        <v>11757</v>
      </c>
      <c r="CB12431" t="s">
        <v>11757</v>
      </c>
    </row>
    <row r="12432" spans="1:80" x14ac:dyDescent="0.25">
      <c r="Q12432" t="s">
        <v>11751</v>
      </c>
    </row>
    <row r="12433" spans="6:94" x14ac:dyDescent="0.25">
      <c r="Q12433" t="s">
        <v>11758</v>
      </c>
    </row>
    <row r="12434" spans="6:94" x14ac:dyDescent="0.25">
      <c r="F12434" t="s">
        <v>11759</v>
      </c>
      <c r="Q12434">
        <v>2</v>
      </c>
      <c r="AB12434" t="s">
        <v>11755</v>
      </c>
      <c r="AK12434" t="s">
        <v>11756</v>
      </c>
      <c r="AW12434" t="s">
        <v>11756</v>
      </c>
      <c r="BH12434" t="s">
        <v>11756</v>
      </c>
      <c r="BQ12434" t="s">
        <v>11757</v>
      </c>
      <c r="CB12434" t="s">
        <v>11757</v>
      </c>
      <c r="CP12434" t="s">
        <v>11658</v>
      </c>
    </row>
    <row r="12435" spans="6:94" x14ac:dyDescent="0.25">
      <c r="Q12435">
        <v>2.5</v>
      </c>
    </row>
    <row r="12436" spans="6:94" x14ac:dyDescent="0.25">
      <c r="Q12436" t="s">
        <v>11760</v>
      </c>
    </row>
    <row r="12437" spans="6:94" x14ac:dyDescent="0.25">
      <c r="Q12437">
        <v>6.5</v>
      </c>
    </row>
    <row r="12438" spans="6:94" x14ac:dyDescent="0.25">
      <c r="F12438" t="s">
        <v>11761</v>
      </c>
      <c r="Q12438">
        <v>2</v>
      </c>
      <c r="AB12438" t="s">
        <v>11755</v>
      </c>
      <c r="AK12438" t="s">
        <v>11756</v>
      </c>
      <c r="AW12438" t="s">
        <v>11756</v>
      </c>
      <c r="BH12438" t="s">
        <v>11756</v>
      </c>
      <c r="BQ12438" t="s">
        <v>11757</v>
      </c>
      <c r="CB12438" t="s">
        <v>11757</v>
      </c>
    </row>
    <row r="12439" spans="6:94" x14ac:dyDescent="0.25">
      <c r="Q12439" t="s">
        <v>11751</v>
      </c>
    </row>
    <row r="12440" spans="6:94" x14ac:dyDescent="0.25">
      <c r="Q12440">
        <v>5</v>
      </c>
    </row>
    <row r="12441" spans="6:94" x14ac:dyDescent="0.25">
      <c r="Q12441">
        <v>6.5</v>
      </c>
    </row>
    <row r="12442" spans="6:94" x14ac:dyDescent="0.25">
      <c r="F12442" t="s">
        <v>11762</v>
      </c>
      <c r="Q12442" t="s">
        <v>11753</v>
      </c>
      <c r="AB12442" t="s">
        <v>11755</v>
      </c>
      <c r="AK12442" t="s">
        <v>11756</v>
      </c>
      <c r="AW12442" t="s">
        <v>11756</v>
      </c>
      <c r="BH12442" t="s">
        <v>11756</v>
      </c>
      <c r="BQ12442" t="s">
        <v>11757</v>
      </c>
      <c r="CB12442" t="s">
        <v>11757</v>
      </c>
    </row>
    <row r="12443" spans="6:94" x14ac:dyDescent="0.25">
      <c r="Q12443" t="s">
        <v>11763</v>
      </c>
    </row>
    <row r="12444" spans="6:94" x14ac:dyDescent="0.25">
      <c r="F12444" t="s">
        <v>11764</v>
      </c>
      <c r="Q12444">
        <v>1.6</v>
      </c>
      <c r="AB12444" t="s">
        <v>11765</v>
      </c>
      <c r="AK12444" t="s">
        <v>11756</v>
      </c>
      <c r="AW12444" t="s">
        <v>11756</v>
      </c>
      <c r="BH12444" t="s">
        <v>11757</v>
      </c>
      <c r="BQ12444" t="s">
        <v>11757</v>
      </c>
      <c r="CB12444" t="s">
        <v>11757</v>
      </c>
    </row>
    <row r="12445" spans="6:94" x14ac:dyDescent="0.25">
      <c r="Q12445">
        <v>2</v>
      </c>
    </row>
    <row r="12446" spans="6:94" x14ac:dyDescent="0.25">
      <c r="Q12446" t="s">
        <v>11766</v>
      </c>
    </row>
    <row r="12447" spans="6:94" x14ac:dyDescent="0.25">
      <c r="Q12447">
        <v>5.2</v>
      </c>
    </row>
    <row r="12448" spans="6:94" x14ac:dyDescent="0.25">
      <c r="F12448" t="s">
        <v>11767</v>
      </c>
      <c r="Q12448">
        <v>2.6</v>
      </c>
      <c r="AB12448" t="s">
        <v>11768</v>
      </c>
      <c r="AK12448" t="s">
        <v>11768</v>
      </c>
      <c r="AW12448" t="s">
        <v>11768</v>
      </c>
      <c r="BH12448" t="s">
        <v>11768</v>
      </c>
      <c r="BQ12448" t="s">
        <v>11768</v>
      </c>
      <c r="CB12448" t="s">
        <v>11768</v>
      </c>
    </row>
    <row r="12449" spans="1:80" x14ac:dyDescent="0.25">
      <c r="Q12449">
        <v>3.5</v>
      </c>
    </row>
    <row r="12450" spans="1:80" x14ac:dyDescent="0.25">
      <c r="F12450" t="s">
        <v>11769</v>
      </c>
      <c r="Q12450">
        <v>2.6</v>
      </c>
      <c r="AB12450" t="s">
        <v>11770</v>
      </c>
      <c r="AK12450" t="s">
        <v>11771</v>
      </c>
      <c r="AW12450" t="s">
        <v>11771</v>
      </c>
      <c r="BH12450" t="s">
        <v>11360</v>
      </c>
      <c r="BQ12450" t="s">
        <v>11360</v>
      </c>
      <c r="CB12450" t="s">
        <v>11360</v>
      </c>
    </row>
    <row r="12451" spans="1:80" x14ac:dyDescent="0.25">
      <c r="Q12451" t="s">
        <v>11772</v>
      </c>
    </row>
    <row r="12452" spans="1:80" x14ac:dyDescent="0.25">
      <c r="F12452" t="s">
        <v>11773</v>
      </c>
      <c r="Q12452" t="s">
        <v>11751</v>
      </c>
      <c r="AB12452" t="s">
        <v>11771</v>
      </c>
      <c r="AK12452" t="s">
        <v>11360</v>
      </c>
      <c r="AW12452" t="s">
        <v>11774</v>
      </c>
      <c r="BQ12452" t="s">
        <v>11770</v>
      </c>
      <c r="CB12452" t="s">
        <v>11770</v>
      </c>
    </row>
    <row r="12453" spans="1:80" x14ac:dyDescent="0.25">
      <c r="Q12453">
        <v>5.2</v>
      </c>
    </row>
    <row r="12455" spans="1:80" x14ac:dyDescent="0.25">
      <c r="A12455">
        <v>21</v>
      </c>
    </row>
    <row r="12458" spans="1:80" x14ac:dyDescent="0.25">
      <c r="A12458" t="s">
        <v>11775</v>
      </c>
    </row>
    <row r="12460" spans="1:80" x14ac:dyDescent="0.25">
      <c r="A12460" t="s">
        <v>11776</v>
      </c>
    </row>
    <row r="12461" spans="1:80" x14ac:dyDescent="0.25">
      <c r="A12461" t="s">
        <v>11777</v>
      </c>
    </row>
    <row r="12462" spans="1:80" x14ac:dyDescent="0.25">
      <c r="A12462" t="s">
        <v>2880</v>
      </c>
    </row>
    <row r="12463" spans="1:80" x14ac:dyDescent="0.25">
      <c r="A12463" t="s">
        <v>9104</v>
      </c>
    </row>
    <row r="12464" spans="1:80" x14ac:dyDescent="0.25">
      <c r="A12464" t="s">
        <v>573</v>
      </c>
      <c r="N12464" t="s">
        <v>11474</v>
      </c>
      <c r="AA12464" t="s">
        <v>745</v>
      </c>
      <c r="AH12464" t="s">
        <v>11475</v>
      </c>
      <c r="AO12464" t="s">
        <v>11476</v>
      </c>
      <c r="AU12464" t="s">
        <v>11477</v>
      </c>
      <c r="BH12464" t="s">
        <v>11478</v>
      </c>
      <c r="BN12464" t="s">
        <v>11479</v>
      </c>
      <c r="BY12464" t="s">
        <v>11656</v>
      </c>
    </row>
    <row r="12465" spans="1:84" x14ac:dyDescent="0.25">
      <c r="N12465" t="s">
        <v>11481</v>
      </c>
      <c r="U12465" t="s">
        <v>11482</v>
      </c>
      <c r="AU12465" t="s">
        <v>11483</v>
      </c>
      <c r="BA12465" t="s">
        <v>11778</v>
      </c>
      <c r="BN12465" t="s">
        <v>11485</v>
      </c>
      <c r="BT12465" t="s">
        <v>11486</v>
      </c>
    </row>
    <row r="12466" spans="1:84" x14ac:dyDescent="0.25">
      <c r="A12466" t="s">
        <v>11779</v>
      </c>
      <c r="S12466" t="s">
        <v>11780</v>
      </c>
      <c r="AE12466" t="s">
        <v>11781</v>
      </c>
      <c r="AY12466" t="s">
        <v>11782</v>
      </c>
      <c r="BL12466" t="s">
        <v>11783</v>
      </c>
      <c r="BU12466" t="s">
        <v>11784</v>
      </c>
      <c r="CC12466" t="s">
        <v>11785</v>
      </c>
    </row>
    <row r="12467" spans="1:84" x14ac:dyDescent="0.25">
      <c r="A12467" t="s">
        <v>2880</v>
      </c>
    </row>
    <row r="12468" spans="1:84" x14ac:dyDescent="0.25">
      <c r="A12468" t="s">
        <v>9104</v>
      </c>
    </row>
    <row r="12469" spans="1:84" x14ac:dyDescent="0.25">
      <c r="A12469" t="s">
        <v>2880</v>
      </c>
    </row>
    <row r="12470" spans="1:84" x14ac:dyDescent="0.25">
      <c r="A12470" t="s">
        <v>9104</v>
      </c>
    </row>
    <row r="12471" spans="1:84" x14ac:dyDescent="0.25">
      <c r="A12471" t="s">
        <v>2880</v>
      </c>
    </row>
    <row r="12472" spans="1:84" x14ac:dyDescent="0.25">
      <c r="A12472" t="s">
        <v>9104</v>
      </c>
    </row>
    <row r="12473" spans="1:84" x14ac:dyDescent="0.25">
      <c r="A12473" t="s">
        <v>9104</v>
      </c>
    </row>
    <row r="12474" spans="1:84" x14ac:dyDescent="0.25">
      <c r="A12474" t="s">
        <v>9104</v>
      </c>
    </row>
    <row r="12475" spans="1:84" x14ac:dyDescent="0.25">
      <c r="A12475" t="s">
        <v>9104</v>
      </c>
    </row>
    <row r="12476" spans="1:84" x14ac:dyDescent="0.25">
      <c r="A12476" t="s">
        <v>9104</v>
      </c>
    </row>
    <row r="12477" spans="1:84" x14ac:dyDescent="0.25">
      <c r="A12477" t="s">
        <v>11786</v>
      </c>
      <c r="BW12477">
        <v>4.0999999999999996</v>
      </c>
      <c r="CF12477" t="s">
        <v>11787</v>
      </c>
    </row>
    <row r="12478" spans="1:84" x14ac:dyDescent="0.25">
      <c r="A12478" t="s">
        <v>11788</v>
      </c>
      <c r="BS12478" t="s">
        <v>5341</v>
      </c>
      <c r="BW12478" t="s">
        <v>11789</v>
      </c>
      <c r="CF12478" t="s">
        <v>11790</v>
      </c>
    </row>
    <row r="12479" spans="1:84" x14ac:dyDescent="0.25">
      <c r="A12479" t="s">
        <v>11791</v>
      </c>
      <c r="BW12479">
        <v>4.0999999999999996</v>
      </c>
      <c r="CF12479" t="s">
        <v>11787</v>
      </c>
    </row>
    <row r="12480" spans="1:84" x14ac:dyDescent="0.25">
      <c r="A12480" t="s">
        <v>11792</v>
      </c>
      <c r="BS12480" t="s">
        <v>5341</v>
      </c>
      <c r="BW12480" t="s">
        <v>11789</v>
      </c>
      <c r="CF12480" t="s">
        <v>11793</v>
      </c>
    </row>
    <row r="12481" spans="1:11" x14ac:dyDescent="0.25">
      <c r="A12481" t="s">
        <v>11794</v>
      </c>
    </row>
    <row r="12483" spans="1:11" x14ac:dyDescent="0.25">
      <c r="A12483" t="s">
        <v>11503</v>
      </c>
      <c r="K12483" t="s">
        <v>11795</v>
      </c>
    </row>
    <row r="12484" spans="1:11" x14ac:dyDescent="0.25">
      <c r="A12484" t="s">
        <v>573</v>
      </c>
      <c r="K12484" t="s">
        <v>11796</v>
      </c>
    </row>
    <row r="12485" spans="1:11" x14ac:dyDescent="0.25">
      <c r="A12485" t="s">
        <v>11797</v>
      </c>
      <c r="K12485" t="s">
        <v>11798</v>
      </c>
    </row>
    <row r="12486" spans="1:11" x14ac:dyDescent="0.25">
      <c r="A12486" t="s">
        <v>11505</v>
      </c>
      <c r="K12486" t="s">
        <v>11799</v>
      </c>
    </row>
    <row r="12488" spans="1:11" x14ac:dyDescent="0.25">
      <c r="A12488" t="s">
        <v>11502</v>
      </c>
    </row>
    <row r="12490" spans="1:11" x14ac:dyDescent="0.25">
      <c r="A12490" t="s">
        <v>11503</v>
      </c>
      <c r="K12490" t="s">
        <v>11800</v>
      </c>
    </row>
    <row r="12491" spans="1:11" x14ac:dyDescent="0.25">
      <c r="A12491" t="s">
        <v>573</v>
      </c>
    </row>
    <row r="12492" spans="1:11" x14ac:dyDescent="0.25">
      <c r="A12492" t="s">
        <v>11505</v>
      </c>
      <c r="K12492" t="s">
        <v>11801</v>
      </c>
    </row>
    <row r="12494" spans="1:11" x14ac:dyDescent="0.25">
      <c r="A12494">
        <v>23</v>
      </c>
    </row>
    <row r="12500" spans="1:81" x14ac:dyDescent="0.25">
      <c r="A12500" t="s">
        <v>11802</v>
      </c>
    </row>
    <row r="12501" spans="1:81" x14ac:dyDescent="0.25">
      <c r="A12501" t="s">
        <v>2880</v>
      </c>
    </row>
    <row r="12502" spans="1:81" x14ac:dyDescent="0.25">
      <c r="A12502" t="s">
        <v>573</v>
      </c>
      <c r="N12502" t="s">
        <v>11474</v>
      </c>
      <c r="AA12502" t="s">
        <v>745</v>
      </c>
      <c r="AH12502" t="s">
        <v>11475</v>
      </c>
      <c r="AO12502" t="s">
        <v>11476</v>
      </c>
      <c r="AU12502" t="s">
        <v>11477</v>
      </c>
      <c r="BH12502" t="s">
        <v>11478</v>
      </c>
      <c r="BN12502" t="s">
        <v>11479</v>
      </c>
      <c r="BY12502" t="s">
        <v>11656</v>
      </c>
    </row>
    <row r="12503" spans="1:81" x14ac:dyDescent="0.25">
      <c r="N12503" t="s">
        <v>11481</v>
      </c>
      <c r="U12503" t="s">
        <v>11482</v>
      </c>
      <c r="AU12503" t="s">
        <v>11483</v>
      </c>
      <c r="BA12503" t="s">
        <v>11778</v>
      </c>
      <c r="BN12503" t="s">
        <v>11485</v>
      </c>
      <c r="BT12503" t="s">
        <v>11486</v>
      </c>
    </row>
    <row r="12504" spans="1:81" x14ac:dyDescent="0.25">
      <c r="A12504" t="s">
        <v>11803</v>
      </c>
      <c r="S12504" t="s">
        <v>11804</v>
      </c>
      <c r="AE12504" t="s">
        <v>11805</v>
      </c>
      <c r="AY12504" t="s">
        <v>11806</v>
      </c>
      <c r="BL12504" t="s">
        <v>11807</v>
      </c>
      <c r="BU12504" t="s">
        <v>11808</v>
      </c>
      <c r="CC12504" t="s">
        <v>11809</v>
      </c>
    </row>
    <row r="12505" spans="1:81" x14ac:dyDescent="0.25">
      <c r="A12505" t="s">
        <v>2880</v>
      </c>
    </row>
    <row r="12506" spans="1:81" x14ac:dyDescent="0.25">
      <c r="A12506" t="s">
        <v>2880</v>
      </c>
    </row>
    <row r="12507" spans="1:81" x14ac:dyDescent="0.25">
      <c r="A12507" t="s">
        <v>2880</v>
      </c>
    </row>
    <row r="12508" spans="1:81" x14ac:dyDescent="0.25">
      <c r="A12508" t="s">
        <v>9104</v>
      </c>
    </row>
    <row r="12509" spans="1:81" x14ac:dyDescent="0.25">
      <c r="A12509" t="s">
        <v>2880</v>
      </c>
    </row>
    <row r="12510" spans="1:81" x14ac:dyDescent="0.25">
      <c r="A12510" t="s">
        <v>2880</v>
      </c>
    </row>
    <row r="12511" spans="1:81" x14ac:dyDescent="0.25">
      <c r="A12511" t="s">
        <v>11794</v>
      </c>
    </row>
    <row r="12513" spans="1:11" x14ac:dyDescent="0.25">
      <c r="A12513" t="s">
        <v>11503</v>
      </c>
      <c r="K12513" t="s">
        <v>11810</v>
      </c>
    </row>
    <row r="12514" spans="1:11" x14ac:dyDescent="0.25">
      <c r="A12514" t="s">
        <v>573</v>
      </c>
      <c r="K12514" t="s">
        <v>11811</v>
      </c>
    </row>
    <row r="12515" spans="1:11" x14ac:dyDescent="0.25">
      <c r="A12515" t="s">
        <v>11797</v>
      </c>
      <c r="K12515" t="s">
        <v>11798</v>
      </c>
    </row>
    <row r="12516" spans="1:11" x14ac:dyDescent="0.25">
      <c r="A12516" t="s">
        <v>11505</v>
      </c>
      <c r="K12516" t="s">
        <v>11799</v>
      </c>
    </row>
    <row r="12518" spans="1:11" x14ac:dyDescent="0.25">
      <c r="A12518" t="s">
        <v>11812</v>
      </c>
    </row>
    <row r="12520" spans="1:11" x14ac:dyDescent="0.25">
      <c r="A12520" t="s">
        <v>11503</v>
      </c>
      <c r="K12520" t="s">
        <v>11813</v>
      </c>
    </row>
    <row r="12521" spans="1:11" x14ac:dyDescent="0.25">
      <c r="A12521" t="s">
        <v>573</v>
      </c>
      <c r="K12521" t="s">
        <v>11814</v>
      </c>
    </row>
    <row r="12522" spans="1:11" x14ac:dyDescent="0.25">
      <c r="A12522" t="s">
        <v>11505</v>
      </c>
      <c r="K12522" t="s">
        <v>11801</v>
      </c>
    </row>
    <row r="12527" spans="1:11" x14ac:dyDescent="0.25">
      <c r="A12527" t="s">
        <v>11815</v>
      </c>
    </row>
    <row r="12528" spans="1:11" x14ac:dyDescent="0.25">
      <c r="A12528" t="s">
        <v>2880</v>
      </c>
    </row>
    <row r="12529" spans="1:81" x14ac:dyDescent="0.25">
      <c r="A12529" t="s">
        <v>9104</v>
      </c>
    </row>
    <row r="12530" spans="1:81" x14ac:dyDescent="0.25">
      <c r="A12530" t="s">
        <v>573</v>
      </c>
      <c r="N12530" t="s">
        <v>11474</v>
      </c>
      <c r="AA12530" t="s">
        <v>745</v>
      </c>
      <c r="AH12530" t="s">
        <v>11475</v>
      </c>
      <c r="AO12530" t="s">
        <v>11476</v>
      </c>
      <c r="AU12530" t="s">
        <v>11477</v>
      </c>
      <c r="BH12530" t="s">
        <v>11478</v>
      </c>
      <c r="BN12530" t="s">
        <v>11479</v>
      </c>
      <c r="BY12530" t="s">
        <v>11656</v>
      </c>
    </row>
    <row r="12531" spans="1:81" x14ac:dyDescent="0.25">
      <c r="N12531" t="s">
        <v>11481</v>
      </c>
      <c r="U12531" t="s">
        <v>11482</v>
      </c>
      <c r="AU12531" t="s">
        <v>11483</v>
      </c>
      <c r="BA12531" t="s">
        <v>11778</v>
      </c>
      <c r="BN12531" t="s">
        <v>11485</v>
      </c>
      <c r="BT12531" t="s">
        <v>11486</v>
      </c>
    </row>
    <row r="12532" spans="1:81" x14ac:dyDescent="0.25">
      <c r="A12532" t="s">
        <v>11816</v>
      </c>
      <c r="S12532" t="s">
        <v>11817</v>
      </c>
      <c r="AG12532" t="s">
        <v>11818</v>
      </c>
      <c r="AY12532" t="s">
        <v>11490</v>
      </c>
      <c r="BK12532" t="s">
        <v>11819</v>
      </c>
      <c r="BU12532" t="s">
        <v>11820</v>
      </c>
      <c r="CC12532" t="s">
        <v>11821</v>
      </c>
    </row>
    <row r="12534" spans="1:81" x14ac:dyDescent="0.25">
      <c r="A12534" t="s">
        <v>2880</v>
      </c>
    </row>
    <row r="12535" spans="1:81" x14ac:dyDescent="0.25">
      <c r="A12535" t="s">
        <v>9104</v>
      </c>
    </row>
    <row r="12536" spans="1:81" x14ac:dyDescent="0.25">
      <c r="A12536" t="s">
        <v>2880</v>
      </c>
    </row>
    <row r="12537" spans="1:81" x14ac:dyDescent="0.25">
      <c r="A12537" t="s">
        <v>9104</v>
      </c>
    </row>
    <row r="12538" spans="1:81" x14ac:dyDescent="0.25">
      <c r="A12538" t="s">
        <v>11822</v>
      </c>
    </row>
    <row r="12540" spans="1:81" x14ac:dyDescent="0.25">
      <c r="A12540" t="s">
        <v>11503</v>
      </c>
      <c r="K12540" t="s">
        <v>11703</v>
      </c>
    </row>
    <row r="12541" spans="1:81" x14ac:dyDescent="0.25">
      <c r="A12541" t="s">
        <v>573</v>
      </c>
    </row>
    <row r="12542" spans="1:81" x14ac:dyDescent="0.25">
      <c r="A12542" t="s">
        <v>11797</v>
      </c>
      <c r="K12542" t="s">
        <v>11707</v>
      </c>
    </row>
    <row r="12543" spans="1:81" x14ac:dyDescent="0.25">
      <c r="A12543" t="s">
        <v>11505</v>
      </c>
      <c r="K12543">
        <v>273</v>
      </c>
    </row>
    <row r="12545" spans="1:81" x14ac:dyDescent="0.25">
      <c r="A12545" t="s">
        <v>11502</v>
      </c>
    </row>
    <row r="12547" spans="1:81" x14ac:dyDescent="0.25">
      <c r="A12547" t="s">
        <v>11503</v>
      </c>
      <c r="K12547" t="s">
        <v>11823</v>
      </c>
    </row>
    <row r="12548" spans="1:81" x14ac:dyDescent="0.25">
      <c r="A12548" t="s">
        <v>573</v>
      </c>
    </row>
    <row r="12549" spans="1:81" x14ac:dyDescent="0.25">
      <c r="A12549" t="s">
        <v>11505</v>
      </c>
    </row>
    <row r="12553" spans="1:81" x14ac:dyDescent="0.25">
      <c r="A12553" t="s">
        <v>11824</v>
      </c>
    </row>
    <row r="12554" spans="1:81" x14ac:dyDescent="0.25">
      <c r="A12554" t="s">
        <v>2880</v>
      </c>
    </row>
    <row r="12555" spans="1:81" x14ac:dyDescent="0.25">
      <c r="A12555" t="s">
        <v>9104</v>
      </c>
    </row>
    <row r="12556" spans="1:81" x14ac:dyDescent="0.25">
      <c r="A12556" t="s">
        <v>4911</v>
      </c>
    </row>
    <row r="12557" spans="1:81" x14ac:dyDescent="0.25">
      <c r="A12557" t="s">
        <v>573</v>
      </c>
      <c r="N12557" t="s">
        <v>11474</v>
      </c>
      <c r="AA12557" t="s">
        <v>745</v>
      </c>
      <c r="AH12557" t="s">
        <v>11475</v>
      </c>
      <c r="AO12557" t="s">
        <v>11476</v>
      </c>
      <c r="AU12557" t="s">
        <v>11477</v>
      </c>
      <c r="BH12557" t="s">
        <v>11478</v>
      </c>
      <c r="BN12557" t="s">
        <v>11479</v>
      </c>
      <c r="BY12557" t="s">
        <v>11656</v>
      </c>
    </row>
    <row r="12558" spans="1:81" x14ac:dyDescent="0.25">
      <c r="N12558" t="s">
        <v>11481</v>
      </c>
      <c r="U12558" t="s">
        <v>11482</v>
      </c>
      <c r="AU12558" t="s">
        <v>11483</v>
      </c>
      <c r="BA12558" t="s">
        <v>11778</v>
      </c>
      <c r="BN12558" t="s">
        <v>11485</v>
      </c>
      <c r="BT12558" t="s">
        <v>11486</v>
      </c>
    </row>
    <row r="12559" spans="1:81" x14ac:dyDescent="0.25">
      <c r="A12559" t="s">
        <v>11825</v>
      </c>
      <c r="S12559" t="s">
        <v>11826</v>
      </c>
      <c r="AE12559" t="s">
        <v>11827</v>
      </c>
      <c r="AY12559" t="s">
        <v>11828</v>
      </c>
      <c r="BL12559" t="s">
        <v>11829</v>
      </c>
      <c r="BU12559" t="s">
        <v>11830</v>
      </c>
      <c r="CC12559" t="s">
        <v>11831</v>
      </c>
    </row>
    <row r="12560" spans="1:81" x14ac:dyDescent="0.25">
      <c r="A12560" t="s">
        <v>2880</v>
      </c>
    </row>
    <row r="12561" spans="1:11" x14ac:dyDescent="0.25">
      <c r="A12561" t="s">
        <v>9104</v>
      </c>
    </row>
    <row r="12562" spans="1:11" x14ac:dyDescent="0.25">
      <c r="A12562" t="s">
        <v>2880</v>
      </c>
    </row>
    <row r="12563" spans="1:11" x14ac:dyDescent="0.25">
      <c r="A12563" t="s">
        <v>9104</v>
      </c>
    </row>
    <row r="12564" spans="1:11" x14ac:dyDescent="0.25">
      <c r="A12564" t="s">
        <v>2880</v>
      </c>
    </row>
    <row r="12565" spans="1:11" x14ac:dyDescent="0.25">
      <c r="A12565" t="s">
        <v>9104</v>
      </c>
    </row>
    <row r="12566" spans="1:11" x14ac:dyDescent="0.25">
      <c r="A12566" t="s">
        <v>2880</v>
      </c>
    </row>
    <row r="12567" spans="1:11" x14ac:dyDescent="0.25">
      <c r="A12567" t="s">
        <v>11832</v>
      </c>
    </row>
    <row r="12569" spans="1:11" x14ac:dyDescent="0.25">
      <c r="A12569" t="s">
        <v>11503</v>
      </c>
      <c r="K12569" t="s">
        <v>11833</v>
      </c>
    </row>
    <row r="12570" spans="1:11" x14ac:dyDescent="0.25">
      <c r="A12570" t="s">
        <v>573</v>
      </c>
    </row>
    <row r="12571" spans="1:11" x14ac:dyDescent="0.25">
      <c r="A12571" t="s">
        <v>11797</v>
      </c>
      <c r="K12571" t="s">
        <v>11706</v>
      </c>
    </row>
    <row r="12572" spans="1:11" x14ac:dyDescent="0.25">
      <c r="A12572" t="s">
        <v>11505</v>
      </c>
      <c r="K12572">
        <v>252</v>
      </c>
    </row>
    <row r="12574" spans="1:11" x14ac:dyDescent="0.25">
      <c r="A12574" t="s">
        <v>11834</v>
      </c>
    </row>
    <row r="12577" spans="1:81" x14ac:dyDescent="0.25">
      <c r="A12577" t="s">
        <v>11503</v>
      </c>
      <c r="K12577" t="s">
        <v>11835</v>
      </c>
    </row>
    <row r="12578" spans="1:81" x14ac:dyDescent="0.25">
      <c r="A12578" t="s">
        <v>573</v>
      </c>
    </row>
    <row r="12579" spans="1:81" x14ac:dyDescent="0.25">
      <c r="A12579" t="s">
        <v>11505</v>
      </c>
      <c r="K12579" t="s">
        <v>11836</v>
      </c>
    </row>
    <row r="12585" spans="1:81" x14ac:dyDescent="0.25">
      <c r="A12585" t="s">
        <v>11837</v>
      </c>
    </row>
    <row r="12586" spans="1:81" x14ac:dyDescent="0.25">
      <c r="A12586" t="s">
        <v>11838</v>
      </c>
      <c r="AT12586" t="s">
        <v>11839</v>
      </c>
    </row>
    <row r="12587" spans="1:81" x14ac:dyDescent="0.25">
      <c r="A12587" t="s">
        <v>11840</v>
      </c>
    </row>
    <row r="12588" spans="1:81" x14ac:dyDescent="0.25">
      <c r="A12588" t="s">
        <v>2880</v>
      </c>
    </row>
    <row r="12589" spans="1:81" x14ac:dyDescent="0.25">
      <c r="A12589" t="s">
        <v>9104</v>
      </c>
    </row>
    <row r="12590" spans="1:81" x14ac:dyDescent="0.25">
      <c r="A12590" t="s">
        <v>573</v>
      </c>
      <c r="N12590" t="s">
        <v>11474</v>
      </c>
      <c r="AA12590" t="s">
        <v>745</v>
      </c>
      <c r="AH12590" t="s">
        <v>11475</v>
      </c>
      <c r="AO12590" t="s">
        <v>11476</v>
      </c>
      <c r="AU12590" t="s">
        <v>11477</v>
      </c>
      <c r="BH12590" t="s">
        <v>11478</v>
      </c>
      <c r="BN12590" t="s">
        <v>11479</v>
      </c>
      <c r="BY12590" t="s">
        <v>11656</v>
      </c>
    </row>
    <row r="12591" spans="1:81" x14ac:dyDescent="0.25">
      <c r="N12591" t="s">
        <v>11481</v>
      </c>
      <c r="U12591" t="s">
        <v>11482</v>
      </c>
      <c r="AU12591" t="s">
        <v>11483</v>
      </c>
      <c r="BA12591" t="s">
        <v>11778</v>
      </c>
      <c r="BN12591" t="s">
        <v>11485</v>
      </c>
      <c r="BT12591" t="s">
        <v>11486</v>
      </c>
    </row>
    <row r="12592" spans="1:81" x14ac:dyDescent="0.25">
      <c r="A12592" t="s">
        <v>11841</v>
      </c>
      <c r="S12592" t="s">
        <v>11842</v>
      </c>
      <c r="AG12592" t="s">
        <v>11843</v>
      </c>
      <c r="AY12592" t="s">
        <v>11844</v>
      </c>
      <c r="BK12592" t="s">
        <v>11845</v>
      </c>
      <c r="BU12592" t="s">
        <v>11846</v>
      </c>
      <c r="CC12592" t="s">
        <v>11847</v>
      </c>
    </row>
    <row r="12594" spans="1:11" x14ac:dyDescent="0.25">
      <c r="A12594" t="s">
        <v>2880</v>
      </c>
    </row>
    <row r="12595" spans="1:11" x14ac:dyDescent="0.25">
      <c r="A12595" t="s">
        <v>9104</v>
      </c>
    </row>
    <row r="12596" spans="1:11" x14ac:dyDescent="0.25">
      <c r="A12596" t="s">
        <v>2880</v>
      </c>
    </row>
    <row r="12597" spans="1:11" x14ac:dyDescent="0.25">
      <c r="A12597" t="s">
        <v>9104</v>
      </c>
    </row>
    <row r="12598" spans="1:11" x14ac:dyDescent="0.25">
      <c r="A12598" t="s">
        <v>2880</v>
      </c>
    </row>
    <row r="12599" spans="1:11" x14ac:dyDescent="0.25">
      <c r="A12599" t="s">
        <v>9104</v>
      </c>
    </row>
    <row r="12600" spans="1:11" x14ac:dyDescent="0.25">
      <c r="A12600" t="s">
        <v>11832</v>
      </c>
    </row>
    <row r="12602" spans="1:11" x14ac:dyDescent="0.25">
      <c r="A12602" t="s">
        <v>11503</v>
      </c>
      <c r="K12602" t="s">
        <v>11848</v>
      </c>
    </row>
    <row r="12603" spans="1:11" x14ac:dyDescent="0.25">
      <c r="A12603" t="s">
        <v>573</v>
      </c>
      <c r="K12603" t="s">
        <v>11849</v>
      </c>
    </row>
    <row r="12604" spans="1:11" x14ac:dyDescent="0.25">
      <c r="A12604" t="s">
        <v>11797</v>
      </c>
      <c r="K12604" t="s">
        <v>11706</v>
      </c>
    </row>
    <row r="12605" spans="1:11" x14ac:dyDescent="0.25">
      <c r="A12605" t="s">
        <v>11505</v>
      </c>
      <c r="K12605">
        <v>252</v>
      </c>
    </row>
    <row r="12607" spans="1:11" x14ac:dyDescent="0.25">
      <c r="A12607" t="s">
        <v>11502</v>
      </c>
    </row>
    <row r="12609" spans="1:81" x14ac:dyDescent="0.25">
      <c r="A12609" t="s">
        <v>11503</v>
      </c>
      <c r="K12609" t="s">
        <v>11850</v>
      </c>
    </row>
    <row r="12610" spans="1:81" x14ac:dyDescent="0.25">
      <c r="A12610" t="s">
        <v>573</v>
      </c>
    </row>
    <row r="12611" spans="1:81" x14ac:dyDescent="0.25">
      <c r="A12611" t="s">
        <v>11505</v>
      </c>
    </row>
    <row r="12616" spans="1:81" x14ac:dyDescent="0.25">
      <c r="A12616" t="s">
        <v>11851</v>
      </c>
    </row>
    <row r="12617" spans="1:81" x14ac:dyDescent="0.25">
      <c r="A12617" t="s">
        <v>2880</v>
      </c>
    </row>
    <row r="12618" spans="1:81" x14ac:dyDescent="0.25">
      <c r="A12618" t="s">
        <v>9104</v>
      </c>
    </row>
    <row r="12619" spans="1:81" x14ac:dyDescent="0.25">
      <c r="A12619" t="s">
        <v>573</v>
      </c>
      <c r="N12619" t="s">
        <v>11474</v>
      </c>
      <c r="AA12619" t="s">
        <v>745</v>
      </c>
      <c r="AH12619" t="s">
        <v>11475</v>
      </c>
      <c r="AO12619" t="s">
        <v>11476</v>
      </c>
      <c r="AU12619" t="s">
        <v>11477</v>
      </c>
      <c r="BH12619" t="s">
        <v>11478</v>
      </c>
      <c r="BN12619" t="s">
        <v>11479</v>
      </c>
      <c r="BY12619" t="s">
        <v>11656</v>
      </c>
    </row>
    <row r="12620" spans="1:81" x14ac:dyDescent="0.25">
      <c r="N12620" t="s">
        <v>11481</v>
      </c>
      <c r="U12620" t="s">
        <v>11482</v>
      </c>
      <c r="AU12620" t="s">
        <v>11483</v>
      </c>
      <c r="BA12620" t="s">
        <v>11778</v>
      </c>
      <c r="BN12620" t="s">
        <v>11485</v>
      </c>
      <c r="BT12620" t="s">
        <v>11486</v>
      </c>
    </row>
    <row r="12621" spans="1:81" x14ac:dyDescent="0.25">
      <c r="A12621" t="s">
        <v>11852</v>
      </c>
      <c r="S12621" t="s">
        <v>11853</v>
      </c>
      <c r="AE12621" t="s">
        <v>11854</v>
      </c>
      <c r="AY12621" t="s">
        <v>11855</v>
      </c>
      <c r="BL12621" t="s">
        <v>11856</v>
      </c>
      <c r="BU12621" t="s">
        <v>11857</v>
      </c>
      <c r="CC12621" t="s">
        <v>11858</v>
      </c>
    </row>
    <row r="12622" spans="1:81" x14ac:dyDescent="0.25">
      <c r="A12622" t="s">
        <v>2880</v>
      </c>
    </row>
    <row r="12623" spans="1:81" x14ac:dyDescent="0.25">
      <c r="A12623" t="s">
        <v>9104</v>
      </c>
    </row>
    <row r="12624" spans="1:81" x14ac:dyDescent="0.25">
      <c r="A12624" t="s">
        <v>2880</v>
      </c>
    </row>
    <row r="12625" spans="1:64" x14ac:dyDescent="0.25">
      <c r="A12625" t="s">
        <v>9104</v>
      </c>
    </row>
    <row r="12626" spans="1:64" x14ac:dyDescent="0.25">
      <c r="A12626" t="s">
        <v>2880</v>
      </c>
    </row>
    <row r="12627" spans="1:64" x14ac:dyDescent="0.25">
      <c r="A12627" t="s">
        <v>9104</v>
      </c>
    </row>
    <row r="12628" spans="1:64" x14ac:dyDescent="0.25">
      <c r="A12628" t="s">
        <v>2880</v>
      </c>
    </row>
    <row r="12629" spans="1:64" x14ac:dyDescent="0.25">
      <c r="A12629" t="s">
        <v>9104</v>
      </c>
    </row>
    <row r="12630" spans="1:64" x14ac:dyDescent="0.25">
      <c r="A12630" t="s">
        <v>9104</v>
      </c>
    </row>
    <row r="12631" spans="1:64" x14ac:dyDescent="0.25">
      <c r="A12631" t="s">
        <v>9104</v>
      </c>
    </row>
    <row r="12632" spans="1:64" x14ac:dyDescent="0.25">
      <c r="A12632" t="s">
        <v>9104</v>
      </c>
    </row>
    <row r="12633" spans="1:64" x14ac:dyDescent="0.25">
      <c r="A12633" t="s">
        <v>9104</v>
      </c>
    </row>
    <row r="12634" spans="1:64" x14ac:dyDescent="0.25">
      <c r="A12634" t="s">
        <v>11859</v>
      </c>
      <c r="S12634" t="s">
        <v>11860</v>
      </c>
      <c r="AE12634" t="s">
        <v>11861</v>
      </c>
      <c r="AY12634" t="s">
        <v>11862</v>
      </c>
      <c r="BL12634" t="s">
        <v>11863</v>
      </c>
    </row>
    <row r="12635" spans="1:64" x14ac:dyDescent="0.25">
      <c r="A12635" t="s">
        <v>11864</v>
      </c>
    </row>
    <row r="12636" spans="1:64" x14ac:dyDescent="0.25">
      <c r="A12636" t="s">
        <v>11832</v>
      </c>
    </row>
    <row r="12638" spans="1:64" x14ac:dyDescent="0.25">
      <c r="A12638" t="s">
        <v>11503</v>
      </c>
      <c r="K12638" t="s">
        <v>11865</v>
      </c>
    </row>
    <row r="12639" spans="1:64" x14ac:dyDescent="0.25">
      <c r="A12639" t="s">
        <v>573</v>
      </c>
    </row>
    <row r="12640" spans="1:64" x14ac:dyDescent="0.25">
      <c r="A12640" t="s">
        <v>11797</v>
      </c>
      <c r="K12640" t="s">
        <v>11866</v>
      </c>
    </row>
    <row r="12641" spans="1:11" x14ac:dyDescent="0.25">
      <c r="A12641" t="s">
        <v>11505</v>
      </c>
      <c r="K12641" t="s">
        <v>11867</v>
      </c>
    </row>
    <row r="12643" spans="1:11" x14ac:dyDescent="0.25">
      <c r="A12643" t="s">
        <v>11868</v>
      </c>
    </row>
    <row r="12645" spans="1:11" x14ac:dyDescent="0.25">
      <c r="A12645" t="s">
        <v>11503</v>
      </c>
      <c r="K12645" t="s">
        <v>11869</v>
      </c>
    </row>
    <row r="12646" spans="1:11" x14ac:dyDescent="0.25">
      <c r="A12646" t="s">
        <v>573</v>
      </c>
      <c r="K12646" t="s">
        <v>11870</v>
      </c>
    </row>
    <row r="12647" spans="1:11" x14ac:dyDescent="0.25">
      <c r="A12647" t="s">
        <v>11505</v>
      </c>
      <c r="K12647" t="s">
        <v>11836</v>
      </c>
    </row>
    <row r="12656" spans="1:11" x14ac:dyDescent="0.25">
      <c r="A12656" t="s">
        <v>11871</v>
      </c>
    </row>
    <row r="12657" spans="1:81" x14ac:dyDescent="0.25">
      <c r="A12657" t="s">
        <v>11838</v>
      </c>
      <c r="AT12657" t="s">
        <v>11872</v>
      </c>
    </row>
    <row r="12658" spans="1:81" x14ac:dyDescent="0.25">
      <c r="A12658" t="s">
        <v>11840</v>
      </c>
    </row>
    <row r="12659" spans="1:81" x14ac:dyDescent="0.25">
      <c r="A12659" t="s">
        <v>2879</v>
      </c>
    </row>
    <row r="12660" spans="1:81" x14ac:dyDescent="0.25">
      <c r="A12660" t="s">
        <v>2880</v>
      </c>
    </row>
    <row r="12661" spans="1:81" x14ac:dyDescent="0.25">
      <c r="A12661" t="s">
        <v>573</v>
      </c>
      <c r="N12661" t="s">
        <v>11474</v>
      </c>
      <c r="AA12661" t="s">
        <v>745</v>
      </c>
      <c r="AH12661" t="s">
        <v>11475</v>
      </c>
      <c r="AO12661" t="s">
        <v>11476</v>
      </c>
      <c r="AU12661" t="s">
        <v>11477</v>
      </c>
      <c r="BH12661" t="s">
        <v>11478</v>
      </c>
      <c r="BN12661" t="s">
        <v>11479</v>
      </c>
      <c r="BY12661" t="s">
        <v>11656</v>
      </c>
    </row>
    <row r="12662" spans="1:81" x14ac:dyDescent="0.25">
      <c r="N12662" t="s">
        <v>11481</v>
      </c>
      <c r="U12662" t="s">
        <v>11482</v>
      </c>
      <c r="AU12662" t="s">
        <v>11483</v>
      </c>
      <c r="BA12662" t="s">
        <v>11778</v>
      </c>
      <c r="BN12662" t="s">
        <v>11485</v>
      </c>
      <c r="BT12662" t="s">
        <v>11486</v>
      </c>
    </row>
    <row r="12663" spans="1:81" x14ac:dyDescent="0.25">
      <c r="A12663" t="s">
        <v>11873</v>
      </c>
      <c r="S12663" t="s">
        <v>11874</v>
      </c>
      <c r="AE12663" t="s">
        <v>11875</v>
      </c>
      <c r="BK12663" t="s">
        <v>11876</v>
      </c>
      <c r="BU12663" t="s">
        <v>11877</v>
      </c>
      <c r="CC12663" t="s">
        <v>11878</v>
      </c>
    </row>
    <row r="12665" spans="1:81" x14ac:dyDescent="0.25">
      <c r="A12665" t="s">
        <v>2879</v>
      </c>
    </row>
    <row r="12666" spans="1:81" x14ac:dyDescent="0.25">
      <c r="A12666" t="s">
        <v>2880</v>
      </c>
    </row>
    <row r="12667" spans="1:81" x14ac:dyDescent="0.25">
      <c r="A12667" t="s">
        <v>2879</v>
      </c>
    </row>
    <row r="12668" spans="1:81" x14ac:dyDescent="0.25">
      <c r="A12668" t="s">
        <v>2880</v>
      </c>
    </row>
    <row r="12669" spans="1:81" x14ac:dyDescent="0.25">
      <c r="A12669" t="s">
        <v>2880</v>
      </c>
    </row>
    <row r="12670" spans="1:81" x14ac:dyDescent="0.25">
      <c r="A12670" t="s">
        <v>2880</v>
      </c>
    </row>
    <row r="12671" spans="1:81" x14ac:dyDescent="0.25">
      <c r="A12671" t="s">
        <v>2880</v>
      </c>
    </row>
    <row r="12672" spans="1:81" x14ac:dyDescent="0.25">
      <c r="A12672" t="s">
        <v>2880</v>
      </c>
    </row>
    <row r="12673" spans="1:11" x14ac:dyDescent="0.25">
      <c r="A12673" t="s">
        <v>2880</v>
      </c>
    </row>
    <row r="12674" spans="1:11" x14ac:dyDescent="0.25">
      <c r="A12674" t="s">
        <v>2880</v>
      </c>
    </row>
    <row r="12675" spans="1:11" x14ac:dyDescent="0.25">
      <c r="A12675" t="s">
        <v>11879</v>
      </c>
    </row>
    <row r="12677" spans="1:11" x14ac:dyDescent="0.25">
      <c r="A12677" t="s">
        <v>11503</v>
      </c>
      <c r="K12677" t="s">
        <v>11880</v>
      </c>
    </row>
    <row r="12678" spans="1:11" x14ac:dyDescent="0.25">
      <c r="A12678" t="s">
        <v>573</v>
      </c>
    </row>
    <row r="12679" spans="1:11" x14ac:dyDescent="0.25">
      <c r="A12679" t="s">
        <v>11797</v>
      </c>
      <c r="K12679" t="s">
        <v>11881</v>
      </c>
    </row>
    <row r="12680" spans="1:11" x14ac:dyDescent="0.25">
      <c r="A12680" t="s">
        <v>11505</v>
      </c>
      <c r="K12680" t="s">
        <v>11882</v>
      </c>
    </row>
    <row r="12682" spans="1:11" x14ac:dyDescent="0.25">
      <c r="A12682" t="s">
        <v>11502</v>
      </c>
    </row>
    <row r="12684" spans="1:11" x14ac:dyDescent="0.25">
      <c r="A12684" t="s">
        <v>11503</v>
      </c>
      <c r="K12684" t="s">
        <v>11883</v>
      </c>
    </row>
    <row r="12685" spans="1:11" x14ac:dyDescent="0.25">
      <c r="A12685" t="s">
        <v>573</v>
      </c>
    </row>
    <row r="12686" spans="1:11" x14ac:dyDescent="0.25">
      <c r="A12686" t="s">
        <v>11505</v>
      </c>
    </row>
    <row r="12693" spans="1:81" x14ac:dyDescent="0.25">
      <c r="A12693" t="s">
        <v>11884</v>
      </c>
    </row>
    <row r="12694" spans="1:81" x14ac:dyDescent="0.25">
      <c r="A12694" t="s">
        <v>11885</v>
      </c>
      <c r="AV12694" t="s">
        <v>11472</v>
      </c>
    </row>
    <row r="12695" spans="1:81" x14ac:dyDescent="0.25">
      <c r="A12695" t="s">
        <v>2880</v>
      </c>
    </row>
    <row r="12696" spans="1:81" x14ac:dyDescent="0.25">
      <c r="A12696" t="s">
        <v>9104</v>
      </c>
    </row>
    <row r="12697" spans="1:81" x14ac:dyDescent="0.25">
      <c r="A12697" t="s">
        <v>4911</v>
      </c>
    </row>
    <row r="12698" spans="1:81" x14ac:dyDescent="0.25">
      <c r="A12698" t="s">
        <v>573</v>
      </c>
      <c r="N12698" t="s">
        <v>11474</v>
      </c>
      <c r="AA12698" t="s">
        <v>745</v>
      </c>
      <c r="AH12698" t="s">
        <v>11475</v>
      </c>
      <c r="AO12698" t="s">
        <v>11476</v>
      </c>
      <c r="AU12698" t="s">
        <v>11477</v>
      </c>
      <c r="BH12698" t="s">
        <v>11478</v>
      </c>
      <c r="BN12698" t="s">
        <v>11479</v>
      </c>
      <c r="BY12698" t="s">
        <v>11656</v>
      </c>
    </row>
    <row r="12699" spans="1:81" x14ac:dyDescent="0.25">
      <c r="N12699" t="s">
        <v>11481</v>
      </c>
      <c r="U12699" t="s">
        <v>11482</v>
      </c>
      <c r="AU12699" t="s">
        <v>11483</v>
      </c>
      <c r="BA12699" t="s">
        <v>11778</v>
      </c>
      <c r="BN12699" t="s">
        <v>11485</v>
      </c>
      <c r="BT12699" t="s">
        <v>11486</v>
      </c>
    </row>
    <row r="12700" spans="1:81" x14ac:dyDescent="0.25">
      <c r="A12700" t="s">
        <v>11886</v>
      </c>
      <c r="S12700" t="s">
        <v>11887</v>
      </c>
      <c r="AE12700" t="s">
        <v>11888</v>
      </c>
      <c r="AY12700" t="s">
        <v>11828</v>
      </c>
      <c r="BL12700" t="s">
        <v>11889</v>
      </c>
      <c r="BU12700" t="s">
        <v>11890</v>
      </c>
      <c r="CC12700" t="s">
        <v>11891</v>
      </c>
    </row>
    <row r="12701" spans="1:81" x14ac:dyDescent="0.25">
      <c r="A12701" t="s">
        <v>2880</v>
      </c>
    </row>
    <row r="12702" spans="1:81" x14ac:dyDescent="0.25">
      <c r="A12702" t="s">
        <v>9104</v>
      </c>
    </row>
    <row r="12703" spans="1:81" x14ac:dyDescent="0.25">
      <c r="A12703" t="s">
        <v>2880</v>
      </c>
    </row>
    <row r="12704" spans="1:81" x14ac:dyDescent="0.25">
      <c r="A12704" t="s">
        <v>9104</v>
      </c>
    </row>
    <row r="12705" spans="1:84" x14ac:dyDescent="0.25">
      <c r="A12705" t="s">
        <v>2880</v>
      </c>
    </row>
    <row r="12706" spans="1:84" x14ac:dyDescent="0.25">
      <c r="A12706" t="s">
        <v>4911</v>
      </c>
    </row>
    <row r="12707" spans="1:84" x14ac:dyDescent="0.25">
      <c r="A12707" t="s">
        <v>2880</v>
      </c>
    </row>
    <row r="12708" spans="1:84" x14ac:dyDescent="0.25">
      <c r="A12708" t="s">
        <v>9104</v>
      </c>
    </row>
    <row r="12709" spans="1:84" x14ac:dyDescent="0.25">
      <c r="A12709" t="s">
        <v>11892</v>
      </c>
    </row>
    <row r="12710" spans="1:84" x14ac:dyDescent="0.25">
      <c r="A12710" t="s">
        <v>2880</v>
      </c>
    </row>
    <row r="12711" spans="1:84" x14ac:dyDescent="0.25">
      <c r="A12711" t="s">
        <v>9104</v>
      </c>
    </row>
    <row r="12712" spans="1:84" x14ac:dyDescent="0.25">
      <c r="A12712" t="s">
        <v>573</v>
      </c>
      <c r="N12712" t="s">
        <v>11474</v>
      </c>
      <c r="AA12712" t="s">
        <v>745</v>
      </c>
      <c r="AH12712" t="s">
        <v>11475</v>
      </c>
      <c r="AO12712" t="s">
        <v>11476</v>
      </c>
      <c r="AU12712" t="s">
        <v>11477</v>
      </c>
      <c r="BH12712" t="s">
        <v>11478</v>
      </c>
      <c r="BN12712" t="s">
        <v>11479</v>
      </c>
      <c r="BY12712" t="s">
        <v>11656</v>
      </c>
    </row>
    <row r="12713" spans="1:84" x14ac:dyDescent="0.25">
      <c r="N12713" t="s">
        <v>11481</v>
      </c>
      <c r="U12713" t="s">
        <v>11482</v>
      </c>
      <c r="AU12713" t="s">
        <v>11483</v>
      </c>
      <c r="BA12713" t="s">
        <v>11778</v>
      </c>
      <c r="BN12713" t="s">
        <v>11485</v>
      </c>
      <c r="BT12713" t="s">
        <v>11486</v>
      </c>
    </row>
    <row r="12714" spans="1:84" x14ac:dyDescent="0.25">
      <c r="A12714" t="s">
        <v>11893</v>
      </c>
      <c r="S12714" t="s">
        <v>11894</v>
      </c>
      <c r="AE12714" t="s">
        <v>11895</v>
      </c>
      <c r="AY12714" t="s">
        <v>11862</v>
      </c>
      <c r="BL12714" t="s">
        <v>11896</v>
      </c>
      <c r="BW12714">
        <v>4</v>
      </c>
      <c r="CF12714" t="s">
        <v>11897</v>
      </c>
    </row>
    <row r="12715" spans="1:84" x14ac:dyDescent="0.25">
      <c r="A12715" t="s">
        <v>11898</v>
      </c>
      <c r="BE12715" t="s">
        <v>3753</v>
      </c>
      <c r="BS12715" t="s">
        <v>11899</v>
      </c>
      <c r="CF12715" t="s">
        <v>11900</v>
      </c>
    </row>
    <row r="12716" spans="1:84" x14ac:dyDescent="0.25">
      <c r="A12716" t="s">
        <v>11893</v>
      </c>
      <c r="S12716" t="s">
        <v>11894</v>
      </c>
      <c r="AE12716" t="s">
        <v>11895</v>
      </c>
      <c r="AY12716" t="s">
        <v>11862</v>
      </c>
      <c r="BL12716" t="s">
        <v>11901</v>
      </c>
      <c r="BW12716">
        <v>4</v>
      </c>
      <c r="CF12716" t="s">
        <v>11897</v>
      </c>
    </row>
    <row r="12717" spans="1:84" x14ac:dyDescent="0.25">
      <c r="A12717" t="s">
        <v>11902</v>
      </c>
      <c r="BE12717" t="s">
        <v>11903</v>
      </c>
      <c r="BS12717" t="s">
        <v>11899</v>
      </c>
      <c r="CF12717" t="s">
        <v>11904</v>
      </c>
    </row>
    <row r="12718" spans="1:84" x14ac:dyDescent="0.25">
      <c r="A12718" t="s">
        <v>11905</v>
      </c>
    </row>
    <row r="12720" spans="1:84" x14ac:dyDescent="0.25">
      <c r="A12720" t="s">
        <v>11503</v>
      </c>
      <c r="K12720" t="s">
        <v>11906</v>
      </c>
    </row>
    <row r="12721" spans="1:77" x14ac:dyDescent="0.25">
      <c r="A12721" t="s">
        <v>573</v>
      </c>
    </row>
    <row r="12722" spans="1:77" x14ac:dyDescent="0.25">
      <c r="A12722" t="s">
        <v>11505</v>
      </c>
    </row>
    <row r="12724" spans="1:77" x14ac:dyDescent="0.25">
      <c r="A12724" t="s">
        <v>11907</v>
      </c>
    </row>
    <row r="12732" spans="1:77" x14ac:dyDescent="0.25">
      <c r="A12732" t="s">
        <v>11908</v>
      </c>
    </row>
    <row r="12733" spans="1:77" x14ac:dyDescent="0.25">
      <c r="A12733" t="s">
        <v>2880</v>
      </c>
    </row>
    <row r="12734" spans="1:77" x14ac:dyDescent="0.25">
      <c r="A12734" t="s">
        <v>9104</v>
      </c>
    </row>
    <row r="12735" spans="1:77" x14ac:dyDescent="0.25">
      <c r="A12735" t="s">
        <v>573</v>
      </c>
      <c r="N12735" t="s">
        <v>11474</v>
      </c>
      <c r="AA12735" t="s">
        <v>745</v>
      </c>
      <c r="AH12735" t="s">
        <v>11475</v>
      </c>
      <c r="AO12735" t="s">
        <v>11476</v>
      </c>
      <c r="AU12735" t="s">
        <v>11477</v>
      </c>
      <c r="BH12735" t="s">
        <v>11478</v>
      </c>
      <c r="BN12735" t="s">
        <v>11479</v>
      </c>
      <c r="BY12735" t="s">
        <v>11656</v>
      </c>
    </row>
    <row r="12736" spans="1:77" x14ac:dyDescent="0.25">
      <c r="N12736" t="s">
        <v>11481</v>
      </c>
      <c r="U12736" t="s">
        <v>11482</v>
      </c>
      <c r="AU12736" t="s">
        <v>11483</v>
      </c>
      <c r="BA12736" t="s">
        <v>11778</v>
      </c>
      <c r="BN12736" t="s">
        <v>11485</v>
      </c>
      <c r="BT12736" t="s">
        <v>11486</v>
      </c>
    </row>
    <row r="12737" spans="1:81" x14ac:dyDescent="0.25">
      <c r="A12737" t="s">
        <v>11909</v>
      </c>
      <c r="S12737" t="s">
        <v>11887</v>
      </c>
      <c r="AE12737" t="s">
        <v>11910</v>
      </c>
      <c r="AY12737" t="s">
        <v>11911</v>
      </c>
      <c r="BL12737" t="s">
        <v>11912</v>
      </c>
      <c r="BU12737" t="s">
        <v>11913</v>
      </c>
      <c r="CC12737" t="s">
        <v>11891</v>
      </c>
    </row>
    <row r="12738" spans="1:81" x14ac:dyDescent="0.25">
      <c r="A12738" t="s">
        <v>2880</v>
      </c>
    </row>
    <row r="12739" spans="1:81" x14ac:dyDescent="0.25">
      <c r="A12739" t="s">
        <v>2880</v>
      </c>
    </row>
    <row r="12740" spans="1:81" x14ac:dyDescent="0.25">
      <c r="A12740" t="s">
        <v>2880</v>
      </c>
    </row>
    <row r="12741" spans="1:81" x14ac:dyDescent="0.25">
      <c r="A12741" t="s">
        <v>2880</v>
      </c>
    </row>
    <row r="12742" spans="1:81" x14ac:dyDescent="0.25">
      <c r="A12742" t="s">
        <v>2880</v>
      </c>
    </row>
    <row r="12743" spans="1:81" x14ac:dyDescent="0.25">
      <c r="A12743" t="s">
        <v>2880</v>
      </c>
    </row>
    <row r="12744" spans="1:81" x14ac:dyDescent="0.25">
      <c r="A12744" t="s">
        <v>2880</v>
      </c>
    </row>
    <row r="12745" spans="1:81" x14ac:dyDescent="0.25">
      <c r="A12745" t="s">
        <v>9104</v>
      </c>
    </row>
    <row r="12746" spans="1:81" x14ac:dyDescent="0.25">
      <c r="A12746" t="s">
        <v>11914</v>
      </c>
      <c r="S12746" t="s">
        <v>11915</v>
      </c>
      <c r="AE12746" t="s">
        <v>11916</v>
      </c>
      <c r="AY12746" t="s">
        <v>11862</v>
      </c>
      <c r="BL12746" t="s">
        <v>11917</v>
      </c>
    </row>
    <row r="12747" spans="1:81" x14ac:dyDescent="0.25">
      <c r="A12747" t="s">
        <v>2880</v>
      </c>
    </row>
    <row r="12748" spans="1:81" x14ac:dyDescent="0.25">
      <c r="A12748" t="s">
        <v>9104</v>
      </c>
    </row>
    <row r="12749" spans="1:81" x14ac:dyDescent="0.25">
      <c r="A12749" t="s">
        <v>11918</v>
      </c>
      <c r="BH12749" t="s">
        <v>11839</v>
      </c>
    </row>
    <row r="12750" spans="1:81" x14ac:dyDescent="0.25">
      <c r="A12750" t="s">
        <v>2880</v>
      </c>
    </row>
    <row r="12751" spans="1:81" x14ac:dyDescent="0.25">
      <c r="A12751" t="s">
        <v>9104</v>
      </c>
    </row>
    <row r="12752" spans="1:81" x14ac:dyDescent="0.25">
      <c r="A12752" t="s">
        <v>573</v>
      </c>
      <c r="N12752" t="s">
        <v>11474</v>
      </c>
      <c r="AA12752" t="s">
        <v>745</v>
      </c>
      <c r="AH12752" t="s">
        <v>11475</v>
      </c>
      <c r="AO12752" t="s">
        <v>11476</v>
      </c>
      <c r="AU12752" t="s">
        <v>11477</v>
      </c>
      <c r="BH12752" t="s">
        <v>11478</v>
      </c>
      <c r="BN12752" t="s">
        <v>11479</v>
      </c>
      <c r="BY12752" t="s">
        <v>11656</v>
      </c>
    </row>
    <row r="12753" spans="1:84" x14ac:dyDescent="0.25">
      <c r="N12753" t="s">
        <v>11481</v>
      </c>
      <c r="U12753" t="s">
        <v>11482</v>
      </c>
      <c r="AU12753" t="s">
        <v>11483</v>
      </c>
      <c r="BA12753" t="s">
        <v>11778</v>
      </c>
      <c r="BN12753" t="s">
        <v>11485</v>
      </c>
      <c r="BT12753" t="s">
        <v>11486</v>
      </c>
    </row>
    <row r="12754" spans="1:84" x14ac:dyDescent="0.25">
      <c r="A12754" t="s">
        <v>11919</v>
      </c>
      <c r="S12754" t="s">
        <v>11894</v>
      </c>
      <c r="AE12754" t="s">
        <v>11895</v>
      </c>
      <c r="AY12754" t="s">
        <v>11862</v>
      </c>
      <c r="BL12754" t="s">
        <v>11920</v>
      </c>
      <c r="BW12754">
        <v>4.0999999999999996</v>
      </c>
      <c r="CF12754" t="s">
        <v>11921</v>
      </c>
    </row>
    <row r="12755" spans="1:84" x14ac:dyDescent="0.25">
      <c r="A12755" t="s">
        <v>11502</v>
      </c>
    </row>
    <row r="12757" spans="1:84" x14ac:dyDescent="0.25">
      <c r="A12757" t="s">
        <v>11503</v>
      </c>
      <c r="K12757" t="s">
        <v>11906</v>
      </c>
    </row>
    <row r="12758" spans="1:84" x14ac:dyDescent="0.25">
      <c r="A12758" t="s">
        <v>573</v>
      </c>
    </row>
    <row r="12759" spans="1:84" x14ac:dyDescent="0.25">
      <c r="A12759" t="s">
        <v>11505</v>
      </c>
    </row>
    <row r="12769" spans="1:81" x14ac:dyDescent="0.25">
      <c r="A12769" t="s">
        <v>11922</v>
      </c>
    </row>
    <row r="12770" spans="1:81" x14ac:dyDescent="0.25">
      <c r="A12770" t="s">
        <v>2880</v>
      </c>
    </row>
    <row r="12771" spans="1:81" x14ac:dyDescent="0.25">
      <c r="A12771" t="s">
        <v>9104</v>
      </c>
    </row>
    <row r="12772" spans="1:81" x14ac:dyDescent="0.25">
      <c r="A12772" t="s">
        <v>573</v>
      </c>
      <c r="N12772" t="s">
        <v>11474</v>
      </c>
      <c r="AA12772" t="s">
        <v>745</v>
      </c>
      <c r="AH12772" t="s">
        <v>11475</v>
      </c>
      <c r="AO12772" t="s">
        <v>11476</v>
      </c>
      <c r="AU12772" t="s">
        <v>11477</v>
      </c>
      <c r="BH12772" t="s">
        <v>11478</v>
      </c>
      <c r="BN12772" t="s">
        <v>11479</v>
      </c>
      <c r="BY12772" t="s">
        <v>11656</v>
      </c>
    </row>
    <row r="12773" spans="1:81" x14ac:dyDescent="0.25">
      <c r="N12773" t="s">
        <v>11481</v>
      </c>
      <c r="U12773" t="s">
        <v>11482</v>
      </c>
      <c r="AU12773" t="s">
        <v>11483</v>
      </c>
      <c r="BA12773" t="s">
        <v>11778</v>
      </c>
      <c r="BN12773" t="s">
        <v>11485</v>
      </c>
      <c r="BT12773" t="s">
        <v>11486</v>
      </c>
    </row>
    <row r="12774" spans="1:81" x14ac:dyDescent="0.25">
      <c r="A12774" t="s">
        <v>11923</v>
      </c>
      <c r="S12774" t="s">
        <v>11924</v>
      </c>
      <c r="AE12774" t="s">
        <v>11925</v>
      </c>
      <c r="AY12774" t="s">
        <v>11926</v>
      </c>
      <c r="BL12774" t="s">
        <v>11927</v>
      </c>
      <c r="BU12774" t="s">
        <v>11928</v>
      </c>
      <c r="CC12774" t="s">
        <v>11929</v>
      </c>
    </row>
    <row r="12775" spans="1:81" x14ac:dyDescent="0.25">
      <c r="A12775" t="s">
        <v>2880</v>
      </c>
    </row>
    <row r="12776" spans="1:81" x14ac:dyDescent="0.25">
      <c r="A12776" t="s">
        <v>9104</v>
      </c>
    </row>
    <row r="12777" spans="1:81" x14ac:dyDescent="0.25">
      <c r="A12777" t="s">
        <v>2880</v>
      </c>
    </row>
    <row r="12778" spans="1:81" x14ac:dyDescent="0.25">
      <c r="A12778" t="s">
        <v>9104</v>
      </c>
    </row>
    <row r="12779" spans="1:81" x14ac:dyDescent="0.25">
      <c r="A12779" t="s">
        <v>9104</v>
      </c>
    </row>
    <row r="12780" spans="1:81" x14ac:dyDescent="0.25">
      <c r="A12780" t="s">
        <v>9104</v>
      </c>
    </row>
    <row r="12781" spans="1:81" x14ac:dyDescent="0.25">
      <c r="A12781" t="s">
        <v>11930</v>
      </c>
    </row>
    <row r="12782" spans="1:81" x14ac:dyDescent="0.25">
      <c r="A12782" t="s">
        <v>11931</v>
      </c>
    </row>
    <row r="12784" spans="1:81" x14ac:dyDescent="0.25">
      <c r="A12784" t="s">
        <v>11503</v>
      </c>
      <c r="K12784" t="s">
        <v>11932</v>
      </c>
    </row>
    <row r="12785" spans="1:81" x14ac:dyDescent="0.25">
      <c r="A12785" t="s">
        <v>573</v>
      </c>
    </row>
    <row r="12786" spans="1:81" x14ac:dyDescent="0.25">
      <c r="A12786" t="s">
        <v>11505</v>
      </c>
      <c r="K12786" t="s">
        <v>11933</v>
      </c>
    </row>
    <row r="12791" spans="1:81" x14ac:dyDescent="0.25">
      <c r="A12791" t="s">
        <v>11934</v>
      </c>
    </row>
    <row r="12792" spans="1:81" x14ac:dyDescent="0.25">
      <c r="A12792" t="s">
        <v>2880</v>
      </c>
    </row>
    <row r="12793" spans="1:81" x14ac:dyDescent="0.25">
      <c r="A12793" t="s">
        <v>9104</v>
      </c>
    </row>
    <row r="12794" spans="1:81" x14ac:dyDescent="0.25">
      <c r="A12794" t="s">
        <v>4911</v>
      </c>
    </row>
    <row r="12795" spans="1:81" x14ac:dyDescent="0.25">
      <c r="A12795" t="s">
        <v>573</v>
      </c>
      <c r="N12795" t="s">
        <v>11474</v>
      </c>
      <c r="AA12795" t="s">
        <v>745</v>
      </c>
      <c r="AH12795" t="s">
        <v>11475</v>
      </c>
      <c r="AO12795" t="s">
        <v>11476</v>
      </c>
      <c r="AU12795" t="s">
        <v>11477</v>
      </c>
      <c r="BH12795" t="s">
        <v>11478</v>
      </c>
      <c r="BN12795" t="s">
        <v>11479</v>
      </c>
      <c r="BY12795" t="s">
        <v>11656</v>
      </c>
    </row>
    <row r="12796" spans="1:81" x14ac:dyDescent="0.25">
      <c r="N12796" t="s">
        <v>11481</v>
      </c>
      <c r="U12796" t="s">
        <v>11482</v>
      </c>
      <c r="AU12796" t="s">
        <v>11483</v>
      </c>
      <c r="BA12796" t="s">
        <v>11778</v>
      </c>
      <c r="BN12796" t="s">
        <v>11485</v>
      </c>
      <c r="BT12796" t="s">
        <v>11486</v>
      </c>
    </row>
    <row r="12797" spans="1:81" x14ac:dyDescent="0.25">
      <c r="A12797" t="s">
        <v>11935</v>
      </c>
      <c r="S12797" t="s">
        <v>11936</v>
      </c>
      <c r="AE12797" t="s">
        <v>11937</v>
      </c>
      <c r="AY12797" t="s">
        <v>11490</v>
      </c>
      <c r="BL12797" t="s">
        <v>11938</v>
      </c>
      <c r="BU12797" t="s">
        <v>11820</v>
      </c>
      <c r="CC12797" t="s">
        <v>11939</v>
      </c>
    </row>
    <row r="12798" spans="1:81" x14ac:dyDescent="0.25">
      <c r="A12798" t="s">
        <v>2880</v>
      </c>
    </row>
    <row r="12799" spans="1:81" x14ac:dyDescent="0.25">
      <c r="A12799" t="s">
        <v>9104</v>
      </c>
    </row>
    <row r="12800" spans="1:81" x14ac:dyDescent="0.25">
      <c r="A12800" t="s">
        <v>2880</v>
      </c>
    </row>
    <row r="12801" spans="1:88" x14ac:dyDescent="0.25">
      <c r="A12801" t="s">
        <v>9104</v>
      </c>
    </row>
    <row r="12802" spans="1:88" x14ac:dyDescent="0.25">
      <c r="A12802" t="s">
        <v>11940</v>
      </c>
    </row>
    <row r="12803" spans="1:88" x14ac:dyDescent="0.25">
      <c r="A12803" t="s">
        <v>11899</v>
      </c>
    </row>
    <row r="12804" spans="1:88" x14ac:dyDescent="0.25">
      <c r="A12804" t="s">
        <v>11941</v>
      </c>
    </row>
    <row r="12805" spans="1:88" x14ac:dyDescent="0.25">
      <c r="A12805" t="s">
        <v>11942</v>
      </c>
    </row>
    <row r="12806" spans="1:88" x14ac:dyDescent="0.25">
      <c r="A12806" t="s">
        <v>11943</v>
      </c>
    </row>
    <row r="12807" spans="1:88" x14ac:dyDescent="0.25">
      <c r="A12807">
        <v>33</v>
      </c>
    </row>
    <row r="12811" spans="1:88" x14ac:dyDescent="0.25">
      <c r="A12811" t="s">
        <v>11944</v>
      </c>
    </row>
    <row r="12812" spans="1:88" x14ac:dyDescent="0.25">
      <c r="I12812" t="s">
        <v>2880</v>
      </c>
      <c r="P12812" t="s">
        <v>9104</v>
      </c>
    </row>
    <row r="12814" spans="1:88" x14ac:dyDescent="0.25">
      <c r="F12814" t="s">
        <v>573</v>
      </c>
      <c r="S12814" t="s">
        <v>11474</v>
      </c>
      <c r="AF12814" t="s">
        <v>745</v>
      </c>
      <c r="AK12814" t="s">
        <v>11475</v>
      </c>
      <c r="AS12814" t="s">
        <v>11476</v>
      </c>
      <c r="AY12814" t="s">
        <v>11945</v>
      </c>
      <c r="BL12814" t="s">
        <v>11478</v>
      </c>
      <c r="BR12814" t="s">
        <v>11479</v>
      </c>
      <c r="CF12814" t="s">
        <v>11656</v>
      </c>
    </row>
    <row r="12815" spans="1:88" x14ac:dyDescent="0.25">
      <c r="S12815" t="s">
        <v>11481</v>
      </c>
      <c r="Y12815" t="s">
        <v>11482</v>
      </c>
      <c r="AY12815" t="s">
        <v>11483</v>
      </c>
      <c r="BE12815" t="s">
        <v>11778</v>
      </c>
      <c r="BR12815" t="s">
        <v>11485</v>
      </c>
      <c r="BW12815" t="s">
        <v>11486</v>
      </c>
    </row>
    <row r="12816" spans="1:88" x14ac:dyDescent="0.25">
      <c r="A12816" t="s">
        <v>11946</v>
      </c>
      <c r="AG12816" t="s">
        <v>11947</v>
      </c>
      <c r="BO12816" t="s">
        <v>11948</v>
      </c>
      <c r="CJ12816" t="s">
        <v>11949</v>
      </c>
    </row>
    <row r="12817" spans="21:78" x14ac:dyDescent="0.25">
      <c r="BZ12817">
        <v>4.0999999999999996</v>
      </c>
    </row>
    <row r="12818" spans="21:78" x14ac:dyDescent="0.25">
      <c r="U12818" t="s">
        <v>11950</v>
      </c>
    </row>
    <row r="12821" spans="21:78" x14ac:dyDescent="0.25">
      <c r="BT12821" t="s">
        <v>2880</v>
      </c>
      <c r="BY12821" t="s">
        <v>9104</v>
      </c>
    </row>
    <row r="12823" spans="21:78" x14ac:dyDescent="0.25">
      <c r="BO12823" t="s">
        <v>11951</v>
      </c>
    </row>
    <row r="12824" spans="21:78" x14ac:dyDescent="0.25">
      <c r="BZ12824">
        <v>4.0999999999999996</v>
      </c>
    </row>
    <row r="12826" spans="21:78" x14ac:dyDescent="0.25">
      <c r="BT12826" t="s">
        <v>2880</v>
      </c>
      <c r="BY12826" t="s">
        <v>9104</v>
      </c>
    </row>
    <row r="12828" spans="21:78" x14ac:dyDescent="0.25">
      <c r="BO12828" t="s">
        <v>11952</v>
      </c>
      <c r="BZ12828">
        <v>4</v>
      </c>
    </row>
    <row r="12830" spans="21:78" x14ac:dyDescent="0.25">
      <c r="BT12830" t="s">
        <v>2880</v>
      </c>
      <c r="BY12830" t="s">
        <v>9104</v>
      </c>
    </row>
    <row r="12832" spans="21:78" x14ac:dyDescent="0.25">
      <c r="BO12832" t="s">
        <v>11896</v>
      </c>
      <c r="BZ12832">
        <v>4</v>
      </c>
    </row>
    <row r="12834" spans="1:81" x14ac:dyDescent="0.25">
      <c r="BT12834" t="s">
        <v>9104</v>
      </c>
      <c r="BY12834" t="s">
        <v>9104</v>
      </c>
    </row>
    <row r="12836" spans="1:81" x14ac:dyDescent="0.25">
      <c r="BO12836" t="s">
        <v>11901</v>
      </c>
      <c r="BZ12836">
        <v>4</v>
      </c>
    </row>
    <row r="12839" spans="1:81" x14ac:dyDescent="0.25">
      <c r="AJ12839" t="s">
        <v>11953</v>
      </c>
      <c r="CB12839" t="s">
        <v>11904</v>
      </c>
    </row>
    <row r="12840" spans="1:81" x14ac:dyDescent="0.25">
      <c r="A12840" t="s">
        <v>11954</v>
      </c>
    </row>
    <row r="12841" spans="1:81" x14ac:dyDescent="0.25">
      <c r="A12841" t="s">
        <v>11955</v>
      </c>
      <c r="R12841" t="s">
        <v>11956</v>
      </c>
      <c r="AC12841" t="s">
        <v>1010</v>
      </c>
      <c r="AJ12841" t="s">
        <v>11957</v>
      </c>
      <c r="AW12841" t="s">
        <v>11862</v>
      </c>
      <c r="BJ12841" t="s">
        <v>11958</v>
      </c>
      <c r="BU12841">
        <v>4</v>
      </c>
      <c r="CC12841" t="s">
        <v>3224</v>
      </c>
    </row>
    <row r="12842" spans="1:81" x14ac:dyDescent="0.25">
      <c r="G12842" t="s">
        <v>11959</v>
      </c>
      <c r="AJ12842" t="s">
        <v>11960</v>
      </c>
      <c r="CB12842" t="s">
        <v>11961</v>
      </c>
    </row>
    <row r="12843" spans="1:81" x14ac:dyDescent="0.25">
      <c r="A12843" t="s">
        <v>11955</v>
      </c>
      <c r="R12843" t="s">
        <v>11956</v>
      </c>
      <c r="AC12843" t="s">
        <v>1010</v>
      </c>
      <c r="AJ12843" t="s">
        <v>11957</v>
      </c>
      <c r="AW12843" t="s">
        <v>11862</v>
      </c>
      <c r="BJ12843" t="s">
        <v>11962</v>
      </c>
      <c r="BU12843">
        <v>4</v>
      </c>
      <c r="CC12843" t="s">
        <v>3224</v>
      </c>
    </row>
    <row r="12844" spans="1:81" x14ac:dyDescent="0.25">
      <c r="G12844" t="s">
        <v>11963</v>
      </c>
      <c r="AJ12844" t="s">
        <v>11964</v>
      </c>
      <c r="CB12844" t="s">
        <v>11965</v>
      </c>
    </row>
    <row r="12845" spans="1:81" x14ac:dyDescent="0.25">
      <c r="A12845" t="s">
        <v>11966</v>
      </c>
      <c r="AJ12845" t="s">
        <v>11967</v>
      </c>
      <c r="BU12845">
        <v>4</v>
      </c>
      <c r="CC12845" t="s">
        <v>11968</v>
      </c>
    </row>
    <row r="12846" spans="1:81" x14ac:dyDescent="0.25">
      <c r="G12846" t="s">
        <v>11969</v>
      </c>
      <c r="AJ12846" t="s">
        <v>11970</v>
      </c>
      <c r="BQ12846" t="s">
        <v>5341</v>
      </c>
      <c r="BU12846" t="s">
        <v>11789</v>
      </c>
      <c r="CC12846" t="s">
        <v>4210</v>
      </c>
    </row>
    <row r="12847" spans="1:81" x14ac:dyDescent="0.25">
      <c r="A12847" t="s">
        <v>11966</v>
      </c>
      <c r="AJ12847" t="s">
        <v>11971</v>
      </c>
      <c r="BU12847">
        <v>4</v>
      </c>
      <c r="CC12847" t="s">
        <v>11968</v>
      </c>
    </row>
    <row r="12848" spans="1:81" x14ac:dyDescent="0.25">
      <c r="G12848" t="s">
        <v>11972</v>
      </c>
      <c r="AJ12848" t="s">
        <v>11973</v>
      </c>
      <c r="BQ12848" t="s">
        <v>5341</v>
      </c>
      <c r="BU12848" t="s">
        <v>11789</v>
      </c>
      <c r="CC12848" t="s">
        <v>11974</v>
      </c>
    </row>
    <row r="12849" spans="1:82" x14ac:dyDescent="0.25">
      <c r="AM12849" t="s">
        <v>11975</v>
      </c>
    </row>
    <row r="12850" spans="1:82" x14ac:dyDescent="0.25">
      <c r="A12850">
        <v>34</v>
      </c>
    </row>
    <row r="12851" spans="1:82" x14ac:dyDescent="0.25">
      <c r="P12851" t="s">
        <v>11976</v>
      </c>
      <c r="Y12851" t="s">
        <v>11977</v>
      </c>
      <c r="AI12851" t="s">
        <v>11978</v>
      </c>
      <c r="AS12851" t="s">
        <v>11979</v>
      </c>
      <c r="BA12851" t="s">
        <v>11980</v>
      </c>
      <c r="BJ12851" t="s">
        <v>11981</v>
      </c>
      <c r="BT12851" t="s">
        <v>11982</v>
      </c>
      <c r="CD12851" t="s">
        <v>11983</v>
      </c>
    </row>
    <row r="12852" spans="1:82" x14ac:dyDescent="0.25">
      <c r="P12852" t="s">
        <v>11984</v>
      </c>
      <c r="Y12852" t="s">
        <v>11985</v>
      </c>
      <c r="AI12852" t="s">
        <v>11986</v>
      </c>
      <c r="AS12852" t="s">
        <v>11987</v>
      </c>
      <c r="BA12852" t="s">
        <v>11988</v>
      </c>
      <c r="BJ12852" t="s">
        <v>11989</v>
      </c>
      <c r="BT12852" t="s">
        <v>11990</v>
      </c>
      <c r="CD12852" t="s">
        <v>11991</v>
      </c>
    </row>
    <row r="12853" spans="1:82" x14ac:dyDescent="0.25">
      <c r="P12853">
        <v>76</v>
      </c>
      <c r="Y12853">
        <v>99</v>
      </c>
      <c r="AI12853">
        <v>54</v>
      </c>
      <c r="AS12853">
        <v>206</v>
      </c>
      <c r="BA12853">
        <v>158</v>
      </c>
      <c r="BJ12853">
        <v>123</v>
      </c>
      <c r="BT12853">
        <v>123</v>
      </c>
      <c r="CD12853">
        <v>231</v>
      </c>
    </row>
    <row r="12864" spans="1:82" x14ac:dyDescent="0.25">
      <c r="A12864" t="s">
        <v>11992</v>
      </c>
    </row>
    <row r="12865" spans="1:81" x14ac:dyDescent="0.25">
      <c r="A12865" t="s">
        <v>2880</v>
      </c>
    </row>
    <row r="12866" spans="1:81" x14ac:dyDescent="0.25">
      <c r="A12866" t="s">
        <v>9104</v>
      </c>
    </row>
    <row r="12867" spans="1:81" x14ac:dyDescent="0.25">
      <c r="A12867" t="s">
        <v>573</v>
      </c>
      <c r="N12867" t="s">
        <v>11474</v>
      </c>
      <c r="AA12867" t="s">
        <v>745</v>
      </c>
      <c r="AH12867" t="s">
        <v>11475</v>
      </c>
      <c r="AO12867" t="s">
        <v>11476</v>
      </c>
      <c r="AU12867" t="s">
        <v>11477</v>
      </c>
      <c r="BH12867" t="s">
        <v>11478</v>
      </c>
      <c r="BN12867" t="s">
        <v>11479</v>
      </c>
      <c r="BY12867" t="s">
        <v>11656</v>
      </c>
    </row>
    <row r="12868" spans="1:81" x14ac:dyDescent="0.25">
      <c r="N12868" t="s">
        <v>11481</v>
      </c>
      <c r="U12868" t="s">
        <v>11482</v>
      </c>
      <c r="AU12868" t="s">
        <v>11483</v>
      </c>
      <c r="BA12868" t="s">
        <v>11778</v>
      </c>
      <c r="BN12868" t="s">
        <v>11485</v>
      </c>
      <c r="BT12868" t="s">
        <v>11486</v>
      </c>
    </row>
    <row r="12869" spans="1:81" x14ac:dyDescent="0.25">
      <c r="A12869" t="s">
        <v>11993</v>
      </c>
      <c r="S12869" t="s">
        <v>11994</v>
      </c>
      <c r="AE12869" t="s">
        <v>11995</v>
      </c>
      <c r="AY12869" t="s">
        <v>11996</v>
      </c>
      <c r="BL12869" t="s">
        <v>11997</v>
      </c>
      <c r="BU12869" t="s">
        <v>11998</v>
      </c>
      <c r="CC12869" t="s">
        <v>11999</v>
      </c>
    </row>
    <row r="12870" spans="1:81" x14ac:dyDescent="0.25">
      <c r="A12870" t="s">
        <v>2880</v>
      </c>
    </row>
    <row r="12871" spans="1:81" x14ac:dyDescent="0.25">
      <c r="A12871" t="s">
        <v>2880</v>
      </c>
    </row>
    <row r="12872" spans="1:81" x14ac:dyDescent="0.25">
      <c r="A12872" t="s">
        <v>2880</v>
      </c>
    </row>
    <row r="12873" spans="1:81" x14ac:dyDescent="0.25">
      <c r="A12873" t="s">
        <v>9104</v>
      </c>
    </row>
    <row r="12874" spans="1:81" x14ac:dyDescent="0.25">
      <c r="A12874" t="s">
        <v>2880</v>
      </c>
    </row>
    <row r="12875" spans="1:81" x14ac:dyDescent="0.25">
      <c r="A12875" t="s">
        <v>9104</v>
      </c>
    </row>
    <row r="12876" spans="1:81" x14ac:dyDescent="0.25">
      <c r="A12876" t="s">
        <v>2880</v>
      </c>
    </row>
    <row r="12877" spans="1:81" x14ac:dyDescent="0.25">
      <c r="A12877" t="s">
        <v>9104</v>
      </c>
    </row>
    <row r="12878" spans="1:81" x14ac:dyDescent="0.25">
      <c r="A12878" t="s">
        <v>2880</v>
      </c>
    </row>
    <row r="12879" spans="1:81" x14ac:dyDescent="0.25">
      <c r="A12879" t="s">
        <v>9104</v>
      </c>
    </row>
    <row r="12880" spans="1:81" x14ac:dyDescent="0.25">
      <c r="A12880" t="s">
        <v>12000</v>
      </c>
    </row>
    <row r="12882" spans="1:85" x14ac:dyDescent="0.25">
      <c r="A12882" t="s">
        <v>11503</v>
      </c>
      <c r="K12882" t="s">
        <v>12001</v>
      </c>
    </row>
    <row r="12883" spans="1:85" x14ac:dyDescent="0.25">
      <c r="A12883" t="s">
        <v>573</v>
      </c>
    </row>
    <row r="12884" spans="1:85" x14ac:dyDescent="0.25">
      <c r="A12884" t="s">
        <v>11505</v>
      </c>
    </row>
    <row r="12890" spans="1:85" x14ac:dyDescent="0.25">
      <c r="A12890" t="s">
        <v>12002</v>
      </c>
    </row>
    <row r="12891" spans="1:85" x14ac:dyDescent="0.25">
      <c r="A12891" t="s">
        <v>573</v>
      </c>
      <c r="N12891" t="s">
        <v>11474</v>
      </c>
      <c r="AA12891" t="s">
        <v>745</v>
      </c>
      <c r="AH12891" t="s">
        <v>11475</v>
      </c>
      <c r="AO12891" t="s">
        <v>11476</v>
      </c>
      <c r="AU12891" t="s">
        <v>11477</v>
      </c>
      <c r="BH12891" t="s">
        <v>11478</v>
      </c>
      <c r="BO12891" t="s">
        <v>11479</v>
      </c>
      <c r="CA12891" t="s">
        <v>11656</v>
      </c>
    </row>
    <row r="12892" spans="1:85" x14ac:dyDescent="0.25">
      <c r="N12892" t="s">
        <v>11481</v>
      </c>
      <c r="U12892" t="s">
        <v>11482</v>
      </c>
      <c r="AU12892" t="s">
        <v>11483</v>
      </c>
      <c r="BA12892" t="s">
        <v>11778</v>
      </c>
      <c r="BO12892" t="s">
        <v>11485</v>
      </c>
      <c r="BT12892" t="s">
        <v>11486</v>
      </c>
    </row>
    <row r="12893" spans="1:85" x14ac:dyDescent="0.25">
      <c r="A12893" t="s">
        <v>12003</v>
      </c>
      <c r="Y12893" t="s">
        <v>12004</v>
      </c>
      <c r="BE12893" t="s">
        <v>12005</v>
      </c>
      <c r="BX12893">
        <v>3.45</v>
      </c>
      <c r="CG12893" t="s">
        <v>12006</v>
      </c>
    </row>
    <row r="12894" spans="1:85" x14ac:dyDescent="0.25">
      <c r="A12894" t="s">
        <v>12007</v>
      </c>
      <c r="S12894" t="s">
        <v>12008</v>
      </c>
      <c r="AE12894" t="s">
        <v>12009</v>
      </c>
      <c r="AY12894" t="s">
        <v>12010</v>
      </c>
      <c r="BK12894" t="s">
        <v>12011</v>
      </c>
      <c r="BT12894" t="s">
        <v>5341</v>
      </c>
      <c r="BX12894" t="s">
        <v>11789</v>
      </c>
      <c r="CG12894" t="s">
        <v>12012</v>
      </c>
    </row>
    <row r="12895" spans="1:85" x14ac:dyDescent="0.25">
      <c r="A12895" t="s">
        <v>12013</v>
      </c>
      <c r="Y12895" t="s">
        <v>12004</v>
      </c>
      <c r="BE12895" t="s">
        <v>12014</v>
      </c>
      <c r="BX12895">
        <v>3.24</v>
      </c>
      <c r="CG12895" t="s">
        <v>12015</v>
      </c>
    </row>
    <row r="12896" spans="1:85" x14ac:dyDescent="0.25">
      <c r="A12896" t="s">
        <v>12016</v>
      </c>
      <c r="S12896" t="s">
        <v>12017</v>
      </c>
      <c r="AE12896" t="s">
        <v>12009</v>
      </c>
      <c r="AY12896" t="s">
        <v>12018</v>
      </c>
      <c r="BK12896" t="s">
        <v>12011</v>
      </c>
      <c r="BT12896" t="s">
        <v>5341</v>
      </c>
      <c r="BX12896" t="s">
        <v>11789</v>
      </c>
      <c r="CG12896" t="s">
        <v>12019</v>
      </c>
    </row>
    <row r="12897" spans="1:81" x14ac:dyDescent="0.25">
      <c r="A12897" t="s">
        <v>12020</v>
      </c>
    </row>
    <row r="12899" spans="1:81" x14ac:dyDescent="0.25">
      <c r="A12899" t="s">
        <v>11503</v>
      </c>
      <c r="K12899" t="s">
        <v>12021</v>
      </c>
    </row>
    <row r="12900" spans="1:81" x14ac:dyDescent="0.25">
      <c r="A12900" t="s">
        <v>573</v>
      </c>
    </row>
    <row r="12901" spans="1:81" x14ac:dyDescent="0.25">
      <c r="A12901" t="s">
        <v>11505</v>
      </c>
      <c r="K12901" t="s">
        <v>12022</v>
      </c>
    </row>
    <row r="12906" spans="1:81" x14ac:dyDescent="0.25">
      <c r="A12906" t="s">
        <v>12023</v>
      </c>
      <c r="I12906" t="s">
        <v>12024</v>
      </c>
      <c r="AA12906" t="s">
        <v>12025</v>
      </c>
      <c r="AK12906" t="s">
        <v>12026</v>
      </c>
    </row>
    <row r="12907" spans="1:81" x14ac:dyDescent="0.25">
      <c r="AI12907" t="s">
        <v>12027</v>
      </c>
    </row>
    <row r="12908" spans="1:81" x14ac:dyDescent="0.25">
      <c r="F12908" t="s">
        <v>12028</v>
      </c>
      <c r="AK12908" t="s">
        <v>12029</v>
      </c>
      <c r="AY12908" t="s">
        <v>12030</v>
      </c>
      <c r="BJ12908" t="s">
        <v>12031</v>
      </c>
      <c r="BT12908" t="s">
        <v>12032</v>
      </c>
    </row>
    <row r="12909" spans="1:81" x14ac:dyDescent="0.25">
      <c r="BH12909" t="s">
        <v>12033</v>
      </c>
    </row>
    <row r="12910" spans="1:81" x14ac:dyDescent="0.25">
      <c r="AE12910" t="s">
        <v>12034</v>
      </c>
    </row>
    <row r="12911" spans="1:81" x14ac:dyDescent="0.25">
      <c r="F12911" t="s">
        <v>12035</v>
      </c>
      <c r="AY12911" t="s">
        <v>12036</v>
      </c>
    </row>
    <row r="12912" spans="1:81" x14ac:dyDescent="0.25">
      <c r="U12912" t="s">
        <v>12037</v>
      </c>
      <c r="CC12912" t="s">
        <v>12038</v>
      </c>
    </row>
    <row r="12913" spans="1:81" x14ac:dyDescent="0.25">
      <c r="BA12913" t="s">
        <v>12039</v>
      </c>
    </row>
    <row r="12914" spans="1:81" x14ac:dyDescent="0.25">
      <c r="A12914" t="s">
        <v>12040</v>
      </c>
      <c r="K12914" t="s">
        <v>12041</v>
      </c>
      <c r="AE12914" t="s">
        <v>12042</v>
      </c>
      <c r="AQ12914" t="s">
        <v>12043</v>
      </c>
    </row>
    <row r="12916" spans="1:81" x14ac:dyDescent="0.25">
      <c r="G12916" t="s">
        <v>12044</v>
      </c>
      <c r="AE12916" t="s">
        <v>12045</v>
      </c>
      <c r="BA12916" t="s">
        <v>12046</v>
      </c>
    </row>
    <row r="12917" spans="1:81" x14ac:dyDescent="0.25">
      <c r="A12917" t="s">
        <v>12047</v>
      </c>
      <c r="S12917" t="s">
        <v>12048</v>
      </c>
    </row>
    <row r="12918" spans="1:81" x14ac:dyDescent="0.25">
      <c r="A12918" t="s">
        <v>12049</v>
      </c>
    </row>
    <row r="12919" spans="1:81" x14ac:dyDescent="0.25">
      <c r="A12919" t="s">
        <v>2880</v>
      </c>
    </row>
    <row r="12920" spans="1:81" x14ac:dyDescent="0.25">
      <c r="A12920" t="s">
        <v>9104</v>
      </c>
    </row>
    <row r="12921" spans="1:81" x14ac:dyDescent="0.25">
      <c r="A12921" t="s">
        <v>4911</v>
      </c>
    </row>
    <row r="12922" spans="1:81" x14ac:dyDescent="0.25">
      <c r="A12922" t="s">
        <v>573</v>
      </c>
      <c r="N12922" t="s">
        <v>11474</v>
      </c>
      <c r="AA12922" t="s">
        <v>745</v>
      </c>
      <c r="AH12922" t="s">
        <v>11475</v>
      </c>
      <c r="AO12922" t="s">
        <v>11476</v>
      </c>
      <c r="AU12922" t="s">
        <v>11477</v>
      </c>
      <c r="BH12922" t="s">
        <v>11478</v>
      </c>
      <c r="BN12922" t="s">
        <v>11479</v>
      </c>
      <c r="BY12922" t="s">
        <v>11656</v>
      </c>
    </row>
    <row r="12923" spans="1:81" x14ac:dyDescent="0.25">
      <c r="N12923" t="s">
        <v>11481</v>
      </c>
      <c r="U12923" t="s">
        <v>11482</v>
      </c>
      <c r="AU12923" t="s">
        <v>11483</v>
      </c>
      <c r="BA12923" t="s">
        <v>11778</v>
      </c>
      <c r="BN12923" t="s">
        <v>11485</v>
      </c>
      <c r="BT12923" t="s">
        <v>11486</v>
      </c>
    </row>
    <row r="12924" spans="1:81" x14ac:dyDescent="0.25">
      <c r="A12924" t="s">
        <v>12050</v>
      </c>
      <c r="S12924" t="s">
        <v>11853</v>
      </c>
      <c r="AE12924" t="s">
        <v>12051</v>
      </c>
      <c r="AY12924" t="s">
        <v>11855</v>
      </c>
      <c r="BL12924" t="s">
        <v>12052</v>
      </c>
      <c r="BU12924" t="s">
        <v>12053</v>
      </c>
      <c r="CC12924" t="s">
        <v>12054</v>
      </c>
    </row>
    <row r="12925" spans="1:81" x14ac:dyDescent="0.25">
      <c r="A12925" t="s">
        <v>2880</v>
      </c>
    </row>
    <row r="12926" spans="1:81" x14ac:dyDescent="0.25">
      <c r="A12926" t="s">
        <v>4911</v>
      </c>
    </row>
    <row r="12927" spans="1:81" x14ac:dyDescent="0.25">
      <c r="A12927" t="s">
        <v>9104</v>
      </c>
    </row>
    <row r="12928" spans="1:81" x14ac:dyDescent="0.25">
      <c r="A12928" t="s">
        <v>4911</v>
      </c>
    </row>
    <row r="12929" spans="1:84" x14ac:dyDescent="0.25">
      <c r="A12929" t="s">
        <v>2880</v>
      </c>
    </row>
    <row r="12930" spans="1:84" x14ac:dyDescent="0.25">
      <c r="A12930" t="s">
        <v>9104</v>
      </c>
    </row>
    <row r="12931" spans="1:84" x14ac:dyDescent="0.25">
      <c r="A12931" t="s">
        <v>2880</v>
      </c>
    </row>
    <row r="12932" spans="1:84" x14ac:dyDescent="0.25">
      <c r="A12932" t="s">
        <v>9104</v>
      </c>
    </row>
    <row r="12933" spans="1:84" x14ac:dyDescent="0.25">
      <c r="A12933" t="s">
        <v>9104</v>
      </c>
    </row>
    <row r="12934" spans="1:84" x14ac:dyDescent="0.25">
      <c r="A12934" t="s">
        <v>9104</v>
      </c>
    </row>
    <row r="12935" spans="1:84" x14ac:dyDescent="0.25">
      <c r="A12935" t="s">
        <v>9104</v>
      </c>
    </row>
    <row r="12936" spans="1:84" x14ac:dyDescent="0.25">
      <c r="A12936" t="s">
        <v>9104</v>
      </c>
    </row>
    <row r="12937" spans="1:84" x14ac:dyDescent="0.25">
      <c r="A12937" t="s">
        <v>12055</v>
      </c>
      <c r="BW12937">
        <v>4</v>
      </c>
      <c r="CF12937" t="s">
        <v>12056</v>
      </c>
    </row>
    <row r="12938" spans="1:84" x14ac:dyDescent="0.25">
      <c r="A12938" t="s">
        <v>11788</v>
      </c>
      <c r="BS12938" t="s">
        <v>5341</v>
      </c>
      <c r="BW12938" t="s">
        <v>11789</v>
      </c>
      <c r="CF12938" t="s">
        <v>11790</v>
      </c>
    </row>
    <row r="12939" spans="1:84" x14ac:dyDescent="0.25">
      <c r="A12939" t="s">
        <v>12057</v>
      </c>
      <c r="BW12939">
        <v>4</v>
      </c>
      <c r="CF12939" t="s">
        <v>12056</v>
      </c>
    </row>
    <row r="12940" spans="1:84" x14ac:dyDescent="0.25">
      <c r="A12940" t="s">
        <v>11792</v>
      </c>
      <c r="BS12940" t="s">
        <v>5341</v>
      </c>
      <c r="BW12940" t="s">
        <v>11789</v>
      </c>
      <c r="CF12940" t="s">
        <v>11793</v>
      </c>
    </row>
    <row r="12941" spans="1:84" x14ac:dyDescent="0.25">
      <c r="A12941" t="s">
        <v>12058</v>
      </c>
    </row>
    <row r="12943" spans="1:84" x14ac:dyDescent="0.25">
      <c r="A12943" t="s">
        <v>11503</v>
      </c>
      <c r="K12943" t="s">
        <v>12059</v>
      </c>
    </row>
    <row r="12944" spans="1:84" x14ac:dyDescent="0.25">
      <c r="A12944" t="s">
        <v>573</v>
      </c>
    </row>
    <row r="12945" spans="1:81" x14ac:dyDescent="0.25">
      <c r="A12945" t="s">
        <v>11505</v>
      </c>
      <c r="K12945" t="s">
        <v>12060</v>
      </c>
    </row>
    <row r="12953" spans="1:81" x14ac:dyDescent="0.25">
      <c r="A12953" t="s">
        <v>12061</v>
      </c>
    </row>
    <row r="12954" spans="1:81" x14ac:dyDescent="0.25">
      <c r="A12954" t="s">
        <v>2880</v>
      </c>
    </row>
    <row r="12955" spans="1:81" x14ac:dyDescent="0.25">
      <c r="A12955" t="s">
        <v>9104</v>
      </c>
    </row>
    <row r="12956" spans="1:81" x14ac:dyDescent="0.25">
      <c r="A12956" t="s">
        <v>573</v>
      </c>
      <c r="N12956" t="s">
        <v>11474</v>
      </c>
      <c r="AA12956" t="s">
        <v>745</v>
      </c>
      <c r="AH12956" t="s">
        <v>11475</v>
      </c>
      <c r="AO12956" t="s">
        <v>11476</v>
      </c>
      <c r="AU12956" t="s">
        <v>11477</v>
      </c>
      <c r="BH12956" t="s">
        <v>11478</v>
      </c>
      <c r="BN12956" t="s">
        <v>11479</v>
      </c>
      <c r="BY12956" t="s">
        <v>11656</v>
      </c>
    </row>
    <row r="12957" spans="1:81" x14ac:dyDescent="0.25">
      <c r="N12957" t="s">
        <v>11481</v>
      </c>
      <c r="U12957" t="s">
        <v>11482</v>
      </c>
      <c r="AU12957" t="s">
        <v>11483</v>
      </c>
      <c r="BA12957" t="s">
        <v>11778</v>
      </c>
      <c r="BN12957" t="s">
        <v>11485</v>
      </c>
      <c r="BT12957" t="s">
        <v>11486</v>
      </c>
    </row>
    <row r="12958" spans="1:81" x14ac:dyDescent="0.25">
      <c r="A12958" t="s">
        <v>12062</v>
      </c>
      <c r="S12958" t="s">
        <v>12063</v>
      </c>
      <c r="AE12958" t="s">
        <v>12064</v>
      </c>
      <c r="BA12958" t="s">
        <v>12065</v>
      </c>
      <c r="BN12958" t="s">
        <v>12066</v>
      </c>
      <c r="BU12958" t="s">
        <v>12067</v>
      </c>
      <c r="CC12958" t="s">
        <v>12068</v>
      </c>
    </row>
    <row r="12960" spans="1:81" x14ac:dyDescent="0.25">
      <c r="A12960" t="s">
        <v>2880</v>
      </c>
    </row>
    <row r="12961" spans="1:81" x14ac:dyDescent="0.25">
      <c r="A12961" t="s">
        <v>9104</v>
      </c>
    </row>
    <row r="12962" spans="1:81" x14ac:dyDescent="0.25">
      <c r="A12962" t="s">
        <v>2880</v>
      </c>
    </row>
    <row r="12963" spans="1:81" x14ac:dyDescent="0.25">
      <c r="A12963" t="s">
        <v>9104</v>
      </c>
    </row>
    <row r="12964" spans="1:81" x14ac:dyDescent="0.25">
      <c r="A12964" t="s">
        <v>11502</v>
      </c>
    </row>
    <row r="12966" spans="1:81" x14ac:dyDescent="0.25">
      <c r="A12966" t="s">
        <v>11503</v>
      </c>
      <c r="K12966" t="s">
        <v>11906</v>
      </c>
    </row>
    <row r="12967" spans="1:81" x14ac:dyDescent="0.25">
      <c r="A12967" t="s">
        <v>573</v>
      </c>
    </row>
    <row r="12968" spans="1:81" x14ac:dyDescent="0.25">
      <c r="A12968" t="s">
        <v>11505</v>
      </c>
    </row>
    <row r="12972" spans="1:81" x14ac:dyDescent="0.25">
      <c r="A12972" t="s">
        <v>12069</v>
      </c>
    </row>
    <row r="12973" spans="1:81" x14ac:dyDescent="0.25">
      <c r="A12973" t="s">
        <v>9104</v>
      </c>
    </row>
    <row r="12974" spans="1:81" x14ac:dyDescent="0.25">
      <c r="A12974" t="s">
        <v>573</v>
      </c>
      <c r="N12974" t="s">
        <v>11474</v>
      </c>
      <c r="AA12974" t="s">
        <v>745</v>
      </c>
      <c r="AH12974" t="s">
        <v>11475</v>
      </c>
      <c r="AO12974" t="s">
        <v>11476</v>
      </c>
      <c r="AU12974" t="s">
        <v>11477</v>
      </c>
      <c r="BH12974" t="s">
        <v>11478</v>
      </c>
      <c r="BN12974" t="s">
        <v>11479</v>
      </c>
      <c r="BY12974" t="s">
        <v>11656</v>
      </c>
    </row>
    <row r="12975" spans="1:81" x14ac:dyDescent="0.25">
      <c r="N12975" t="s">
        <v>11481</v>
      </c>
      <c r="U12975" t="s">
        <v>11482</v>
      </c>
      <c r="AU12975" t="s">
        <v>11483</v>
      </c>
      <c r="BA12975" t="s">
        <v>11778</v>
      </c>
      <c r="BN12975" t="s">
        <v>11485</v>
      </c>
      <c r="BT12975" t="s">
        <v>11486</v>
      </c>
    </row>
    <row r="12976" spans="1:81" x14ac:dyDescent="0.25">
      <c r="A12976" t="s">
        <v>12070</v>
      </c>
      <c r="S12976" t="s">
        <v>12071</v>
      </c>
      <c r="AE12976" t="s">
        <v>12072</v>
      </c>
      <c r="AY12976" t="s">
        <v>11862</v>
      </c>
      <c r="BL12976" t="s">
        <v>12073</v>
      </c>
      <c r="BU12976" t="s">
        <v>12074</v>
      </c>
      <c r="CC12976" t="s">
        <v>12075</v>
      </c>
    </row>
    <row r="12977" spans="1:84" x14ac:dyDescent="0.25">
      <c r="A12977" t="s">
        <v>9104</v>
      </c>
    </row>
    <row r="12978" spans="1:84" x14ac:dyDescent="0.25">
      <c r="A12978" t="s">
        <v>9104</v>
      </c>
    </row>
    <row r="12979" spans="1:84" x14ac:dyDescent="0.25">
      <c r="A12979" t="s">
        <v>12076</v>
      </c>
      <c r="S12979" t="s">
        <v>12077</v>
      </c>
      <c r="AE12979" t="s">
        <v>12078</v>
      </c>
      <c r="AY12979" t="s">
        <v>11862</v>
      </c>
      <c r="BK12979" t="s">
        <v>11903</v>
      </c>
      <c r="BS12979" t="s">
        <v>5341</v>
      </c>
      <c r="BW12979" t="s">
        <v>11789</v>
      </c>
      <c r="CF12979" t="s">
        <v>11793</v>
      </c>
    </row>
    <row r="12980" spans="1:84" x14ac:dyDescent="0.25">
      <c r="A12980" t="s">
        <v>12079</v>
      </c>
    </row>
    <row r="12981" spans="1:84" x14ac:dyDescent="0.25">
      <c r="A12981" t="s">
        <v>12080</v>
      </c>
    </row>
    <row r="12983" spans="1:84" x14ac:dyDescent="0.25">
      <c r="A12983" t="s">
        <v>11503</v>
      </c>
      <c r="K12983" t="s">
        <v>12081</v>
      </c>
      <c r="U12983" t="s">
        <v>12082</v>
      </c>
      <c r="AC12983" t="s">
        <v>12083</v>
      </c>
    </row>
    <row r="12984" spans="1:84" x14ac:dyDescent="0.25">
      <c r="A12984" t="s">
        <v>573</v>
      </c>
    </row>
    <row r="12985" spans="1:84" x14ac:dyDescent="0.25">
      <c r="A12985" t="s">
        <v>11505</v>
      </c>
      <c r="K12985">
        <v>99</v>
      </c>
      <c r="U12985">
        <v>33</v>
      </c>
      <c r="AC12985">
        <v>231</v>
      </c>
    </row>
    <row r="12988" spans="1:84" x14ac:dyDescent="0.25">
      <c r="A12988" t="s">
        <v>12084</v>
      </c>
    </row>
    <row r="12989" spans="1:84" x14ac:dyDescent="0.25">
      <c r="A12989" t="s">
        <v>573</v>
      </c>
      <c r="N12989" t="s">
        <v>11474</v>
      </c>
      <c r="Z12989" t="s">
        <v>745</v>
      </c>
      <c r="AF12989" t="s">
        <v>11475</v>
      </c>
      <c r="AM12989" t="s">
        <v>11476</v>
      </c>
      <c r="AS12989" t="s">
        <v>11477</v>
      </c>
      <c r="BG12989" t="s">
        <v>11478</v>
      </c>
      <c r="BN12989" t="s">
        <v>12085</v>
      </c>
      <c r="CA12989" t="s">
        <v>11656</v>
      </c>
    </row>
    <row r="12990" spans="1:84" x14ac:dyDescent="0.25">
      <c r="N12990" t="s">
        <v>11481</v>
      </c>
      <c r="T12990" t="s">
        <v>11482</v>
      </c>
      <c r="AS12990" t="s">
        <v>11483</v>
      </c>
      <c r="AY12990" t="s">
        <v>11778</v>
      </c>
      <c r="BN12990" t="s">
        <v>12086</v>
      </c>
      <c r="BT12990" t="s">
        <v>12087</v>
      </c>
    </row>
    <row r="12991" spans="1:84" x14ac:dyDescent="0.25">
      <c r="A12991" t="s">
        <v>12088</v>
      </c>
      <c r="N12991" t="s">
        <v>5272</v>
      </c>
      <c r="T12991">
        <v>11.2</v>
      </c>
      <c r="AA12991" t="s">
        <v>12089</v>
      </c>
      <c r="AF12991" t="s">
        <v>12090</v>
      </c>
      <c r="AN12991">
        <v>72.5</v>
      </c>
      <c r="AT12991">
        <v>9.52</v>
      </c>
      <c r="AY12991">
        <v>15.88</v>
      </c>
      <c r="BF12991" t="s">
        <v>11667</v>
      </c>
      <c r="BO12991">
        <v>1.69</v>
      </c>
      <c r="BS12991" t="s">
        <v>5498</v>
      </c>
      <c r="BZ12991" t="s">
        <v>12091</v>
      </c>
    </row>
    <row r="12992" spans="1:84" x14ac:dyDescent="0.25">
      <c r="A12992" t="s">
        <v>12076</v>
      </c>
      <c r="N12992" t="s">
        <v>12092</v>
      </c>
      <c r="T12992">
        <v>15.5</v>
      </c>
      <c r="AA12992" t="s">
        <v>12089</v>
      </c>
      <c r="AF12992" t="s">
        <v>12093</v>
      </c>
      <c r="AN12992">
        <v>86.5</v>
      </c>
      <c r="AT12992">
        <v>9.52</v>
      </c>
      <c r="AY12992">
        <v>15.88</v>
      </c>
      <c r="BF12992" t="s">
        <v>12094</v>
      </c>
      <c r="BO12992">
        <v>2.25</v>
      </c>
      <c r="BS12992" t="s">
        <v>12095</v>
      </c>
      <c r="BZ12992" t="s">
        <v>11793</v>
      </c>
    </row>
    <row r="12993" spans="1:79" x14ac:dyDescent="0.25">
      <c r="A12993" t="s">
        <v>12007</v>
      </c>
      <c r="N12993" t="s">
        <v>3756</v>
      </c>
      <c r="T12993">
        <v>23</v>
      </c>
      <c r="AA12993" t="s">
        <v>12089</v>
      </c>
      <c r="AF12993" t="s">
        <v>12096</v>
      </c>
      <c r="AN12993">
        <v>154</v>
      </c>
      <c r="AT12993">
        <v>9.52</v>
      </c>
      <c r="AY12993">
        <v>19</v>
      </c>
      <c r="BF12993" t="s">
        <v>12094</v>
      </c>
      <c r="BO12993">
        <v>3.2</v>
      </c>
      <c r="BS12993" t="s">
        <v>5064</v>
      </c>
      <c r="BZ12993" t="s">
        <v>12012</v>
      </c>
    </row>
    <row r="12994" spans="1:79" x14ac:dyDescent="0.25">
      <c r="A12994" t="s">
        <v>12016</v>
      </c>
      <c r="N12994" t="s">
        <v>7051</v>
      </c>
      <c r="T12994">
        <v>27</v>
      </c>
      <c r="AA12994" t="s">
        <v>12089</v>
      </c>
      <c r="AF12994" t="s">
        <v>12097</v>
      </c>
      <c r="AN12994">
        <v>154</v>
      </c>
      <c r="AT12994">
        <v>9.52</v>
      </c>
      <c r="AY12994">
        <v>22.22</v>
      </c>
      <c r="BF12994" t="s">
        <v>12094</v>
      </c>
      <c r="BO12994">
        <v>4</v>
      </c>
      <c r="BS12994" t="s">
        <v>5430</v>
      </c>
      <c r="BZ12994" t="s">
        <v>12019</v>
      </c>
    </row>
    <row r="12995" spans="1:79" x14ac:dyDescent="0.25">
      <c r="A12995" t="s">
        <v>12098</v>
      </c>
      <c r="N12995" t="s">
        <v>12099</v>
      </c>
      <c r="T12995" t="s">
        <v>12100</v>
      </c>
      <c r="AA12995" t="s">
        <v>12101</v>
      </c>
      <c r="AF12995" t="s">
        <v>12102</v>
      </c>
      <c r="AN12995">
        <v>3.3</v>
      </c>
      <c r="BF12995" t="s">
        <v>11667</v>
      </c>
      <c r="BZ12995">
        <v>814</v>
      </c>
    </row>
    <row r="12996" spans="1:79" x14ac:dyDescent="0.25">
      <c r="A12996" t="s">
        <v>11744</v>
      </c>
    </row>
    <row r="12998" spans="1:79" x14ac:dyDescent="0.25">
      <c r="A12998" t="s">
        <v>11503</v>
      </c>
      <c r="K12998" t="s">
        <v>12103</v>
      </c>
    </row>
    <row r="12999" spans="1:79" x14ac:dyDescent="0.25">
      <c r="A12999" t="s">
        <v>573</v>
      </c>
    </row>
    <row r="13000" spans="1:79" x14ac:dyDescent="0.25">
      <c r="A13000" t="s">
        <v>11505</v>
      </c>
    </row>
    <row r="13004" spans="1:79" x14ac:dyDescent="0.25">
      <c r="A13004" t="s">
        <v>12104</v>
      </c>
    </row>
    <row r="13005" spans="1:79" x14ac:dyDescent="0.25">
      <c r="A13005" t="s">
        <v>573</v>
      </c>
      <c r="N13005" t="s">
        <v>11474</v>
      </c>
      <c r="Z13005" t="s">
        <v>745</v>
      </c>
      <c r="AF13005" t="s">
        <v>11475</v>
      </c>
      <c r="AM13005" t="s">
        <v>11476</v>
      </c>
      <c r="AS13005" t="s">
        <v>11477</v>
      </c>
      <c r="BG13005" t="s">
        <v>11478</v>
      </c>
      <c r="BN13005" t="s">
        <v>12085</v>
      </c>
      <c r="CA13005" t="s">
        <v>11656</v>
      </c>
    </row>
    <row r="13006" spans="1:79" x14ac:dyDescent="0.25">
      <c r="N13006" t="s">
        <v>11481</v>
      </c>
      <c r="T13006" t="s">
        <v>11482</v>
      </c>
      <c r="AS13006" t="s">
        <v>11483</v>
      </c>
      <c r="AY13006" t="s">
        <v>11778</v>
      </c>
      <c r="BN13006" t="s">
        <v>12086</v>
      </c>
      <c r="BT13006" t="s">
        <v>12087</v>
      </c>
    </row>
    <row r="13007" spans="1:79" x14ac:dyDescent="0.25">
      <c r="A13007" t="s">
        <v>12105</v>
      </c>
      <c r="N13007" t="s">
        <v>1859</v>
      </c>
      <c r="T13007">
        <v>3.3</v>
      </c>
      <c r="AA13007" t="s">
        <v>12089</v>
      </c>
      <c r="AG13007" t="s">
        <v>12106</v>
      </c>
      <c r="AN13007">
        <v>32.5</v>
      </c>
      <c r="AT13007">
        <v>6.35</v>
      </c>
      <c r="AY13007">
        <v>9.52</v>
      </c>
      <c r="BF13007" t="s">
        <v>11667</v>
      </c>
      <c r="BO13007">
        <v>0.5</v>
      </c>
      <c r="BS13007" t="s">
        <v>9254</v>
      </c>
      <c r="BZ13007" t="s">
        <v>12107</v>
      </c>
    </row>
    <row r="13008" spans="1:79" x14ac:dyDescent="0.25">
      <c r="A13008" t="s">
        <v>12108</v>
      </c>
      <c r="N13008" t="s">
        <v>1862</v>
      </c>
      <c r="T13008">
        <v>4</v>
      </c>
      <c r="AA13008" t="s">
        <v>12089</v>
      </c>
      <c r="AG13008" t="s">
        <v>12106</v>
      </c>
      <c r="AN13008">
        <v>32.5</v>
      </c>
      <c r="AT13008">
        <v>6.35</v>
      </c>
      <c r="AY13008">
        <v>9.52</v>
      </c>
      <c r="BF13008" t="s">
        <v>11667</v>
      </c>
      <c r="BO13008">
        <v>0.67</v>
      </c>
      <c r="BS13008" t="s">
        <v>12109</v>
      </c>
      <c r="BZ13008" t="s">
        <v>12110</v>
      </c>
    </row>
    <row r="13009" spans="1:79" x14ac:dyDescent="0.25">
      <c r="A13009" t="s">
        <v>12111</v>
      </c>
      <c r="N13009" t="s">
        <v>5541</v>
      </c>
      <c r="T13009">
        <v>6</v>
      </c>
      <c r="AA13009" t="s">
        <v>12089</v>
      </c>
      <c r="AG13009" t="s">
        <v>12112</v>
      </c>
      <c r="AN13009">
        <v>43</v>
      </c>
      <c r="AT13009">
        <v>6.35</v>
      </c>
      <c r="AY13009">
        <v>12.7</v>
      </c>
      <c r="BF13009" t="s">
        <v>11667</v>
      </c>
      <c r="BO13009">
        <v>0.75</v>
      </c>
      <c r="BS13009" t="s">
        <v>12113</v>
      </c>
      <c r="BZ13009" t="s">
        <v>12114</v>
      </c>
    </row>
    <row r="13010" spans="1:79" x14ac:dyDescent="0.25">
      <c r="A13010" t="s">
        <v>12115</v>
      </c>
      <c r="N13010" t="s">
        <v>1876</v>
      </c>
      <c r="T13010">
        <v>8</v>
      </c>
      <c r="AA13010" t="s">
        <v>12089</v>
      </c>
      <c r="AG13010" t="s">
        <v>12116</v>
      </c>
      <c r="AN13010">
        <v>51</v>
      </c>
      <c r="AT13010">
        <v>6.35</v>
      </c>
      <c r="AY13010">
        <v>15.88</v>
      </c>
      <c r="BF13010" t="s">
        <v>11667</v>
      </c>
      <c r="BO13010">
        <v>0.99</v>
      </c>
      <c r="BS13010" t="s">
        <v>12113</v>
      </c>
      <c r="BZ13010" t="s">
        <v>12117</v>
      </c>
    </row>
    <row r="13011" spans="1:79" x14ac:dyDescent="0.25">
      <c r="A13011" t="s">
        <v>12118</v>
      </c>
      <c r="N13011" t="s">
        <v>5272</v>
      </c>
      <c r="T13011">
        <v>11.2</v>
      </c>
      <c r="AA13011" t="s">
        <v>12089</v>
      </c>
      <c r="AG13011" t="s">
        <v>12090</v>
      </c>
      <c r="AN13011">
        <v>72</v>
      </c>
      <c r="AT13011">
        <v>9.52</v>
      </c>
      <c r="AY13011">
        <v>15.88</v>
      </c>
      <c r="BF13011" t="s">
        <v>11667</v>
      </c>
      <c r="BO13011">
        <v>1.64</v>
      </c>
      <c r="BS13011" t="s">
        <v>5402</v>
      </c>
      <c r="BZ13011" t="s">
        <v>12091</v>
      </c>
    </row>
    <row r="13012" spans="1:79" x14ac:dyDescent="0.25">
      <c r="A13012" t="s">
        <v>12119</v>
      </c>
      <c r="N13012" t="s">
        <v>5272</v>
      </c>
      <c r="T13012">
        <v>11.2</v>
      </c>
      <c r="AA13012" t="s">
        <v>12089</v>
      </c>
      <c r="AG13012" t="s">
        <v>12090</v>
      </c>
      <c r="AN13012">
        <v>72</v>
      </c>
      <c r="AT13012">
        <v>9.52</v>
      </c>
      <c r="AY13012">
        <v>15.88</v>
      </c>
      <c r="BF13012" t="s">
        <v>12094</v>
      </c>
      <c r="BO13012">
        <v>1.64</v>
      </c>
      <c r="BS13012" t="s">
        <v>5402</v>
      </c>
      <c r="BZ13012" t="s">
        <v>12120</v>
      </c>
    </row>
    <row r="13013" spans="1:79" x14ac:dyDescent="0.25">
      <c r="A13013" t="s">
        <v>12121</v>
      </c>
      <c r="N13013" t="s">
        <v>5276</v>
      </c>
      <c r="T13013">
        <v>13</v>
      </c>
      <c r="AA13013" t="s">
        <v>12089</v>
      </c>
      <c r="AG13013" t="s">
        <v>12090</v>
      </c>
      <c r="AN13013">
        <v>77</v>
      </c>
      <c r="AT13013">
        <v>9.52</v>
      </c>
      <c r="AY13013">
        <v>15.88</v>
      </c>
      <c r="BF13013" t="s">
        <v>11667</v>
      </c>
      <c r="BO13013">
        <v>1.64</v>
      </c>
      <c r="BS13013" t="s">
        <v>5402</v>
      </c>
      <c r="BZ13013" t="s">
        <v>12122</v>
      </c>
    </row>
    <row r="13014" spans="1:79" x14ac:dyDescent="0.25">
      <c r="A13014" t="s">
        <v>12123</v>
      </c>
      <c r="N13014" t="s">
        <v>5276</v>
      </c>
      <c r="T13014">
        <v>13</v>
      </c>
      <c r="AA13014" t="s">
        <v>12089</v>
      </c>
      <c r="AG13014" t="s">
        <v>12090</v>
      </c>
      <c r="AN13014">
        <v>77</v>
      </c>
      <c r="AT13014">
        <v>9.52</v>
      </c>
      <c r="AY13014">
        <v>15.88</v>
      </c>
      <c r="BF13014" t="s">
        <v>12094</v>
      </c>
      <c r="BO13014">
        <v>1.64</v>
      </c>
      <c r="BS13014" t="s">
        <v>5402</v>
      </c>
      <c r="BZ13014" t="s">
        <v>12124</v>
      </c>
    </row>
    <row r="13015" spans="1:79" x14ac:dyDescent="0.25">
      <c r="A13015" t="s">
        <v>12125</v>
      </c>
      <c r="N13015" t="s">
        <v>12092</v>
      </c>
      <c r="T13015">
        <v>15.3</v>
      </c>
      <c r="AA13015" t="s">
        <v>12089</v>
      </c>
      <c r="AG13015" t="s">
        <v>12093</v>
      </c>
      <c r="AN13015">
        <v>87</v>
      </c>
      <c r="AT13015">
        <v>9.52</v>
      </c>
      <c r="AY13015">
        <v>15.88</v>
      </c>
      <c r="BF13015" t="s">
        <v>11667</v>
      </c>
      <c r="BO13015">
        <v>2.17</v>
      </c>
      <c r="BS13015" t="s">
        <v>5402</v>
      </c>
      <c r="BZ13015" t="s">
        <v>11790</v>
      </c>
    </row>
    <row r="13016" spans="1:79" x14ac:dyDescent="0.25">
      <c r="A13016" t="s">
        <v>12126</v>
      </c>
      <c r="N13016" t="s">
        <v>12092</v>
      </c>
      <c r="T13016">
        <v>15.3</v>
      </c>
      <c r="AA13016" t="s">
        <v>12089</v>
      </c>
      <c r="AG13016" t="s">
        <v>12093</v>
      </c>
      <c r="AN13016">
        <v>87</v>
      </c>
      <c r="AT13016">
        <v>9.52</v>
      </c>
      <c r="AY13016">
        <v>15.88</v>
      </c>
      <c r="BF13016" t="s">
        <v>12094</v>
      </c>
      <c r="BO13016">
        <v>2.17</v>
      </c>
      <c r="BS13016" t="s">
        <v>5402</v>
      </c>
      <c r="BZ13016" t="s">
        <v>11793</v>
      </c>
    </row>
    <row r="13017" spans="1:79" x14ac:dyDescent="0.25">
      <c r="A13017" t="s">
        <v>12127</v>
      </c>
      <c r="N13017" t="s">
        <v>12128</v>
      </c>
      <c r="T13017" t="s">
        <v>12129</v>
      </c>
      <c r="AA13017" t="s">
        <v>12101</v>
      </c>
      <c r="AG13017" t="s">
        <v>12102</v>
      </c>
      <c r="AN13017">
        <v>3.3</v>
      </c>
      <c r="BF13017" t="s">
        <v>11667</v>
      </c>
      <c r="BZ13017">
        <v>855</v>
      </c>
    </row>
    <row r="13018" spans="1:79" x14ac:dyDescent="0.25">
      <c r="A13018" t="s">
        <v>12130</v>
      </c>
    </row>
    <row r="13019" spans="1:79" x14ac:dyDescent="0.25">
      <c r="A13019" t="s">
        <v>573</v>
      </c>
      <c r="N13019" t="s">
        <v>11474</v>
      </c>
      <c r="Z13019" t="s">
        <v>745</v>
      </c>
      <c r="AF13019" t="s">
        <v>11475</v>
      </c>
      <c r="AM13019" t="s">
        <v>11476</v>
      </c>
      <c r="AS13019" t="s">
        <v>11477</v>
      </c>
      <c r="BG13019" t="s">
        <v>11478</v>
      </c>
      <c r="BN13019" t="s">
        <v>12085</v>
      </c>
      <c r="CA13019" t="s">
        <v>11656</v>
      </c>
    </row>
    <row r="13020" spans="1:79" x14ac:dyDescent="0.25">
      <c r="N13020" t="s">
        <v>11481</v>
      </c>
      <c r="T13020" t="s">
        <v>11482</v>
      </c>
      <c r="AS13020" t="s">
        <v>11483</v>
      </c>
      <c r="AY13020" t="s">
        <v>11778</v>
      </c>
      <c r="BN13020" t="s">
        <v>12086</v>
      </c>
      <c r="BT13020" t="s">
        <v>12087</v>
      </c>
    </row>
    <row r="13021" spans="1:79" x14ac:dyDescent="0.25">
      <c r="A13021" t="s">
        <v>12131</v>
      </c>
      <c r="N13021" t="s">
        <v>1859</v>
      </c>
      <c r="T13021">
        <v>3.4</v>
      </c>
      <c r="AA13021" t="s">
        <v>12089</v>
      </c>
      <c r="AF13021" t="s">
        <v>12112</v>
      </c>
      <c r="AN13021">
        <v>43</v>
      </c>
      <c r="AT13021">
        <v>6.35</v>
      </c>
      <c r="AY13021">
        <v>9.52</v>
      </c>
      <c r="BF13021" t="s">
        <v>11667</v>
      </c>
      <c r="BO13021">
        <v>0.74</v>
      </c>
      <c r="BS13021" t="s">
        <v>4401</v>
      </c>
      <c r="BZ13021" t="s">
        <v>12132</v>
      </c>
    </row>
    <row r="13022" spans="1:79" x14ac:dyDescent="0.25">
      <c r="A13022" t="s">
        <v>12133</v>
      </c>
      <c r="N13022" t="s">
        <v>1862</v>
      </c>
      <c r="T13022">
        <v>4</v>
      </c>
      <c r="AA13022" t="s">
        <v>12089</v>
      </c>
      <c r="AF13022" t="s">
        <v>12112</v>
      </c>
      <c r="AN13022">
        <v>43</v>
      </c>
      <c r="AT13022">
        <v>6.35</v>
      </c>
      <c r="AY13022">
        <v>9.52</v>
      </c>
      <c r="BF13022" t="s">
        <v>11667</v>
      </c>
      <c r="BO13022">
        <v>0.74</v>
      </c>
      <c r="BS13022" t="s">
        <v>12109</v>
      </c>
      <c r="BZ13022" t="s">
        <v>12134</v>
      </c>
    </row>
    <row r="13023" spans="1:79" x14ac:dyDescent="0.25">
      <c r="A13023" t="s">
        <v>12135</v>
      </c>
      <c r="N13023" t="s">
        <v>5541</v>
      </c>
      <c r="T13023">
        <v>6</v>
      </c>
      <c r="AA13023" t="s">
        <v>12089</v>
      </c>
      <c r="AF13023" t="s">
        <v>12116</v>
      </c>
      <c r="AN13023">
        <v>50</v>
      </c>
      <c r="AT13023">
        <v>6.35</v>
      </c>
      <c r="AY13023">
        <v>12.7</v>
      </c>
      <c r="BF13023" t="s">
        <v>11667</v>
      </c>
      <c r="BO13023">
        <v>1</v>
      </c>
      <c r="BS13023" t="s">
        <v>5299</v>
      </c>
      <c r="BZ13023" t="s">
        <v>12136</v>
      </c>
    </row>
    <row r="13024" spans="1:79" x14ac:dyDescent="0.25">
      <c r="A13024" t="s">
        <v>12137</v>
      </c>
      <c r="N13024" t="s">
        <v>1876</v>
      </c>
      <c r="T13024">
        <v>8</v>
      </c>
      <c r="AA13024" t="s">
        <v>12089</v>
      </c>
      <c r="AF13024" t="s">
        <v>12090</v>
      </c>
      <c r="AN13024">
        <v>75</v>
      </c>
      <c r="AT13024">
        <v>9.52</v>
      </c>
      <c r="AY13024">
        <v>15.88</v>
      </c>
      <c r="BF13024" t="s">
        <v>11667</v>
      </c>
      <c r="BO13024">
        <v>1.75</v>
      </c>
      <c r="BS13024" t="s">
        <v>12138</v>
      </c>
      <c r="BZ13024" t="s">
        <v>12139</v>
      </c>
    </row>
    <row r="13025" spans="1:78" x14ac:dyDescent="0.25">
      <c r="A13025" t="s">
        <v>12140</v>
      </c>
      <c r="N13025" t="s">
        <v>1876</v>
      </c>
      <c r="T13025">
        <v>8</v>
      </c>
      <c r="AA13025" t="s">
        <v>12089</v>
      </c>
      <c r="AF13025" t="s">
        <v>12090</v>
      </c>
      <c r="AN13025">
        <v>74</v>
      </c>
      <c r="AT13025">
        <v>9.52</v>
      </c>
      <c r="AY13025">
        <v>15.88</v>
      </c>
      <c r="BF13025" t="s">
        <v>12094</v>
      </c>
      <c r="BO13025">
        <v>1.75</v>
      </c>
      <c r="BS13025" t="s">
        <v>12138</v>
      </c>
      <c r="BZ13025" t="s">
        <v>12141</v>
      </c>
    </row>
    <row r="13026" spans="1:78" x14ac:dyDescent="0.25">
      <c r="A13026" t="s">
        <v>12142</v>
      </c>
      <c r="N13026" t="s">
        <v>5272</v>
      </c>
      <c r="T13026">
        <v>11.2</v>
      </c>
      <c r="AA13026" t="s">
        <v>12089</v>
      </c>
      <c r="AF13026" t="s">
        <v>12143</v>
      </c>
      <c r="AN13026">
        <v>100</v>
      </c>
      <c r="AT13026">
        <v>9.52</v>
      </c>
      <c r="AY13026">
        <v>15.88</v>
      </c>
      <c r="BF13026" t="s">
        <v>11667</v>
      </c>
      <c r="BO13026">
        <v>2.06</v>
      </c>
      <c r="BS13026" t="s">
        <v>5402</v>
      </c>
      <c r="BZ13026" t="s">
        <v>12144</v>
      </c>
    </row>
    <row r="13027" spans="1:78" x14ac:dyDescent="0.25">
      <c r="A13027" t="s">
        <v>12145</v>
      </c>
      <c r="N13027" t="s">
        <v>5272</v>
      </c>
      <c r="T13027">
        <v>11.2</v>
      </c>
      <c r="AA13027" t="s">
        <v>12089</v>
      </c>
      <c r="AF13027" t="s">
        <v>12143</v>
      </c>
      <c r="AN13027">
        <v>100</v>
      </c>
      <c r="AT13027">
        <v>9.52</v>
      </c>
      <c r="AY13027">
        <v>15.88</v>
      </c>
      <c r="BF13027" t="s">
        <v>12094</v>
      </c>
      <c r="BO13027">
        <v>2.06</v>
      </c>
      <c r="BS13027" t="s">
        <v>5402</v>
      </c>
      <c r="BZ13027" t="s">
        <v>12146</v>
      </c>
    </row>
    <row r="13028" spans="1:78" x14ac:dyDescent="0.25">
      <c r="A13028" t="s">
        <v>12147</v>
      </c>
      <c r="N13028" t="s">
        <v>10768</v>
      </c>
      <c r="T13028">
        <v>13.2</v>
      </c>
      <c r="AA13028" t="s">
        <v>12089</v>
      </c>
      <c r="AF13028" t="s">
        <v>12143</v>
      </c>
      <c r="AN13028">
        <v>100</v>
      </c>
      <c r="AT13028">
        <v>9.52</v>
      </c>
      <c r="AY13028">
        <v>15.88</v>
      </c>
      <c r="BF13028" t="s">
        <v>12094</v>
      </c>
      <c r="BO13028">
        <v>2.06</v>
      </c>
      <c r="BS13028" t="s">
        <v>5402</v>
      </c>
      <c r="BZ13028" t="s">
        <v>12148</v>
      </c>
    </row>
    <row r="13029" spans="1:78" x14ac:dyDescent="0.25">
      <c r="A13029" t="s">
        <v>12149</v>
      </c>
      <c r="N13029" t="s">
        <v>12092</v>
      </c>
      <c r="T13029">
        <v>15.5</v>
      </c>
      <c r="AA13029" t="s">
        <v>12089</v>
      </c>
      <c r="AF13029" t="s">
        <v>12143</v>
      </c>
      <c r="AN13029">
        <v>100</v>
      </c>
      <c r="AT13029">
        <v>9.52</v>
      </c>
      <c r="AY13029">
        <v>15.88</v>
      </c>
      <c r="BF13029" t="s">
        <v>12094</v>
      </c>
      <c r="BO13029">
        <v>2.06</v>
      </c>
      <c r="BS13029" t="s">
        <v>5402</v>
      </c>
      <c r="BZ13029" t="s">
        <v>12150</v>
      </c>
    </row>
    <row r="13030" spans="1:78" x14ac:dyDescent="0.25">
      <c r="A13030" t="s">
        <v>12127</v>
      </c>
      <c r="N13030" t="s">
        <v>12128</v>
      </c>
      <c r="T13030" t="s">
        <v>12129</v>
      </c>
      <c r="AA13030" t="s">
        <v>12101</v>
      </c>
      <c r="AF13030" t="s">
        <v>12102</v>
      </c>
      <c r="AN13030">
        <v>3.3</v>
      </c>
      <c r="BF13030" t="s">
        <v>11667</v>
      </c>
    </row>
    <row r="13031" spans="1:78" x14ac:dyDescent="0.25">
      <c r="A13031" t="s">
        <v>12151</v>
      </c>
    </row>
    <row r="13033" spans="1:78" x14ac:dyDescent="0.25">
      <c r="A13033" t="s">
        <v>11503</v>
      </c>
      <c r="K13033" t="s">
        <v>12152</v>
      </c>
    </row>
    <row r="13034" spans="1:78" x14ac:dyDescent="0.25">
      <c r="A13034" t="s">
        <v>573</v>
      </c>
    </row>
    <row r="13035" spans="1:78" x14ac:dyDescent="0.25">
      <c r="A13035" t="s">
        <v>11505</v>
      </c>
    </row>
    <row r="13037" spans="1:78" x14ac:dyDescent="0.25">
      <c r="A13037" t="s">
        <v>12153</v>
      </c>
    </row>
    <row r="13038" spans="1:78" x14ac:dyDescent="0.25">
      <c r="F13038" t="s">
        <v>12154</v>
      </c>
      <c r="AB13038" t="s">
        <v>12155</v>
      </c>
    </row>
    <row r="13039" spans="1:78" x14ac:dyDescent="0.25">
      <c r="AB13039" t="s">
        <v>12115</v>
      </c>
      <c r="AK13039" t="s">
        <v>12156</v>
      </c>
      <c r="AV13039" t="s">
        <v>12157</v>
      </c>
      <c r="BG13039" t="s">
        <v>12158</v>
      </c>
      <c r="BQ13039" t="s">
        <v>12007</v>
      </c>
      <c r="BZ13039" t="s">
        <v>12016</v>
      </c>
    </row>
    <row r="13040" spans="1:78" x14ac:dyDescent="0.25">
      <c r="F13040" t="s">
        <v>573</v>
      </c>
      <c r="S13040" t="s">
        <v>11749</v>
      </c>
      <c r="AB13040" t="s">
        <v>5268</v>
      </c>
      <c r="AK13040">
        <v>10</v>
      </c>
      <c r="AV13040">
        <v>12</v>
      </c>
      <c r="BG13040">
        <v>14</v>
      </c>
      <c r="BQ13040">
        <v>20</v>
      </c>
      <c r="BZ13040">
        <v>25</v>
      </c>
    </row>
    <row r="13041" spans="6:78" x14ac:dyDescent="0.25">
      <c r="F13041" t="s">
        <v>11452</v>
      </c>
      <c r="S13041">
        <v>7</v>
      </c>
      <c r="BG13041">
        <v>2</v>
      </c>
      <c r="BQ13041">
        <v>3</v>
      </c>
      <c r="BZ13041">
        <v>4</v>
      </c>
    </row>
    <row r="13042" spans="6:78" x14ac:dyDescent="0.25">
      <c r="F13042" t="s">
        <v>12159</v>
      </c>
      <c r="S13042">
        <v>3.5</v>
      </c>
      <c r="AB13042" t="s">
        <v>5264</v>
      </c>
      <c r="AK13042">
        <v>3</v>
      </c>
      <c r="AV13042">
        <v>4</v>
      </c>
      <c r="BG13042">
        <v>4</v>
      </c>
    </row>
    <row r="13043" spans="6:78" x14ac:dyDescent="0.25">
      <c r="S13043">
        <v>5</v>
      </c>
      <c r="AK13043">
        <v>2</v>
      </c>
      <c r="AV13043">
        <v>3</v>
      </c>
      <c r="BG13043">
        <v>3</v>
      </c>
      <c r="BQ13043">
        <v>4</v>
      </c>
    </row>
    <row r="13044" spans="6:78" x14ac:dyDescent="0.25">
      <c r="S13044">
        <v>7</v>
      </c>
      <c r="BG13044">
        <v>2</v>
      </c>
      <c r="BQ13044">
        <v>3</v>
      </c>
      <c r="BZ13044">
        <v>4</v>
      </c>
    </row>
    <row r="13045" spans="6:78" x14ac:dyDescent="0.25">
      <c r="F13045" t="s">
        <v>12160</v>
      </c>
      <c r="S13045">
        <v>5</v>
      </c>
      <c r="AK13045">
        <v>2</v>
      </c>
      <c r="AV13045">
        <v>3</v>
      </c>
      <c r="BG13045">
        <v>3</v>
      </c>
      <c r="BQ13045">
        <v>4</v>
      </c>
    </row>
    <row r="13046" spans="6:78" x14ac:dyDescent="0.25">
      <c r="S13046">
        <v>7</v>
      </c>
      <c r="BG13046">
        <v>2</v>
      </c>
      <c r="BQ13046">
        <v>3</v>
      </c>
      <c r="BZ13046">
        <v>4</v>
      </c>
    </row>
    <row r="13047" spans="6:78" x14ac:dyDescent="0.25">
      <c r="F13047" t="s">
        <v>11767</v>
      </c>
      <c r="S13047">
        <v>3.5</v>
      </c>
      <c r="AB13047" t="s">
        <v>5264</v>
      </c>
      <c r="AK13047">
        <v>3</v>
      </c>
      <c r="AV13047">
        <v>4</v>
      </c>
      <c r="BG13047">
        <v>4</v>
      </c>
    </row>
    <row r="13048" spans="6:78" x14ac:dyDescent="0.25">
      <c r="F13048" t="s">
        <v>12161</v>
      </c>
      <c r="S13048">
        <v>3.5</v>
      </c>
      <c r="AB13048" t="s">
        <v>5264</v>
      </c>
      <c r="AK13048">
        <v>3</v>
      </c>
      <c r="AV13048">
        <v>4</v>
      </c>
      <c r="BG13048">
        <v>4</v>
      </c>
    </row>
    <row r="13049" spans="6:78" x14ac:dyDescent="0.25">
      <c r="S13049">
        <v>5</v>
      </c>
      <c r="AK13049">
        <v>2</v>
      </c>
      <c r="AV13049">
        <v>3</v>
      </c>
      <c r="BG13049">
        <v>3</v>
      </c>
      <c r="BQ13049">
        <v>4</v>
      </c>
    </row>
    <row r="13050" spans="6:78" x14ac:dyDescent="0.25">
      <c r="S13050">
        <v>7</v>
      </c>
      <c r="BG13050">
        <v>2</v>
      </c>
      <c r="BQ13050">
        <v>3</v>
      </c>
      <c r="BZ13050">
        <v>4</v>
      </c>
    </row>
    <row r="13051" spans="6:78" x14ac:dyDescent="0.25">
      <c r="F13051" t="s">
        <v>12162</v>
      </c>
      <c r="S13051">
        <v>3.5</v>
      </c>
      <c r="AB13051" t="s">
        <v>5264</v>
      </c>
      <c r="AK13051">
        <v>3</v>
      </c>
      <c r="AV13051">
        <v>4</v>
      </c>
      <c r="BG13051">
        <v>4</v>
      </c>
    </row>
    <row r="13052" spans="6:78" x14ac:dyDescent="0.25">
      <c r="S13052">
        <v>5</v>
      </c>
      <c r="AK13052">
        <v>2</v>
      </c>
      <c r="AV13052">
        <v>3</v>
      </c>
      <c r="BG13052">
        <v>3</v>
      </c>
      <c r="BQ13052">
        <v>4</v>
      </c>
    </row>
    <row r="13053" spans="6:78" x14ac:dyDescent="0.25">
      <c r="S13053">
        <v>7</v>
      </c>
      <c r="BG13053">
        <v>2</v>
      </c>
      <c r="BQ13053">
        <v>3</v>
      </c>
      <c r="BZ13053">
        <v>4</v>
      </c>
    </row>
    <row r="13054" spans="6:78" x14ac:dyDescent="0.25">
      <c r="F13054" t="s">
        <v>12163</v>
      </c>
      <c r="S13054">
        <v>3.5</v>
      </c>
      <c r="AB13054" t="s">
        <v>5264</v>
      </c>
      <c r="AK13054">
        <v>3</v>
      </c>
      <c r="AV13054">
        <v>4</v>
      </c>
      <c r="BG13054">
        <v>4</v>
      </c>
    </row>
    <row r="13055" spans="6:78" x14ac:dyDescent="0.25">
      <c r="S13055">
        <v>5</v>
      </c>
      <c r="AK13055">
        <v>2</v>
      </c>
      <c r="AV13055">
        <v>3</v>
      </c>
      <c r="BG13055">
        <v>3</v>
      </c>
      <c r="BQ13055">
        <v>4</v>
      </c>
    </row>
    <row r="13056" spans="6:78" x14ac:dyDescent="0.25">
      <c r="S13056">
        <v>7</v>
      </c>
      <c r="BG13056">
        <v>2</v>
      </c>
      <c r="BQ13056">
        <v>3</v>
      </c>
      <c r="BZ13056">
        <v>4</v>
      </c>
    </row>
    <row r="13057" spans="1:78" x14ac:dyDescent="0.25">
      <c r="F13057" t="s">
        <v>12164</v>
      </c>
      <c r="S13057">
        <v>5</v>
      </c>
      <c r="AK13057">
        <v>2</v>
      </c>
      <c r="AV13057">
        <v>3</v>
      </c>
      <c r="BG13057">
        <v>3</v>
      </c>
      <c r="BQ13057">
        <v>4</v>
      </c>
    </row>
    <row r="13058" spans="1:78" x14ac:dyDescent="0.25">
      <c r="S13058">
        <v>7</v>
      </c>
      <c r="BG13058">
        <v>2</v>
      </c>
      <c r="BQ13058">
        <v>3</v>
      </c>
      <c r="BZ13058">
        <v>4</v>
      </c>
    </row>
    <row r="13059" spans="1:78" x14ac:dyDescent="0.25">
      <c r="A13059" t="s">
        <v>12165</v>
      </c>
    </row>
    <row r="13060" spans="1:78" x14ac:dyDescent="0.25">
      <c r="F13060" t="s">
        <v>12154</v>
      </c>
      <c r="AB13060" t="s">
        <v>12155</v>
      </c>
    </row>
    <row r="13061" spans="1:78" x14ac:dyDescent="0.25">
      <c r="AB13061" t="s">
        <v>12166</v>
      </c>
      <c r="AL13061" t="s">
        <v>12167</v>
      </c>
      <c r="AX13061" t="s">
        <v>12147</v>
      </c>
      <c r="BI13061" t="s">
        <v>12149</v>
      </c>
    </row>
    <row r="13062" spans="1:78" x14ac:dyDescent="0.25">
      <c r="F13062" t="s">
        <v>573</v>
      </c>
      <c r="S13062" t="s">
        <v>11749</v>
      </c>
      <c r="AB13062" t="s">
        <v>5268</v>
      </c>
      <c r="AL13062">
        <v>10</v>
      </c>
      <c r="AX13062" t="s">
        <v>5276</v>
      </c>
      <c r="BI13062">
        <v>14</v>
      </c>
    </row>
    <row r="13063" spans="1:78" x14ac:dyDescent="0.25">
      <c r="F13063" t="s">
        <v>11452</v>
      </c>
      <c r="S13063">
        <v>5</v>
      </c>
      <c r="AL13063">
        <v>2</v>
      </c>
      <c r="AX13063" t="s">
        <v>5478</v>
      </c>
      <c r="BI13063">
        <v>3</v>
      </c>
    </row>
    <row r="13064" spans="1:78" x14ac:dyDescent="0.25">
      <c r="S13064">
        <v>7</v>
      </c>
      <c r="AB13064" t="s">
        <v>5264</v>
      </c>
    </row>
    <row r="13065" spans="1:78" x14ac:dyDescent="0.25">
      <c r="F13065" t="s">
        <v>12159</v>
      </c>
      <c r="S13065">
        <v>3.5</v>
      </c>
      <c r="AB13065" t="s">
        <v>5264</v>
      </c>
      <c r="AL13065">
        <v>3</v>
      </c>
      <c r="AX13065" t="s">
        <v>5194</v>
      </c>
      <c r="BI13065">
        <v>4</v>
      </c>
    </row>
    <row r="13066" spans="1:78" x14ac:dyDescent="0.25">
      <c r="S13066">
        <v>5</v>
      </c>
      <c r="AL13066">
        <v>2</v>
      </c>
      <c r="AX13066" t="s">
        <v>5478</v>
      </c>
      <c r="BI13066">
        <v>3</v>
      </c>
    </row>
    <row r="13067" spans="1:78" x14ac:dyDescent="0.25">
      <c r="F13067" t="s">
        <v>12160</v>
      </c>
      <c r="S13067">
        <v>5</v>
      </c>
      <c r="AL13067">
        <v>2</v>
      </c>
      <c r="AX13067" t="s">
        <v>5478</v>
      </c>
      <c r="BI13067">
        <v>3</v>
      </c>
    </row>
    <row r="13068" spans="1:78" x14ac:dyDescent="0.25">
      <c r="S13068">
        <v>7</v>
      </c>
      <c r="AB13068" t="s">
        <v>5264</v>
      </c>
    </row>
    <row r="13069" spans="1:78" x14ac:dyDescent="0.25">
      <c r="F13069" t="s">
        <v>12161</v>
      </c>
      <c r="S13069">
        <v>3.5</v>
      </c>
      <c r="AB13069" t="s">
        <v>5264</v>
      </c>
      <c r="AL13069">
        <v>3</v>
      </c>
    </row>
    <row r="13070" spans="1:78" x14ac:dyDescent="0.25">
      <c r="S13070">
        <v>5</v>
      </c>
      <c r="AL13070">
        <v>2</v>
      </c>
      <c r="AX13070" t="s">
        <v>5478</v>
      </c>
      <c r="BI13070">
        <v>3</v>
      </c>
    </row>
    <row r="13071" spans="1:78" x14ac:dyDescent="0.25">
      <c r="S13071">
        <v>7</v>
      </c>
      <c r="AB13071" t="s">
        <v>5264</v>
      </c>
    </row>
    <row r="13072" spans="1:78" x14ac:dyDescent="0.25">
      <c r="F13072" t="s">
        <v>12163</v>
      </c>
      <c r="S13072">
        <v>3.5</v>
      </c>
      <c r="AB13072" t="s">
        <v>5264</v>
      </c>
      <c r="AL13072">
        <v>3</v>
      </c>
      <c r="AX13072" t="s">
        <v>5194</v>
      </c>
      <c r="BI13072">
        <v>4</v>
      </c>
    </row>
    <row r="13073" spans="1:81" x14ac:dyDescent="0.25">
      <c r="S13073">
        <v>5</v>
      </c>
      <c r="AL13073">
        <v>2</v>
      </c>
      <c r="AX13073" t="s">
        <v>5478</v>
      </c>
      <c r="BI13073">
        <v>3</v>
      </c>
    </row>
    <row r="13074" spans="1:81" x14ac:dyDescent="0.25">
      <c r="S13074">
        <v>7</v>
      </c>
      <c r="AB13074" t="s">
        <v>5264</v>
      </c>
    </row>
    <row r="13075" spans="1:81" x14ac:dyDescent="0.25">
      <c r="A13075">
        <v>43</v>
      </c>
    </row>
    <row r="13076" spans="1:81" x14ac:dyDescent="0.25">
      <c r="A13076" t="s">
        <v>12168</v>
      </c>
    </row>
    <row r="13077" spans="1:81" x14ac:dyDescent="0.25">
      <c r="A13077" t="s">
        <v>573</v>
      </c>
      <c r="N13077" t="s">
        <v>615</v>
      </c>
      <c r="AH13077" t="s">
        <v>12169</v>
      </c>
      <c r="BA13077" t="s">
        <v>11656</v>
      </c>
    </row>
    <row r="13078" spans="1:81" x14ac:dyDescent="0.25">
      <c r="AH13078" t="s">
        <v>5264</v>
      </c>
      <c r="AM13078">
        <v>3</v>
      </c>
      <c r="AT13078">
        <v>4</v>
      </c>
    </row>
    <row r="13079" spans="1:81" x14ac:dyDescent="0.25">
      <c r="A13079" t="s">
        <v>12170</v>
      </c>
      <c r="O13079" t="s">
        <v>12171</v>
      </c>
      <c r="AE13079" t="s">
        <v>1823</v>
      </c>
      <c r="AZ13079">
        <v>157</v>
      </c>
    </row>
    <row r="13080" spans="1:81" x14ac:dyDescent="0.25">
      <c r="A13080" t="s">
        <v>12172</v>
      </c>
      <c r="O13080" t="s">
        <v>12173</v>
      </c>
      <c r="AE13080" t="s">
        <v>1823</v>
      </c>
      <c r="AZ13080">
        <v>195</v>
      </c>
    </row>
    <row r="13081" spans="1:81" x14ac:dyDescent="0.25">
      <c r="A13081" t="s">
        <v>12174</v>
      </c>
      <c r="O13081" t="s">
        <v>12175</v>
      </c>
      <c r="AE13081" t="s">
        <v>1823</v>
      </c>
      <c r="AZ13081">
        <v>287</v>
      </c>
    </row>
    <row r="13082" spans="1:81" x14ac:dyDescent="0.25">
      <c r="A13082" t="s">
        <v>12176</v>
      </c>
    </row>
    <row r="13083" spans="1:81" x14ac:dyDescent="0.25">
      <c r="A13083" t="s">
        <v>573</v>
      </c>
      <c r="K13083" t="s">
        <v>12177</v>
      </c>
      <c r="T13083" t="s">
        <v>11727</v>
      </c>
      <c r="AH13083" t="s">
        <v>2872</v>
      </c>
      <c r="AT13083" t="s">
        <v>11581</v>
      </c>
      <c r="BI13083" t="s">
        <v>11583</v>
      </c>
      <c r="CC13083" t="s">
        <v>5990</v>
      </c>
    </row>
    <row r="13084" spans="1:81" x14ac:dyDescent="0.25">
      <c r="K13084" t="s">
        <v>11481</v>
      </c>
      <c r="O13084" t="s">
        <v>11482</v>
      </c>
      <c r="T13084" t="s">
        <v>12178</v>
      </c>
      <c r="X13084" t="s">
        <v>12179</v>
      </c>
      <c r="AC13084" t="s">
        <v>12180</v>
      </c>
      <c r="AH13084" t="s">
        <v>11589</v>
      </c>
      <c r="AJ13084" t="s">
        <v>12181</v>
      </c>
      <c r="AO13084" t="s">
        <v>11591</v>
      </c>
      <c r="AT13084" t="s">
        <v>11592</v>
      </c>
      <c r="AY13084" t="s">
        <v>12182</v>
      </c>
      <c r="BI13084" t="s">
        <v>11594</v>
      </c>
      <c r="BU13084" t="s">
        <v>11731</v>
      </c>
      <c r="CC13084" t="s">
        <v>11732</v>
      </c>
    </row>
    <row r="13085" spans="1:81" x14ac:dyDescent="0.25">
      <c r="BI13085" t="s">
        <v>10678</v>
      </c>
      <c r="BO13085" t="s">
        <v>11733</v>
      </c>
      <c r="BU13085" t="s">
        <v>11734</v>
      </c>
    </row>
    <row r="13086" spans="1:81" x14ac:dyDescent="0.25">
      <c r="A13086" t="s">
        <v>12105</v>
      </c>
      <c r="K13086">
        <v>2.6</v>
      </c>
      <c r="N13086" t="s">
        <v>5313</v>
      </c>
      <c r="T13086">
        <v>20</v>
      </c>
      <c r="Z13086">
        <v>5</v>
      </c>
      <c r="AB13086" t="s">
        <v>5280</v>
      </c>
      <c r="AG13086">
        <v>0.9</v>
      </c>
      <c r="AL13086">
        <v>20</v>
      </c>
      <c r="AN13086">
        <v>0</v>
      </c>
      <c r="AT13086">
        <v>0.72</v>
      </c>
      <c r="AY13086">
        <v>11</v>
      </c>
      <c r="BI13086" t="s">
        <v>11604</v>
      </c>
      <c r="BO13086" t="s">
        <v>11736</v>
      </c>
      <c r="BU13086" t="s">
        <v>11737</v>
      </c>
      <c r="CC13086">
        <v>46</v>
      </c>
    </row>
    <row r="13087" spans="1:81" x14ac:dyDescent="0.25">
      <c r="A13087" t="s">
        <v>12108</v>
      </c>
      <c r="K13087">
        <v>3.5</v>
      </c>
      <c r="N13087" t="s">
        <v>5194</v>
      </c>
      <c r="T13087">
        <v>20</v>
      </c>
      <c r="Z13087">
        <v>5</v>
      </c>
      <c r="AB13087" t="s">
        <v>5280</v>
      </c>
      <c r="AG13087">
        <v>0.9</v>
      </c>
      <c r="AL13087">
        <v>20</v>
      </c>
      <c r="AN13087">
        <v>0</v>
      </c>
      <c r="AT13087">
        <v>1.0900000000000001</v>
      </c>
      <c r="AY13087">
        <v>11</v>
      </c>
      <c r="BI13087" t="s">
        <v>11604</v>
      </c>
      <c r="BO13087" t="s">
        <v>11736</v>
      </c>
      <c r="BU13087" t="s">
        <v>11737</v>
      </c>
      <c r="CC13087">
        <v>48</v>
      </c>
    </row>
    <row r="13088" spans="1:81" x14ac:dyDescent="0.25">
      <c r="A13088" t="s">
        <v>12111</v>
      </c>
      <c r="K13088">
        <v>5</v>
      </c>
      <c r="N13088" t="s">
        <v>3043</v>
      </c>
      <c r="T13088">
        <v>30</v>
      </c>
      <c r="Z13088">
        <v>5</v>
      </c>
      <c r="AB13088" t="s">
        <v>3756</v>
      </c>
      <c r="AG13088">
        <v>1.2</v>
      </c>
      <c r="AL13088">
        <v>10</v>
      </c>
      <c r="AN13088">
        <v>15</v>
      </c>
      <c r="AT13088">
        <v>1.53</v>
      </c>
      <c r="AY13088">
        <v>17.5</v>
      </c>
      <c r="BI13088" t="s">
        <v>11618</v>
      </c>
      <c r="BO13088" t="s">
        <v>11736</v>
      </c>
      <c r="BU13088" t="s">
        <v>11737</v>
      </c>
      <c r="CC13088">
        <v>48</v>
      </c>
    </row>
    <row r="13089" spans="1:81" x14ac:dyDescent="0.25">
      <c r="A13089" t="s">
        <v>12115</v>
      </c>
      <c r="K13089">
        <v>7.1</v>
      </c>
      <c r="N13089" t="s">
        <v>5057</v>
      </c>
      <c r="T13089">
        <v>50</v>
      </c>
      <c r="Z13089">
        <v>5</v>
      </c>
      <c r="AB13089" t="s">
        <v>5240</v>
      </c>
      <c r="AG13089">
        <v>1.7</v>
      </c>
      <c r="AL13089">
        <v>15</v>
      </c>
      <c r="AN13089">
        <v>25</v>
      </c>
      <c r="AT13089">
        <v>2.75</v>
      </c>
      <c r="AY13089">
        <v>17.5</v>
      </c>
      <c r="BI13089" t="s">
        <v>11618</v>
      </c>
      <c r="BO13089" t="s">
        <v>11736</v>
      </c>
      <c r="BU13089" t="s">
        <v>11737</v>
      </c>
      <c r="CC13089">
        <v>49</v>
      </c>
    </row>
    <row r="13090" spans="1:81" x14ac:dyDescent="0.25">
      <c r="A13090" t="s">
        <v>12118</v>
      </c>
      <c r="K13090">
        <v>10</v>
      </c>
      <c r="N13090" t="s">
        <v>5198</v>
      </c>
      <c r="T13090">
        <v>50</v>
      </c>
      <c r="Z13090">
        <v>5</v>
      </c>
      <c r="AB13090" t="s">
        <v>5240</v>
      </c>
      <c r="AG13090">
        <v>2.7</v>
      </c>
      <c r="AL13090">
        <v>30</v>
      </c>
      <c r="AN13090">
        <v>50</v>
      </c>
      <c r="AT13090">
        <v>3.42</v>
      </c>
      <c r="AY13090">
        <v>25</v>
      </c>
      <c r="BI13090" t="s">
        <v>11618</v>
      </c>
      <c r="BO13090" t="s">
        <v>11736</v>
      </c>
      <c r="BU13090" t="s">
        <v>11737</v>
      </c>
      <c r="CC13090">
        <v>52</v>
      </c>
    </row>
    <row r="13091" spans="1:81" x14ac:dyDescent="0.25">
      <c r="A13091" t="s">
        <v>12119</v>
      </c>
      <c r="K13091">
        <v>10</v>
      </c>
      <c r="N13091" t="s">
        <v>5198</v>
      </c>
      <c r="T13091">
        <v>50</v>
      </c>
      <c r="Z13091">
        <v>5</v>
      </c>
      <c r="AB13091" t="s">
        <v>5240</v>
      </c>
      <c r="AG13091">
        <v>2.7</v>
      </c>
      <c r="AL13091">
        <v>30</v>
      </c>
      <c r="AN13091">
        <v>50</v>
      </c>
      <c r="AT13091">
        <v>3.32</v>
      </c>
      <c r="AY13091">
        <v>17.100000000000001</v>
      </c>
      <c r="BI13091" t="s">
        <v>12183</v>
      </c>
      <c r="BO13091" t="s">
        <v>11736</v>
      </c>
      <c r="BU13091" t="s">
        <v>11737</v>
      </c>
      <c r="CC13091">
        <v>52</v>
      </c>
    </row>
    <row r="13092" spans="1:81" x14ac:dyDescent="0.25">
      <c r="A13092" t="s">
        <v>12121</v>
      </c>
      <c r="K13092">
        <v>12</v>
      </c>
      <c r="N13092" t="s">
        <v>12184</v>
      </c>
      <c r="T13092">
        <v>50</v>
      </c>
      <c r="Z13092">
        <v>5</v>
      </c>
      <c r="AB13092" t="s">
        <v>5240</v>
      </c>
      <c r="AG13092">
        <v>2.7</v>
      </c>
      <c r="AL13092">
        <v>30</v>
      </c>
      <c r="AN13092">
        <v>50</v>
      </c>
      <c r="AT13092">
        <v>4.5999999999999996</v>
      </c>
      <c r="AY13092">
        <v>25</v>
      </c>
      <c r="BI13092" t="s">
        <v>11618</v>
      </c>
      <c r="BO13092" t="s">
        <v>11736</v>
      </c>
      <c r="BU13092" t="s">
        <v>11737</v>
      </c>
      <c r="CC13092">
        <v>54</v>
      </c>
    </row>
    <row r="13093" spans="1:81" x14ac:dyDescent="0.25">
      <c r="A13093" t="s">
        <v>12123</v>
      </c>
      <c r="K13093">
        <v>12</v>
      </c>
      <c r="N13093" t="s">
        <v>12184</v>
      </c>
      <c r="T13093">
        <v>50</v>
      </c>
      <c r="Z13093">
        <v>5</v>
      </c>
      <c r="AB13093" t="s">
        <v>5240</v>
      </c>
      <c r="AG13093">
        <v>2.7</v>
      </c>
      <c r="AL13093">
        <v>30</v>
      </c>
      <c r="AN13093">
        <v>50</v>
      </c>
      <c r="AT13093">
        <v>4.45</v>
      </c>
      <c r="AY13093">
        <v>17.100000000000001</v>
      </c>
      <c r="BI13093" t="s">
        <v>12183</v>
      </c>
      <c r="BO13093" t="s">
        <v>11736</v>
      </c>
      <c r="BU13093" t="s">
        <v>11737</v>
      </c>
      <c r="CC13093">
        <v>54</v>
      </c>
    </row>
    <row r="13094" spans="1:81" x14ac:dyDescent="0.25">
      <c r="A13094" t="s">
        <v>12125</v>
      </c>
      <c r="K13094">
        <v>13.4</v>
      </c>
      <c r="N13094" t="s">
        <v>12185</v>
      </c>
      <c r="T13094">
        <v>75</v>
      </c>
      <c r="Z13094">
        <v>5</v>
      </c>
      <c r="AB13094" t="s">
        <v>5240</v>
      </c>
      <c r="AG13094">
        <v>2.9</v>
      </c>
      <c r="AL13094">
        <v>30</v>
      </c>
      <c r="AN13094">
        <v>50</v>
      </c>
      <c r="AT13094">
        <v>3.32</v>
      </c>
      <c r="AY13094">
        <v>33</v>
      </c>
      <c r="BI13094" t="s">
        <v>12186</v>
      </c>
      <c r="BO13094" t="s">
        <v>11736</v>
      </c>
      <c r="BU13094" t="s">
        <v>11737</v>
      </c>
      <c r="CC13094">
        <v>53</v>
      </c>
    </row>
    <row r="13095" spans="1:81" x14ac:dyDescent="0.25">
      <c r="A13095" t="s">
        <v>12126</v>
      </c>
      <c r="K13095">
        <v>13.4</v>
      </c>
      <c r="N13095" t="s">
        <v>12185</v>
      </c>
      <c r="T13095">
        <v>75</v>
      </c>
      <c r="Z13095">
        <v>5</v>
      </c>
      <c r="AB13095" t="s">
        <v>5240</v>
      </c>
      <c r="AG13095">
        <v>2.9</v>
      </c>
      <c r="AL13095">
        <v>30</v>
      </c>
      <c r="AN13095">
        <v>50</v>
      </c>
      <c r="AT13095">
        <v>4.62</v>
      </c>
      <c r="AY13095">
        <v>17.100000000000001</v>
      </c>
      <c r="BI13095" t="s">
        <v>12183</v>
      </c>
      <c r="BO13095" t="s">
        <v>11736</v>
      </c>
      <c r="BU13095" t="s">
        <v>11737</v>
      </c>
      <c r="CC13095">
        <v>53</v>
      </c>
    </row>
    <row r="13096" spans="1:81" x14ac:dyDescent="0.25">
      <c r="A13096" t="s">
        <v>12187</v>
      </c>
    </row>
    <row r="13097" spans="1:81" x14ac:dyDescent="0.25">
      <c r="A13097" t="s">
        <v>12188</v>
      </c>
    </row>
    <row r="13098" spans="1:81" x14ac:dyDescent="0.25">
      <c r="A13098" t="s">
        <v>573</v>
      </c>
      <c r="K13098" t="s">
        <v>12177</v>
      </c>
      <c r="T13098" t="s">
        <v>11727</v>
      </c>
      <c r="AH13098" t="s">
        <v>2872</v>
      </c>
      <c r="AT13098" t="s">
        <v>11581</v>
      </c>
      <c r="BI13098" t="s">
        <v>11583</v>
      </c>
      <c r="CC13098" t="s">
        <v>5990</v>
      </c>
    </row>
    <row r="13099" spans="1:81" x14ac:dyDescent="0.25">
      <c r="K13099" t="s">
        <v>11481</v>
      </c>
      <c r="O13099" t="s">
        <v>11482</v>
      </c>
      <c r="T13099" t="s">
        <v>12178</v>
      </c>
      <c r="X13099" t="s">
        <v>12179</v>
      </c>
      <c r="AC13099" t="s">
        <v>12180</v>
      </c>
      <c r="AH13099" t="s">
        <v>11589</v>
      </c>
      <c r="AJ13099" t="s">
        <v>12181</v>
      </c>
      <c r="AO13099" t="s">
        <v>11591</v>
      </c>
      <c r="AT13099" t="s">
        <v>11592</v>
      </c>
      <c r="AY13099" t="s">
        <v>12182</v>
      </c>
      <c r="BI13099" t="s">
        <v>11594</v>
      </c>
      <c r="BU13099" t="s">
        <v>11731</v>
      </c>
      <c r="CC13099" t="s">
        <v>11732</v>
      </c>
    </row>
    <row r="13100" spans="1:81" x14ac:dyDescent="0.25">
      <c r="BI13100" t="s">
        <v>10678</v>
      </c>
      <c r="BO13100" t="s">
        <v>11733</v>
      </c>
      <c r="BU13100" t="s">
        <v>11734</v>
      </c>
    </row>
    <row r="13101" spans="1:81" x14ac:dyDescent="0.25">
      <c r="A13101" t="s">
        <v>12088</v>
      </c>
      <c r="K13101">
        <v>10</v>
      </c>
      <c r="N13101" t="s">
        <v>5198</v>
      </c>
      <c r="T13101">
        <v>50</v>
      </c>
      <c r="Z13101">
        <v>5</v>
      </c>
      <c r="AB13101" t="s">
        <v>5240</v>
      </c>
      <c r="AG13101">
        <v>3</v>
      </c>
      <c r="AL13101">
        <v>30</v>
      </c>
      <c r="AN13101">
        <v>50</v>
      </c>
      <c r="AT13101">
        <v>3.5</v>
      </c>
      <c r="AY13101">
        <v>26.5</v>
      </c>
      <c r="BI13101" t="s">
        <v>12189</v>
      </c>
    </row>
    <row r="13102" spans="1:81" x14ac:dyDescent="0.25">
      <c r="A13102" t="s">
        <v>12076</v>
      </c>
      <c r="K13102">
        <v>13.4</v>
      </c>
      <c r="N13102" t="s">
        <v>12185</v>
      </c>
      <c r="T13102">
        <v>75</v>
      </c>
      <c r="Z13102">
        <v>5</v>
      </c>
      <c r="AB13102" t="s">
        <v>5240</v>
      </c>
      <c r="AG13102">
        <v>3.5</v>
      </c>
      <c r="AL13102">
        <v>30</v>
      </c>
      <c r="AN13102">
        <v>50</v>
      </c>
      <c r="AT13102">
        <v>4.45</v>
      </c>
      <c r="AY13102">
        <v>18.600000000000001</v>
      </c>
      <c r="BI13102" t="s">
        <v>12190</v>
      </c>
    </row>
    <row r="13103" spans="1:81" x14ac:dyDescent="0.25">
      <c r="A13103" t="s">
        <v>12007</v>
      </c>
      <c r="K13103">
        <v>20</v>
      </c>
      <c r="N13103" t="s">
        <v>12191</v>
      </c>
      <c r="T13103">
        <v>75</v>
      </c>
      <c r="Z13103">
        <v>5</v>
      </c>
      <c r="AB13103" t="s">
        <v>5240</v>
      </c>
      <c r="AG13103">
        <v>6.6</v>
      </c>
      <c r="AL13103">
        <v>30</v>
      </c>
      <c r="AN13103">
        <v>50</v>
      </c>
      <c r="AT13103">
        <v>6.45</v>
      </c>
      <c r="AY13103">
        <v>25</v>
      </c>
      <c r="BI13103" t="s">
        <v>12192</v>
      </c>
    </row>
    <row r="13104" spans="1:81" x14ac:dyDescent="0.25">
      <c r="A13104" t="s">
        <v>12016</v>
      </c>
      <c r="K13104">
        <v>25</v>
      </c>
      <c r="N13104" t="s">
        <v>5348</v>
      </c>
      <c r="T13104">
        <v>75</v>
      </c>
      <c r="Z13104">
        <v>5</v>
      </c>
      <c r="AB13104" t="s">
        <v>5240</v>
      </c>
      <c r="AG13104">
        <v>6.6</v>
      </c>
      <c r="AL13104">
        <v>30</v>
      </c>
      <c r="AN13104">
        <v>50</v>
      </c>
      <c r="AT13104">
        <v>9.58</v>
      </c>
      <c r="AY13104">
        <v>25</v>
      </c>
      <c r="BI13104" t="s">
        <v>12192</v>
      </c>
    </row>
    <row r="13105" spans="1:86" x14ac:dyDescent="0.25">
      <c r="A13105" t="s">
        <v>11737</v>
      </c>
      <c r="CH13105">
        <v>53</v>
      </c>
    </row>
    <row r="13106" spans="1:86" x14ac:dyDescent="0.25">
      <c r="A13106" t="s">
        <v>11737</v>
      </c>
      <c r="CH13106">
        <v>53</v>
      </c>
    </row>
    <row r="13107" spans="1:86" x14ac:dyDescent="0.25">
      <c r="A13107" t="s">
        <v>12193</v>
      </c>
      <c r="CH13107">
        <v>58</v>
      </c>
    </row>
    <row r="13108" spans="1:86" x14ac:dyDescent="0.25">
      <c r="A13108" t="s">
        <v>12193</v>
      </c>
      <c r="CH13108">
        <v>59</v>
      </c>
    </row>
    <row r="13109" spans="1:86" x14ac:dyDescent="0.25">
      <c r="A13109" t="s">
        <v>12194</v>
      </c>
    </row>
    <row r="13110" spans="1:86" x14ac:dyDescent="0.25">
      <c r="A13110" t="s">
        <v>12195</v>
      </c>
    </row>
    <row r="13111" spans="1:86" x14ac:dyDescent="0.25">
      <c r="A13111" t="s">
        <v>12196</v>
      </c>
    </row>
    <row r="13112" spans="1:86" x14ac:dyDescent="0.25">
      <c r="A13112" t="s">
        <v>11651</v>
      </c>
    </row>
    <row r="13113" spans="1:86" x14ac:dyDescent="0.25">
      <c r="A13113">
        <v>44</v>
      </c>
    </row>
    <row r="13114" spans="1:86" x14ac:dyDescent="0.25">
      <c r="A13114" t="s">
        <v>12197</v>
      </c>
    </row>
    <row r="13115" spans="1:86" x14ac:dyDescent="0.25">
      <c r="F13115" t="s">
        <v>573</v>
      </c>
      <c r="O13115" t="s">
        <v>12177</v>
      </c>
      <c r="X13115" t="s">
        <v>11727</v>
      </c>
      <c r="AK13115" t="s">
        <v>2872</v>
      </c>
      <c r="AX13115" t="s">
        <v>11581</v>
      </c>
      <c r="BH13115" t="s">
        <v>11728</v>
      </c>
      <c r="BM13115" t="s">
        <v>11583</v>
      </c>
      <c r="CH13115" t="s">
        <v>5990</v>
      </c>
    </row>
    <row r="13116" spans="1:86" x14ac:dyDescent="0.25">
      <c r="O13116" t="s">
        <v>11481</v>
      </c>
      <c r="T13116" t="s">
        <v>11482</v>
      </c>
      <c r="X13116" t="s">
        <v>12178</v>
      </c>
      <c r="AC13116" t="s">
        <v>12179</v>
      </c>
      <c r="AH13116" t="s">
        <v>12180</v>
      </c>
      <c r="AK13116" t="s">
        <v>11589</v>
      </c>
      <c r="AO13116" t="s">
        <v>12181</v>
      </c>
      <c r="AT13116" t="s">
        <v>11591</v>
      </c>
      <c r="AX13116" t="s">
        <v>11592</v>
      </c>
      <c r="BM13116" t="s">
        <v>11594</v>
      </c>
      <c r="BY13116" t="s">
        <v>11731</v>
      </c>
      <c r="CH13116" t="s">
        <v>11732</v>
      </c>
    </row>
    <row r="13117" spans="1:86" x14ac:dyDescent="0.25">
      <c r="BM13117" t="s">
        <v>10678</v>
      </c>
      <c r="BS13117" t="s">
        <v>11733</v>
      </c>
      <c r="BY13117" t="s">
        <v>11734</v>
      </c>
    </row>
    <row r="13118" spans="1:86" x14ac:dyDescent="0.25">
      <c r="F13118" t="s">
        <v>12131</v>
      </c>
      <c r="O13118">
        <v>2.6</v>
      </c>
      <c r="S13118">
        <v>3.4</v>
      </c>
      <c r="X13118" t="s">
        <v>5240</v>
      </c>
      <c r="AE13118">
        <v>5</v>
      </c>
      <c r="AG13118">
        <v>20</v>
      </c>
      <c r="AJ13118">
        <v>1.2</v>
      </c>
      <c r="AP13118">
        <v>20</v>
      </c>
      <c r="AR13118">
        <v>30</v>
      </c>
      <c r="AX13118" t="s">
        <v>4995</v>
      </c>
      <c r="BC13118">
        <v>12.5</v>
      </c>
      <c r="BG13118" t="s">
        <v>11603</v>
      </c>
      <c r="BM13118" t="s">
        <v>11604</v>
      </c>
      <c r="BS13118" t="s">
        <v>11736</v>
      </c>
      <c r="BY13118" t="s">
        <v>11737</v>
      </c>
      <c r="CH13118">
        <v>45</v>
      </c>
    </row>
    <row r="13119" spans="1:86" x14ac:dyDescent="0.25">
      <c r="F13119" t="s">
        <v>12133</v>
      </c>
      <c r="O13119">
        <v>3.5</v>
      </c>
      <c r="S13119">
        <v>4</v>
      </c>
      <c r="X13119" t="s">
        <v>5240</v>
      </c>
      <c r="AE13119">
        <v>5</v>
      </c>
      <c r="AG13119">
        <v>20</v>
      </c>
      <c r="AJ13119">
        <v>1.2</v>
      </c>
      <c r="AP13119">
        <v>20</v>
      </c>
      <c r="AR13119">
        <v>30</v>
      </c>
      <c r="AX13119" t="s">
        <v>12198</v>
      </c>
      <c r="BC13119">
        <v>12.5</v>
      </c>
      <c r="BG13119" t="s">
        <v>11603</v>
      </c>
      <c r="BM13119" t="s">
        <v>11604</v>
      </c>
      <c r="BS13119" t="s">
        <v>11736</v>
      </c>
      <c r="BY13119" t="s">
        <v>11737</v>
      </c>
      <c r="CH13119">
        <v>46</v>
      </c>
    </row>
    <row r="13120" spans="1:86" x14ac:dyDescent="0.25">
      <c r="F13120" t="s">
        <v>12135</v>
      </c>
      <c r="O13120">
        <v>5</v>
      </c>
      <c r="S13120">
        <v>6</v>
      </c>
      <c r="X13120" t="s">
        <v>7054</v>
      </c>
      <c r="AE13120">
        <v>5</v>
      </c>
      <c r="AG13120">
        <v>30</v>
      </c>
      <c r="AJ13120">
        <v>1.7</v>
      </c>
      <c r="AP13120">
        <v>20</v>
      </c>
      <c r="AR13120">
        <v>30</v>
      </c>
      <c r="AX13120" t="s">
        <v>5288</v>
      </c>
      <c r="BC13120">
        <v>17.5</v>
      </c>
      <c r="BG13120" t="s">
        <v>11617</v>
      </c>
      <c r="BM13120" t="s">
        <v>11618</v>
      </c>
      <c r="BS13120" t="s">
        <v>11736</v>
      </c>
      <c r="BY13120" t="s">
        <v>12193</v>
      </c>
      <c r="CH13120">
        <v>47</v>
      </c>
    </row>
    <row r="13121" spans="1:86" x14ac:dyDescent="0.25">
      <c r="F13121" t="s">
        <v>12137</v>
      </c>
      <c r="O13121">
        <v>7.1</v>
      </c>
      <c r="S13121">
        <v>8</v>
      </c>
      <c r="X13121" t="s">
        <v>10225</v>
      </c>
      <c r="AE13121">
        <v>5</v>
      </c>
      <c r="AG13121">
        <v>30</v>
      </c>
      <c r="AJ13121">
        <v>2.7</v>
      </c>
      <c r="AP13121">
        <v>30</v>
      </c>
      <c r="AR13121">
        <v>45</v>
      </c>
      <c r="AX13121" t="s">
        <v>12199</v>
      </c>
      <c r="BC13121">
        <v>21.5</v>
      </c>
      <c r="BG13121" t="s">
        <v>11742</v>
      </c>
      <c r="BM13121" t="s">
        <v>11618</v>
      </c>
      <c r="BS13121" t="s">
        <v>11736</v>
      </c>
      <c r="BY13121" t="s">
        <v>12193</v>
      </c>
      <c r="CH13121">
        <v>47</v>
      </c>
    </row>
    <row r="13122" spans="1:86" x14ac:dyDescent="0.25">
      <c r="F13122" t="s">
        <v>12140</v>
      </c>
      <c r="O13122">
        <v>7.1</v>
      </c>
      <c r="S13122">
        <v>8</v>
      </c>
      <c r="X13122" t="s">
        <v>10225</v>
      </c>
      <c r="AE13122">
        <v>5</v>
      </c>
      <c r="AG13122">
        <v>30</v>
      </c>
      <c r="AJ13122">
        <v>2.7</v>
      </c>
      <c r="AP13122">
        <v>30</v>
      </c>
      <c r="AR13122">
        <v>45</v>
      </c>
      <c r="AX13122" t="s">
        <v>12199</v>
      </c>
      <c r="BC13122">
        <v>17.600000000000001</v>
      </c>
      <c r="BG13122" t="s">
        <v>12200</v>
      </c>
      <c r="BM13122" t="s">
        <v>12201</v>
      </c>
      <c r="BS13122" t="s">
        <v>11736</v>
      </c>
      <c r="BY13122" t="s">
        <v>12193</v>
      </c>
      <c r="CH13122">
        <v>47</v>
      </c>
    </row>
    <row r="13123" spans="1:86" x14ac:dyDescent="0.25">
      <c r="F13123" t="s">
        <v>12142</v>
      </c>
      <c r="O13123">
        <v>10</v>
      </c>
      <c r="S13123">
        <v>11.2</v>
      </c>
      <c r="X13123" t="s">
        <v>10772</v>
      </c>
      <c r="AE13123">
        <v>5</v>
      </c>
      <c r="AG13123">
        <v>30</v>
      </c>
      <c r="AJ13123">
        <v>3.5</v>
      </c>
      <c r="AP13123">
        <v>30</v>
      </c>
      <c r="AR13123">
        <v>45</v>
      </c>
      <c r="AX13123" t="s">
        <v>5396</v>
      </c>
      <c r="BC13123">
        <v>29.05</v>
      </c>
      <c r="BG13123" t="s">
        <v>12202</v>
      </c>
      <c r="BM13123" t="s">
        <v>12186</v>
      </c>
      <c r="BS13123" t="s">
        <v>11736</v>
      </c>
      <c r="BY13123" t="s">
        <v>12193</v>
      </c>
      <c r="CH13123">
        <v>47</v>
      </c>
    </row>
    <row r="13124" spans="1:86" x14ac:dyDescent="0.25">
      <c r="F13124" t="s">
        <v>12145</v>
      </c>
      <c r="O13124">
        <v>10</v>
      </c>
      <c r="S13124">
        <v>11.2</v>
      </c>
      <c r="X13124" t="s">
        <v>10772</v>
      </c>
      <c r="AE13124">
        <v>5</v>
      </c>
      <c r="AG13124">
        <v>30</v>
      </c>
      <c r="AJ13124">
        <v>3.5</v>
      </c>
      <c r="AP13124">
        <v>30</v>
      </c>
      <c r="AR13124">
        <v>45</v>
      </c>
      <c r="AX13124" t="s">
        <v>5396</v>
      </c>
      <c r="BC13124">
        <v>17.600000000000001</v>
      </c>
      <c r="BG13124" t="s">
        <v>12200</v>
      </c>
      <c r="BM13124" t="s">
        <v>12201</v>
      </c>
      <c r="BS13124" t="s">
        <v>11736</v>
      </c>
      <c r="BY13124" t="s">
        <v>12193</v>
      </c>
      <c r="CH13124">
        <v>47</v>
      </c>
    </row>
    <row r="13125" spans="1:86" x14ac:dyDescent="0.25">
      <c r="F13125" t="s">
        <v>12147</v>
      </c>
      <c r="O13125">
        <v>12.1</v>
      </c>
      <c r="S13125">
        <v>13.2</v>
      </c>
      <c r="X13125" t="s">
        <v>10772</v>
      </c>
      <c r="AE13125">
        <v>5</v>
      </c>
      <c r="AG13125">
        <v>30</v>
      </c>
      <c r="AJ13125">
        <v>3.5</v>
      </c>
      <c r="AP13125">
        <v>30</v>
      </c>
      <c r="AR13125">
        <v>45</v>
      </c>
      <c r="AX13125" t="s">
        <v>5245</v>
      </c>
      <c r="BC13125">
        <v>17.600000000000001</v>
      </c>
      <c r="BG13125" t="s">
        <v>12200</v>
      </c>
      <c r="BM13125" t="s">
        <v>12201</v>
      </c>
      <c r="BS13125" t="s">
        <v>11736</v>
      </c>
      <c r="BY13125" t="s">
        <v>12193</v>
      </c>
      <c r="CH13125">
        <v>49</v>
      </c>
    </row>
    <row r="13126" spans="1:86" x14ac:dyDescent="0.25">
      <c r="F13126" t="s">
        <v>12149</v>
      </c>
      <c r="O13126">
        <v>13.4</v>
      </c>
      <c r="S13126">
        <v>15.5</v>
      </c>
      <c r="X13126" t="s">
        <v>10772</v>
      </c>
      <c r="AE13126">
        <v>5</v>
      </c>
      <c r="AG13126">
        <v>30</v>
      </c>
      <c r="AJ13126">
        <v>3.5</v>
      </c>
      <c r="AP13126">
        <v>30</v>
      </c>
      <c r="AR13126">
        <v>45</v>
      </c>
      <c r="AX13126" t="s">
        <v>12203</v>
      </c>
      <c r="BC13126">
        <v>17.600000000000001</v>
      </c>
      <c r="BG13126" t="s">
        <v>12200</v>
      </c>
      <c r="BM13126" t="s">
        <v>12201</v>
      </c>
      <c r="BS13126" t="s">
        <v>11736</v>
      </c>
      <c r="BY13126" t="s">
        <v>12193</v>
      </c>
      <c r="CH13126">
        <v>50</v>
      </c>
    </row>
    <row r="13128" spans="1:86" x14ac:dyDescent="0.25">
      <c r="A13128" t="s">
        <v>12204</v>
      </c>
    </row>
    <row r="13130" spans="1:86" x14ac:dyDescent="0.25">
      <c r="AR13130" t="s">
        <v>12205</v>
      </c>
    </row>
    <row r="13134" spans="1:86" x14ac:dyDescent="0.25">
      <c r="A13134" t="s">
        <v>12206</v>
      </c>
    </row>
    <row r="13135" spans="1:86" x14ac:dyDescent="0.25">
      <c r="U13135" t="s">
        <v>573</v>
      </c>
      <c r="AG13135" t="s">
        <v>615</v>
      </c>
      <c r="AY13135" t="s">
        <v>11701</v>
      </c>
      <c r="BS13135" t="s">
        <v>11656</v>
      </c>
    </row>
    <row r="13136" spans="1:86" x14ac:dyDescent="0.25">
      <c r="AY13136" t="s">
        <v>12207</v>
      </c>
      <c r="BF13136" t="s">
        <v>12208</v>
      </c>
      <c r="BL13136" t="s">
        <v>12209</v>
      </c>
    </row>
    <row r="13137" spans="1:71" x14ac:dyDescent="0.25">
      <c r="F13137" t="s">
        <v>11984</v>
      </c>
      <c r="AG13137" t="s">
        <v>12210</v>
      </c>
      <c r="AY13137" t="s">
        <v>1823</v>
      </c>
      <c r="BF13137" t="s">
        <v>1823</v>
      </c>
      <c r="BL13137" t="s">
        <v>1823</v>
      </c>
      <c r="BS13137" t="s">
        <v>8757</v>
      </c>
    </row>
    <row r="13138" spans="1:71" x14ac:dyDescent="0.25">
      <c r="F13138" t="s">
        <v>11985</v>
      </c>
      <c r="AG13138" t="s">
        <v>12211</v>
      </c>
      <c r="BL13138" t="s">
        <v>1823</v>
      </c>
      <c r="BS13138" t="s">
        <v>12212</v>
      </c>
    </row>
    <row r="13139" spans="1:71" x14ac:dyDescent="0.25">
      <c r="F13139" t="s">
        <v>11987</v>
      </c>
      <c r="AG13139" t="s">
        <v>12213</v>
      </c>
      <c r="AY13139" t="s">
        <v>1823</v>
      </c>
      <c r="BF13139" t="s">
        <v>1823</v>
      </c>
      <c r="BL13139" t="s">
        <v>1823</v>
      </c>
      <c r="BS13139" t="s">
        <v>12214</v>
      </c>
    </row>
    <row r="13140" spans="1:71" x14ac:dyDescent="0.25">
      <c r="F13140" t="s">
        <v>11988</v>
      </c>
      <c r="AG13140" t="s">
        <v>12215</v>
      </c>
      <c r="AY13140" t="s">
        <v>1823</v>
      </c>
      <c r="BF13140" t="s">
        <v>1823</v>
      </c>
      <c r="BL13140" t="s">
        <v>1823</v>
      </c>
      <c r="BS13140" t="s">
        <v>12216</v>
      </c>
    </row>
    <row r="13141" spans="1:71" x14ac:dyDescent="0.25">
      <c r="F13141" t="s">
        <v>12217</v>
      </c>
      <c r="AG13141" t="s">
        <v>12218</v>
      </c>
      <c r="BL13141" t="s">
        <v>1823</v>
      </c>
      <c r="BS13141" t="s">
        <v>12219</v>
      </c>
    </row>
    <row r="13142" spans="1:71" x14ac:dyDescent="0.25">
      <c r="A13142" t="s">
        <v>12220</v>
      </c>
    </row>
    <row r="13143" spans="1:71" x14ac:dyDescent="0.25">
      <c r="U13143" t="s">
        <v>573</v>
      </c>
      <c r="AG13143" t="s">
        <v>615</v>
      </c>
      <c r="AY13143" t="s">
        <v>11701</v>
      </c>
      <c r="BS13143" t="s">
        <v>11656</v>
      </c>
    </row>
    <row r="13144" spans="1:71" x14ac:dyDescent="0.25">
      <c r="AY13144" t="s">
        <v>12207</v>
      </c>
      <c r="BF13144" t="s">
        <v>12208</v>
      </c>
      <c r="BL13144" t="s">
        <v>12209</v>
      </c>
    </row>
    <row r="13145" spans="1:71" x14ac:dyDescent="0.25">
      <c r="F13145" t="s">
        <v>12221</v>
      </c>
      <c r="AG13145" t="s">
        <v>12222</v>
      </c>
      <c r="BF13145" t="s">
        <v>1823</v>
      </c>
      <c r="BL13145" t="s">
        <v>1823</v>
      </c>
      <c r="BS13145" t="s">
        <v>12223</v>
      </c>
    </row>
    <row r="13146" spans="1:71" x14ac:dyDescent="0.25">
      <c r="F13146" t="s">
        <v>12224</v>
      </c>
      <c r="AG13146" t="s">
        <v>12225</v>
      </c>
      <c r="AY13146" t="s">
        <v>1823</v>
      </c>
      <c r="BF13146" t="s">
        <v>1823</v>
      </c>
      <c r="BL13146" t="s">
        <v>1823</v>
      </c>
      <c r="BS13146" t="s">
        <v>12226</v>
      </c>
    </row>
    <row r="13147" spans="1:71" x14ac:dyDescent="0.25">
      <c r="F13147" t="s">
        <v>11991</v>
      </c>
      <c r="AG13147" t="s">
        <v>12227</v>
      </c>
      <c r="AY13147" t="s">
        <v>1823</v>
      </c>
      <c r="BF13147" t="s">
        <v>1823</v>
      </c>
      <c r="BL13147" t="s">
        <v>1823</v>
      </c>
      <c r="BS13147" t="s">
        <v>12228</v>
      </c>
    </row>
    <row r="13148" spans="1:71" x14ac:dyDescent="0.25">
      <c r="F13148" t="s">
        <v>12229</v>
      </c>
      <c r="AG13148" t="s">
        <v>12230</v>
      </c>
      <c r="BF13148" t="s">
        <v>1823</v>
      </c>
      <c r="BL13148" t="s">
        <v>1823</v>
      </c>
      <c r="BS13148" t="s">
        <v>12231</v>
      </c>
    </row>
    <row r="13149" spans="1:71" x14ac:dyDescent="0.25">
      <c r="F13149" t="s">
        <v>12232</v>
      </c>
      <c r="AG13149" t="s">
        <v>12233</v>
      </c>
      <c r="BF13149" t="s">
        <v>1823</v>
      </c>
      <c r="BL13149" t="s">
        <v>1823</v>
      </c>
      <c r="BS13149" t="s">
        <v>12234</v>
      </c>
    </row>
    <row r="13150" spans="1:71" x14ac:dyDescent="0.25">
      <c r="F13150" t="s">
        <v>12235</v>
      </c>
      <c r="AG13150" t="s">
        <v>12236</v>
      </c>
      <c r="AY13150" t="s">
        <v>1823</v>
      </c>
      <c r="BF13150" t="s">
        <v>1823</v>
      </c>
      <c r="BL13150" t="s">
        <v>1823</v>
      </c>
      <c r="BS13150" t="s">
        <v>12237</v>
      </c>
    </row>
    <row r="13151" spans="1:71" x14ac:dyDescent="0.25">
      <c r="A13151" t="s">
        <v>12238</v>
      </c>
    </row>
    <row r="13152" spans="1:71" x14ac:dyDescent="0.25">
      <c r="A13152" t="s">
        <v>12239</v>
      </c>
    </row>
    <row r="13153" spans="1:67" x14ac:dyDescent="0.25">
      <c r="P13153" t="s">
        <v>573</v>
      </c>
      <c r="AB13153" t="s">
        <v>615</v>
      </c>
      <c r="AT13153" t="s">
        <v>11701</v>
      </c>
      <c r="BO13153" t="s">
        <v>11656</v>
      </c>
    </row>
    <row r="13154" spans="1:67" x14ac:dyDescent="0.25">
      <c r="AT13154" t="s">
        <v>12207</v>
      </c>
      <c r="BA13154" t="s">
        <v>12208</v>
      </c>
      <c r="BH13154" t="s">
        <v>12209</v>
      </c>
    </row>
    <row r="13155" spans="1:67" x14ac:dyDescent="0.25">
      <c r="A13155" t="s">
        <v>12240</v>
      </c>
      <c r="AB13155" t="s">
        <v>12241</v>
      </c>
      <c r="AT13155" t="s">
        <v>1823</v>
      </c>
      <c r="BA13155" t="s">
        <v>1823</v>
      </c>
      <c r="BH13155" t="s">
        <v>1823</v>
      </c>
      <c r="BO13155" t="s">
        <v>12242</v>
      </c>
    </row>
    <row r="13156" spans="1:67" x14ac:dyDescent="0.25">
      <c r="A13156" t="s">
        <v>12243</v>
      </c>
      <c r="AB13156" t="s">
        <v>12244</v>
      </c>
      <c r="AT13156" t="s">
        <v>1823</v>
      </c>
      <c r="BA13156" t="s">
        <v>1823</v>
      </c>
      <c r="BH13156" t="s">
        <v>1823</v>
      </c>
      <c r="BO13156" t="s">
        <v>12245</v>
      </c>
    </row>
    <row r="13157" spans="1:67" x14ac:dyDescent="0.25">
      <c r="A13157" t="s">
        <v>12246</v>
      </c>
      <c r="AB13157" t="s">
        <v>12247</v>
      </c>
      <c r="AT13157" t="s">
        <v>1823</v>
      </c>
      <c r="BA13157" t="s">
        <v>1823</v>
      </c>
      <c r="BH13157" t="s">
        <v>1823</v>
      </c>
      <c r="BO13157">
        <v>115</v>
      </c>
    </row>
    <row r="13158" spans="1:67" x14ac:dyDescent="0.25">
      <c r="A13158" t="s">
        <v>12248</v>
      </c>
    </row>
    <row r="13159" spans="1:67" x14ac:dyDescent="0.25">
      <c r="P13159" t="s">
        <v>573</v>
      </c>
      <c r="AB13159" t="s">
        <v>615</v>
      </c>
      <c r="AT13159" t="s">
        <v>11701</v>
      </c>
      <c r="BO13159" t="s">
        <v>11656</v>
      </c>
    </row>
    <row r="13160" spans="1:67" x14ac:dyDescent="0.25">
      <c r="AT13160" t="s">
        <v>12207</v>
      </c>
      <c r="BA13160" t="s">
        <v>12208</v>
      </c>
      <c r="BH13160" t="s">
        <v>12209</v>
      </c>
    </row>
    <row r="13161" spans="1:67" x14ac:dyDescent="0.25">
      <c r="A13161" t="s">
        <v>12249</v>
      </c>
      <c r="AB13161" t="s">
        <v>12250</v>
      </c>
      <c r="BA13161" t="s">
        <v>1823</v>
      </c>
      <c r="BH13161" t="s">
        <v>1823</v>
      </c>
      <c r="BO13161">
        <v>33</v>
      </c>
    </row>
    <row r="13162" spans="1:67" x14ac:dyDescent="0.25">
      <c r="A13162" t="s">
        <v>12251</v>
      </c>
      <c r="AB13162" t="s">
        <v>12252</v>
      </c>
      <c r="AT13162" t="s">
        <v>1823</v>
      </c>
      <c r="BA13162" t="s">
        <v>1823</v>
      </c>
      <c r="BO13162">
        <v>39</v>
      </c>
    </row>
    <row r="13163" spans="1:67" x14ac:dyDescent="0.25">
      <c r="A13163" t="s">
        <v>12253</v>
      </c>
      <c r="AB13163" t="s">
        <v>12254</v>
      </c>
      <c r="AT13163" t="s">
        <v>12255</v>
      </c>
      <c r="BO13163">
        <v>285</v>
      </c>
    </row>
    <row r="13164" spans="1:67" x14ac:dyDescent="0.25">
      <c r="A13164" t="s">
        <v>12256</v>
      </c>
      <c r="AB13164" t="s">
        <v>12257</v>
      </c>
      <c r="AT13164" t="s">
        <v>1823</v>
      </c>
      <c r="BA13164" t="s">
        <v>1823</v>
      </c>
      <c r="BH13164" t="s">
        <v>1823</v>
      </c>
      <c r="BO13164">
        <v>28</v>
      </c>
    </row>
    <row r="13165" spans="1:67" x14ac:dyDescent="0.25">
      <c r="A13165" t="s">
        <v>12258</v>
      </c>
      <c r="AB13165" t="s">
        <v>12259</v>
      </c>
      <c r="AT13165" t="s">
        <v>1823</v>
      </c>
      <c r="BA13165" t="s">
        <v>1823</v>
      </c>
      <c r="BH13165" t="s">
        <v>1823</v>
      </c>
      <c r="BO13165">
        <v>295</v>
      </c>
    </row>
    <row r="13166" spans="1:67" x14ac:dyDescent="0.25">
      <c r="A13166" t="s">
        <v>11986</v>
      </c>
      <c r="AB13166" t="s">
        <v>12260</v>
      </c>
      <c r="BA13166" t="s">
        <v>1823</v>
      </c>
      <c r="BH13166" t="s">
        <v>1823</v>
      </c>
      <c r="BO13166">
        <v>54</v>
      </c>
    </row>
    <row r="13167" spans="1:67" x14ac:dyDescent="0.25">
      <c r="A13167" t="s">
        <v>12261</v>
      </c>
      <c r="AB13167" t="s">
        <v>12262</v>
      </c>
      <c r="BH13167" t="s">
        <v>1823</v>
      </c>
      <c r="BO13167">
        <v>125</v>
      </c>
    </row>
    <row r="13168" spans="1:67" x14ac:dyDescent="0.25">
      <c r="A13168" t="s">
        <v>12263</v>
      </c>
      <c r="AB13168" t="s">
        <v>12264</v>
      </c>
      <c r="BH13168" t="s">
        <v>1823</v>
      </c>
      <c r="BO13168">
        <v>125</v>
      </c>
    </row>
    <row r="13169" spans="1:77" x14ac:dyDescent="0.25">
      <c r="A13169" t="s">
        <v>12265</v>
      </c>
      <c r="AB13169" t="s">
        <v>12266</v>
      </c>
      <c r="BH13169" t="s">
        <v>1823</v>
      </c>
      <c r="BO13169">
        <v>125</v>
      </c>
    </row>
    <row r="13170" spans="1:77" x14ac:dyDescent="0.25">
      <c r="A13170" t="s">
        <v>12267</v>
      </c>
    </row>
    <row r="13171" spans="1:77" x14ac:dyDescent="0.25">
      <c r="A13171" t="s">
        <v>12268</v>
      </c>
    </row>
    <row r="13172" spans="1:77" x14ac:dyDescent="0.25">
      <c r="A13172" t="s">
        <v>12269</v>
      </c>
    </row>
    <row r="13178" spans="1:77" x14ac:dyDescent="0.25">
      <c r="A13178" t="s">
        <v>12270</v>
      </c>
    </row>
    <row r="13179" spans="1:77" x14ac:dyDescent="0.25">
      <c r="F13179" t="s">
        <v>5193</v>
      </c>
      <c r="Z13179" t="s">
        <v>12271</v>
      </c>
      <c r="AX13179" t="s">
        <v>12272</v>
      </c>
      <c r="BY13179" t="s">
        <v>12273</v>
      </c>
    </row>
    <row r="13180" spans="1:77" x14ac:dyDescent="0.25">
      <c r="F13180" t="s">
        <v>5195</v>
      </c>
      <c r="Z13180" t="s">
        <v>12271</v>
      </c>
      <c r="AX13180" t="s">
        <v>12274</v>
      </c>
      <c r="BY13180" t="s">
        <v>12275</v>
      </c>
    </row>
    <row r="13181" spans="1:77" x14ac:dyDescent="0.25">
      <c r="F13181" t="s">
        <v>5196</v>
      </c>
      <c r="Z13181" t="s">
        <v>12271</v>
      </c>
      <c r="AX13181" t="s">
        <v>12276</v>
      </c>
      <c r="BY13181" t="s">
        <v>12277</v>
      </c>
    </row>
    <row r="13182" spans="1:77" x14ac:dyDescent="0.25">
      <c r="F13182" t="s">
        <v>12278</v>
      </c>
      <c r="Z13182" t="s">
        <v>12271</v>
      </c>
      <c r="AX13182" t="s">
        <v>12279</v>
      </c>
      <c r="BY13182" t="s">
        <v>12280</v>
      </c>
    </row>
    <row r="13183" spans="1:77" x14ac:dyDescent="0.25">
      <c r="F13183" t="s">
        <v>5197</v>
      </c>
      <c r="Z13183" t="s">
        <v>12271</v>
      </c>
      <c r="AX13183" t="s">
        <v>12281</v>
      </c>
      <c r="BY13183" t="s">
        <v>12282</v>
      </c>
    </row>
    <row r="13184" spans="1:77" x14ac:dyDescent="0.25">
      <c r="F13184" t="s">
        <v>4903</v>
      </c>
      <c r="Z13184" t="s">
        <v>12271</v>
      </c>
      <c r="AX13184" t="s">
        <v>12283</v>
      </c>
      <c r="BY13184" t="s">
        <v>12284</v>
      </c>
    </row>
    <row r="13185" spans="1:77" x14ac:dyDescent="0.25">
      <c r="F13185" t="s">
        <v>12285</v>
      </c>
      <c r="Z13185" t="s">
        <v>12271</v>
      </c>
      <c r="AX13185" t="s">
        <v>12286</v>
      </c>
      <c r="BY13185" t="s">
        <v>12287</v>
      </c>
    </row>
    <row r="13186" spans="1:77" x14ac:dyDescent="0.25">
      <c r="F13186" t="s">
        <v>12288</v>
      </c>
      <c r="Z13186" t="s">
        <v>12271</v>
      </c>
      <c r="AX13186" t="s">
        <v>12289</v>
      </c>
      <c r="BY13186" t="s">
        <v>12290</v>
      </c>
    </row>
    <row r="13187" spans="1:77" x14ac:dyDescent="0.25">
      <c r="AX13187" t="s">
        <v>12291</v>
      </c>
    </row>
    <row r="13188" spans="1:77" x14ac:dyDescent="0.25">
      <c r="A13188" t="s">
        <v>12292</v>
      </c>
    </row>
    <row r="13190" spans="1:77" x14ac:dyDescent="0.25">
      <c r="A13190" t="s">
        <v>12293</v>
      </c>
    </row>
    <row r="13191" spans="1:77" x14ac:dyDescent="0.25">
      <c r="F13191" t="s">
        <v>5205</v>
      </c>
      <c r="Z13191" t="s">
        <v>12294</v>
      </c>
      <c r="AX13191" t="s">
        <v>12295</v>
      </c>
      <c r="BY13191" t="s">
        <v>12296</v>
      </c>
    </row>
    <row r="13192" spans="1:77" x14ac:dyDescent="0.25">
      <c r="F13192" t="s">
        <v>5207</v>
      </c>
      <c r="Z13192" t="s">
        <v>12294</v>
      </c>
      <c r="AX13192" t="s">
        <v>12295</v>
      </c>
      <c r="BY13192" t="s">
        <v>12297</v>
      </c>
    </row>
    <row r="13193" spans="1:77" x14ac:dyDescent="0.25">
      <c r="F13193" t="s">
        <v>5209</v>
      </c>
      <c r="Z13193" t="s">
        <v>12294</v>
      </c>
      <c r="AX13193" t="s">
        <v>12298</v>
      </c>
      <c r="BY13193" t="s">
        <v>12299</v>
      </c>
    </row>
    <row r="13194" spans="1:77" x14ac:dyDescent="0.25">
      <c r="F13194" t="s">
        <v>12300</v>
      </c>
      <c r="Z13194" t="s">
        <v>12294</v>
      </c>
      <c r="AX13194" t="s">
        <v>12298</v>
      </c>
      <c r="BY13194" t="s">
        <v>12301</v>
      </c>
    </row>
    <row r="13195" spans="1:77" x14ac:dyDescent="0.25">
      <c r="AX13195" t="s">
        <v>12302</v>
      </c>
    </row>
    <row r="13196" spans="1:77" x14ac:dyDescent="0.25">
      <c r="A13196" t="s">
        <v>5004</v>
      </c>
    </row>
    <row r="13198" spans="1:77" x14ac:dyDescent="0.25">
      <c r="A13198" t="s">
        <v>12303</v>
      </c>
    </row>
    <row r="13199" spans="1:77" x14ac:dyDescent="0.25">
      <c r="F13199" t="s">
        <v>12304</v>
      </c>
      <c r="Z13199" t="s">
        <v>12305</v>
      </c>
      <c r="AX13199" t="s">
        <v>12306</v>
      </c>
      <c r="BY13199" t="s">
        <v>12307</v>
      </c>
    </row>
    <row r="13200" spans="1:77" x14ac:dyDescent="0.25">
      <c r="F13200" t="s">
        <v>12308</v>
      </c>
      <c r="Z13200" t="s">
        <v>12305</v>
      </c>
      <c r="AX13200" t="s">
        <v>12309</v>
      </c>
      <c r="BY13200" t="s">
        <v>12310</v>
      </c>
    </row>
    <row r="13201" spans="1:77" x14ac:dyDescent="0.25">
      <c r="F13201" t="s">
        <v>12311</v>
      </c>
      <c r="Z13201" t="s">
        <v>12305</v>
      </c>
      <c r="AX13201" t="s">
        <v>12312</v>
      </c>
      <c r="BY13201" t="s">
        <v>12313</v>
      </c>
    </row>
    <row r="13202" spans="1:77" x14ac:dyDescent="0.25">
      <c r="F13202" t="s">
        <v>4929</v>
      </c>
      <c r="Z13202" t="s">
        <v>12305</v>
      </c>
      <c r="AX13202" t="s">
        <v>12314</v>
      </c>
      <c r="BY13202" t="s">
        <v>12315</v>
      </c>
    </row>
    <row r="13203" spans="1:77" x14ac:dyDescent="0.25">
      <c r="F13203" t="s">
        <v>12316</v>
      </c>
      <c r="Z13203" t="s">
        <v>12305</v>
      </c>
      <c r="AX13203" t="s">
        <v>12312</v>
      </c>
      <c r="BY13203" t="s">
        <v>12317</v>
      </c>
    </row>
    <row r="13204" spans="1:77" x14ac:dyDescent="0.25">
      <c r="A13204" t="s">
        <v>12318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DFEF-0C35-4EB8-9B2F-D5C5C621B558}">
  <dimension ref="A1:Z1000"/>
  <sheetViews>
    <sheetView zoomScale="85" zoomScaleNormal="85" workbookViewId="0">
      <selection activeCell="J18" sqref="J18"/>
    </sheetView>
  </sheetViews>
  <sheetFormatPr defaultRowHeight="47.25" customHeight="1" x14ac:dyDescent="0.25"/>
  <cols>
    <col min="1" max="14" width="21.7109375" customWidth="1"/>
  </cols>
  <sheetData>
    <row r="1" spans="1:26" ht="47.25" customHeight="1" thickTop="1" thickBot="1" x14ac:dyDescent="0.3">
      <c r="A1" s="338" t="s">
        <v>12319</v>
      </c>
      <c r="B1" s="339" t="s">
        <v>12320</v>
      </c>
      <c r="C1" s="340" t="s">
        <v>12321</v>
      </c>
      <c r="D1" s="340" t="s">
        <v>12322</v>
      </c>
      <c r="E1" s="340" t="s">
        <v>12323</v>
      </c>
      <c r="F1" s="340" t="s">
        <v>12324</v>
      </c>
      <c r="G1" s="340" t="s">
        <v>12325</v>
      </c>
      <c r="H1" s="340" t="s">
        <v>12326</v>
      </c>
      <c r="I1" s="340" t="s">
        <v>12327</v>
      </c>
      <c r="J1" s="340" t="s">
        <v>12328</v>
      </c>
      <c r="K1" s="340" t="s">
        <v>12329</v>
      </c>
      <c r="L1" s="340" t="s">
        <v>12330</v>
      </c>
      <c r="M1" s="340" t="s">
        <v>12331</v>
      </c>
      <c r="N1" s="341" t="s">
        <v>12332</v>
      </c>
      <c r="O1" s="342"/>
      <c r="P1" s="342"/>
      <c r="Q1" s="342"/>
      <c r="R1" s="342"/>
      <c r="S1" s="342"/>
      <c r="T1" s="342"/>
      <c r="U1" s="342"/>
      <c r="V1" s="342"/>
      <c r="W1" s="342"/>
      <c r="X1" s="342"/>
      <c r="Y1" s="342"/>
      <c r="Z1" s="342"/>
    </row>
    <row r="2" spans="1:26" ht="47.25" customHeight="1" thickTop="1" thickBot="1" x14ac:dyDescent="0.35">
      <c r="A2" s="343">
        <v>45298</v>
      </c>
      <c r="B2" s="345" t="s">
        <v>12333</v>
      </c>
      <c r="C2" s="346">
        <v>421903250175</v>
      </c>
      <c r="D2" s="344" t="s">
        <v>12334</v>
      </c>
      <c r="E2" s="344" t="s">
        <v>12335</v>
      </c>
      <c r="F2" s="344" t="s">
        <v>12334</v>
      </c>
      <c r="G2" s="347">
        <v>280</v>
      </c>
      <c r="H2" s="344"/>
      <c r="I2" s="347">
        <v>200</v>
      </c>
      <c r="J2" s="344" t="s">
        <v>12336</v>
      </c>
      <c r="K2" s="344"/>
      <c r="L2" s="344" t="s">
        <v>12337</v>
      </c>
      <c r="M2" s="344" t="s">
        <v>12338</v>
      </c>
      <c r="N2" s="344" t="s">
        <v>12339</v>
      </c>
      <c r="O2" s="348"/>
      <c r="P2" s="348"/>
      <c r="Q2" s="348"/>
      <c r="R2" s="348"/>
      <c r="S2" s="348"/>
      <c r="T2" s="348"/>
      <c r="U2" s="348"/>
      <c r="V2" s="348"/>
      <c r="W2" s="348"/>
      <c r="X2" s="348"/>
      <c r="Y2" s="348"/>
      <c r="Z2" s="348"/>
    </row>
    <row r="3" spans="1:26" ht="47.25" customHeight="1" thickBot="1" x14ac:dyDescent="0.35">
      <c r="A3" s="343">
        <v>45298</v>
      </c>
      <c r="B3" s="345" t="s">
        <v>12340</v>
      </c>
      <c r="C3" s="344"/>
      <c r="D3" s="344" t="s">
        <v>12341</v>
      </c>
      <c r="E3" s="344" t="s">
        <v>12342</v>
      </c>
      <c r="F3" s="344" t="s">
        <v>12334</v>
      </c>
      <c r="G3" s="344"/>
      <c r="H3" s="344"/>
      <c r="I3" s="347">
        <v>74</v>
      </c>
      <c r="J3" s="344" t="s">
        <v>12343</v>
      </c>
      <c r="K3" s="344"/>
      <c r="L3" s="344" t="s">
        <v>12341</v>
      </c>
      <c r="M3" s="344" t="s">
        <v>12338</v>
      </c>
      <c r="N3" s="344" t="s">
        <v>12344</v>
      </c>
      <c r="O3" s="348"/>
      <c r="P3" s="348"/>
      <c r="Q3" s="348"/>
      <c r="R3" s="348"/>
      <c r="S3" s="348"/>
      <c r="T3" s="348"/>
      <c r="U3" s="348"/>
      <c r="V3" s="348"/>
      <c r="W3" s="348"/>
      <c r="X3" s="348"/>
      <c r="Y3" s="348"/>
      <c r="Z3" s="348"/>
    </row>
    <row r="4" spans="1:26" ht="47.25" customHeight="1" thickBot="1" x14ac:dyDescent="0.35">
      <c r="A4" s="343">
        <v>45298</v>
      </c>
      <c r="B4" s="345" t="s">
        <v>12345</v>
      </c>
      <c r="C4" s="344"/>
      <c r="D4" s="344" t="s">
        <v>12341</v>
      </c>
      <c r="E4" s="344" t="s">
        <v>12342</v>
      </c>
      <c r="F4" s="344" t="s">
        <v>12346</v>
      </c>
      <c r="G4" s="347">
        <v>150</v>
      </c>
      <c r="H4" s="344"/>
      <c r="I4" s="347">
        <v>74</v>
      </c>
      <c r="J4" s="344"/>
      <c r="K4" s="344"/>
      <c r="L4" s="344" t="s">
        <v>12341</v>
      </c>
      <c r="M4" s="344" t="s">
        <v>12338</v>
      </c>
      <c r="N4" s="344" t="s">
        <v>12344</v>
      </c>
      <c r="O4" s="348"/>
      <c r="P4" s="348"/>
      <c r="Q4" s="348"/>
      <c r="R4" s="348"/>
      <c r="S4" s="348"/>
      <c r="T4" s="348"/>
      <c r="U4" s="348"/>
      <c r="V4" s="348"/>
      <c r="W4" s="348"/>
      <c r="X4" s="348"/>
      <c r="Y4" s="348"/>
      <c r="Z4" s="348"/>
    </row>
    <row r="5" spans="1:26" ht="47.25" customHeight="1" thickBot="1" x14ac:dyDescent="0.35">
      <c r="A5" s="343">
        <v>45298</v>
      </c>
      <c r="B5" s="345" t="s">
        <v>12347</v>
      </c>
      <c r="C5" s="346">
        <v>421915158267</v>
      </c>
      <c r="D5" s="344" t="s">
        <v>12341</v>
      </c>
      <c r="E5" s="344" t="s">
        <v>12348</v>
      </c>
      <c r="F5" s="344" t="s">
        <v>12348</v>
      </c>
      <c r="G5" s="344"/>
      <c r="H5" s="344"/>
      <c r="I5" s="347">
        <v>30</v>
      </c>
      <c r="J5" s="344"/>
      <c r="K5" s="344"/>
      <c r="L5" s="344" t="s">
        <v>12341</v>
      </c>
      <c r="M5" s="344" t="s">
        <v>12338</v>
      </c>
      <c r="N5" s="344" t="s">
        <v>12339</v>
      </c>
      <c r="O5" s="348"/>
      <c r="P5" s="348"/>
      <c r="Q5" s="348"/>
      <c r="R5" s="348"/>
      <c r="S5" s="348"/>
      <c r="T5" s="348"/>
      <c r="U5" s="348"/>
      <c r="V5" s="348"/>
      <c r="W5" s="348"/>
      <c r="X5" s="348"/>
      <c r="Y5" s="348"/>
      <c r="Z5" s="348"/>
    </row>
    <row r="6" spans="1:26" ht="47.25" customHeight="1" thickBot="1" x14ac:dyDescent="0.35">
      <c r="A6" s="343">
        <v>45298</v>
      </c>
      <c r="B6" s="345" t="s">
        <v>12349</v>
      </c>
      <c r="C6" s="346">
        <v>421918737666</v>
      </c>
      <c r="D6" s="344" t="s">
        <v>12341</v>
      </c>
      <c r="E6" s="344" t="s">
        <v>12342</v>
      </c>
      <c r="F6" s="344" t="s">
        <v>12346</v>
      </c>
      <c r="G6" s="347">
        <v>160</v>
      </c>
      <c r="H6" s="347">
        <v>80</v>
      </c>
      <c r="I6" s="347">
        <v>74</v>
      </c>
      <c r="J6" s="344"/>
      <c r="K6" s="344"/>
      <c r="L6" s="344" t="s">
        <v>12341</v>
      </c>
      <c r="M6" s="344" t="s">
        <v>12338</v>
      </c>
      <c r="N6" s="344" t="s">
        <v>12344</v>
      </c>
      <c r="O6" s="348"/>
      <c r="P6" s="348"/>
      <c r="Q6" s="348"/>
      <c r="R6" s="348"/>
      <c r="S6" s="348"/>
      <c r="T6" s="348"/>
      <c r="U6" s="348"/>
      <c r="V6" s="348"/>
      <c r="W6" s="348"/>
      <c r="X6" s="348"/>
      <c r="Y6" s="348"/>
      <c r="Z6" s="348"/>
    </row>
    <row r="7" spans="1:26" ht="47.25" customHeight="1" thickBot="1" x14ac:dyDescent="0.35">
      <c r="A7" s="343">
        <v>45298</v>
      </c>
      <c r="B7" s="345" t="s">
        <v>12350</v>
      </c>
      <c r="C7" s="346">
        <v>421905745264</v>
      </c>
      <c r="D7" s="344" t="s">
        <v>12341</v>
      </c>
      <c r="E7" s="344" t="s">
        <v>12351</v>
      </c>
      <c r="F7" s="344" t="s">
        <v>12352</v>
      </c>
      <c r="G7" s="344"/>
      <c r="H7" s="344"/>
      <c r="I7" s="347">
        <v>140</v>
      </c>
      <c r="J7" s="344"/>
      <c r="K7" s="344"/>
      <c r="L7" s="344" t="s">
        <v>12341</v>
      </c>
      <c r="M7" s="344" t="s">
        <v>12338</v>
      </c>
      <c r="N7" s="344" t="s">
        <v>12344</v>
      </c>
      <c r="O7" s="348"/>
      <c r="P7" s="348"/>
      <c r="Q7" s="348"/>
      <c r="R7" s="348"/>
      <c r="S7" s="348"/>
      <c r="T7" s="348"/>
      <c r="U7" s="348"/>
      <c r="V7" s="348"/>
      <c r="W7" s="348"/>
      <c r="X7" s="348"/>
      <c r="Y7" s="348"/>
      <c r="Z7" s="348"/>
    </row>
    <row r="8" spans="1:26" ht="47.25" customHeight="1" thickBot="1" x14ac:dyDescent="0.35">
      <c r="A8" s="343">
        <v>45298</v>
      </c>
      <c r="B8" s="345" t="s">
        <v>12353</v>
      </c>
      <c r="C8" s="346" t="s">
        <v>12354</v>
      </c>
      <c r="D8" s="344" t="s">
        <v>12341</v>
      </c>
      <c r="E8" s="344" t="s">
        <v>12342</v>
      </c>
      <c r="F8" s="344" t="s">
        <v>12346</v>
      </c>
      <c r="G8" s="347">
        <v>150</v>
      </c>
      <c r="H8" s="347">
        <v>76</v>
      </c>
      <c r="I8" s="347">
        <v>74</v>
      </c>
      <c r="J8" s="344"/>
      <c r="K8" s="344"/>
      <c r="L8" s="344" t="s">
        <v>12341</v>
      </c>
      <c r="M8" s="344" t="s">
        <v>12338</v>
      </c>
      <c r="N8" s="344" t="s">
        <v>12344</v>
      </c>
      <c r="O8" s="348"/>
      <c r="P8" s="348"/>
      <c r="Q8" s="348"/>
      <c r="R8" s="348"/>
      <c r="S8" s="348"/>
      <c r="T8" s="348"/>
      <c r="U8" s="348"/>
      <c r="V8" s="348"/>
      <c r="W8" s="348"/>
      <c r="X8" s="348"/>
      <c r="Y8" s="348"/>
      <c r="Z8" s="348"/>
    </row>
    <row r="9" spans="1:26" ht="47.25" customHeight="1" thickBot="1" x14ac:dyDescent="0.35">
      <c r="A9" s="343">
        <v>45298</v>
      </c>
      <c r="B9" s="345" t="s">
        <v>12355</v>
      </c>
      <c r="C9" s="346">
        <v>421948461110</v>
      </c>
      <c r="D9" s="344" t="s">
        <v>12341</v>
      </c>
      <c r="E9" s="344" t="s">
        <v>12356</v>
      </c>
      <c r="F9" s="344" t="s">
        <v>12346</v>
      </c>
      <c r="G9" s="347">
        <v>80</v>
      </c>
      <c r="H9" s="344"/>
      <c r="I9" s="347">
        <v>40</v>
      </c>
      <c r="J9" s="344"/>
      <c r="K9" s="344"/>
      <c r="L9" s="344" t="s">
        <v>12341</v>
      </c>
      <c r="M9" s="344" t="s">
        <v>12338</v>
      </c>
      <c r="N9" s="344" t="s">
        <v>12344</v>
      </c>
      <c r="O9" s="348"/>
      <c r="P9" s="348"/>
      <c r="Q9" s="348"/>
      <c r="R9" s="348"/>
      <c r="S9" s="348"/>
      <c r="T9" s="348"/>
      <c r="U9" s="348"/>
      <c r="V9" s="348"/>
      <c r="W9" s="348"/>
      <c r="X9" s="348"/>
      <c r="Y9" s="348"/>
      <c r="Z9" s="348"/>
    </row>
    <row r="10" spans="1:26" ht="47.25" customHeight="1" thickBot="1" x14ac:dyDescent="0.35">
      <c r="A10" s="343">
        <v>45329</v>
      </c>
      <c r="B10" s="345" t="s">
        <v>12357</v>
      </c>
      <c r="C10" s="346">
        <v>421902705618</v>
      </c>
      <c r="D10" s="344" t="s">
        <v>12341</v>
      </c>
      <c r="E10" s="344" t="s">
        <v>12342</v>
      </c>
      <c r="F10" s="344" t="s">
        <v>12346</v>
      </c>
      <c r="G10" s="347">
        <v>170</v>
      </c>
      <c r="H10" s="347">
        <v>90</v>
      </c>
      <c r="I10" s="347">
        <v>74</v>
      </c>
      <c r="J10" s="344"/>
      <c r="K10" s="344"/>
      <c r="L10" s="344" t="s">
        <v>12341</v>
      </c>
      <c r="M10" s="344" t="s">
        <v>12358</v>
      </c>
      <c r="N10" s="344" t="s">
        <v>12344</v>
      </c>
      <c r="O10" s="348"/>
      <c r="P10" s="348"/>
      <c r="Q10" s="348"/>
      <c r="R10" s="348"/>
      <c r="S10" s="348"/>
      <c r="T10" s="348"/>
      <c r="U10" s="348"/>
      <c r="V10" s="348"/>
      <c r="W10" s="348"/>
      <c r="X10" s="348"/>
      <c r="Y10" s="348"/>
      <c r="Z10" s="348"/>
    </row>
    <row r="11" spans="1:26" ht="47.25" customHeight="1" thickBot="1" x14ac:dyDescent="0.35">
      <c r="A11" s="343">
        <v>45329</v>
      </c>
      <c r="B11" s="345" t="s">
        <v>12359</v>
      </c>
      <c r="C11" s="346">
        <v>421904906349</v>
      </c>
      <c r="D11" s="344" t="s">
        <v>12341</v>
      </c>
      <c r="E11" s="344" t="s">
        <v>12342</v>
      </c>
      <c r="F11" s="344" t="s">
        <v>12360</v>
      </c>
      <c r="G11" s="344"/>
      <c r="H11" s="344"/>
      <c r="I11" s="347">
        <v>74</v>
      </c>
      <c r="J11" s="344"/>
      <c r="K11" s="344"/>
      <c r="L11" s="344" t="s">
        <v>12341</v>
      </c>
      <c r="M11" s="344" t="s">
        <v>12358</v>
      </c>
      <c r="N11" s="344" t="s">
        <v>12344</v>
      </c>
      <c r="O11" s="348"/>
      <c r="P11" s="348"/>
      <c r="Q11" s="348"/>
      <c r="R11" s="348"/>
      <c r="S11" s="348"/>
      <c r="T11" s="348"/>
      <c r="U11" s="348"/>
      <c r="V11" s="348"/>
      <c r="W11" s="348"/>
      <c r="X11" s="348"/>
      <c r="Y11" s="348"/>
      <c r="Z11" s="348"/>
    </row>
    <row r="12" spans="1:26" ht="47.25" customHeight="1" thickBot="1" x14ac:dyDescent="0.35">
      <c r="A12" s="343">
        <v>45329</v>
      </c>
      <c r="B12" s="345" t="s">
        <v>12361</v>
      </c>
      <c r="C12" s="346">
        <v>421918520144</v>
      </c>
      <c r="D12" s="344" t="s">
        <v>12341</v>
      </c>
      <c r="E12" s="344" t="s">
        <v>12356</v>
      </c>
      <c r="F12" s="344" t="s">
        <v>12346</v>
      </c>
      <c r="G12" s="347">
        <v>90</v>
      </c>
      <c r="H12" s="347">
        <v>50</v>
      </c>
      <c r="I12" s="347">
        <v>40</v>
      </c>
      <c r="J12" s="344" t="s">
        <v>12362</v>
      </c>
      <c r="K12" s="344"/>
      <c r="L12" s="344" t="s">
        <v>12341</v>
      </c>
      <c r="M12" s="344" t="s">
        <v>12358</v>
      </c>
      <c r="N12" s="344" t="s">
        <v>12344</v>
      </c>
      <c r="O12" s="348"/>
      <c r="P12" s="348"/>
      <c r="Q12" s="348"/>
      <c r="R12" s="348"/>
      <c r="S12" s="348"/>
      <c r="T12" s="348"/>
      <c r="U12" s="348"/>
      <c r="V12" s="348"/>
      <c r="W12" s="348"/>
      <c r="X12" s="348"/>
      <c r="Y12" s="348"/>
      <c r="Z12" s="348"/>
    </row>
    <row r="13" spans="1:26" ht="47.25" customHeight="1" thickBot="1" x14ac:dyDescent="0.35">
      <c r="A13" s="343">
        <v>45329</v>
      </c>
      <c r="B13" s="345" t="s">
        <v>12363</v>
      </c>
      <c r="C13" s="346">
        <v>421902705618</v>
      </c>
      <c r="D13" s="344" t="s">
        <v>12341</v>
      </c>
      <c r="E13" s="344" t="s">
        <v>12356</v>
      </c>
      <c r="F13" s="344" t="s">
        <v>12346</v>
      </c>
      <c r="G13" s="347">
        <v>80</v>
      </c>
      <c r="H13" s="347">
        <v>40</v>
      </c>
      <c r="I13" s="347">
        <v>40</v>
      </c>
      <c r="J13" s="344"/>
      <c r="K13" s="344"/>
      <c r="L13" s="344" t="s">
        <v>12341</v>
      </c>
      <c r="M13" s="344" t="s">
        <v>12358</v>
      </c>
      <c r="N13" s="344" t="s">
        <v>12344</v>
      </c>
      <c r="O13" s="348"/>
      <c r="P13" s="348"/>
      <c r="Q13" s="348"/>
      <c r="R13" s="348"/>
      <c r="S13" s="348"/>
      <c r="T13" s="348"/>
      <c r="U13" s="348"/>
      <c r="V13" s="348"/>
      <c r="W13" s="348"/>
      <c r="X13" s="348"/>
      <c r="Y13" s="348"/>
      <c r="Z13" s="348"/>
    </row>
    <row r="14" spans="1:26" ht="47.25" customHeight="1" thickBot="1" x14ac:dyDescent="0.35">
      <c r="A14" s="343">
        <v>45329</v>
      </c>
      <c r="B14" s="345" t="s">
        <v>12364</v>
      </c>
      <c r="C14" s="344"/>
      <c r="D14" s="344" t="s">
        <v>12341</v>
      </c>
      <c r="E14" s="344" t="s">
        <v>12356</v>
      </c>
      <c r="F14" s="344" t="s">
        <v>12365</v>
      </c>
      <c r="G14" s="344"/>
      <c r="H14" s="344"/>
      <c r="I14" s="347">
        <v>40</v>
      </c>
      <c r="J14" s="344"/>
      <c r="K14" s="344"/>
      <c r="L14" s="344" t="s">
        <v>12341</v>
      </c>
      <c r="M14" s="344" t="s">
        <v>12358</v>
      </c>
      <c r="N14" s="344" t="s">
        <v>12344</v>
      </c>
      <c r="O14" s="348"/>
      <c r="P14" s="348"/>
      <c r="Q14" s="348"/>
      <c r="R14" s="348"/>
      <c r="S14" s="348"/>
      <c r="T14" s="348"/>
      <c r="U14" s="348"/>
      <c r="V14" s="348"/>
      <c r="W14" s="348"/>
      <c r="X14" s="348"/>
      <c r="Y14" s="348"/>
      <c r="Z14" s="348"/>
    </row>
    <row r="15" spans="1:26" ht="47.25" customHeight="1" thickBot="1" x14ac:dyDescent="0.35">
      <c r="A15" s="343">
        <v>45329</v>
      </c>
      <c r="B15" s="345" t="s">
        <v>12366</v>
      </c>
      <c r="C15" s="346">
        <v>421917449308</v>
      </c>
      <c r="D15" s="344" t="s">
        <v>12341</v>
      </c>
      <c r="E15" s="344" t="s">
        <v>12356</v>
      </c>
      <c r="F15" s="344" t="s">
        <v>12346</v>
      </c>
      <c r="G15" s="347">
        <v>120</v>
      </c>
      <c r="H15" s="347">
        <v>50</v>
      </c>
      <c r="I15" s="347">
        <v>70</v>
      </c>
      <c r="J15" s="344"/>
      <c r="K15" s="344"/>
      <c r="L15" s="344" t="s">
        <v>12341</v>
      </c>
      <c r="M15" s="344" t="s">
        <v>12358</v>
      </c>
      <c r="N15" s="344" t="s">
        <v>12344</v>
      </c>
      <c r="O15" s="348"/>
      <c r="P15" s="348"/>
      <c r="Q15" s="348"/>
      <c r="R15" s="348"/>
      <c r="S15" s="348"/>
      <c r="T15" s="348"/>
      <c r="U15" s="348"/>
      <c r="V15" s="348"/>
      <c r="W15" s="348"/>
      <c r="X15" s="348"/>
      <c r="Y15" s="348"/>
      <c r="Z15" s="348"/>
    </row>
    <row r="16" spans="1:26" ht="47.25" customHeight="1" thickBot="1" x14ac:dyDescent="0.35">
      <c r="A16" s="343">
        <v>45329</v>
      </c>
      <c r="B16" s="345" t="s">
        <v>12367</v>
      </c>
      <c r="C16" s="346">
        <v>421948321700</v>
      </c>
      <c r="D16" s="344" t="s">
        <v>12341</v>
      </c>
      <c r="E16" s="344" t="s">
        <v>12356</v>
      </c>
      <c r="F16" s="344" t="s">
        <v>12346</v>
      </c>
      <c r="G16" s="347">
        <v>80</v>
      </c>
      <c r="H16" s="347">
        <v>40</v>
      </c>
      <c r="I16" s="347">
        <v>40</v>
      </c>
      <c r="J16" s="344"/>
      <c r="K16" s="344"/>
      <c r="L16" s="344" t="s">
        <v>12341</v>
      </c>
      <c r="M16" s="344" t="s">
        <v>12358</v>
      </c>
      <c r="N16" s="344" t="s">
        <v>12344</v>
      </c>
      <c r="O16" s="348"/>
      <c r="P16" s="348"/>
      <c r="Q16" s="348"/>
      <c r="R16" s="348"/>
      <c r="S16" s="348"/>
      <c r="T16" s="348"/>
      <c r="U16" s="348"/>
      <c r="V16" s="348"/>
      <c r="W16" s="348"/>
      <c r="X16" s="348"/>
      <c r="Y16" s="348"/>
      <c r="Z16" s="348"/>
    </row>
    <row r="17" spans="1:26" ht="47.25" customHeight="1" thickBot="1" x14ac:dyDescent="0.35">
      <c r="A17" s="343">
        <v>45357</v>
      </c>
      <c r="B17" s="345" t="s">
        <v>12368</v>
      </c>
      <c r="C17" s="344"/>
      <c r="D17" s="344" t="s">
        <v>12341</v>
      </c>
      <c r="E17" s="344" t="s">
        <v>12369</v>
      </c>
      <c r="F17" s="344" t="s">
        <v>12346</v>
      </c>
      <c r="G17" s="347">
        <v>80</v>
      </c>
      <c r="H17" s="347">
        <v>40</v>
      </c>
      <c r="I17" s="347">
        <v>40</v>
      </c>
      <c r="J17" s="344" t="s">
        <v>12370</v>
      </c>
      <c r="K17" s="344"/>
      <c r="L17" s="344" t="s">
        <v>12341</v>
      </c>
      <c r="M17" s="344" t="s">
        <v>12371</v>
      </c>
      <c r="N17" s="344" t="s">
        <v>12339</v>
      </c>
      <c r="O17" s="348"/>
      <c r="P17" s="348"/>
      <c r="Q17" s="348"/>
      <c r="R17" s="348"/>
      <c r="S17" s="348"/>
      <c r="T17" s="348"/>
      <c r="U17" s="348"/>
      <c r="V17" s="348"/>
      <c r="W17" s="348"/>
      <c r="X17" s="348"/>
      <c r="Y17" s="348"/>
      <c r="Z17" s="348"/>
    </row>
    <row r="18" spans="1:26" ht="47.25" customHeight="1" thickBot="1" x14ac:dyDescent="0.35">
      <c r="A18" s="343">
        <v>45357</v>
      </c>
      <c r="B18" s="345" t="s">
        <v>12372</v>
      </c>
      <c r="C18" s="344"/>
      <c r="D18" s="344" t="s">
        <v>12341</v>
      </c>
      <c r="E18" s="344" t="s">
        <v>12369</v>
      </c>
      <c r="F18" s="344" t="s">
        <v>12346</v>
      </c>
      <c r="G18" s="347">
        <v>80</v>
      </c>
      <c r="H18" s="347">
        <v>40</v>
      </c>
      <c r="I18" s="347">
        <v>40</v>
      </c>
      <c r="J18" s="344"/>
      <c r="K18" s="344"/>
      <c r="L18" s="344" t="s">
        <v>12341</v>
      </c>
      <c r="M18" s="344" t="s">
        <v>12371</v>
      </c>
      <c r="N18" s="344" t="s">
        <v>12339</v>
      </c>
      <c r="O18" s="348"/>
      <c r="P18" s="348"/>
      <c r="Q18" s="348"/>
      <c r="R18" s="348"/>
      <c r="S18" s="348"/>
      <c r="T18" s="348"/>
      <c r="U18" s="348"/>
      <c r="V18" s="348"/>
      <c r="W18" s="348"/>
      <c r="X18" s="348"/>
      <c r="Y18" s="348"/>
      <c r="Z18" s="348"/>
    </row>
    <row r="19" spans="1:26" ht="47.25" customHeight="1" thickBot="1" x14ac:dyDescent="0.35">
      <c r="A19" s="343">
        <v>45357</v>
      </c>
      <c r="B19" s="345" t="s">
        <v>12373</v>
      </c>
      <c r="C19" s="344"/>
      <c r="D19" s="344" t="s">
        <v>12341</v>
      </c>
      <c r="E19" s="344" t="s">
        <v>12342</v>
      </c>
      <c r="F19" s="344" t="s">
        <v>12346</v>
      </c>
      <c r="G19" s="347">
        <v>180</v>
      </c>
      <c r="H19" s="347">
        <v>90</v>
      </c>
      <c r="I19" s="347">
        <v>90</v>
      </c>
      <c r="J19" s="344"/>
      <c r="K19" s="344"/>
      <c r="L19" s="344" t="s">
        <v>12341</v>
      </c>
      <c r="M19" s="344" t="s">
        <v>12371</v>
      </c>
      <c r="N19" s="344" t="s">
        <v>12344</v>
      </c>
      <c r="O19" s="348"/>
      <c r="P19" s="348"/>
      <c r="Q19" s="348"/>
      <c r="R19" s="348"/>
      <c r="S19" s="348"/>
      <c r="T19" s="348"/>
      <c r="U19" s="348"/>
      <c r="V19" s="348"/>
      <c r="W19" s="348"/>
      <c r="X19" s="348"/>
      <c r="Y19" s="348"/>
      <c r="Z19" s="348"/>
    </row>
    <row r="20" spans="1:26" ht="47.25" customHeight="1" thickBot="1" x14ac:dyDescent="0.35">
      <c r="A20" s="343">
        <v>45357</v>
      </c>
      <c r="B20" s="345" t="s">
        <v>12374</v>
      </c>
      <c r="C20" s="346">
        <v>421905449107</v>
      </c>
      <c r="D20" s="344" t="s">
        <v>12341</v>
      </c>
      <c r="E20" s="344" t="s">
        <v>12369</v>
      </c>
      <c r="F20" s="344" t="s">
        <v>12346</v>
      </c>
      <c r="G20" s="347">
        <v>80</v>
      </c>
      <c r="H20" s="347">
        <v>40</v>
      </c>
      <c r="I20" s="347">
        <v>40</v>
      </c>
      <c r="J20" s="344"/>
      <c r="K20" s="344"/>
      <c r="L20" s="344" t="s">
        <v>12341</v>
      </c>
      <c r="M20" s="344" t="s">
        <v>12371</v>
      </c>
      <c r="N20" s="344" t="s">
        <v>12339</v>
      </c>
      <c r="O20" s="348"/>
      <c r="P20" s="348"/>
      <c r="Q20" s="348"/>
      <c r="R20" s="348"/>
      <c r="S20" s="348"/>
      <c r="T20" s="348"/>
      <c r="U20" s="348"/>
      <c r="V20" s="348"/>
      <c r="W20" s="348"/>
      <c r="X20" s="348"/>
      <c r="Y20" s="348"/>
      <c r="Z20" s="348"/>
    </row>
    <row r="21" spans="1:26" ht="47.25" customHeight="1" thickBot="1" x14ac:dyDescent="0.35">
      <c r="A21" s="343">
        <v>45358</v>
      </c>
      <c r="B21" s="345" t="s">
        <v>12375</v>
      </c>
      <c r="C21" s="344"/>
      <c r="D21" s="344" t="s">
        <v>12341</v>
      </c>
      <c r="E21" s="344" t="s">
        <v>12356</v>
      </c>
      <c r="F21" s="344" t="s">
        <v>12346</v>
      </c>
      <c r="G21" s="347">
        <v>80</v>
      </c>
      <c r="H21" s="347">
        <v>40</v>
      </c>
      <c r="I21" s="347">
        <v>40</v>
      </c>
      <c r="J21" s="344"/>
      <c r="K21" s="344"/>
      <c r="L21" s="344" t="s">
        <v>12341</v>
      </c>
      <c r="M21" s="344" t="s">
        <v>12371</v>
      </c>
      <c r="N21" s="344" t="s">
        <v>12344</v>
      </c>
      <c r="O21" s="348"/>
      <c r="P21" s="348"/>
      <c r="Q21" s="348"/>
      <c r="R21" s="348"/>
      <c r="S21" s="348"/>
      <c r="T21" s="348"/>
      <c r="U21" s="348"/>
      <c r="V21" s="348"/>
      <c r="W21" s="348"/>
      <c r="X21" s="348"/>
      <c r="Y21" s="348"/>
      <c r="Z21" s="348"/>
    </row>
    <row r="22" spans="1:26" ht="47.25" customHeight="1" thickBot="1" x14ac:dyDescent="0.35">
      <c r="A22" s="343">
        <v>45358</v>
      </c>
      <c r="B22" s="345" t="s">
        <v>12376</v>
      </c>
      <c r="C22" s="344"/>
      <c r="D22" s="344" t="s">
        <v>12341</v>
      </c>
      <c r="E22" s="344" t="s">
        <v>12342</v>
      </c>
      <c r="F22" s="344" t="s">
        <v>12377</v>
      </c>
      <c r="G22" s="347">
        <v>0</v>
      </c>
      <c r="H22" s="347">
        <v>0</v>
      </c>
      <c r="I22" s="347">
        <v>0</v>
      </c>
      <c r="J22" s="344"/>
      <c r="K22" s="344"/>
      <c r="L22" s="344" t="s">
        <v>12341</v>
      </c>
      <c r="M22" s="344" t="s">
        <v>12371</v>
      </c>
      <c r="N22" s="344" t="s">
        <v>12344</v>
      </c>
      <c r="O22" s="348"/>
      <c r="P22" s="348"/>
      <c r="Q22" s="348"/>
      <c r="R22" s="348"/>
      <c r="S22" s="348"/>
      <c r="T22" s="348"/>
      <c r="U22" s="348"/>
      <c r="V22" s="348"/>
      <c r="W22" s="348"/>
      <c r="X22" s="348"/>
      <c r="Y22" s="348"/>
      <c r="Z22" s="348"/>
    </row>
    <row r="23" spans="1:26" s="64" customFormat="1" ht="47.25" customHeight="1" thickBot="1" x14ac:dyDescent="0.35">
      <c r="A23" s="343">
        <v>45358</v>
      </c>
      <c r="B23" s="345" t="s">
        <v>12378</v>
      </c>
      <c r="C23" s="344"/>
      <c r="D23" s="344" t="s">
        <v>12341</v>
      </c>
      <c r="E23" s="344" t="s">
        <v>12379</v>
      </c>
      <c r="F23" s="344" t="s">
        <v>12346</v>
      </c>
      <c r="G23" s="347">
        <v>200</v>
      </c>
      <c r="H23" s="347">
        <v>80</v>
      </c>
      <c r="I23" s="347">
        <v>120</v>
      </c>
      <c r="J23" s="344"/>
      <c r="K23" s="344"/>
      <c r="L23" s="344" t="s">
        <v>12341</v>
      </c>
      <c r="M23" s="344" t="s">
        <v>12371</v>
      </c>
      <c r="N23" s="344" t="s">
        <v>12339</v>
      </c>
      <c r="O23" s="348"/>
      <c r="P23" s="348"/>
      <c r="Q23" s="348"/>
      <c r="R23" s="348"/>
      <c r="S23" s="348"/>
      <c r="T23" s="348"/>
      <c r="U23" s="348"/>
      <c r="V23" s="348"/>
      <c r="W23" s="348"/>
      <c r="X23" s="348"/>
      <c r="Y23" s="348"/>
      <c r="Z23" s="348"/>
    </row>
    <row r="24" spans="1:26" s="64" customFormat="1" ht="47.25" customHeight="1" thickBot="1" x14ac:dyDescent="0.35">
      <c r="A24" s="343">
        <v>45358</v>
      </c>
      <c r="B24" s="345" t="s">
        <v>12380</v>
      </c>
      <c r="C24" s="344"/>
      <c r="D24" s="344" t="s">
        <v>12341</v>
      </c>
      <c r="E24" s="344" t="s">
        <v>12351</v>
      </c>
      <c r="F24" s="344" t="s">
        <v>12346</v>
      </c>
      <c r="G24" s="347">
        <v>280</v>
      </c>
      <c r="H24" s="347">
        <v>140</v>
      </c>
      <c r="I24" s="347">
        <v>140</v>
      </c>
      <c r="J24" s="344"/>
      <c r="K24" s="344"/>
      <c r="L24" s="344" t="s">
        <v>12341</v>
      </c>
      <c r="M24" s="344" t="s">
        <v>12371</v>
      </c>
      <c r="N24" s="344" t="s">
        <v>12344</v>
      </c>
      <c r="O24" s="348"/>
      <c r="P24" s="348"/>
      <c r="Q24" s="348"/>
      <c r="R24" s="348"/>
      <c r="S24" s="348"/>
      <c r="T24" s="348"/>
      <c r="U24" s="348"/>
      <c r="V24" s="348"/>
      <c r="W24" s="348"/>
      <c r="X24" s="348"/>
      <c r="Y24" s="348"/>
      <c r="Z24" s="348"/>
    </row>
    <row r="25" spans="1:26" s="64" customFormat="1" ht="47.25" customHeight="1" thickBot="1" x14ac:dyDescent="0.35">
      <c r="A25" s="343">
        <v>45358</v>
      </c>
      <c r="B25" s="345" t="s">
        <v>12381</v>
      </c>
      <c r="C25" s="346">
        <v>421902430354</v>
      </c>
      <c r="D25" s="344" t="s">
        <v>12341</v>
      </c>
      <c r="E25" s="344" t="s">
        <v>12382</v>
      </c>
      <c r="F25" s="344" t="s">
        <v>12346</v>
      </c>
      <c r="G25" s="347">
        <v>200</v>
      </c>
      <c r="H25" s="347">
        <v>100</v>
      </c>
      <c r="I25" s="347">
        <v>100</v>
      </c>
      <c r="J25" s="344" t="s">
        <v>12383</v>
      </c>
      <c r="K25" s="344"/>
      <c r="L25" s="344" t="s">
        <v>12341</v>
      </c>
      <c r="M25" s="344" t="s">
        <v>12371</v>
      </c>
      <c r="N25" s="344" t="s">
        <v>12344</v>
      </c>
      <c r="O25" s="348"/>
      <c r="P25" s="348"/>
      <c r="Q25" s="348"/>
      <c r="R25" s="348"/>
      <c r="S25" s="348"/>
      <c r="T25" s="348"/>
      <c r="U25" s="348"/>
      <c r="V25" s="348"/>
      <c r="W25" s="348"/>
      <c r="X25" s="348"/>
      <c r="Y25" s="348"/>
      <c r="Z25" s="348"/>
    </row>
    <row r="26" spans="1:26" s="64" customFormat="1" ht="47.25" customHeight="1" thickBot="1" x14ac:dyDescent="0.35">
      <c r="A26" s="343">
        <v>45358</v>
      </c>
      <c r="B26" s="345" t="s">
        <v>12384</v>
      </c>
      <c r="C26" s="346">
        <v>421907470050</v>
      </c>
      <c r="D26" s="344" t="s">
        <v>12341</v>
      </c>
      <c r="E26" s="344" t="s">
        <v>12356</v>
      </c>
      <c r="F26" s="344" t="s">
        <v>12346</v>
      </c>
      <c r="G26" s="347">
        <v>80</v>
      </c>
      <c r="H26" s="347">
        <v>40</v>
      </c>
      <c r="I26" s="347">
        <v>40</v>
      </c>
      <c r="J26" s="344"/>
      <c r="K26" s="344"/>
      <c r="L26" s="344" t="s">
        <v>12341</v>
      </c>
      <c r="M26" s="344" t="s">
        <v>12371</v>
      </c>
      <c r="N26" s="344" t="s">
        <v>12344</v>
      </c>
      <c r="O26" s="348"/>
      <c r="P26" s="348"/>
      <c r="Q26" s="348"/>
      <c r="R26" s="348"/>
      <c r="S26" s="348"/>
      <c r="T26" s="348"/>
      <c r="U26" s="348"/>
      <c r="V26" s="348"/>
      <c r="W26" s="348"/>
      <c r="X26" s="348"/>
      <c r="Y26" s="348"/>
      <c r="Z26" s="348"/>
    </row>
    <row r="27" spans="1:26" s="64" customFormat="1" ht="47.25" customHeight="1" thickBot="1" x14ac:dyDescent="0.35">
      <c r="A27" s="343">
        <v>45388</v>
      </c>
      <c r="B27" s="345" t="s">
        <v>12385</v>
      </c>
      <c r="C27" s="346">
        <v>421918497788</v>
      </c>
      <c r="D27" s="344" t="s">
        <v>12341</v>
      </c>
      <c r="E27" s="344" t="s">
        <v>12369</v>
      </c>
      <c r="F27" s="344" t="s">
        <v>12334</v>
      </c>
      <c r="G27" s="344"/>
      <c r="H27" s="347">
        <v>40</v>
      </c>
      <c r="I27" s="347">
        <v>40</v>
      </c>
      <c r="J27" s="344"/>
      <c r="K27" s="344"/>
      <c r="L27" s="344" t="s">
        <v>12341</v>
      </c>
      <c r="M27" s="344" t="s">
        <v>12386</v>
      </c>
      <c r="N27" s="344" t="s">
        <v>12339</v>
      </c>
      <c r="O27" s="348"/>
      <c r="P27" s="348"/>
      <c r="Q27" s="348"/>
      <c r="R27" s="348"/>
      <c r="S27" s="348"/>
      <c r="T27" s="348"/>
      <c r="U27" s="348"/>
      <c r="V27" s="348"/>
      <c r="W27" s="348"/>
      <c r="X27" s="348"/>
      <c r="Y27" s="348"/>
      <c r="Z27" s="348"/>
    </row>
    <row r="28" spans="1:26" s="64" customFormat="1" ht="47.25" customHeight="1" thickBot="1" x14ac:dyDescent="0.35">
      <c r="A28" s="343">
        <v>45388</v>
      </c>
      <c r="B28" s="345" t="s">
        <v>12387</v>
      </c>
      <c r="C28" s="346">
        <v>918333096</v>
      </c>
      <c r="D28" s="344" t="s">
        <v>12341</v>
      </c>
      <c r="E28" s="344" t="s">
        <v>12342</v>
      </c>
      <c r="F28" s="344" t="s">
        <v>12346</v>
      </c>
      <c r="G28" s="347">
        <v>150</v>
      </c>
      <c r="H28" s="347">
        <v>75</v>
      </c>
      <c r="I28" s="347">
        <v>75</v>
      </c>
      <c r="J28" s="344"/>
      <c r="K28" s="344"/>
      <c r="L28" s="344" t="s">
        <v>12341</v>
      </c>
      <c r="M28" s="344" t="s">
        <v>12386</v>
      </c>
      <c r="N28" s="344" t="s">
        <v>12344</v>
      </c>
      <c r="O28" s="348"/>
      <c r="P28" s="348"/>
      <c r="Q28" s="348"/>
      <c r="R28" s="348"/>
      <c r="S28" s="348"/>
      <c r="T28" s="348"/>
      <c r="U28" s="348"/>
      <c r="V28" s="348"/>
      <c r="W28" s="348"/>
      <c r="X28" s="348"/>
      <c r="Y28" s="348"/>
      <c r="Z28" s="348"/>
    </row>
    <row r="29" spans="1:26" s="64" customFormat="1" ht="47.25" customHeight="1" thickBot="1" x14ac:dyDescent="0.35">
      <c r="A29" s="343">
        <v>45389</v>
      </c>
      <c r="B29" s="345" t="s">
        <v>12388</v>
      </c>
      <c r="C29" s="346">
        <v>421915574846</v>
      </c>
      <c r="D29" s="344" t="s">
        <v>12341</v>
      </c>
      <c r="E29" s="344" t="s">
        <v>12356</v>
      </c>
      <c r="F29" s="344" t="s">
        <v>12346</v>
      </c>
      <c r="G29" s="347">
        <v>100</v>
      </c>
      <c r="H29" s="347">
        <v>45</v>
      </c>
      <c r="I29" s="347">
        <v>55</v>
      </c>
      <c r="J29" s="344" t="s">
        <v>12389</v>
      </c>
      <c r="K29" s="344"/>
      <c r="L29" s="344" t="s">
        <v>12341</v>
      </c>
      <c r="M29" s="344" t="s">
        <v>12386</v>
      </c>
      <c r="N29" s="344" t="s">
        <v>12344</v>
      </c>
      <c r="O29" s="348"/>
      <c r="P29" s="348"/>
      <c r="Q29" s="348"/>
      <c r="R29" s="348"/>
      <c r="S29" s="348"/>
      <c r="T29" s="348"/>
      <c r="U29" s="348"/>
      <c r="V29" s="348"/>
      <c r="W29" s="348"/>
      <c r="X29" s="348"/>
      <c r="Y29" s="348"/>
      <c r="Z29" s="348"/>
    </row>
    <row r="30" spans="1:26" s="64" customFormat="1" ht="47.25" customHeight="1" thickBot="1" x14ac:dyDescent="0.35">
      <c r="A30" s="343">
        <v>45389</v>
      </c>
      <c r="B30" s="345" t="s">
        <v>12390</v>
      </c>
      <c r="C30" s="346">
        <v>421902705618</v>
      </c>
      <c r="D30" s="344" t="s">
        <v>12346</v>
      </c>
      <c r="E30" s="344" t="s">
        <v>12356</v>
      </c>
      <c r="F30" s="344" t="s">
        <v>12346</v>
      </c>
      <c r="G30" s="347">
        <v>80</v>
      </c>
      <c r="H30" s="347">
        <v>40</v>
      </c>
      <c r="I30" s="347">
        <v>40</v>
      </c>
      <c r="J30" s="344"/>
      <c r="K30" s="344"/>
      <c r="L30" s="344" t="s">
        <v>12391</v>
      </c>
      <c r="M30" s="344" t="s">
        <v>12386</v>
      </c>
      <c r="N30" s="344" t="s">
        <v>12344</v>
      </c>
      <c r="O30" s="348"/>
      <c r="P30" s="348"/>
      <c r="Q30" s="348"/>
      <c r="R30" s="348"/>
      <c r="S30" s="348"/>
      <c r="T30" s="348"/>
      <c r="U30" s="348"/>
      <c r="V30" s="348"/>
      <c r="W30" s="348"/>
      <c r="X30" s="348"/>
      <c r="Y30" s="348"/>
      <c r="Z30" s="348"/>
    </row>
    <row r="31" spans="1:26" s="64" customFormat="1" ht="47.25" customHeight="1" thickBot="1" x14ac:dyDescent="0.35">
      <c r="A31" s="343">
        <v>45389</v>
      </c>
      <c r="B31" s="345" t="s">
        <v>12392</v>
      </c>
      <c r="C31" s="346">
        <v>421915574846</v>
      </c>
      <c r="D31" s="344" t="s">
        <v>12341</v>
      </c>
      <c r="E31" s="344" t="s">
        <v>12356</v>
      </c>
      <c r="F31" s="344" t="s">
        <v>12360</v>
      </c>
      <c r="G31" s="344"/>
      <c r="H31" s="344"/>
      <c r="I31" s="344"/>
      <c r="J31" s="344"/>
      <c r="K31" s="344"/>
      <c r="L31" s="344" t="s">
        <v>12341</v>
      </c>
      <c r="M31" s="344" t="s">
        <v>12386</v>
      </c>
      <c r="N31" s="344" t="s">
        <v>12344</v>
      </c>
      <c r="O31" s="348"/>
      <c r="P31" s="348"/>
      <c r="Q31" s="348"/>
      <c r="R31" s="348"/>
      <c r="S31" s="348"/>
      <c r="T31" s="348"/>
      <c r="U31" s="348"/>
      <c r="V31" s="348"/>
      <c r="W31" s="348"/>
      <c r="X31" s="348"/>
      <c r="Y31" s="348"/>
      <c r="Z31" s="348"/>
    </row>
    <row r="32" spans="1:26" s="64" customFormat="1" ht="47.25" customHeight="1" thickBot="1" x14ac:dyDescent="0.35">
      <c r="A32" s="343">
        <v>45389</v>
      </c>
      <c r="B32" s="345" t="s">
        <v>12393</v>
      </c>
      <c r="C32" s="346">
        <v>421915196062</v>
      </c>
      <c r="D32" s="344" t="s">
        <v>12346</v>
      </c>
      <c r="E32" s="344" t="s">
        <v>12394</v>
      </c>
      <c r="F32" s="344" t="s">
        <v>12360</v>
      </c>
      <c r="G32" s="344"/>
      <c r="H32" s="344"/>
      <c r="I32" s="347">
        <v>105</v>
      </c>
      <c r="J32" s="344"/>
      <c r="K32" s="344"/>
      <c r="L32" s="344" t="s">
        <v>12395</v>
      </c>
      <c r="M32" s="344" t="s">
        <v>12386</v>
      </c>
      <c r="N32" s="344" t="s">
        <v>12344</v>
      </c>
      <c r="O32" s="348"/>
      <c r="P32" s="348"/>
      <c r="Q32" s="348"/>
      <c r="R32" s="348"/>
      <c r="S32" s="348"/>
      <c r="T32" s="348"/>
      <c r="U32" s="348"/>
      <c r="V32" s="348"/>
      <c r="W32" s="348"/>
      <c r="X32" s="348"/>
      <c r="Y32" s="348"/>
      <c r="Z32" s="348"/>
    </row>
    <row r="33" spans="1:26" s="64" customFormat="1" ht="47.25" customHeight="1" thickBot="1" x14ac:dyDescent="0.35">
      <c r="A33" s="343">
        <v>45389</v>
      </c>
      <c r="B33" s="345" t="s">
        <v>12396</v>
      </c>
      <c r="C33" s="346">
        <v>421905206614</v>
      </c>
      <c r="D33" s="344" t="s">
        <v>12346</v>
      </c>
      <c r="E33" s="344" t="s">
        <v>12394</v>
      </c>
      <c r="F33" s="344" t="s">
        <v>12346</v>
      </c>
      <c r="G33" s="347">
        <v>240</v>
      </c>
      <c r="H33" s="347">
        <v>135</v>
      </c>
      <c r="I33" s="347">
        <v>105</v>
      </c>
      <c r="J33" s="344"/>
      <c r="K33" s="344"/>
      <c r="L33" s="344" t="s">
        <v>12397</v>
      </c>
      <c r="M33" s="344" t="s">
        <v>12386</v>
      </c>
      <c r="N33" s="344" t="s">
        <v>12344</v>
      </c>
      <c r="O33" s="348"/>
      <c r="P33" s="348"/>
      <c r="Q33" s="348"/>
      <c r="R33" s="348"/>
      <c r="S33" s="348"/>
      <c r="T33" s="348"/>
      <c r="U33" s="348"/>
      <c r="V33" s="348"/>
      <c r="W33" s="348"/>
      <c r="X33" s="348"/>
      <c r="Y33" s="348"/>
      <c r="Z33" s="348"/>
    </row>
    <row r="34" spans="1:26" s="64" customFormat="1" ht="47.25" customHeight="1" thickBot="1" x14ac:dyDescent="0.35">
      <c r="A34" s="343">
        <v>45389</v>
      </c>
      <c r="B34" s="345" t="s">
        <v>12398</v>
      </c>
      <c r="C34" s="346">
        <v>421902705618</v>
      </c>
      <c r="D34" s="344" t="s">
        <v>12341</v>
      </c>
      <c r="E34" s="344" t="s">
        <v>12356</v>
      </c>
      <c r="F34" s="344" t="s">
        <v>12346</v>
      </c>
      <c r="G34" s="347">
        <v>60</v>
      </c>
      <c r="H34" s="347">
        <v>20</v>
      </c>
      <c r="I34" s="347">
        <v>40</v>
      </c>
      <c r="J34" s="344"/>
      <c r="K34" s="344"/>
      <c r="L34" s="344" t="s">
        <v>12341</v>
      </c>
      <c r="M34" s="344" t="s">
        <v>12386</v>
      </c>
      <c r="N34" s="344" t="s">
        <v>12344</v>
      </c>
      <c r="O34" s="348"/>
      <c r="P34" s="348"/>
      <c r="Q34" s="348"/>
      <c r="R34" s="348"/>
      <c r="S34" s="348"/>
      <c r="T34" s="348"/>
      <c r="U34" s="348"/>
      <c r="V34" s="348"/>
      <c r="W34" s="348"/>
      <c r="X34" s="348"/>
      <c r="Y34" s="348"/>
      <c r="Z34" s="348"/>
    </row>
    <row r="35" spans="1:26" s="64" customFormat="1" ht="47.25" customHeight="1" thickBot="1" x14ac:dyDescent="0.35">
      <c r="A35" s="343">
        <v>45411</v>
      </c>
      <c r="B35" s="345" t="s">
        <v>12335</v>
      </c>
      <c r="C35" s="344"/>
      <c r="D35" s="344" t="s">
        <v>12341</v>
      </c>
      <c r="E35" s="344" t="s">
        <v>12341</v>
      </c>
      <c r="F35" s="344"/>
      <c r="G35" s="344"/>
      <c r="H35" s="344"/>
      <c r="I35" s="344"/>
      <c r="J35" s="344"/>
      <c r="K35" s="344"/>
      <c r="L35" s="344" t="s">
        <v>12341</v>
      </c>
      <c r="M35" s="344" t="s">
        <v>12386</v>
      </c>
      <c r="N35" s="344" t="s">
        <v>12339</v>
      </c>
      <c r="O35" s="348"/>
      <c r="P35" s="348"/>
      <c r="Q35" s="348"/>
      <c r="R35" s="348"/>
      <c r="S35" s="348"/>
      <c r="T35" s="348"/>
      <c r="U35" s="348"/>
      <c r="V35" s="348"/>
      <c r="W35" s="348"/>
      <c r="X35" s="348"/>
      <c r="Y35" s="348"/>
      <c r="Z35" s="348"/>
    </row>
    <row r="36" spans="1:26" s="64" customFormat="1" ht="47.25" customHeight="1" thickBot="1" x14ac:dyDescent="0.35">
      <c r="A36" s="343">
        <v>45411</v>
      </c>
      <c r="B36" s="345" t="s">
        <v>12399</v>
      </c>
      <c r="C36" s="346" t="s">
        <v>12400</v>
      </c>
      <c r="D36" s="344" t="s">
        <v>12341</v>
      </c>
      <c r="E36" s="344" t="s">
        <v>12341</v>
      </c>
      <c r="F36" s="344"/>
      <c r="G36" s="344"/>
      <c r="H36" s="344"/>
      <c r="I36" s="344"/>
      <c r="J36" s="344"/>
      <c r="K36" s="344"/>
      <c r="L36" s="344" t="s">
        <v>12341</v>
      </c>
      <c r="M36" s="344" t="s">
        <v>12386</v>
      </c>
      <c r="N36" s="344" t="s">
        <v>12339</v>
      </c>
      <c r="O36" s="348"/>
      <c r="P36" s="348"/>
      <c r="Q36" s="348"/>
      <c r="R36" s="348"/>
      <c r="S36" s="348"/>
      <c r="T36" s="348"/>
      <c r="U36" s="348"/>
      <c r="V36" s="348"/>
      <c r="W36" s="348"/>
      <c r="X36" s="348"/>
      <c r="Y36" s="348"/>
      <c r="Z36" s="348"/>
    </row>
    <row r="37" spans="1:26" s="64" customFormat="1" ht="47.25" customHeight="1" thickBot="1" x14ac:dyDescent="0.35">
      <c r="A37" s="343">
        <v>45411</v>
      </c>
      <c r="B37" s="345" t="s">
        <v>12401</v>
      </c>
      <c r="C37" s="346">
        <v>421904087288</v>
      </c>
      <c r="D37" s="344" t="s">
        <v>12341</v>
      </c>
      <c r="E37" s="344" t="s">
        <v>12341</v>
      </c>
      <c r="F37" s="344"/>
      <c r="G37" s="344"/>
      <c r="H37" s="344"/>
      <c r="I37" s="344"/>
      <c r="J37" s="344"/>
      <c r="K37" s="344"/>
      <c r="L37" s="344" t="s">
        <v>12341</v>
      </c>
      <c r="M37" s="344" t="s">
        <v>12386</v>
      </c>
      <c r="N37" s="344" t="s">
        <v>12339</v>
      </c>
      <c r="O37" s="348"/>
      <c r="P37" s="348"/>
      <c r="Q37" s="348"/>
      <c r="R37" s="348"/>
      <c r="S37" s="348"/>
      <c r="T37" s="348"/>
      <c r="U37" s="348"/>
      <c r="V37" s="348"/>
      <c r="W37" s="348"/>
      <c r="X37" s="348"/>
      <c r="Y37" s="348"/>
      <c r="Z37" s="348"/>
    </row>
    <row r="38" spans="1:26" s="64" customFormat="1" ht="47.25" customHeight="1" thickBot="1" x14ac:dyDescent="0.35">
      <c r="A38" s="343">
        <v>45411</v>
      </c>
      <c r="B38" s="345" t="s">
        <v>12402</v>
      </c>
      <c r="C38" s="346">
        <v>421902705618</v>
      </c>
      <c r="D38" s="344" t="s">
        <v>12341</v>
      </c>
      <c r="E38" s="344" t="s">
        <v>12341</v>
      </c>
      <c r="F38" s="344"/>
      <c r="G38" s="344"/>
      <c r="H38" s="344"/>
      <c r="I38" s="344"/>
      <c r="J38" s="344"/>
      <c r="K38" s="344"/>
      <c r="L38" s="344" t="s">
        <v>12341</v>
      </c>
      <c r="M38" s="344" t="s">
        <v>12386</v>
      </c>
      <c r="N38" s="344" t="s">
        <v>12339</v>
      </c>
      <c r="O38" s="348"/>
      <c r="P38" s="348"/>
      <c r="Q38" s="348"/>
      <c r="R38" s="348"/>
      <c r="S38" s="348"/>
      <c r="T38" s="348"/>
      <c r="U38" s="348"/>
      <c r="V38" s="348"/>
      <c r="W38" s="348"/>
      <c r="X38" s="348"/>
      <c r="Y38" s="348"/>
      <c r="Z38" s="348"/>
    </row>
    <row r="39" spans="1:26" s="64" customFormat="1" ht="47.25" customHeight="1" thickBot="1" x14ac:dyDescent="0.35">
      <c r="A39" s="343">
        <v>45411</v>
      </c>
      <c r="B39" s="345" t="s">
        <v>12403</v>
      </c>
      <c r="C39" s="346" t="s">
        <v>12404</v>
      </c>
      <c r="D39" s="344" t="s">
        <v>12341</v>
      </c>
      <c r="E39" s="344" t="s">
        <v>12341</v>
      </c>
      <c r="F39" s="344"/>
      <c r="G39" s="344"/>
      <c r="H39" s="344"/>
      <c r="I39" s="344"/>
      <c r="J39" s="344"/>
      <c r="K39" s="344"/>
      <c r="L39" s="344" t="s">
        <v>12341</v>
      </c>
      <c r="M39" s="344" t="s">
        <v>12386</v>
      </c>
      <c r="N39" s="344" t="s">
        <v>12339</v>
      </c>
      <c r="O39" s="348"/>
      <c r="P39" s="348"/>
      <c r="Q39" s="348"/>
      <c r="R39" s="348"/>
      <c r="S39" s="348"/>
      <c r="T39" s="348"/>
      <c r="U39" s="348"/>
      <c r="V39" s="348"/>
      <c r="W39" s="348"/>
      <c r="X39" s="348"/>
      <c r="Y39" s="348"/>
      <c r="Z39" s="348"/>
    </row>
    <row r="40" spans="1:26" s="64" customFormat="1" ht="47.25" customHeight="1" thickBot="1" x14ac:dyDescent="0.35">
      <c r="A40" s="343">
        <v>45411</v>
      </c>
      <c r="B40" s="345" t="s">
        <v>12405</v>
      </c>
      <c r="C40" s="346">
        <v>421905472808</v>
      </c>
      <c r="D40" s="344" t="s">
        <v>12341</v>
      </c>
      <c r="E40" s="344" t="s">
        <v>12341</v>
      </c>
      <c r="F40" s="344"/>
      <c r="G40" s="344"/>
      <c r="H40" s="344"/>
      <c r="I40" s="344"/>
      <c r="J40" s="344"/>
      <c r="K40" s="344"/>
      <c r="L40" s="344" t="s">
        <v>12341</v>
      </c>
      <c r="M40" s="344" t="s">
        <v>12386</v>
      </c>
      <c r="N40" s="344" t="s">
        <v>12339</v>
      </c>
      <c r="O40" s="348"/>
      <c r="P40" s="348"/>
      <c r="Q40" s="348"/>
      <c r="R40" s="348"/>
      <c r="S40" s="348"/>
      <c r="T40" s="348"/>
      <c r="U40" s="348"/>
      <c r="V40" s="348"/>
      <c r="W40" s="348"/>
      <c r="X40" s="348"/>
      <c r="Y40" s="348"/>
      <c r="Z40" s="348"/>
    </row>
    <row r="41" spans="1:26" s="64" customFormat="1" ht="47.25" customHeight="1" thickBot="1" x14ac:dyDescent="0.35">
      <c r="A41" s="343">
        <v>45411</v>
      </c>
      <c r="B41" s="345" t="s">
        <v>12406</v>
      </c>
      <c r="C41" s="346">
        <v>421902705618</v>
      </c>
      <c r="D41" s="344" t="s">
        <v>12341</v>
      </c>
      <c r="E41" s="344" t="s">
        <v>12341</v>
      </c>
      <c r="F41" s="344"/>
      <c r="G41" s="344"/>
      <c r="H41" s="344"/>
      <c r="I41" s="344"/>
      <c r="J41" s="344"/>
      <c r="K41" s="344"/>
      <c r="L41" s="344" t="s">
        <v>12341</v>
      </c>
      <c r="M41" s="344" t="s">
        <v>12386</v>
      </c>
      <c r="N41" s="344" t="s">
        <v>12339</v>
      </c>
      <c r="O41" s="348"/>
      <c r="P41" s="348"/>
      <c r="Q41" s="348"/>
      <c r="R41" s="348"/>
      <c r="S41" s="348"/>
      <c r="T41" s="348"/>
      <c r="U41" s="348"/>
      <c r="V41" s="348"/>
      <c r="W41" s="348"/>
      <c r="X41" s="348"/>
      <c r="Y41" s="348"/>
      <c r="Z41" s="348"/>
    </row>
    <row r="42" spans="1:26" s="64" customFormat="1" ht="47.25" customHeight="1" thickBot="1" x14ac:dyDescent="0.35">
      <c r="A42" s="343">
        <v>45411</v>
      </c>
      <c r="B42" s="345" t="s">
        <v>12407</v>
      </c>
      <c r="C42" s="346">
        <v>421908911322</v>
      </c>
      <c r="D42" s="344" t="s">
        <v>12341</v>
      </c>
      <c r="E42" s="344" t="s">
        <v>12341</v>
      </c>
      <c r="F42" s="344"/>
      <c r="G42" s="344"/>
      <c r="H42" s="344"/>
      <c r="I42" s="344"/>
      <c r="J42" s="344"/>
      <c r="K42" s="344"/>
      <c r="L42" s="344" t="s">
        <v>12341</v>
      </c>
      <c r="M42" s="344" t="s">
        <v>12386</v>
      </c>
      <c r="N42" s="344" t="s">
        <v>12339</v>
      </c>
      <c r="O42" s="348"/>
      <c r="P42" s="348"/>
      <c r="Q42" s="348"/>
      <c r="R42" s="348"/>
      <c r="S42" s="348"/>
      <c r="T42" s="348"/>
      <c r="U42" s="348"/>
      <c r="V42" s="348"/>
      <c r="W42" s="348"/>
      <c r="X42" s="348"/>
      <c r="Y42" s="348"/>
      <c r="Z42" s="348"/>
    </row>
    <row r="43" spans="1:26" s="64" customFormat="1" ht="47.25" customHeight="1" thickBot="1" x14ac:dyDescent="0.35">
      <c r="A43" s="343">
        <v>45411</v>
      </c>
      <c r="B43" s="345" t="s">
        <v>12408</v>
      </c>
      <c r="C43" s="346" t="s">
        <v>12409</v>
      </c>
      <c r="D43" s="344" t="s">
        <v>12341</v>
      </c>
      <c r="E43" s="344" t="s">
        <v>12341</v>
      </c>
      <c r="F43" s="344"/>
      <c r="G43" s="344"/>
      <c r="H43" s="344"/>
      <c r="I43" s="344"/>
      <c r="J43" s="344"/>
      <c r="K43" s="344"/>
      <c r="L43" s="344" t="s">
        <v>12410</v>
      </c>
      <c r="M43" s="344" t="s">
        <v>12386</v>
      </c>
      <c r="N43" s="344" t="s">
        <v>12339</v>
      </c>
      <c r="O43" s="348"/>
      <c r="P43" s="348"/>
      <c r="Q43" s="348"/>
      <c r="R43" s="348"/>
      <c r="S43" s="348"/>
      <c r="T43" s="348"/>
      <c r="U43" s="348"/>
      <c r="V43" s="348"/>
      <c r="W43" s="348"/>
      <c r="X43" s="348"/>
      <c r="Y43" s="348"/>
      <c r="Z43" s="348"/>
    </row>
    <row r="44" spans="1:26" s="64" customFormat="1" ht="47.25" customHeight="1" thickBot="1" x14ac:dyDescent="0.35">
      <c r="A44" s="343">
        <v>45411</v>
      </c>
      <c r="B44" s="345" t="s">
        <v>12411</v>
      </c>
      <c r="C44" s="346">
        <v>421908951010</v>
      </c>
      <c r="D44" s="344" t="s">
        <v>12341</v>
      </c>
      <c r="E44" s="344" t="s">
        <v>12341</v>
      </c>
      <c r="F44" s="344"/>
      <c r="G44" s="344"/>
      <c r="H44" s="344"/>
      <c r="I44" s="344"/>
      <c r="J44" s="344"/>
      <c r="K44" s="344"/>
      <c r="L44" s="344" t="s">
        <v>12412</v>
      </c>
      <c r="M44" s="344" t="s">
        <v>12386</v>
      </c>
      <c r="N44" s="344" t="s">
        <v>12339</v>
      </c>
      <c r="O44" s="348"/>
      <c r="P44" s="348"/>
      <c r="Q44" s="348"/>
      <c r="R44" s="348"/>
      <c r="S44" s="348"/>
      <c r="T44" s="348"/>
      <c r="U44" s="348"/>
      <c r="V44" s="348"/>
      <c r="W44" s="348"/>
      <c r="X44" s="348"/>
      <c r="Y44" s="348"/>
      <c r="Z44" s="348"/>
    </row>
    <row r="45" spans="1:26" s="64" customFormat="1" ht="47.25" customHeight="1" thickBot="1" x14ac:dyDescent="0.35">
      <c r="A45" s="343">
        <v>45411</v>
      </c>
      <c r="B45" s="345" t="s">
        <v>12413</v>
      </c>
      <c r="C45" s="346">
        <v>421902705618</v>
      </c>
      <c r="D45" s="344" t="s">
        <v>12341</v>
      </c>
      <c r="E45" s="344" t="s">
        <v>12341</v>
      </c>
      <c r="F45" s="344"/>
      <c r="G45" s="344"/>
      <c r="H45" s="344"/>
      <c r="I45" s="344"/>
      <c r="J45" s="344"/>
      <c r="K45" s="344"/>
      <c r="L45" s="344" t="s">
        <v>12341</v>
      </c>
      <c r="M45" s="344" t="s">
        <v>12386</v>
      </c>
      <c r="N45" s="344" t="s">
        <v>12339</v>
      </c>
      <c r="O45" s="348"/>
      <c r="P45" s="348"/>
      <c r="Q45" s="348"/>
      <c r="R45" s="348"/>
      <c r="S45" s="348"/>
      <c r="T45" s="348"/>
      <c r="U45" s="348"/>
      <c r="V45" s="348"/>
      <c r="W45" s="348"/>
      <c r="X45" s="348"/>
      <c r="Y45" s="348"/>
      <c r="Z45" s="348"/>
    </row>
    <row r="46" spans="1:26" s="64" customFormat="1" ht="47.25" customHeight="1" thickBot="1" x14ac:dyDescent="0.35">
      <c r="A46" s="343">
        <v>45411</v>
      </c>
      <c r="B46" s="345" t="s">
        <v>12414</v>
      </c>
      <c r="C46" s="346">
        <v>421905854198</v>
      </c>
      <c r="D46" s="344" t="s">
        <v>12341</v>
      </c>
      <c r="E46" s="344" t="s">
        <v>12341</v>
      </c>
      <c r="F46" s="344"/>
      <c r="G46" s="344"/>
      <c r="H46" s="344"/>
      <c r="I46" s="344"/>
      <c r="J46" s="344"/>
      <c r="K46" s="344"/>
      <c r="L46" s="344" t="s">
        <v>12341</v>
      </c>
      <c r="M46" s="344" t="s">
        <v>12386</v>
      </c>
      <c r="N46" s="344" t="s">
        <v>12339</v>
      </c>
      <c r="O46" s="348"/>
      <c r="P46" s="348"/>
      <c r="Q46" s="348"/>
      <c r="R46" s="348"/>
      <c r="S46" s="348"/>
      <c r="T46" s="348"/>
      <c r="U46" s="348"/>
      <c r="V46" s="348"/>
      <c r="W46" s="348"/>
      <c r="X46" s="348"/>
      <c r="Y46" s="348"/>
      <c r="Z46" s="348"/>
    </row>
    <row r="47" spans="1:26" s="64" customFormat="1" ht="47.25" customHeight="1" thickBot="1" x14ac:dyDescent="0.35">
      <c r="A47" s="343">
        <v>45411</v>
      </c>
      <c r="B47" s="345" t="s">
        <v>12415</v>
      </c>
      <c r="C47" s="346">
        <v>421902705618</v>
      </c>
      <c r="D47" s="344" t="s">
        <v>12341</v>
      </c>
      <c r="E47" s="344" t="s">
        <v>12341</v>
      </c>
      <c r="F47" s="344"/>
      <c r="G47" s="344"/>
      <c r="H47" s="344"/>
      <c r="I47" s="344"/>
      <c r="J47" s="344"/>
      <c r="K47" s="344"/>
      <c r="L47" s="344" t="s">
        <v>12341</v>
      </c>
      <c r="M47" s="344" t="s">
        <v>12386</v>
      </c>
      <c r="N47" s="344" t="s">
        <v>12339</v>
      </c>
      <c r="O47" s="348"/>
      <c r="P47" s="348"/>
      <c r="Q47" s="348"/>
      <c r="R47" s="348"/>
      <c r="S47" s="348"/>
      <c r="T47" s="348"/>
      <c r="U47" s="348"/>
      <c r="V47" s="348"/>
      <c r="W47" s="348"/>
      <c r="X47" s="348"/>
      <c r="Y47" s="348"/>
      <c r="Z47" s="348"/>
    </row>
    <row r="48" spans="1:26" s="64" customFormat="1" ht="47.25" customHeight="1" thickBot="1" x14ac:dyDescent="0.35">
      <c r="A48" s="343">
        <v>45411</v>
      </c>
      <c r="B48" s="345" t="s">
        <v>12416</v>
      </c>
      <c r="C48" s="346">
        <v>421918712719</v>
      </c>
      <c r="D48" s="344" t="s">
        <v>12341</v>
      </c>
      <c r="E48" s="344" t="s">
        <v>12341</v>
      </c>
      <c r="F48" s="344"/>
      <c r="G48" s="344"/>
      <c r="H48" s="344"/>
      <c r="I48" s="344"/>
      <c r="J48" s="344"/>
      <c r="K48" s="344"/>
      <c r="L48" s="344" t="s">
        <v>12341</v>
      </c>
      <c r="M48" s="344" t="s">
        <v>12386</v>
      </c>
      <c r="N48" s="344" t="s">
        <v>12339</v>
      </c>
      <c r="O48" s="348"/>
      <c r="P48" s="348"/>
      <c r="Q48" s="348"/>
      <c r="R48" s="348"/>
      <c r="S48" s="348"/>
      <c r="T48" s="348"/>
      <c r="U48" s="348"/>
      <c r="V48" s="348"/>
      <c r="W48" s="348"/>
      <c r="X48" s="348"/>
      <c r="Y48" s="348"/>
      <c r="Z48" s="348"/>
    </row>
    <row r="49" spans="1:26" s="64" customFormat="1" ht="47.25" customHeight="1" thickBot="1" x14ac:dyDescent="0.35">
      <c r="A49" s="343">
        <v>45411</v>
      </c>
      <c r="B49" s="345" t="s">
        <v>12417</v>
      </c>
      <c r="C49" s="346">
        <v>421904087288</v>
      </c>
      <c r="D49" s="344" t="s">
        <v>12341</v>
      </c>
      <c r="E49" s="344" t="s">
        <v>12341</v>
      </c>
      <c r="F49" s="344"/>
      <c r="G49" s="344"/>
      <c r="H49" s="344"/>
      <c r="I49" s="344"/>
      <c r="J49" s="344"/>
      <c r="K49" s="344"/>
      <c r="L49" s="344" t="s">
        <v>12341</v>
      </c>
      <c r="M49" s="344" t="s">
        <v>12386</v>
      </c>
      <c r="N49" s="344" t="s">
        <v>12339</v>
      </c>
      <c r="O49" s="348"/>
      <c r="P49" s="348"/>
      <c r="Q49" s="348"/>
      <c r="R49" s="348"/>
      <c r="S49" s="348"/>
      <c r="T49" s="348"/>
      <c r="U49" s="348"/>
      <c r="V49" s="348"/>
      <c r="W49" s="348"/>
      <c r="X49" s="348"/>
      <c r="Y49" s="348"/>
      <c r="Z49" s="348"/>
    </row>
    <row r="50" spans="1:26" s="64" customFormat="1" ht="47.25" customHeight="1" thickBot="1" x14ac:dyDescent="0.35">
      <c r="A50" s="343">
        <v>45411</v>
      </c>
      <c r="B50" s="345" t="s">
        <v>12418</v>
      </c>
      <c r="C50" s="346">
        <v>421902705618</v>
      </c>
      <c r="D50" s="344" t="s">
        <v>12341</v>
      </c>
      <c r="E50" s="344" t="s">
        <v>12341</v>
      </c>
      <c r="F50" s="344"/>
      <c r="G50" s="344"/>
      <c r="H50" s="344"/>
      <c r="I50" s="344"/>
      <c r="J50" s="344"/>
      <c r="K50" s="344"/>
      <c r="L50" s="344" t="s">
        <v>12341</v>
      </c>
      <c r="M50" s="344" t="s">
        <v>12386</v>
      </c>
      <c r="N50" s="344" t="s">
        <v>12339</v>
      </c>
      <c r="O50" s="348"/>
      <c r="P50" s="348"/>
      <c r="Q50" s="348"/>
      <c r="R50" s="348"/>
      <c r="S50" s="348"/>
      <c r="T50" s="348"/>
      <c r="U50" s="348"/>
      <c r="V50" s="348"/>
      <c r="W50" s="348"/>
      <c r="X50" s="348"/>
      <c r="Y50" s="348"/>
      <c r="Z50" s="348"/>
    </row>
    <row r="51" spans="1:26" s="64" customFormat="1" ht="47.25" customHeight="1" thickBot="1" x14ac:dyDescent="0.35">
      <c r="A51" s="343">
        <v>45411</v>
      </c>
      <c r="B51" s="345" t="s">
        <v>12419</v>
      </c>
      <c r="C51" s="346">
        <v>421919264307</v>
      </c>
      <c r="D51" s="344" t="s">
        <v>12341</v>
      </c>
      <c r="E51" s="344" t="s">
        <v>12341</v>
      </c>
      <c r="F51" s="344"/>
      <c r="G51" s="344"/>
      <c r="H51" s="344"/>
      <c r="I51" s="344"/>
      <c r="J51" s="344"/>
      <c r="K51" s="344"/>
      <c r="L51" s="344" t="s">
        <v>12341</v>
      </c>
      <c r="M51" s="344" t="s">
        <v>12386</v>
      </c>
      <c r="N51" s="344" t="s">
        <v>12339</v>
      </c>
      <c r="O51" s="348"/>
      <c r="P51" s="348"/>
      <c r="Q51" s="348"/>
      <c r="R51" s="348"/>
      <c r="S51" s="348"/>
      <c r="T51" s="348"/>
      <c r="U51" s="348"/>
      <c r="V51" s="348"/>
      <c r="W51" s="348"/>
      <c r="X51" s="348"/>
      <c r="Y51" s="348"/>
      <c r="Z51" s="348"/>
    </row>
    <row r="52" spans="1:26" s="64" customFormat="1" ht="47.25" customHeight="1" thickBot="1" x14ac:dyDescent="0.35">
      <c r="A52" s="343">
        <v>45411</v>
      </c>
      <c r="B52" s="345" t="s">
        <v>12420</v>
      </c>
      <c r="C52" s="346">
        <v>421903438235</v>
      </c>
      <c r="D52" s="344" t="s">
        <v>12341</v>
      </c>
      <c r="E52" s="344" t="s">
        <v>12341</v>
      </c>
      <c r="F52" s="344"/>
      <c r="G52" s="344"/>
      <c r="H52" s="344"/>
      <c r="I52" s="344"/>
      <c r="J52" s="344"/>
      <c r="K52" s="344"/>
      <c r="L52" s="344" t="s">
        <v>12341</v>
      </c>
      <c r="M52" s="344" t="s">
        <v>12386</v>
      </c>
      <c r="N52" s="344" t="s">
        <v>12339</v>
      </c>
      <c r="O52" s="348"/>
      <c r="P52" s="348"/>
      <c r="Q52" s="348"/>
      <c r="R52" s="348"/>
      <c r="S52" s="348"/>
      <c r="T52" s="348"/>
      <c r="U52" s="348"/>
      <c r="V52" s="348"/>
      <c r="W52" s="348"/>
      <c r="X52" s="348"/>
      <c r="Y52" s="348"/>
      <c r="Z52" s="348"/>
    </row>
    <row r="53" spans="1:26" s="64" customFormat="1" ht="47.25" customHeight="1" thickBot="1" x14ac:dyDescent="0.35">
      <c r="A53" s="343">
        <v>45411</v>
      </c>
      <c r="B53" s="345" t="s">
        <v>12421</v>
      </c>
      <c r="C53" s="346">
        <v>421910220772</v>
      </c>
      <c r="D53" s="344" t="s">
        <v>12341</v>
      </c>
      <c r="E53" s="344" t="s">
        <v>12341</v>
      </c>
      <c r="F53" s="344"/>
      <c r="G53" s="344"/>
      <c r="H53" s="344"/>
      <c r="I53" s="344"/>
      <c r="J53" s="344"/>
      <c r="K53" s="344"/>
      <c r="L53" s="344" t="s">
        <v>12341</v>
      </c>
      <c r="M53" s="344" t="s">
        <v>12386</v>
      </c>
      <c r="N53" s="344" t="s">
        <v>12339</v>
      </c>
      <c r="O53" s="348"/>
      <c r="P53" s="348"/>
      <c r="Q53" s="348"/>
      <c r="R53" s="348"/>
      <c r="S53" s="348"/>
      <c r="T53" s="348"/>
      <c r="U53" s="348"/>
      <c r="V53" s="348"/>
      <c r="W53" s="348"/>
      <c r="X53" s="348"/>
      <c r="Y53" s="348"/>
      <c r="Z53" s="348"/>
    </row>
    <row r="54" spans="1:26" s="64" customFormat="1" ht="47.25" customHeight="1" thickBot="1" x14ac:dyDescent="0.35">
      <c r="A54" s="343">
        <v>45411</v>
      </c>
      <c r="B54" s="345" t="s">
        <v>12422</v>
      </c>
      <c r="C54" s="346">
        <v>421911980082</v>
      </c>
      <c r="D54" s="344" t="s">
        <v>12341</v>
      </c>
      <c r="E54" s="344" t="s">
        <v>12341</v>
      </c>
      <c r="F54" s="344"/>
      <c r="G54" s="344"/>
      <c r="H54" s="344"/>
      <c r="I54" s="344"/>
      <c r="J54" s="344"/>
      <c r="K54" s="344"/>
      <c r="L54" s="344" t="s">
        <v>12341</v>
      </c>
      <c r="M54" s="344" t="s">
        <v>12386</v>
      </c>
      <c r="N54" s="344" t="s">
        <v>12339</v>
      </c>
      <c r="O54" s="348"/>
      <c r="P54" s="348"/>
      <c r="Q54" s="348"/>
      <c r="R54" s="348"/>
      <c r="S54" s="348"/>
      <c r="T54" s="348"/>
      <c r="U54" s="348"/>
      <c r="V54" s="348"/>
      <c r="W54" s="348"/>
      <c r="X54" s="348"/>
      <c r="Y54" s="348"/>
      <c r="Z54" s="348"/>
    </row>
    <row r="55" spans="1:26" s="64" customFormat="1" ht="47.25" customHeight="1" thickBot="1" x14ac:dyDescent="0.35">
      <c r="A55" s="343">
        <v>45411</v>
      </c>
      <c r="B55" s="345" t="s">
        <v>12423</v>
      </c>
      <c r="C55" s="346" t="s">
        <v>12424</v>
      </c>
      <c r="D55" s="344" t="s">
        <v>12346</v>
      </c>
      <c r="E55" s="344" t="s">
        <v>12341</v>
      </c>
      <c r="F55" s="344"/>
      <c r="G55" s="344"/>
      <c r="H55" s="344"/>
      <c r="I55" s="344"/>
      <c r="J55" s="344"/>
      <c r="K55" s="344"/>
      <c r="L55" s="344" t="s">
        <v>12425</v>
      </c>
      <c r="M55" s="344" t="s">
        <v>12386</v>
      </c>
      <c r="N55" s="344" t="s">
        <v>12339</v>
      </c>
      <c r="O55" s="348"/>
      <c r="P55" s="348"/>
      <c r="Q55" s="348"/>
      <c r="R55" s="348"/>
      <c r="S55" s="348"/>
      <c r="T55" s="348"/>
      <c r="U55" s="348"/>
      <c r="V55" s="348"/>
      <c r="W55" s="348"/>
      <c r="X55" s="348"/>
      <c r="Y55" s="348"/>
      <c r="Z55" s="348"/>
    </row>
    <row r="56" spans="1:26" s="64" customFormat="1" ht="47.25" customHeight="1" thickBot="1" x14ac:dyDescent="0.35">
      <c r="A56" s="343">
        <v>45411</v>
      </c>
      <c r="B56" s="345" t="s">
        <v>12426</v>
      </c>
      <c r="C56" s="346">
        <v>421903757149</v>
      </c>
      <c r="D56" s="344" t="s">
        <v>12341</v>
      </c>
      <c r="E56" s="344" t="s">
        <v>12427</v>
      </c>
      <c r="F56" s="344" t="s">
        <v>12341</v>
      </c>
      <c r="G56" s="347">
        <v>80</v>
      </c>
      <c r="H56" s="347">
        <v>40</v>
      </c>
      <c r="I56" s="347">
        <v>40</v>
      </c>
      <c r="J56" s="344"/>
      <c r="K56" s="344"/>
      <c r="L56" s="344" t="s">
        <v>12428</v>
      </c>
      <c r="M56" s="344" t="s">
        <v>12386</v>
      </c>
      <c r="N56" s="344" t="s">
        <v>12339</v>
      </c>
      <c r="O56" s="348"/>
      <c r="P56" s="348"/>
      <c r="Q56" s="348"/>
      <c r="R56" s="348"/>
      <c r="S56" s="348"/>
      <c r="T56" s="348"/>
      <c r="U56" s="348"/>
      <c r="V56" s="348"/>
      <c r="W56" s="348"/>
      <c r="X56" s="348"/>
      <c r="Y56" s="348"/>
      <c r="Z56" s="348"/>
    </row>
    <row r="57" spans="1:26" s="64" customFormat="1" ht="47.25" customHeight="1" thickBot="1" x14ac:dyDescent="0.35">
      <c r="A57" s="343">
        <v>45411</v>
      </c>
      <c r="B57" s="345" t="s">
        <v>6668</v>
      </c>
      <c r="C57" s="346">
        <v>421911964313</v>
      </c>
      <c r="D57" s="344" t="s">
        <v>12341</v>
      </c>
      <c r="E57" s="344" t="s">
        <v>12341</v>
      </c>
      <c r="F57" s="344"/>
      <c r="G57" s="344"/>
      <c r="H57" s="344"/>
      <c r="I57" s="344"/>
      <c r="J57" s="344"/>
      <c r="K57" s="344"/>
      <c r="L57" s="344" t="s">
        <v>12341</v>
      </c>
      <c r="M57" s="344" t="s">
        <v>12386</v>
      </c>
      <c r="N57" s="344" t="s">
        <v>12339</v>
      </c>
      <c r="O57" s="348"/>
      <c r="P57" s="348"/>
      <c r="Q57" s="348"/>
      <c r="R57" s="348"/>
      <c r="S57" s="348"/>
      <c r="T57" s="348"/>
      <c r="U57" s="348"/>
      <c r="V57" s="348"/>
      <c r="W57" s="348"/>
      <c r="X57" s="348"/>
      <c r="Y57" s="348"/>
      <c r="Z57" s="348"/>
    </row>
    <row r="58" spans="1:26" s="64" customFormat="1" ht="47.25" customHeight="1" thickBot="1" x14ac:dyDescent="0.35">
      <c r="A58" s="343">
        <v>45411</v>
      </c>
      <c r="B58" s="345" t="s">
        <v>12429</v>
      </c>
      <c r="C58" s="346">
        <v>421903969377</v>
      </c>
      <c r="D58" s="344" t="s">
        <v>12341</v>
      </c>
      <c r="E58" s="344" t="s">
        <v>12341</v>
      </c>
      <c r="F58" s="344"/>
      <c r="G58" s="344"/>
      <c r="H58" s="344"/>
      <c r="I58" s="344"/>
      <c r="J58" s="344"/>
      <c r="K58" s="344"/>
      <c r="L58" s="344" t="s">
        <v>12430</v>
      </c>
      <c r="M58" s="344" t="s">
        <v>12386</v>
      </c>
      <c r="N58" s="344" t="s">
        <v>12339</v>
      </c>
      <c r="O58" s="348"/>
      <c r="P58" s="348"/>
      <c r="Q58" s="348"/>
      <c r="R58" s="348"/>
      <c r="S58" s="348"/>
      <c r="T58" s="348"/>
      <c r="U58" s="348"/>
      <c r="V58" s="348"/>
      <c r="W58" s="348"/>
      <c r="X58" s="348"/>
      <c r="Y58" s="348"/>
      <c r="Z58" s="348"/>
    </row>
    <row r="59" spans="1:26" s="64" customFormat="1" ht="47.25" customHeight="1" thickBot="1" x14ac:dyDescent="0.35">
      <c r="A59" s="343">
        <v>45411</v>
      </c>
      <c r="B59" s="345" t="s">
        <v>12431</v>
      </c>
      <c r="C59" s="346">
        <v>421902705618</v>
      </c>
      <c r="D59" s="344" t="s">
        <v>12341</v>
      </c>
      <c r="E59" s="344" t="s">
        <v>12341</v>
      </c>
      <c r="F59" s="344"/>
      <c r="G59" s="344"/>
      <c r="H59" s="344"/>
      <c r="I59" s="344"/>
      <c r="J59" s="344"/>
      <c r="K59" s="344"/>
      <c r="L59" s="344" t="s">
        <v>12341</v>
      </c>
      <c r="M59" s="344" t="s">
        <v>12386</v>
      </c>
      <c r="N59" s="344" t="s">
        <v>12339</v>
      </c>
      <c r="O59" s="348"/>
      <c r="P59" s="348"/>
      <c r="Q59" s="348"/>
      <c r="R59" s="348"/>
      <c r="S59" s="348"/>
      <c r="T59" s="348"/>
      <c r="U59" s="348"/>
      <c r="V59" s="348"/>
      <c r="W59" s="348"/>
      <c r="X59" s="348"/>
      <c r="Y59" s="348"/>
      <c r="Z59" s="348"/>
    </row>
    <row r="60" spans="1:26" s="64" customFormat="1" ht="47.25" customHeight="1" thickBot="1" x14ac:dyDescent="0.35">
      <c r="A60" s="343">
        <v>45411</v>
      </c>
      <c r="B60" s="345" t="s">
        <v>12432</v>
      </c>
      <c r="C60" s="346">
        <v>421948192444</v>
      </c>
      <c r="D60" s="344" t="s">
        <v>12341</v>
      </c>
      <c r="E60" s="344" t="s">
        <v>12394</v>
      </c>
      <c r="F60" s="344" t="s">
        <v>12360</v>
      </c>
      <c r="G60" s="344"/>
      <c r="H60" s="344"/>
      <c r="I60" s="347">
        <v>105</v>
      </c>
      <c r="J60" s="344"/>
      <c r="K60" s="344"/>
      <c r="L60" s="344" t="s">
        <v>12341</v>
      </c>
      <c r="M60" s="344" t="s">
        <v>12386</v>
      </c>
      <c r="N60" s="344" t="s">
        <v>12344</v>
      </c>
      <c r="O60" s="348"/>
      <c r="P60" s="348"/>
      <c r="Q60" s="348"/>
      <c r="R60" s="348"/>
      <c r="S60" s="348"/>
      <c r="T60" s="348"/>
      <c r="U60" s="348"/>
      <c r="V60" s="348"/>
      <c r="W60" s="348"/>
      <c r="X60" s="348"/>
      <c r="Y60" s="348"/>
      <c r="Z60" s="348"/>
    </row>
    <row r="61" spans="1:26" s="64" customFormat="1" ht="47.25" customHeight="1" thickBot="1" x14ac:dyDescent="0.35">
      <c r="A61" s="343">
        <v>45411</v>
      </c>
      <c r="B61" s="345" t="s">
        <v>12433</v>
      </c>
      <c r="C61" s="346" t="s">
        <v>12434</v>
      </c>
      <c r="D61" s="344" t="s">
        <v>12346</v>
      </c>
      <c r="E61" s="344" t="s">
        <v>12341</v>
      </c>
      <c r="F61" s="344"/>
      <c r="G61" s="344"/>
      <c r="H61" s="344"/>
      <c r="I61" s="344"/>
      <c r="J61" s="344"/>
      <c r="K61" s="344"/>
      <c r="L61" s="344" t="s">
        <v>12435</v>
      </c>
      <c r="M61" s="344" t="s">
        <v>12386</v>
      </c>
      <c r="N61" s="344" t="s">
        <v>12339</v>
      </c>
      <c r="O61" s="348"/>
      <c r="P61" s="348"/>
      <c r="Q61" s="348"/>
      <c r="R61" s="348"/>
      <c r="S61" s="348"/>
      <c r="T61" s="348"/>
      <c r="U61" s="348"/>
      <c r="V61" s="348"/>
      <c r="W61" s="348"/>
      <c r="X61" s="348"/>
      <c r="Y61" s="348"/>
      <c r="Z61" s="348"/>
    </row>
    <row r="62" spans="1:26" s="64" customFormat="1" ht="47.25" customHeight="1" thickBot="1" x14ac:dyDescent="0.35">
      <c r="A62" s="343">
        <v>45411</v>
      </c>
      <c r="B62" s="345" t="s">
        <v>12436</v>
      </c>
      <c r="C62" s="346">
        <v>421940597154</v>
      </c>
      <c r="D62" s="344" t="s">
        <v>12341</v>
      </c>
      <c r="E62" s="344" t="s">
        <v>12341</v>
      </c>
      <c r="F62" s="344"/>
      <c r="G62" s="344"/>
      <c r="H62" s="344"/>
      <c r="I62" s="344"/>
      <c r="J62" s="344"/>
      <c r="K62" s="344"/>
      <c r="L62" s="344" t="s">
        <v>12341</v>
      </c>
      <c r="M62" s="344" t="s">
        <v>12386</v>
      </c>
      <c r="N62" s="344" t="s">
        <v>12339</v>
      </c>
      <c r="O62" s="348"/>
      <c r="P62" s="348"/>
      <c r="Q62" s="348"/>
      <c r="R62" s="348"/>
      <c r="S62" s="348"/>
      <c r="T62" s="348"/>
      <c r="U62" s="348"/>
      <c r="V62" s="348"/>
      <c r="W62" s="348"/>
      <c r="X62" s="348"/>
      <c r="Y62" s="348"/>
      <c r="Z62" s="348"/>
    </row>
    <row r="63" spans="1:26" s="64" customFormat="1" ht="47.25" customHeight="1" thickBot="1" x14ac:dyDescent="0.35">
      <c r="A63" s="343">
        <v>45411</v>
      </c>
      <c r="B63" s="345" t="s">
        <v>12437</v>
      </c>
      <c r="C63" s="346">
        <v>421905470334</v>
      </c>
      <c r="D63" s="344" t="s">
        <v>12341</v>
      </c>
      <c r="E63" s="344" t="s">
        <v>12341</v>
      </c>
      <c r="F63" s="344"/>
      <c r="G63" s="344"/>
      <c r="H63" s="344"/>
      <c r="I63" s="344"/>
      <c r="J63" s="344"/>
      <c r="K63" s="344"/>
      <c r="L63" s="344" t="s">
        <v>12341</v>
      </c>
      <c r="M63" s="344" t="s">
        <v>12386</v>
      </c>
      <c r="N63" s="344" t="s">
        <v>12339</v>
      </c>
      <c r="O63" s="348"/>
      <c r="P63" s="348"/>
      <c r="Q63" s="348"/>
      <c r="R63" s="348"/>
      <c r="S63" s="348"/>
      <c r="T63" s="348"/>
      <c r="U63" s="348"/>
      <c r="V63" s="348"/>
      <c r="W63" s="348"/>
      <c r="X63" s="348"/>
      <c r="Y63" s="348"/>
      <c r="Z63" s="348"/>
    </row>
    <row r="64" spans="1:26" s="64" customFormat="1" ht="47.25" customHeight="1" thickBot="1" x14ac:dyDescent="0.35">
      <c r="A64" s="343">
        <v>45411</v>
      </c>
      <c r="B64" s="345" t="s">
        <v>12438</v>
      </c>
      <c r="C64" s="346">
        <v>421902705618</v>
      </c>
      <c r="D64" s="344" t="s">
        <v>12341</v>
      </c>
      <c r="E64" s="344" t="s">
        <v>12341</v>
      </c>
      <c r="F64" s="344"/>
      <c r="G64" s="344"/>
      <c r="H64" s="344"/>
      <c r="I64" s="344"/>
      <c r="J64" s="344"/>
      <c r="K64" s="344"/>
      <c r="L64" s="344" t="s">
        <v>12341</v>
      </c>
      <c r="M64" s="344" t="s">
        <v>12386</v>
      </c>
      <c r="N64" s="344" t="s">
        <v>12339</v>
      </c>
      <c r="O64" s="348"/>
      <c r="P64" s="348"/>
      <c r="Q64" s="348"/>
      <c r="R64" s="348"/>
      <c r="S64" s="348"/>
      <c r="T64" s="348"/>
      <c r="U64" s="348"/>
      <c r="V64" s="348"/>
      <c r="W64" s="348"/>
      <c r="X64" s="348"/>
      <c r="Y64" s="348"/>
      <c r="Z64" s="348"/>
    </row>
    <row r="65" spans="1:26" s="64" customFormat="1" ht="47.25" customHeight="1" thickBot="1" x14ac:dyDescent="0.35">
      <c r="A65" s="343">
        <v>45411</v>
      </c>
      <c r="B65" s="345" t="s">
        <v>12439</v>
      </c>
      <c r="C65" s="346">
        <v>421902705618</v>
      </c>
      <c r="D65" s="344" t="s">
        <v>12346</v>
      </c>
      <c r="E65" s="344" t="s">
        <v>12341</v>
      </c>
      <c r="F65" s="344"/>
      <c r="G65" s="344"/>
      <c r="H65" s="344"/>
      <c r="I65" s="344"/>
      <c r="J65" s="344"/>
      <c r="K65" s="344"/>
      <c r="L65" s="344" t="s">
        <v>12440</v>
      </c>
      <c r="M65" s="344" t="s">
        <v>12386</v>
      </c>
      <c r="N65" s="344" t="s">
        <v>12339</v>
      </c>
      <c r="O65" s="348"/>
      <c r="P65" s="348"/>
      <c r="Q65" s="348"/>
      <c r="R65" s="348"/>
      <c r="S65" s="348"/>
      <c r="T65" s="348"/>
      <c r="U65" s="348"/>
      <c r="V65" s="348"/>
      <c r="W65" s="348"/>
      <c r="X65" s="348"/>
      <c r="Y65" s="348"/>
      <c r="Z65" s="348"/>
    </row>
    <row r="66" spans="1:26" s="64" customFormat="1" ht="47.25" customHeight="1" thickBot="1" x14ac:dyDescent="0.35">
      <c r="A66" s="343">
        <v>45411</v>
      </c>
      <c r="B66" s="345" t="s">
        <v>12441</v>
      </c>
      <c r="C66" s="344"/>
      <c r="D66" s="344" t="s">
        <v>12341</v>
      </c>
      <c r="E66" s="344" t="s">
        <v>12341</v>
      </c>
      <c r="F66" s="344"/>
      <c r="G66" s="344"/>
      <c r="H66" s="344"/>
      <c r="I66" s="344"/>
      <c r="J66" s="344"/>
      <c r="K66" s="344"/>
      <c r="L66" s="344" t="s">
        <v>12341</v>
      </c>
      <c r="M66" s="344" t="s">
        <v>12386</v>
      </c>
      <c r="N66" s="344" t="s">
        <v>12339</v>
      </c>
      <c r="O66" s="348"/>
      <c r="P66" s="348"/>
      <c r="Q66" s="348"/>
      <c r="R66" s="348"/>
      <c r="S66" s="348"/>
      <c r="T66" s="348"/>
      <c r="U66" s="348"/>
      <c r="V66" s="348"/>
      <c r="W66" s="348"/>
      <c r="X66" s="348"/>
      <c r="Y66" s="348"/>
      <c r="Z66" s="348"/>
    </row>
    <row r="67" spans="1:26" s="64" customFormat="1" ht="47.25" customHeight="1" thickBot="1" x14ac:dyDescent="0.35">
      <c r="A67" s="343">
        <v>45411</v>
      </c>
      <c r="B67" s="345" t="s">
        <v>12442</v>
      </c>
      <c r="C67" s="346">
        <v>421944418404</v>
      </c>
      <c r="D67" s="344" t="s">
        <v>12341</v>
      </c>
      <c r="E67" s="344" t="s">
        <v>12341</v>
      </c>
      <c r="F67" s="344"/>
      <c r="G67" s="344"/>
      <c r="H67" s="344"/>
      <c r="I67" s="344"/>
      <c r="J67" s="344"/>
      <c r="K67" s="344"/>
      <c r="L67" s="344" t="s">
        <v>12341</v>
      </c>
      <c r="M67" s="344" t="s">
        <v>12386</v>
      </c>
      <c r="N67" s="344" t="s">
        <v>12339</v>
      </c>
      <c r="O67" s="348"/>
      <c r="P67" s="348"/>
      <c r="Q67" s="348"/>
      <c r="R67" s="348"/>
      <c r="S67" s="348"/>
      <c r="T67" s="348"/>
      <c r="U67" s="348"/>
      <c r="V67" s="348"/>
      <c r="W67" s="348"/>
      <c r="X67" s="348"/>
      <c r="Y67" s="348"/>
      <c r="Z67" s="348"/>
    </row>
    <row r="68" spans="1:26" s="64" customFormat="1" ht="47.25" customHeight="1" thickBot="1" x14ac:dyDescent="0.35">
      <c r="A68" s="343">
        <v>45411</v>
      </c>
      <c r="B68" s="345" t="s">
        <v>12443</v>
      </c>
      <c r="C68" s="344"/>
      <c r="D68" s="344" t="s">
        <v>12341</v>
      </c>
      <c r="E68" s="344" t="s">
        <v>12341</v>
      </c>
      <c r="F68" s="344"/>
      <c r="G68" s="344"/>
      <c r="H68" s="344"/>
      <c r="I68" s="344"/>
      <c r="J68" s="344"/>
      <c r="K68" s="344"/>
      <c r="L68" s="344" t="s">
        <v>12341</v>
      </c>
      <c r="M68" s="344" t="s">
        <v>12386</v>
      </c>
      <c r="N68" s="344" t="s">
        <v>12339</v>
      </c>
      <c r="O68" s="348"/>
      <c r="P68" s="348"/>
      <c r="Q68" s="348"/>
      <c r="R68" s="348"/>
      <c r="S68" s="348"/>
      <c r="T68" s="348"/>
      <c r="U68" s="348"/>
      <c r="V68" s="348"/>
      <c r="W68" s="348"/>
      <c r="X68" s="348"/>
      <c r="Y68" s="348"/>
      <c r="Z68" s="348"/>
    </row>
    <row r="69" spans="1:26" s="64" customFormat="1" ht="47.25" customHeight="1" thickBot="1" x14ac:dyDescent="0.35">
      <c r="A69" s="343">
        <v>45411</v>
      </c>
      <c r="B69" s="345" t="s">
        <v>12444</v>
      </c>
      <c r="C69" s="346">
        <v>421903736305</v>
      </c>
      <c r="D69" s="344" t="s">
        <v>12341</v>
      </c>
      <c r="E69" s="344" t="s">
        <v>12341</v>
      </c>
      <c r="F69" s="344"/>
      <c r="G69" s="344"/>
      <c r="H69" s="344"/>
      <c r="I69" s="344"/>
      <c r="J69" s="344"/>
      <c r="K69" s="344"/>
      <c r="L69" s="344" t="s">
        <v>12341</v>
      </c>
      <c r="M69" s="344" t="s">
        <v>12386</v>
      </c>
      <c r="N69" s="344" t="s">
        <v>12339</v>
      </c>
      <c r="O69" s="348"/>
      <c r="P69" s="348"/>
      <c r="Q69" s="348"/>
      <c r="R69" s="348"/>
      <c r="S69" s="348"/>
      <c r="T69" s="348"/>
      <c r="U69" s="348"/>
      <c r="V69" s="348"/>
      <c r="W69" s="348"/>
      <c r="X69" s="348"/>
      <c r="Y69" s="348"/>
      <c r="Z69" s="348"/>
    </row>
    <row r="70" spans="1:26" s="64" customFormat="1" ht="47.25" customHeight="1" thickBot="1" x14ac:dyDescent="0.35">
      <c r="A70" s="343">
        <v>45411</v>
      </c>
      <c r="B70" s="345" t="s">
        <v>12445</v>
      </c>
      <c r="C70" s="346">
        <v>421948766172</v>
      </c>
      <c r="D70" s="344" t="s">
        <v>12341</v>
      </c>
      <c r="E70" s="344" t="s">
        <v>12341</v>
      </c>
      <c r="F70" s="344"/>
      <c r="G70" s="344"/>
      <c r="H70" s="344"/>
      <c r="I70" s="344"/>
      <c r="J70" s="344"/>
      <c r="K70" s="344"/>
      <c r="L70" s="344" t="s">
        <v>12341</v>
      </c>
      <c r="M70" s="344" t="s">
        <v>12386</v>
      </c>
      <c r="N70" s="344" t="s">
        <v>12339</v>
      </c>
      <c r="O70" s="348"/>
      <c r="P70" s="348"/>
      <c r="Q70" s="348"/>
      <c r="R70" s="348"/>
      <c r="S70" s="348"/>
      <c r="T70" s="348"/>
      <c r="U70" s="348"/>
      <c r="V70" s="348"/>
      <c r="W70" s="348"/>
      <c r="X70" s="348"/>
      <c r="Y70" s="348"/>
      <c r="Z70" s="348"/>
    </row>
    <row r="71" spans="1:26" s="64" customFormat="1" ht="47.25" customHeight="1" thickBot="1" x14ac:dyDescent="0.35">
      <c r="A71" s="343">
        <v>45411</v>
      </c>
      <c r="B71" s="345" t="s">
        <v>12446</v>
      </c>
      <c r="C71" s="346">
        <v>421902705618</v>
      </c>
      <c r="D71" s="344" t="s">
        <v>12341</v>
      </c>
      <c r="E71" s="344" t="s">
        <v>12341</v>
      </c>
      <c r="F71" s="344"/>
      <c r="G71" s="344"/>
      <c r="H71" s="344"/>
      <c r="I71" s="344"/>
      <c r="J71" s="344"/>
      <c r="K71" s="344"/>
      <c r="L71" s="344" t="s">
        <v>12341</v>
      </c>
      <c r="M71" s="344" t="s">
        <v>12386</v>
      </c>
      <c r="N71" s="344" t="s">
        <v>12339</v>
      </c>
      <c r="O71" s="348"/>
      <c r="P71" s="348"/>
      <c r="Q71" s="348"/>
      <c r="R71" s="348"/>
      <c r="S71" s="348"/>
      <c r="T71" s="348"/>
      <c r="U71" s="348"/>
      <c r="V71" s="348"/>
      <c r="W71" s="348"/>
      <c r="X71" s="348"/>
      <c r="Y71" s="348"/>
      <c r="Z71" s="348"/>
    </row>
    <row r="72" spans="1:26" s="64" customFormat="1" ht="47.25" customHeight="1" thickBot="1" x14ac:dyDescent="0.35">
      <c r="A72" s="343">
        <v>45411</v>
      </c>
      <c r="B72" s="345" t="s">
        <v>12447</v>
      </c>
      <c r="C72" s="346">
        <v>421908139562</v>
      </c>
      <c r="D72" s="344" t="s">
        <v>12341</v>
      </c>
      <c r="E72" s="344" t="s">
        <v>12341</v>
      </c>
      <c r="F72" s="344"/>
      <c r="G72" s="344"/>
      <c r="H72" s="344"/>
      <c r="I72" s="344"/>
      <c r="J72" s="344"/>
      <c r="K72" s="344"/>
      <c r="L72" s="344" t="s">
        <v>12341</v>
      </c>
      <c r="M72" s="344" t="s">
        <v>12386</v>
      </c>
      <c r="N72" s="344" t="s">
        <v>12339</v>
      </c>
      <c r="O72" s="348"/>
      <c r="P72" s="348"/>
      <c r="Q72" s="348"/>
      <c r="R72" s="348"/>
      <c r="S72" s="348"/>
      <c r="T72" s="348"/>
      <c r="U72" s="348"/>
      <c r="V72" s="348"/>
      <c r="W72" s="348"/>
      <c r="X72" s="348"/>
      <c r="Y72" s="348"/>
      <c r="Z72" s="348"/>
    </row>
    <row r="73" spans="1:26" s="64" customFormat="1" ht="47.25" customHeight="1" thickBot="1" x14ac:dyDescent="0.35">
      <c r="A73" s="343">
        <v>45411</v>
      </c>
      <c r="B73" s="345" t="s">
        <v>12448</v>
      </c>
      <c r="C73" s="346">
        <v>421948423939</v>
      </c>
      <c r="D73" s="344" t="s">
        <v>12341</v>
      </c>
      <c r="E73" s="344" t="s">
        <v>12341</v>
      </c>
      <c r="F73" s="344"/>
      <c r="G73" s="344"/>
      <c r="H73" s="344"/>
      <c r="I73" s="344"/>
      <c r="J73" s="344"/>
      <c r="K73" s="344"/>
      <c r="L73" s="344" t="s">
        <v>12449</v>
      </c>
      <c r="M73" s="344" t="s">
        <v>12386</v>
      </c>
      <c r="N73" s="344" t="s">
        <v>12339</v>
      </c>
      <c r="O73" s="348"/>
      <c r="P73" s="348"/>
      <c r="Q73" s="348"/>
      <c r="R73" s="348"/>
      <c r="S73" s="348"/>
      <c r="T73" s="348"/>
      <c r="U73" s="348"/>
      <c r="V73" s="348"/>
      <c r="W73" s="348"/>
      <c r="X73" s="348"/>
      <c r="Y73" s="348"/>
      <c r="Z73" s="348"/>
    </row>
    <row r="74" spans="1:26" s="64" customFormat="1" ht="47.25" customHeight="1" thickBot="1" x14ac:dyDescent="0.35">
      <c r="A74" s="343">
        <v>45411</v>
      </c>
      <c r="B74" s="345" t="s">
        <v>12450</v>
      </c>
      <c r="C74" s="346">
        <v>421944436585</v>
      </c>
      <c r="D74" s="344" t="s">
        <v>12341</v>
      </c>
      <c r="E74" s="344" t="s">
        <v>12341</v>
      </c>
      <c r="F74" s="344"/>
      <c r="G74" s="344"/>
      <c r="H74" s="344"/>
      <c r="I74" s="344"/>
      <c r="J74" s="344"/>
      <c r="K74" s="344"/>
      <c r="L74" s="344" t="s">
        <v>12341</v>
      </c>
      <c r="M74" s="344" t="s">
        <v>12386</v>
      </c>
      <c r="N74" s="344" t="s">
        <v>12339</v>
      </c>
      <c r="O74" s="348"/>
      <c r="P74" s="348"/>
      <c r="Q74" s="348"/>
      <c r="R74" s="348"/>
      <c r="S74" s="348"/>
      <c r="T74" s="348"/>
      <c r="U74" s="348"/>
      <c r="V74" s="348"/>
      <c r="W74" s="348"/>
      <c r="X74" s="348"/>
      <c r="Y74" s="348"/>
      <c r="Z74" s="348"/>
    </row>
    <row r="75" spans="1:26" s="64" customFormat="1" ht="47.25" customHeight="1" thickBot="1" x14ac:dyDescent="0.35">
      <c r="A75" s="343">
        <v>45411</v>
      </c>
      <c r="B75" s="345" t="s">
        <v>12451</v>
      </c>
      <c r="C75" s="346" t="s">
        <v>12452</v>
      </c>
      <c r="D75" s="344" t="s">
        <v>12341</v>
      </c>
      <c r="E75" s="344" t="s">
        <v>12341</v>
      </c>
      <c r="F75" s="344"/>
      <c r="G75" s="344"/>
      <c r="H75" s="344"/>
      <c r="I75" s="344"/>
      <c r="J75" s="344"/>
      <c r="K75" s="344"/>
      <c r="L75" s="344" t="s">
        <v>12341</v>
      </c>
      <c r="M75" s="344" t="s">
        <v>12386</v>
      </c>
      <c r="N75" s="344" t="s">
        <v>12339</v>
      </c>
      <c r="O75" s="348"/>
      <c r="P75" s="348"/>
      <c r="Q75" s="348"/>
      <c r="R75" s="348"/>
      <c r="S75" s="348"/>
      <c r="T75" s="348"/>
      <c r="U75" s="348"/>
      <c r="V75" s="348"/>
      <c r="W75" s="348"/>
      <c r="X75" s="348"/>
      <c r="Y75" s="348"/>
      <c r="Z75" s="348"/>
    </row>
    <row r="76" spans="1:26" s="64" customFormat="1" ht="47.25" customHeight="1" thickBot="1" x14ac:dyDescent="0.35">
      <c r="A76" s="343">
        <v>45411</v>
      </c>
      <c r="B76" s="345" t="s">
        <v>6141</v>
      </c>
      <c r="C76" s="344"/>
      <c r="D76" s="344" t="s">
        <v>12341</v>
      </c>
      <c r="E76" s="344" t="s">
        <v>12341</v>
      </c>
      <c r="F76" s="344"/>
      <c r="G76" s="344"/>
      <c r="H76" s="344"/>
      <c r="I76" s="344"/>
      <c r="J76" s="344"/>
      <c r="K76" s="344"/>
      <c r="L76" s="344" t="s">
        <v>12341</v>
      </c>
      <c r="M76" s="344" t="s">
        <v>12386</v>
      </c>
      <c r="N76" s="344" t="s">
        <v>12339</v>
      </c>
      <c r="O76" s="348"/>
      <c r="P76" s="348"/>
      <c r="Q76" s="348"/>
      <c r="R76" s="348"/>
      <c r="S76" s="348"/>
      <c r="T76" s="348"/>
      <c r="U76" s="348"/>
      <c r="V76" s="348"/>
      <c r="W76" s="348"/>
      <c r="X76" s="348"/>
      <c r="Y76" s="348"/>
      <c r="Z76" s="348"/>
    </row>
    <row r="77" spans="1:26" s="64" customFormat="1" ht="47.25" customHeight="1" thickBot="1" x14ac:dyDescent="0.35">
      <c r="A77" s="343">
        <v>45411</v>
      </c>
      <c r="B77" s="345" t="s">
        <v>12453</v>
      </c>
      <c r="C77" s="346">
        <v>421904744818</v>
      </c>
      <c r="D77" s="344" t="s">
        <v>12341</v>
      </c>
      <c r="E77" s="344" t="s">
        <v>12341</v>
      </c>
      <c r="F77" s="344"/>
      <c r="G77" s="344"/>
      <c r="H77" s="344"/>
      <c r="I77" s="344"/>
      <c r="J77" s="344"/>
      <c r="K77" s="344"/>
      <c r="L77" s="344" t="s">
        <v>12341</v>
      </c>
      <c r="M77" s="344" t="s">
        <v>12386</v>
      </c>
      <c r="N77" s="344" t="s">
        <v>12339</v>
      </c>
      <c r="O77" s="348"/>
      <c r="P77" s="348"/>
      <c r="Q77" s="348"/>
      <c r="R77" s="348"/>
      <c r="S77" s="348"/>
      <c r="T77" s="348"/>
      <c r="U77" s="348"/>
      <c r="V77" s="348"/>
      <c r="W77" s="348"/>
      <c r="X77" s="348"/>
      <c r="Y77" s="348"/>
      <c r="Z77" s="348"/>
    </row>
    <row r="78" spans="1:26" s="64" customFormat="1" ht="47.25" customHeight="1" thickBot="1" x14ac:dyDescent="0.35">
      <c r="A78" s="343">
        <v>45411</v>
      </c>
      <c r="B78" s="345" t="s">
        <v>12454</v>
      </c>
      <c r="C78" s="346">
        <v>421904253717</v>
      </c>
      <c r="D78" s="344" t="s">
        <v>12360</v>
      </c>
      <c r="E78" s="344" t="s">
        <v>12455</v>
      </c>
      <c r="F78" s="344" t="s">
        <v>12360</v>
      </c>
      <c r="G78" s="344"/>
      <c r="H78" s="344"/>
      <c r="I78" s="344"/>
      <c r="J78" s="344" t="s">
        <v>12456</v>
      </c>
      <c r="K78" s="344"/>
      <c r="L78" s="344" t="s">
        <v>12457</v>
      </c>
      <c r="M78" s="344" t="s">
        <v>12386</v>
      </c>
      <c r="N78" s="344" t="s">
        <v>12339</v>
      </c>
      <c r="O78" s="348"/>
      <c r="P78" s="348"/>
      <c r="Q78" s="348"/>
      <c r="R78" s="348"/>
      <c r="S78" s="348"/>
      <c r="T78" s="348"/>
      <c r="U78" s="348"/>
      <c r="V78" s="348"/>
      <c r="W78" s="348"/>
      <c r="X78" s="348"/>
      <c r="Y78" s="348"/>
      <c r="Z78" s="348"/>
    </row>
    <row r="79" spans="1:26" s="64" customFormat="1" ht="47.25" customHeight="1" thickBot="1" x14ac:dyDescent="0.35">
      <c r="A79" s="343">
        <v>45411</v>
      </c>
      <c r="B79" s="345" t="s">
        <v>12458</v>
      </c>
      <c r="C79" s="346">
        <v>421902705618</v>
      </c>
      <c r="D79" s="344" t="s">
        <v>12341</v>
      </c>
      <c r="E79" s="344" t="s">
        <v>12341</v>
      </c>
      <c r="F79" s="344"/>
      <c r="G79" s="344"/>
      <c r="H79" s="344"/>
      <c r="I79" s="344"/>
      <c r="J79" s="344"/>
      <c r="K79" s="344"/>
      <c r="L79" s="344" t="s">
        <v>12341</v>
      </c>
      <c r="M79" s="344" t="s">
        <v>12386</v>
      </c>
      <c r="N79" s="344" t="s">
        <v>12339</v>
      </c>
      <c r="O79" s="348"/>
      <c r="P79" s="348"/>
      <c r="Q79" s="348"/>
      <c r="R79" s="348"/>
      <c r="S79" s="348"/>
      <c r="T79" s="348"/>
      <c r="U79" s="348"/>
      <c r="V79" s="348"/>
      <c r="W79" s="348"/>
      <c r="X79" s="348"/>
      <c r="Y79" s="348"/>
      <c r="Z79" s="348"/>
    </row>
    <row r="80" spans="1:26" s="64" customFormat="1" ht="47.25" customHeight="1" thickBot="1" x14ac:dyDescent="0.35">
      <c r="A80" s="343">
        <v>45411</v>
      </c>
      <c r="B80" s="345" t="s">
        <v>12459</v>
      </c>
      <c r="C80" s="346" t="s">
        <v>12460</v>
      </c>
      <c r="D80" s="344" t="s">
        <v>12341</v>
      </c>
      <c r="E80" s="344" t="s">
        <v>12341</v>
      </c>
      <c r="F80" s="344"/>
      <c r="G80" s="344"/>
      <c r="H80" s="344"/>
      <c r="I80" s="344"/>
      <c r="J80" s="344"/>
      <c r="K80" s="344"/>
      <c r="L80" s="344" t="s">
        <v>12341</v>
      </c>
      <c r="M80" s="344" t="s">
        <v>12386</v>
      </c>
      <c r="N80" s="344" t="s">
        <v>12339</v>
      </c>
      <c r="O80" s="348"/>
      <c r="P80" s="348"/>
      <c r="Q80" s="348"/>
      <c r="R80" s="348"/>
      <c r="S80" s="348"/>
      <c r="T80" s="348"/>
      <c r="U80" s="348"/>
      <c r="V80" s="348"/>
      <c r="W80" s="348"/>
      <c r="X80" s="348"/>
      <c r="Y80" s="348"/>
      <c r="Z80" s="348"/>
    </row>
    <row r="81" spans="1:26" s="64" customFormat="1" ht="47.25" customHeight="1" thickBot="1" x14ac:dyDescent="0.35">
      <c r="A81" s="343">
        <v>45411</v>
      </c>
      <c r="B81" s="345" t="s">
        <v>12461</v>
      </c>
      <c r="C81" s="346" t="s">
        <v>12462</v>
      </c>
      <c r="D81" s="344" t="s">
        <v>12346</v>
      </c>
      <c r="E81" s="344" t="s">
        <v>12341</v>
      </c>
      <c r="F81" s="344"/>
      <c r="G81" s="344"/>
      <c r="H81" s="344"/>
      <c r="I81" s="344"/>
      <c r="J81" s="344"/>
      <c r="K81" s="344"/>
      <c r="L81" s="344" t="s">
        <v>12463</v>
      </c>
      <c r="M81" s="344" t="s">
        <v>12386</v>
      </c>
      <c r="N81" s="344" t="s">
        <v>12339</v>
      </c>
      <c r="O81" s="348"/>
      <c r="P81" s="348"/>
      <c r="Q81" s="348"/>
      <c r="R81" s="348"/>
      <c r="S81" s="348"/>
      <c r="T81" s="348"/>
      <c r="U81" s="348"/>
      <c r="V81" s="348"/>
      <c r="W81" s="348"/>
      <c r="X81" s="348"/>
      <c r="Y81" s="348"/>
      <c r="Z81" s="348"/>
    </row>
    <row r="82" spans="1:26" s="64" customFormat="1" ht="47.25" customHeight="1" thickBot="1" x14ac:dyDescent="0.35">
      <c r="A82" s="343">
        <v>45411</v>
      </c>
      <c r="B82" s="345" t="s">
        <v>12464</v>
      </c>
      <c r="C82" s="346">
        <v>421910878413</v>
      </c>
      <c r="D82" s="344" t="s">
        <v>12341</v>
      </c>
      <c r="E82" s="344" t="s">
        <v>12341</v>
      </c>
      <c r="F82" s="344"/>
      <c r="G82" s="344"/>
      <c r="H82" s="344"/>
      <c r="I82" s="344"/>
      <c r="J82" s="344"/>
      <c r="K82" s="344"/>
      <c r="L82" s="344" t="s">
        <v>12341</v>
      </c>
      <c r="M82" s="344" t="s">
        <v>12386</v>
      </c>
      <c r="N82" s="344" t="s">
        <v>12339</v>
      </c>
      <c r="O82" s="348"/>
      <c r="P82" s="348"/>
      <c r="Q82" s="348"/>
      <c r="R82" s="348"/>
      <c r="S82" s="348"/>
      <c r="T82" s="348"/>
      <c r="U82" s="348"/>
      <c r="V82" s="348"/>
      <c r="W82" s="348"/>
      <c r="X82" s="348"/>
      <c r="Y82" s="348"/>
      <c r="Z82" s="348"/>
    </row>
    <row r="83" spans="1:26" s="64" customFormat="1" ht="47.25" customHeight="1" thickBot="1" x14ac:dyDescent="0.35">
      <c r="A83" s="343">
        <v>45411</v>
      </c>
      <c r="B83" s="345" t="s">
        <v>12465</v>
      </c>
      <c r="C83" s="346">
        <v>421948192444</v>
      </c>
      <c r="D83" s="344" t="s">
        <v>12341</v>
      </c>
      <c r="E83" s="344" t="s">
        <v>12341</v>
      </c>
      <c r="F83" s="344"/>
      <c r="G83" s="344"/>
      <c r="H83" s="344"/>
      <c r="I83" s="344"/>
      <c r="J83" s="344"/>
      <c r="K83" s="344"/>
      <c r="L83" s="344" t="s">
        <v>12341</v>
      </c>
      <c r="M83" s="344" t="s">
        <v>12386</v>
      </c>
      <c r="N83" s="344" t="s">
        <v>12339</v>
      </c>
      <c r="O83" s="348"/>
      <c r="P83" s="348"/>
      <c r="Q83" s="348"/>
      <c r="R83" s="348"/>
      <c r="S83" s="348"/>
      <c r="T83" s="348"/>
      <c r="U83" s="348"/>
      <c r="V83" s="348"/>
      <c r="W83" s="348"/>
      <c r="X83" s="348"/>
      <c r="Y83" s="348"/>
      <c r="Z83" s="348"/>
    </row>
    <row r="84" spans="1:26" s="64" customFormat="1" ht="47.25" customHeight="1" thickBot="1" x14ac:dyDescent="0.35">
      <c r="A84" s="343">
        <v>45411</v>
      </c>
      <c r="B84" s="345" t="s">
        <v>12466</v>
      </c>
      <c r="C84" s="346">
        <v>421948377122</v>
      </c>
      <c r="D84" s="344" t="s">
        <v>12341</v>
      </c>
      <c r="E84" s="344" t="s">
        <v>12341</v>
      </c>
      <c r="F84" s="344"/>
      <c r="G84" s="344"/>
      <c r="H84" s="344"/>
      <c r="I84" s="344"/>
      <c r="J84" s="344"/>
      <c r="K84" s="344"/>
      <c r="L84" s="344" t="s">
        <v>12341</v>
      </c>
      <c r="M84" s="344" t="s">
        <v>12386</v>
      </c>
      <c r="N84" s="344" t="s">
        <v>12339</v>
      </c>
      <c r="O84" s="348"/>
      <c r="P84" s="348"/>
      <c r="Q84" s="348"/>
      <c r="R84" s="348"/>
      <c r="S84" s="348"/>
      <c r="T84" s="348"/>
      <c r="U84" s="348"/>
      <c r="V84" s="348"/>
      <c r="W84" s="348"/>
      <c r="X84" s="348"/>
      <c r="Y84" s="348"/>
      <c r="Z84" s="348"/>
    </row>
    <row r="85" spans="1:26" s="64" customFormat="1" ht="47.25" customHeight="1" thickBot="1" x14ac:dyDescent="0.35">
      <c r="A85" s="343">
        <v>45411</v>
      </c>
      <c r="B85" s="345" t="s">
        <v>12467</v>
      </c>
      <c r="C85" s="346" t="s">
        <v>12468</v>
      </c>
      <c r="D85" s="344" t="s">
        <v>12341</v>
      </c>
      <c r="E85" s="344" t="s">
        <v>12341</v>
      </c>
      <c r="F85" s="344"/>
      <c r="G85" s="344"/>
      <c r="H85" s="344"/>
      <c r="I85" s="344"/>
      <c r="J85" s="344"/>
      <c r="K85" s="344"/>
      <c r="L85" s="344" t="s">
        <v>12341</v>
      </c>
      <c r="M85" s="344" t="s">
        <v>12386</v>
      </c>
      <c r="N85" s="344" t="s">
        <v>12339</v>
      </c>
      <c r="O85" s="348"/>
      <c r="P85" s="348"/>
      <c r="Q85" s="348"/>
      <c r="R85" s="348"/>
      <c r="S85" s="348"/>
      <c r="T85" s="348"/>
      <c r="U85" s="348"/>
      <c r="V85" s="348"/>
      <c r="W85" s="348"/>
      <c r="X85" s="348"/>
      <c r="Y85" s="348"/>
      <c r="Z85" s="348"/>
    </row>
    <row r="86" spans="1:26" s="64" customFormat="1" ht="47.25" customHeight="1" thickBot="1" x14ac:dyDescent="0.35">
      <c r="A86" s="343">
        <v>45411</v>
      </c>
      <c r="B86" s="345" t="s">
        <v>12469</v>
      </c>
      <c r="C86" s="346">
        <v>421944154176</v>
      </c>
      <c r="D86" s="344" t="s">
        <v>12341</v>
      </c>
      <c r="E86" s="344" t="s">
        <v>12341</v>
      </c>
      <c r="F86" s="344"/>
      <c r="G86" s="344"/>
      <c r="H86" s="344"/>
      <c r="I86" s="344"/>
      <c r="J86" s="344"/>
      <c r="K86" s="344"/>
      <c r="L86" s="344" t="s">
        <v>12470</v>
      </c>
      <c r="M86" s="344" t="s">
        <v>12386</v>
      </c>
      <c r="N86" s="344" t="s">
        <v>12339</v>
      </c>
      <c r="O86" s="348"/>
      <c r="P86" s="348"/>
      <c r="Q86" s="348"/>
      <c r="R86" s="348"/>
      <c r="S86" s="348"/>
      <c r="T86" s="348"/>
      <c r="U86" s="348"/>
      <c r="V86" s="348"/>
      <c r="W86" s="348"/>
      <c r="X86" s="348"/>
      <c r="Y86" s="348"/>
      <c r="Z86" s="348"/>
    </row>
    <row r="87" spans="1:26" s="64" customFormat="1" ht="47.25" customHeight="1" thickBot="1" x14ac:dyDescent="0.35">
      <c r="A87" s="343">
        <v>45411</v>
      </c>
      <c r="B87" s="345" t="s">
        <v>12471</v>
      </c>
      <c r="C87" s="346">
        <v>421902705618</v>
      </c>
      <c r="D87" s="344" t="s">
        <v>12346</v>
      </c>
      <c r="E87" s="344" t="s">
        <v>12341</v>
      </c>
      <c r="F87" s="344"/>
      <c r="G87" s="344"/>
      <c r="H87" s="344"/>
      <c r="I87" s="344"/>
      <c r="J87" s="344"/>
      <c r="K87" s="344"/>
      <c r="L87" s="344" t="s">
        <v>12472</v>
      </c>
      <c r="M87" s="344" t="s">
        <v>12386</v>
      </c>
      <c r="N87" s="344" t="s">
        <v>12339</v>
      </c>
      <c r="O87" s="348"/>
      <c r="P87" s="348"/>
      <c r="Q87" s="348"/>
      <c r="R87" s="348"/>
      <c r="S87" s="348"/>
      <c r="T87" s="348"/>
      <c r="U87" s="348"/>
      <c r="V87" s="348"/>
      <c r="W87" s="348"/>
      <c r="X87" s="348"/>
      <c r="Y87" s="348"/>
      <c r="Z87" s="348"/>
    </row>
    <row r="88" spans="1:26" s="64" customFormat="1" ht="47.25" customHeight="1" thickBot="1" x14ac:dyDescent="0.35">
      <c r="A88" s="343">
        <v>45411</v>
      </c>
      <c r="B88" s="345" t="s">
        <v>12473</v>
      </c>
      <c r="C88" s="346">
        <v>421918022534</v>
      </c>
      <c r="D88" s="344" t="s">
        <v>12341</v>
      </c>
      <c r="E88" s="344" t="s">
        <v>12341</v>
      </c>
      <c r="F88" s="344"/>
      <c r="G88" s="344"/>
      <c r="H88" s="344"/>
      <c r="I88" s="344"/>
      <c r="J88" s="344"/>
      <c r="K88" s="344"/>
      <c r="L88" s="344" t="s">
        <v>12341</v>
      </c>
      <c r="M88" s="344" t="s">
        <v>12386</v>
      </c>
      <c r="N88" s="344" t="s">
        <v>12339</v>
      </c>
      <c r="O88" s="348"/>
      <c r="P88" s="348"/>
      <c r="Q88" s="348"/>
      <c r="R88" s="348"/>
      <c r="S88" s="348"/>
      <c r="T88" s="348"/>
      <c r="U88" s="348"/>
      <c r="V88" s="348"/>
      <c r="W88" s="348"/>
      <c r="X88" s="348"/>
      <c r="Y88" s="348"/>
      <c r="Z88" s="348"/>
    </row>
    <row r="89" spans="1:26" s="64" customFormat="1" ht="47.25" customHeight="1" thickBot="1" x14ac:dyDescent="0.35">
      <c r="A89" s="343">
        <v>45411</v>
      </c>
      <c r="B89" s="345" t="s">
        <v>12474</v>
      </c>
      <c r="C89" s="346">
        <v>421907462282</v>
      </c>
      <c r="D89" s="344" t="s">
        <v>12341</v>
      </c>
      <c r="E89" s="344" t="s">
        <v>12341</v>
      </c>
      <c r="F89" s="344"/>
      <c r="G89" s="344"/>
      <c r="H89" s="344"/>
      <c r="I89" s="344"/>
      <c r="J89" s="344"/>
      <c r="K89" s="344"/>
      <c r="L89" s="344" t="s">
        <v>12341</v>
      </c>
      <c r="M89" s="344" t="s">
        <v>12386</v>
      </c>
      <c r="N89" s="344" t="s">
        <v>12339</v>
      </c>
      <c r="O89" s="348"/>
      <c r="P89" s="348"/>
      <c r="Q89" s="348"/>
      <c r="R89" s="348"/>
      <c r="S89" s="348"/>
      <c r="T89" s="348"/>
      <c r="U89" s="348"/>
      <c r="V89" s="348"/>
      <c r="W89" s="348"/>
      <c r="X89" s="348"/>
      <c r="Y89" s="348"/>
      <c r="Z89" s="348"/>
    </row>
    <row r="90" spans="1:26" s="64" customFormat="1" ht="47.25" customHeight="1" thickBot="1" x14ac:dyDescent="0.35">
      <c r="A90" s="343">
        <v>45411</v>
      </c>
      <c r="B90" s="345" t="s">
        <v>12475</v>
      </c>
      <c r="C90" s="346">
        <v>421911934657</v>
      </c>
      <c r="D90" s="344" t="s">
        <v>12341</v>
      </c>
      <c r="E90" s="344" t="s">
        <v>12341</v>
      </c>
      <c r="F90" s="344"/>
      <c r="G90" s="344"/>
      <c r="H90" s="344"/>
      <c r="I90" s="344"/>
      <c r="J90" s="344"/>
      <c r="K90" s="344"/>
      <c r="L90" s="344" t="s">
        <v>12341</v>
      </c>
      <c r="M90" s="344" t="s">
        <v>12386</v>
      </c>
      <c r="N90" s="344" t="s">
        <v>12339</v>
      </c>
      <c r="O90" s="348"/>
      <c r="P90" s="348"/>
      <c r="Q90" s="348"/>
      <c r="R90" s="348"/>
      <c r="S90" s="348"/>
      <c r="T90" s="348"/>
      <c r="U90" s="348"/>
      <c r="V90" s="348"/>
      <c r="W90" s="348"/>
      <c r="X90" s="348"/>
      <c r="Y90" s="348"/>
      <c r="Z90" s="348"/>
    </row>
    <row r="91" spans="1:26" s="64" customFormat="1" ht="47.25" customHeight="1" thickBot="1" x14ac:dyDescent="0.35">
      <c r="A91" s="343">
        <v>45411</v>
      </c>
      <c r="B91" s="345" t="s">
        <v>12476</v>
      </c>
      <c r="C91" s="346" t="s">
        <v>12477</v>
      </c>
      <c r="D91" s="344" t="s">
        <v>12341</v>
      </c>
      <c r="E91" s="344" t="s">
        <v>12341</v>
      </c>
      <c r="F91" s="344"/>
      <c r="G91" s="344"/>
      <c r="H91" s="344"/>
      <c r="I91" s="344"/>
      <c r="J91" s="344"/>
      <c r="K91" s="344"/>
      <c r="L91" s="344" t="s">
        <v>12341</v>
      </c>
      <c r="M91" s="344" t="s">
        <v>12386</v>
      </c>
      <c r="N91" s="344" t="s">
        <v>12339</v>
      </c>
      <c r="O91" s="348"/>
      <c r="P91" s="348"/>
      <c r="Q91" s="348"/>
      <c r="R91" s="348"/>
      <c r="S91" s="348"/>
      <c r="T91" s="348"/>
      <c r="U91" s="348"/>
      <c r="V91" s="348"/>
      <c r="W91" s="348"/>
      <c r="X91" s="348"/>
      <c r="Y91" s="348"/>
      <c r="Z91" s="348"/>
    </row>
    <row r="92" spans="1:26" s="64" customFormat="1" ht="47.25" customHeight="1" thickBot="1" x14ac:dyDescent="0.35">
      <c r="A92" s="343">
        <v>45411</v>
      </c>
      <c r="B92" s="345" t="s">
        <v>12478</v>
      </c>
      <c r="C92" s="344"/>
      <c r="D92" s="344" t="s">
        <v>12341</v>
      </c>
      <c r="E92" s="344" t="s">
        <v>12341</v>
      </c>
      <c r="F92" s="344"/>
      <c r="G92" s="344"/>
      <c r="H92" s="344"/>
      <c r="I92" s="344"/>
      <c r="J92" s="344"/>
      <c r="K92" s="344"/>
      <c r="L92" s="344" t="s">
        <v>12341</v>
      </c>
      <c r="M92" s="344" t="s">
        <v>12386</v>
      </c>
      <c r="N92" s="344" t="s">
        <v>12339</v>
      </c>
      <c r="O92" s="348"/>
      <c r="P92" s="348"/>
      <c r="Q92" s="348"/>
      <c r="R92" s="348"/>
      <c r="S92" s="348"/>
      <c r="T92" s="348"/>
      <c r="U92" s="348"/>
      <c r="V92" s="348"/>
      <c r="W92" s="348"/>
      <c r="X92" s="348"/>
      <c r="Y92" s="348"/>
      <c r="Z92" s="348"/>
    </row>
    <row r="93" spans="1:26" s="64" customFormat="1" ht="47.25" customHeight="1" thickBot="1" x14ac:dyDescent="0.35">
      <c r="A93" s="343">
        <v>45411</v>
      </c>
      <c r="B93" s="345" t="s">
        <v>12479</v>
      </c>
      <c r="C93" s="346">
        <v>421902353161</v>
      </c>
      <c r="D93" s="344" t="s">
        <v>12360</v>
      </c>
      <c r="E93" s="344" t="s">
        <v>12341</v>
      </c>
      <c r="F93" s="344"/>
      <c r="G93" s="344"/>
      <c r="H93" s="344"/>
      <c r="I93" s="344"/>
      <c r="J93" s="344"/>
      <c r="K93" s="344"/>
      <c r="L93" s="344" t="s">
        <v>12480</v>
      </c>
      <c r="M93" s="344" t="s">
        <v>12386</v>
      </c>
      <c r="N93" s="344" t="s">
        <v>12339</v>
      </c>
      <c r="O93" s="348"/>
      <c r="P93" s="348"/>
      <c r="Q93" s="348"/>
      <c r="R93" s="348"/>
      <c r="S93" s="348"/>
      <c r="T93" s="348"/>
      <c r="U93" s="348"/>
      <c r="V93" s="348"/>
      <c r="W93" s="348"/>
      <c r="X93" s="348"/>
      <c r="Y93" s="348"/>
      <c r="Z93" s="348"/>
    </row>
    <row r="94" spans="1:26" s="64" customFormat="1" ht="47.25" customHeight="1" thickBot="1" x14ac:dyDescent="0.35">
      <c r="A94" s="343">
        <v>45411</v>
      </c>
      <c r="B94" s="345" t="s">
        <v>12481</v>
      </c>
      <c r="C94" s="346">
        <v>421903856511</v>
      </c>
      <c r="D94" s="344" t="s">
        <v>12346</v>
      </c>
      <c r="E94" s="344" t="s">
        <v>12341</v>
      </c>
      <c r="F94" s="344"/>
      <c r="G94" s="344"/>
      <c r="H94" s="344"/>
      <c r="I94" s="344"/>
      <c r="J94" s="344"/>
      <c r="K94" s="344"/>
      <c r="L94" s="344" t="s">
        <v>12482</v>
      </c>
      <c r="M94" s="344" t="s">
        <v>12386</v>
      </c>
      <c r="N94" s="344" t="s">
        <v>12339</v>
      </c>
      <c r="O94" s="348"/>
      <c r="P94" s="348"/>
      <c r="Q94" s="348"/>
      <c r="R94" s="348"/>
      <c r="S94" s="348"/>
      <c r="T94" s="348"/>
      <c r="U94" s="348"/>
      <c r="V94" s="348"/>
      <c r="W94" s="348"/>
      <c r="X94" s="348"/>
      <c r="Y94" s="348"/>
      <c r="Z94" s="348"/>
    </row>
    <row r="95" spans="1:26" s="64" customFormat="1" ht="47.25" customHeight="1" thickBot="1" x14ac:dyDescent="0.35">
      <c r="A95" s="343">
        <v>45411</v>
      </c>
      <c r="B95" s="345" t="s">
        <v>12353</v>
      </c>
      <c r="C95" s="346">
        <v>421908846543</v>
      </c>
      <c r="D95" s="344" t="s">
        <v>12341</v>
      </c>
      <c r="E95" s="344" t="s">
        <v>12341</v>
      </c>
      <c r="F95" s="344"/>
      <c r="G95" s="344"/>
      <c r="H95" s="344"/>
      <c r="I95" s="344"/>
      <c r="J95" s="344"/>
      <c r="K95" s="344"/>
      <c r="L95" s="344" t="s">
        <v>12341</v>
      </c>
      <c r="M95" s="344" t="s">
        <v>12386</v>
      </c>
      <c r="N95" s="344" t="s">
        <v>12339</v>
      </c>
      <c r="O95" s="348"/>
      <c r="P95" s="348"/>
      <c r="Q95" s="348"/>
      <c r="R95" s="348"/>
      <c r="S95" s="348"/>
      <c r="T95" s="348"/>
      <c r="U95" s="348"/>
      <c r="V95" s="348"/>
      <c r="W95" s="348"/>
      <c r="X95" s="348"/>
      <c r="Y95" s="348"/>
      <c r="Z95" s="348"/>
    </row>
    <row r="96" spans="1:26" s="64" customFormat="1" ht="47.25" customHeight="1" thickBot="1" x14ac:dyDescent="0.35">
      <c r="A96" s="343">
        <v>45411</v>
      </c>
      <c r="B96" s="345" t="s">
        <v>12483</v>
      </c>
      <c r="C96" s="346">
        <v>421904325329</v>
      </c>
      <c r="D96" s="344" t="s">
        <v>12341</v>
      </c>
      <c r="E96" s="344" t="s">
        <v>12341</v>
      </c>
      <c r="F96" s="344"/>
      <c r="G96" s="344"/>
      <c r="H96" s="344"/>
      <c r="I96" s="344"/>
      <c r="J96" s="344"/>
      <c r="K96" s="344"/>
      <c r="L96" s="344" t="s">
        <v>12341</v>
      </c>
      <c r="M96" s="344" t="s">
        <v>12386</v>
      </c>
      <c r="N96" s="344" t="s">
        <v>12339</v>
      </c>
      <c r="O96" s="348"/>
      <c r="P96" s="348"/>
      <c r="Q96" s="348"/>
      <c r="R96" s="348"/>
      <c r="S96" s="348"/>
      <c r="T96" s="348"/>
      <c r="U96" s="348"/>
      <c r="V96" s="348"/>
      <c r="W96" s="348"/>
      <c r="X96" s="348"/>
      <c r="Y96" s="348"/>
      <c r="Z96" s="348"/>
    </row>
    <row r="97" spans="1:26" s="64" customFormat="1" ht="47.25" customHeight="1" thickBot="1" x14ac:dyDescent="0.35">
      <c r="A97" s="343">
        <v>45411</v>
      </c>
      <c r="B97" s="345" t="s">
        <v>12484</v>
      </c>
      <c r="C97" s="346">
        <f>42190 +4212849</f>
        <v>4255039</v>
      </c>
      <c r="D97" s="344" t="s">
        <v>12341</v>
      </c>
      <c r="E97" s="344" t="s">
        <v>12341</v>
      </c>
      <c r="F97" s="344"/>
      <c r="G97" s="344"/>
      <c r="H97" s="344"/>
      <c r="I97" s="344"/>
      <c r="J97" s="344"/>
      <c r="K97" s="344"/>
      <c r="L97" s="344" t="s">
        <v>12341</v>
      </c>
      <c r="M97" s="344" t="s">
        <v>12386</v>
      </c>
      <c r="N97" s="344" t="s">
        <v>12339</v>
      </c>
      <c r="O97" s="348"/>
      <c r="P97" s="348"/>
      <c r="Q97" s="348"/>
      <c r="R97" s="348"/>
      <c r="S97" s="348"/>
      <c r="T97" s="348"/>
      <c r="U97" s="348"/>
      <c r="V97" s="348"/>
      <c r="W97" s="348"/>
      <c r="X97" s="348"/>
      <c r="Y97" s="348"/>
      <c r="Z97" s="348"/>
    </row>
    <row r="98" spans="1:26" s="64" customFormat="1" ht="47.25" customHeight="1" thickBot="1" x14ac:dyDescent="0.35">
      <c r="A98" s="343">
        <v>45411</v>
      </c>
      <c r="B98" s="345" t="s">
        <v>12485</v>
      </c>
      <c r="C98" s="346" t="s">
        <v>12486</v>
      </c>
      <c r="D98" s="344" t="s">
        <v>12341</v>
      </c>
      <c r="E98" s="344" t="s">
        <v>12341</v>
      </c>
      <c r="F98" s="344"/>
      <c r="G98" s="344"/>
      <c r="H98" s="344"/>
      <c r="I98" s="344"/>
      <c r="J98" s="344"/>
      <c r="K98" s="344"/>
      <c r="L98" s="344" t="s">
        <v>12487</v>
      </c>
      <c r="M98" s="344" t="s">
        <v>12386</v>
      </c>
      <c r="N98" s="344" t="s">
        <v>12339</v>
      </c>
      <c r="O98" s="348"/>
      <c r="P98" s="348"/>
      <c r="Q98" s="348"/>
      <c r="R98" s="348"/>
      <c r="S98" s="348"/>
      <c r="T98" s="348"/>
      <c r="U98" s="348"/>
      <c r="V98" s="348"/>
      <c r="W98" s="348"/>
      <c r="X98" s="348"/>
      <c r="Y98" s="348"/>
      <c r="Z98" s="348"/>
    </row>
    <row r="99" spans="1:26" s="64" customFormat="1" ht="47.25" customHeight="1" thickBot="1" x14ac:dyDescent="0.35">
      <c r="A99" s="343">
        <v>45411</v>
      </c>
      <c r="B99" s="345" t="s">
        <v>5789</v>
      </c>
      <c r="C99" s="346" t="s">
        <v>12488</v>
      </c>
      <c r="D99" s="344" t="s">
        <v>12341</v>
      </c>
      <c r="E99" s="344" t="s">
        <v>12341</v>
      </c>
      <c r="F99" s="344"/>
      <c r="G99" s="344"/>
      <c r="H99" s="344"/>
      <c r="I99" s="344"/>
      <c r="J99" s="344"/>
      <c r="K99" s="344"/>
      <c r="L99" s="344" t="s">
        <v>12341</v>
      </c>
      <c r="M99" s="344" t="s">
        <v>12386</v>
      </c>
      <c r="N99" s="344" t="s">
        <v>12339</v>
      </c>
      <c r="O99" s="348"/>
      <c r="P99" s="348"/>
      <c r="Q99" s="348"/>
      <c r="R99" s="348"/>
      <c r="S99" s="348"/>
      <c r="T99" s="348"/>
      <c r="U99" s="348"/>
      <c r="V99" s="348"/>
      <c r="W99" s="348"/>
      <c r="X99" s="348"/>
      <c r="Y99" s="348"/>
      <c r="Z99" s="348"/>
    </row>
    <row r="100" spans="1:26" s="64" customFormat="1" ht="47.25" customHeight="1" thickBot="1" x14ac:dyDescent="0.35">
      <c r="A100" s="343">
        <v>45411</v>
      </c>
      <c r="B100" s="345" t="s">
        <v>12489</v>
      </c>
      <c r="C100" s="346">
        <v>421903885703</v>
      </c>
      <c r="D100" s="344" t="s">
        <v>12341</v>
      </c>
      <c r="E100" s="344" t="s">
        <v>12341</v>
      </c>
      <c r="F100" s="344"/>
      <c r="G100" s="344"/>
      <c r="H100" s="344"/>
      <c r="I100" s="344"/>
      <c r="J100" s="344"/>
      <c r="K100" s="344"/>
      <c r="L100" s="344" t="s">
        <v>12341</v>
      </c>
      <c r="M100" s="344" t="s">
        <v>12386</v>
      </c>
      <c r="N100" s="344" t="s">
        <v>12339</v>
      </c>
      <c r="O100" s="348"/>
      <c r="P100" s="348"/>
      <c r="Q100" s="348"/>
      <c r="R100" s="348"/>
      <c r="S100" s="348"/>
      <c r="T100" s="348"/>
      <c r="U100" s="348"/>
      <c r="V100" s="348"/>
      <c r="W100" s="348"/>
      <c r="X100" s="348"/>
      <c r="Y100" s="348"/>
      <c r="Z100" s="348"/>
    </row>
    <row r="101" spans="1:26" s="64" customFormat="1" ht="47.25" customHeight="1" thickBot="1" x14ac:dyDescent="0.35">
      <c r="A101" s="343">
        <v>45411</v>
      </c>
      <c r="B101" s="345" t="s">
        <v>12490</v>
      </c>
      <c r="C101" s="344"/>
      <c r="D101" s="344" t="s">
        <v>12360</v>
      </c>
      <c r="E101" s="344" t="s">
        <v>12491</v>
      </c>
      <c r="F101" s="344" t="s">
        <v>12360</v>
      </c>
      <c r="G101" s="344"/>
      <c r="H101" s="344"/>
      <c r="I101" s="347">
        <v>350</v>
      </c>
      <c r="J101" s="344"/>
      <c r="K101" s="344"/>
      <c r="L101" s="344" t="s">
        <v>12492</v>
      </c>
      <c r="M101" s="344" t="s">
        <v>12386</v>
      </c>
      <c r="N101" s="344" t="s">
        <v>12339</v>
      </c>
      <c r="O101" s="348"/>
      <c r="P101" s="348"/>
      <c r="Q101" s="348"/>
      <c r="R101" s="348"/>
      <c r="S101" s="348"/>
      <c r="T101" s="348"/>
      <c r="U101" s="348"/>
      <c r="V101" s="348"/>
      <c r="W101" s="348"/>
      <c r="X101" s="348"/>
      <c r="Y101" s="348"/>
      <c r="Z101" s="348"/>
    </row>
    <row r="102" spans="1:26" s="64" customFormat="1" ht="47.25" customHeight="1" thickBot="1" x14ac:dyDescent="0.35">
      <c r="A102" s="343">
        <v>45411</v>
      </c>
      <c r="B102" s="345" t="s">
        <v>12493</v>
      </c>
      <c r="C102" s="346">
        <v>421948853999</v>
      </c>
      <c r="D102" s="344" t="s">
        <v>12341</v>
      </c>
      <c r="E102" s="344" t="s">
        <v>12341</v>
      </c>
      <c r="F102" s="344"/>
      <c r="G102" s="344"/>
      <c r="H102" s="344"/>
      <c r="I102" s="344"/>
      <c r="J102" s="344"/>
      <c r="K102" s="344"/>
      <c r="L102" s="344" t="s">
        <v>12341</v>
      </c>
      <c r="M102" s="344" t="s">
        <v>12386</v>
      </c>
      <c r="N102" s="344" t="s">
        <v>12339</v>
      </c>
      <c r="O102" s="348"/>
      <c r="P102" s="348"/>
      <c r="Q102" s="348"/>
      <c r="R102" s="348"/>
      <c r="S102" s="348"/>
      <c r="T102" s="348"/>
      <c r="U102" s="348"/>
      <c r="V102" s="348"/>
      <c r="W102" s="348"/>
      <c r="X102" s="348"/>
      <c r="Y102" s="348"/>
      <c r="Z102" s="348"/>
    </row>
    <row r="103" spans="1:26" s="64" customFormat="1" ht="47.25" customHeight="1" thickBot="1" x14ac:dyDescent="0.35">
      <c r="A103" s="343">
        <v>45411</v>
      </c>
      <c r="B103" s="345" t="s">
        <v>12494</v>
      </c>
      <c r="C103" s="346">
        <v>421949824853</v>
      </c>
      <c r="D103" s="344" t="s">
        <v>2324</v>
      </c>
      <c r="E103" s="344" t="s">
        <v>12341</v>
      </c>
      <c r="F103" s="344"/>
      <c r="G103" s="344"/>
      <c r="H103" s="344"/>
      <c r="I103" s="344"/>
      <c r="J103" s="344"/>
      <c r="K103" s="344"/>
      <c r="L103" s="344" t="s">
        <v>12495</v>
      </c>
      <c r="M103" s="344" t="s">
        <v>12386</v>
      </c>
      <c r="N103" s="344" t="s">
        <v>12339</v>
      </c>
      <c r="O103" s="348"/>
      <c r="P103" s="348"/>
      <c r="Q103" s="348"/>
      <c r="R103" s="348"/>
      <c r="S103" s="348"/>
      <c r="T103" s="348"/>
      <c r="U103" s="348"/>
      <c r="V103" s="348"/>
      <c r="W103" s="348"/>
      <c r="X103" s="348"/>
      <c r="Y103" s="348"/>
      <c r="Z103" s="348"/>
    </row>
    <row r="104" spans="1:26" s="64" customFormat="1" ht="47.25" customHeight="1" thickBot="1" x14ac:dyDescent="0.35">
      <c r="A104" s="343">
        <v>45411</v>
      </c>
      <c r="B104" s="345" t="s">
        <v>12496</v>
      </c>
      <c r="C104" s="346">
        <v>421918805639</v>
      </c>
      <c r="D104" s="344" t="s">
        <v>12341</v>
      </c>
      <c r="E104" s="344" t="s">
        <v>12497</v>
      </c>
      <c r="F104" s="344" t="s">
        <v>12341</v>
      </c>
      <c r="G104" s="344"/>
      <c r="H104" s="344"/>
      <c r="I104" s="344"/>
      <c r="J104" s="344"/>
      <c r="K104" s="344"/>
      <c r="L104" s="344" t="s">
        <v>12498</v>
      </c>
      <c r="M104" s="344" t="s">
        <v>12386</v>
      </c>
      <c r="N104" s="344" t="s">
        <v>12339</v>
      </c>
      <c r="O104" s="348"/>
      <c r="P104" s="348"/>
      <c r="Q104" s="348"/>
      <c r="R104" s="348"/>
      <c r="S104" s="348"/>
      <c r="T104" s="348"/>
      <c r="U104" s="348"/>
      <c r="V104" s="348"/>
      <c r="W104" s="348"/>
      <c r="X104" s="348"/>
      <c r="Y104" s="348"/>
      <c r="Z104" s="348"/>
    </row>
    <row r="105" spans="1:26" s="64" customFormat="1" ht="47.25" customHeight="1" thickBot="1" x14ac:dyDescent="0.35">
      <c r="A105" s="343">
        <v>45411</v>
      </c>
      <c r="B105" s="345" t="s">
        <v>12499</v>
      </c>
      <c r="C105" s="346">
        <v>421949177521</v>
      </c>
      <c r="D105" s="344" t="s">
        <v>12341</v>
      </c>
      <c r="E105" s="344" t="s">
        <v>12341</v>
      </c>
      <c r="F105" s="344"/>
      <c r="G105" s="344"/>
      <c r="H105" s="344"/>
      <c r="I105" s="344"/>
      <c r="J105" s="344"/>
      <c r="K105" s="344"/>
      <c r="L105" s="344" t="s">
        <v>12341</v>
      </c>
      <c r="M105" s="344" t="s">
        <v>12386</v>
      </c>
      <c r="N105" s="344" t="s">
        <v>12339</v>
      </c>
      <c r="O105" s="348"/>
      <c r="P105" s="348"/>
      <c r="Q105" s="348"/>
      <c r="R105" s="348"/>
      <c r="S105" s="348"/>
      <c r="T105" s="348"/>
      <c r="U105" s="348"/>
      <c r="V105" s="348"/>
      <c r="W105" s="348"/>
      <c r="X105" s="348"/>
      <c r="Y105" s="348"/>
      <c r="Z105" s="348"/>
    </row>
    <row r="106" spans="1:26" s="64" customFormat="1" ht="47.25" customHeight="1" thickBot="1" x14ac:dyDescent="0.35">
      <c r="A106" s="343">
        <v>45411</v>
      </c>
      <c r="B106" s="345" t="s">
        <v>12500</v>
      </c>
      <c r="C106" s="346">
        <v>421902320811</v>
      </c>
      <c r="D106" s="344" t="s">
        <v>12341</v>
      </c>
      <c r="E106" s="344" t="s">
        <v>12341</v>
      </c>
      <c r="F106" s="344"/>
      <c r="G106" s="344"/>
      <c r="H106" s="344"/>
      <c r="I106" s="344"/>
      <c r="J106" s="344"/>
      <c r="K106" s="344"/>
      <c r="L106" s="344" t="s">
        <v>12341</v>
      </c>
      <c r="M106" s="344" t="s">
        <v>12386</v>
      </c>
      <c r="N106" s="344" t="s">
        <v>12339</v>
      </c>
      <c r="O106" s="348"/>
      <c r="P106" s="348"/>
      <c r="Q106" s="348"/>
      <c r="R106" s="348"/>
      <c r="S106" s="348"/>
      <c r="T106" s="348"/>
      <c r="U106" s="348"/>
      <c r="V106" s="348"/>
      <c r="W106" s="348"/>
      <c r="X106" s="348"/>
      <c r="Y106" s="348"/>
      <c r="Z106" s="348"/>
    </row>
    <row r="107" spans="1:26" s="64" customFormat="1" ht="47.25" customHeight="1" thickBot="1" x14ac:dyDescent="0.35">
      <c r="A107" s="343">
        <v>45411</v>
      </c>
      <c r="B107" s="345" t="s">
        <v>12501</v>
      </c>
      <c r="C107" s="346">
        <v>421944132911</v>
      </c>
      <c r="D107" s="344" t="s">
        <v>12341</v>
      </c>
      <c r="E107" s="344" t="s">
        <v>12356</v>
      </c>
      <c r="F107" s="344" t="s">
        <v>12360</v>
      </c>
      <c r="G107" s="347">
        <v>0</v>
      </c>
      <c r="H107" s="347">
        <v>40</v>
      </c>
      <c r="I107" s="347">
        <v>40</v>
      </c>
      <c r="J107" s="344"/>
      <c r="K107" s="344"/>
      <c r="L107" s="344" t="s">
        <v>12341</v>
      </c>
      <c r="M107" s="344" t="s">
        <v>12386</v>
      </c>
      <c r="N107" s="344" t="s">
        <v>12344</v>
      </c>
      <c r="O107" s="348"/>
      <c r="P107" s="348"/>
      <c r="Q107" s="348"/>
      <c r="R107" s="348"/>
      <c r="S107" s="348"/>
      <c r="T107" s="348"/>
      <c r="U107" s="348"/>
      <c r="V107" s="348"/>
      <c r="W107" s="348"/>
      <c r="X107" s="348"/>
      <c r="Y107" s="348"/>
      <c r="Z107" s="348"/>
    </row>
    <row r="108" spans="1:26" s="64" customFormat="1" ht="47.25" customHeight="1" thickBot="1" x14ac:dyDescent="0.35">
      <c r="A108" s="343">
        <v>45411</v>
      </c>
      <c r="B108" s="345" t="s">
        <v>12502</v>
      </c>
      <c r="C108" s="346">
        <v>421918974420</v>
      </c>
      <c r="D108" s="344" t="s">
        <v>12503</v>
      </c>
      <c r="E108" s="344" t="s">
        <v>12341</v>
      </c>
      <c r="F108" s="344"/>
      <c r="G108" s="344"/>
      <c r="H108" s="344"/>
      <c r="I108" s="344"/>
      <c r="J108" s="344"/>
      <c r="K108" s="344"/>
      <c r="L108" s="344" t="s">
        <v>12504</v>
      </c>
      <c r="M108" s="344" t="s">
        <v>12386</v>
      </c>
      <c r="N108" s="344" t="s">
        <v>12339</v>
      </c>
      <c r="O108" s="348"/>
      <c r="P108" s="348"/>
      <c r="Q108" s="348"/>
      <c r="R108" s="348"/>
      <c r="S108" s="348"/>
      <c r="T108" s="348"/>
      <c r="U108" s="348"/>
      <c r="V108" s="348"/>
      <c r="W108" s="348"/>
      <c r="X108" s="348"/>
      <c r="Y108" s="348"/>
      <c r="Z108" s="348"/>
    </row>
    <row r="109" spans="1:26" s="64" customFormat="1" ht="47.25" customHeight="1" thickBot="1" x14ac:dyDescent="0.35">
      <c r="A109" s="343">
        <v>45411</v>
      </c>
      <c r="B109" s="345" t="s">
        <v>12505</v>
      </c>
      <c r="C109" s="346">
        <v>421911255730</v>
      </c>
      <c r="D109" s="344" t="s">
        <v>12341</v>
      </c>
      <c r="E109" s="344" t="s">
        <v>12341</v>
      </c>
      <c r="F109" s="344"/>
      <c r="G109" s="344"/>
      <c r="H109" s="344"/>
      <c r="I109" s="344"/>
      <c r="J109" s="344"/>
      <c r="K109" s="344"/>
      <c r="L109" s="344" t="s">
        <v>12341</v>
      </c>
      <c r="M109" s="344" t="s">
        <v>12386</v>
      </c>
      <c r="N109" s="344" t="s">
        <v>12339</v>
      </c>
      <c r="O109" s="348"/>
      <c r="P109" s="348"/>
      <c r="Q109" s="348"/>
      <c r="R109" s="348"/>
      <c r="S109" s="348"/>
      <c r="T109" s="348"/>
      <c r="U109" s="348"/>
      <c r="V109" s="348"/>
      <c r="W109" s="348"/>
      <c r="X109" s="348"/>
      <c r="Y109" s="348"/>
      <c r="Z109" s="348"/>
    </row>
    <row r="110" spans="1:26" s="64" customFormat="1" ht="47.25" customHeight="1" thickBot="1" x14ac:dyDescent="0.35">
      <c r="A110" s="343">
        <v>45411</v>
      </c>
      <c r="B110" s="345" t="s">
        <v>12506</v>
      </c>
      <c r="C110" s="344"/>
      <c r="D110" s="344" t="s">
        <v>12341</v>
      </c>
      <c r="E110" s="344" t="s">
        <v>12341</v>
      </c>
      <c r="F110" s="344"/>
      <c r="G110" s="344"/>
      <c r="H110" s="344"/>
      <c r="I110" s="344"/>
      <c r="J110" s="344"/>
      <c r="K110" s="344"/>
      <c r="L110" s="344" t="s">
        <v>12341</v>
      </c>
      <c r="M110" s="344" t="s">
        <v>12386</v>
      </c>
      <c r="N110" s="344" t="s">
        <v>12339</v>
      </c>
      <c r="O110" s="348"/>
      <c r="P110" s="348"/>
      <c r="Q110" s="348"/>
      <c r="R110" s="348"/>
      <c r="S110" s="348"/>
      <c r="T110" s="348"/>
      <c r="U110" s="348"/>
      <c r="V110" s="348"/>
      <c r="W110" s="348"/>
      <c r="X110" s="348"/>
      <c r="Y110" s="348"/>
      <c r="Z110" s="348"/>
    </row>
    <row r="111" spans="1:26" s="64" customFormat="1" ht="47.25" customHeight="1" thickBot="1" x14ac:dyDescent="0.35">
      <c r="A111" s="343">
        <v>45411</v>
      </c>
      <c r="B111" s="345" t="s">
        <v>12507</v>
      </c>
      <c r="C111" s="346">
        <v>421918805639</v>
      </c>
      <c r="D111" s="344" t="s">
        <v>12341</v>
      </c>
      <c r="E111" s="344" t="s">
        <v>12341</v>
      </c>
      <c r="F111" s="344"/>
      <c r="G111" s="344"/>
      <c r="H111" s="344"/>
      <c r="I111" s="344"/>
      <c r="J111" s="344"/>
      <c r="K111" s="344"/>
      <c r="L111" s="344" t="s">
        <v>12341</v>
      </c>
      <c r="M111" s="344" t="s">
        <v>12386</v>
      </c>
      <c r="N111" s="344" t="s">
        <v>12339</v>
      </c>
      <c r="O111" s="348"/>
      <c r="P111" s="348"/>
      <c r="Q111" s="348"/>
      <c r="R111" s="348"/>
      <c r="S111" s="348"/>
      <c r="T111" s="348"/>
      <c r="U111" s="348"/>
      <c r="V111" s="348"/>
      <c r="W111" s="348"/>
      <c r="X111" s="348"/>
      <c r="Y111" s="348"/>
      <c r="Z111" s="348"/>
    </row>
    <row r="112" spans="1:26" s="64" customFormat="1" ht="47.25" customHeight="1" thickBot="1" x14ac:dyDescent="0.35">
      <c r="A112" s="343">
        <v>45411</v>
      </c>
      <c r="B112" s="345" t="s">
        <v>12508</v>
      </c>
      <c r="C112" s="346">
        <v>421918881507</v>
      </c>
      <c r="D112" s="344" t="s">
        <v>12341</v>
      </c>
      <c r="E112" s="344" t="s">
        <v>12341</v>
      </c>
      <c r="F112" s="344"/>
      <c r="G112" s="344"/>
      <c r="H112" s="344"/>
      <c r="I112" s="344"/>
      <c r="J112" s="344"/>
      <c r="K112" s="344"/>
      <c r="L112" s="344" t="s">
        <v>12341</v>
      </c>
      <c r="M112" s="344" t="s">
        <v>12386</v>
      </c>
      <c r="N112" s="344" t="s">
        <v>12339</v>
      </c>
      <c r="O112" s="348"/>
      <c r="P112" s="348"/>
      <c r="Q112" s="348"/>
      <c r="R112" s="348"/>
      <c r="S112" s="348"/>
      <c r="T112" s="348"/>
      <c r="U112" s="348"/>
      <c r="V112" s="348"/>
      <c r="W112" s="348"/>
      <c r="X112" s="348"/>
      <c r="Y112" s="348"/>
      <c r="Z112" s="348"/>
    </row>
    <row r="113" spans="1:26" s="64" customFormat="1" ht="47.25" customHeight="1" thickBot="1" x14ac:dyDescent="0.35">
      <c r="A113" s="343">
        <v>45411</v>
      </c>
      <c r="B113" s="345" t="s">
        <v>12509</v>
      </c>
      <c r="C113" s="346">
        <v>421902705618</v>
      </c>
      <c r="D113" s="344" t="s">
        <v>12341</v>
      </c>
      <c r="E113" s="344" t="s">
        <v>12341</v>
      </c>
      <c r="F113" s="344"/>
      <c r="G113" s="344"/>
      <c r="H113" s="344"/>
      <c r="I113" s="344"/>
      <c r="J113" s="344"/>
      <c r="K113" s="344"/>
      <c r="L113" s="344" t="s">
        <v>12341</v>
      </c>
      <c r="M113" s="344" t="s">
        <v>12386</v>
      </c>
      <c r="N113" s="344" t="s">
        <v>12339</v>
      </c>
      <c r="O113" s="348"/>
      <c r="P113" s="348"/>
      <c r="Q113" s="348"/>
      <c r="R113" s="348"/>
      <c r="S113" s="348"/>
      <c r="T113" s="348"/>
      <c r="U113" s="348"/>
      <c r="V113" s="348"/>
      <c r="W113" s="348"/>
      <c r="X113" s="348"/>
      <c r="Y113" s="348"/>
      <c r="Z113" s="348"/>
    </row>
    <row r="114" spans="1:26" s="64" customFormat="1" ht="47.25" customHeight="1" thickBot="1" x14ac:dyDescent="0.35">
      <c r="A114" s="343">
        <v>45411</v>
      </c>
      <c r="B114" s="345" t="s">
        <v>12510</v>
      </c>
      <c r="C114" s="346" t="s">
        <v>12511</v>
      </c>
      <c r="D114" s="344" t="s">
        <v>12346</v>
      </c>
      <c r="E114" s="344" t="s">
        <v>12341</v>
      </c>
      <c r="F114" s="344"/>
      <c r="G114" s="344"/>
      <c r="H114" s="344"/>
      <c r="I114" s="344"/>
      <c r="J114" s="344"/>
      <c r="K114" s="344"/>
      <c r="L114" s="344" t="s">
        <v>12512</v>
      </c>
      <c r="M114" s="344" t="s">
        <v>12386</v>
      </c>
      <c r="N114" s="344" t="s">
        <v>12339</v>
      </c>
      <c r="O114" s="348"/>
      <c r="P114" s="348"/>
      <c r="Q114" s="348"/>
      <c r="R114" s="348"/>
      <c r="S114" s="348"/>
      <c r="T114" s="348"/>
      <c r="U114" s="348"/>
      <c r="V114" s="348"/>
      <c r="W114" s="348"/>
      <c r="X114" s="348"/>
      <c r="Y114" s="348"/>
      <c r="Z114" s="348"/>
    </row>
    <row r="115" spans="1:26" s="64" customFormat="1" ht="47.25" customHeight="1" thickBot="1" x14ac:dyDescent="0.35">
      <c r="A115" s="343">
        <v>45411</v>
      </c>
      <c r="B115" s="345" t="s">
        <v>12513</v>
      </c>
      <c r="C115" s="346">
        <v>421948004720</v>
      </c>
      <c r="D115" s="344" t="s">
        <v>12341</v>
      </c>
      <c r="E115" s="344" t="s">
        <v>12341</v>
      </c>
      <c r="F115" s="344"/>
      <c r="G115" s="344"/>
      <c r="H115" s="344"/>
      <c r="I115" s="344"/>
      <c r="J115" s="344"/>
      <c r="K115" s="344"/>
      <c r="L115" s="344" t="s">
        <v>12341</v>
      </c>
      <c r="M115" s="344" t="s">
        <v>12386</v>
      </c>
      <c r="N115" s="344" t="s">
        <v>12339</v>
      </c>
      <c r="O115" s="348"/>
      <c r="P115" s="348"/>
      <c r="Q115" s="348"/>
      <c r="R115" s="348"/>
      <c r="S115" s="348"/>
      <c r="T115" s="348"/>
      <c r="U115" s="348"/>
      <c r="V115" s="348"/>
      <c r="W115" s="348"/>
      <c r="X115" s="348"/>
      <c r="Y115" s="348"/>
      <c r="Z115" s="348"/>
    </row>
    <row r="116" spans="1:26" s="64" customFormat="1" ht="47.25" customHeight="1" thickBot="1" x14ac:dyDescent="0.35">
      <c r="A116" s="343">
        <v>45411</v>
      </c>
      <c r="B116" s="345" t="s">
        <v>12514</v>
      </c>
      <c r="C116" s="346">
        <v>421918607404</v>
      </c>
      <c r="D116" s="344" t="s">
        <v>12341</v>
      </c>
      <c r="E116" s="344" t="s">
        <v>12341</v>
      </c>
      <c r="F116" s="344"/>
      <c r="G116" s="344"/>
      <c r="H116" s="344"/>
      <c r="I116" s="344"/>
      <c r="J116" s="344"/>
      <c r="K116" s="344"/>
      <c r="L116" s="344" t="s">
        <v>12341</v>
      </c>
      <c r="M116" s="344" t="s">
        <v>12386</v>
      </c>
      <c r="N116" s="344" t="s">
        <v>12339</v>
      </c>
      <c r="O116" s="348"/>
      <c r="P116" s="348"/>
      <c r="Q116" s="348"/>
      <c r="R116" s="348"/>
      <c r="S116" s="348"/>
      <c r="T116" s="348"/>
      <c r="U116" s="348"/>
      <c r="V116" s="348"/>
      <c r="W116" s="348"/>
      <c r="X116" s="348"/>
      <c r="Y116" s="348"/>
      <c r="Z116" s="348"/>
    </row>
    <row r="117" spans="1:26" s="64" customFormat="1" ht="47.25" customHeight="1" thickBot="1" x14ac:dyDescent="0.35">
      <c r="A117" s="343">
        <v>45411</v>
      </c>
      <c r="B117" s="345" t="s">
        <v>12515</v>
      </c>
      <c r="C117" s="346" t="s">
        <v>12516</v>
      </c>
      <c r="D117" s="344" t="s">
        <v>12341</v>
      </c>
      <c r="E117" s="344" t="s">
        <v>12341</v>
      </c>
      <c r="F117" s="344"/>
      <c r="G117" s="344"/>
      <c r="H117" s="344"/>
      <c r="I117" s="344"/>
      <c r="J117" s="344"/>
      <c r="K117" s="344"/>
      <c r="L117" s="344" t="s">
        <v>12341</v>
      </c>
      <c r="M117" s="344" t="s">
        <v>12386</v>
      </c>
      <c r="N117" s="344" t="s">
        <v>12339</v>
      </c>
      <c r="O117" s="348"/>
      <c r="P117" s="348"/>
      <c r="Q117" s="348"/>
      <c r="R117" s="348"/>
      <c r="S117" s="348"/>
      <c r="T117" s="348"/>
      <c r="U117" s="348"/>
      <c r="V117" s="348"/>
      <c r="W117" s="348"/>
      <c r="X117" s="348"/>
      <c r="Y117" s="348"/>
      <c r="Z117" s="348"/>
    </row>
    <row r="118" spans="1:26" s="64" customFormat="1" ht="47.25" customHeight="1" thickBot="1" x14ac:dyDescent="0.35">
      <c r="A118" s="343">
        <v>45411</v>
      </c>
      <c r="B118" s="345" t="s">
        <v>12517</v>
      </c>
      <c r="C118" s="346" t="s">
        <v>12518</v>
      </c>
      <c r="D118" s="344" t="s">
        <v>12341</v>
      </c>
      <c r="E118" s="344" t="s">
        <v>12341</v>
      </c>
      <c r="F118" s="344"/>
      <c r="G118" s="344"/>
      <c r="H118" s="344"/>
      <c r="I118" s="344"/>
      <c r="J118" s="344"/>
      <c r="K118" s="344"/>
      <c r="L118" s="344" t="s">
        <v>12341</v>
      </c>
      <c r="M118" s="344" t="s">
        <v>12386</v>
      </c>
      <c r="N118" s="344" t="s">
        <v>12339</v>
      </c>
      <c r="O118" s="348"/>
      <c r="P118" s="348"/>
      <c r="Q118" s="348"/>
      <c r="R118" s="348"/>
      <c r="S118" s="348"/>
      <c r="T118" s="348"/>
      <c r="U118" s="348"/>
      <c r="V118" s="348"/>
      <c r="W118" s="348"/>
      <c r="X118" s="348"/>
      <c r="Y118" s="348"/>
      <c r="Z118" s="348"/>
    </row>
    <row r="119" spans="1:26" s="64" customFormat="1" ht="47.25" customHeight="1" thickBot="1" x14ac:dyDescent="0.35">
      <c r="A119" s="343">
        <v>45411</v>
      </c>
      <c r="B119" s="345" t="s">
        <v>12519</v>
      </c>
      <c r="C119" s="346" t="s">
        <v>12520</v>
      </c>
      <c r="D119" s="344" t="s">
        <v>12346</v>
      </c>
      <c r="E119" s="344" t="s">
        <v>12341</v>
      </c>
      <c r="F119" s="344"/>
      <c r="G119" s="344"/>
      <c r="H119" s="344"/>
      <c r="I119" s="344"/>
      <c r="J119" s="344"/>
      <c r="K119" s="344"/>
      <c r="L119" s="344" t="s">
        <v>12521</v>
      </c>
      <c r="M119" s="344" t="s">
        <v>12386</v>
      </c>
      <c r="N119" s="344" t="s">
        <v>12339</v>
      </c>
      <c r="O119" s="348"/>
      <c r="P119" s="348"/>
      <c r="Q119" s="348"/>
      <c r="R119" s="348"/>
      <c r="S119" s="348"/>
      <c r="T119" s="348"/>
      <c r="U119" s="348"/>
      <c r="V119" s="348"/>
      <c r="W119" s="348"/>
      <c r="X119" s="348"/>
      <c r="Y119" s="348"/>
      <c r="Z119" s="348"/>
    </row>
    <row r="120" spans="1:26" s="64" customFormat="1" ht="47.25" customHeight="1" thickBot="1" x14ac:dyDescent="0.35">
      <c r="A120" s="343">
        <v>45411</v>
      </c>
      <c r="B120" s="345" t="s">
        <v>12522</v>
      </c>
      <c r="C120" s="346">
        <v>421905723971</v>
      </c>
      <c r="D120" s="344" t="s">
        <v>12341</v>
      </c>
      <c r="E120" s="344" t="s">
        <v>12341</v>
      </c>
      <c r="F120" s="344"/>
      <c r="G120" s="344"/>
      <c r="H120" s="344"/>
      <c r="I120" s="344"/>
      <c r="J120" s="344"/>
      <c r="K120" s="344"/>
      <c r="L120" s="344" t="s">
        <v>12523</v>
      </c>
      <c r="M120" s="344" t="s">
        <v>12386</v>
      </c>
      <c r="N120" s="344" t="s">
        <v>12339</v>
      </c>
      <c r="O120" s="348"/>
      <c r="P120" s="348"/>
      <c r="Q120" s="348"/>
      <c r="R120" s="348"/>
      <c r="S120" s="348"/>
      <c r="T120" s="348"/>
      <c r="U120" s="348"/>
      <c r="V120" s="348"/>
      <c r="W120" s="348"/>
      <c r="X120" s="348"/>
      <c r="Y120" s="348"/>
      <c r="Z120" s="348"/>
    </row>
    <row r="121" spans="1:26" s="64" customFormat="1" ht="47.25" customHeight="1" thickBot="1" x14ac:dyDescent="0.35">
      <c r="A121" s="343">
        <v>45411</v>
      </c>
      <c r="B121" s="345" t="s">
        <v>12524</v>
      </c>
      <c r="C121" s="346">
        <v>421915293184</v>
      </c>
      <c r="D121" s="344" t="s">
        <v>12341</v>
      </c>
      <c r="E121" s="344" t="s">
        <v>12341</v>
      </c>
      <c r="F121" s="344"/>
      <c r="G121" s="344"/>
      <c r="H121" s="344"/>
      <c r="I121" s="344"/>
      <c r="J121" s="344"/>
      <c r="K121" s="344"/>
      <c r="L121" s="344" t="s">
        <v>12341</v>
      </c>
      <c r="M121" s="344" t="s">
        <v>12386</v>
      </c>
      <c r="N121" s="344" t="s">
        <v>12339</v>
      </c>
      <c r="O121" s="348"/>
      <c r="P121" s="348"/>
      <c r="Q121" s="348"/>
      <c r="R121" s="348"/>
      <c r="S121" s="348"/>
      <c r="T121" s="348"/>
      <c r="U121" s="348"/>
      <c r="V121" s="348"/>
      <c r="W121" s="348"/>
      <c r="X121" s="348"/>
      <c r="Y121" s="348"/>
      <c r="Z121" s="348"/>
    </row>
    <row r="122" spans="1:26" s="64" customFormat="1" ht="47.25" customHeight="1" thickBot="1" x14ac:dyDescent="0.35">
      <c r="A122" s="343">
        <v>45411</v>
      </c>
      <c r="B122" s="345" t="s">
        <v>12525</v>
      </c>
      <c r="C122" s="344"/>
      <c r="D122" s="344" t="s">
        <v>12341</v>
      </c>
      <c r="E122" s="344" t="s">
        <v>12341</v>
      </c>
      <c r="F122" s="344"/>
      <c r="G122" s="344"/>
      <c r="H122" s="344"/>
      <c r="I122" s="344"/>
      <c r="J122" s="344"/>
      <c r="K122" s="344"/>
      <c r="L122" s="344" t="s">
        <v>12341</v>
      </c>
      <c r="M122" s="344" t="s">
        <v>12386</v>
      </c>
      <c r="N122" s="344" t="s">
        <v>12339</v>
      </c>
      <c r="O122" s="348"/>
      <c r="P122" s="348"/>
      <c r="Q122" s="348"/>
      <c r="R122" s="348"/>
      <c r="S122" s="348"/>
      <c r="T122" s="348"/>
      <c r="U122" s="348"/>
      <c r="V122" s="348"/>
      <c r="W122" s="348"/>
      <c r="X122" s="348"/>
      <c r="Y122" s="348"/>
      <c r="Z122" s="348"/>
    </row>
    <row r="123" spans="1:26" s="64" customFormat="1" ht="47.25" customHeight="1" thickBot="1" x14ac:dyDescent="0.35">
      <c r="A123" s="343">
        <v>45411</v>
      </c>
      <c r="B123" s="345" t="s">
        <v>12526</v>
      </c>
      <c r="C123" s="346">
        <v>421948945884</v>
      </c>
      <c r="D123" s="344" t="s">
        <v>12352</v>
      </c>
      <c r="E123" s="344" t="s">
        <v>12341</v>
      </c>
      <c r="F123" s="344"/>
      <c r="G123" s="344"/>
      <c r="H123" s="344"/>
      <c r="I123" s="344"/>
      <c r="J123" s="344"/>
      <c r="K123" s="344"/>
      <c r="L123" s="344" t="s">
        <v>12527</v>
      </c>
      <c r="M123" s="344" t="s">
        <v>12386</v>
      </c>
      <c r="N123" s="344" t="s">
        <v>12339</v>
      </c>
      <c r="O123" s="348"/>
      <c r="P123" s="348"/>
      <c r="Q123" s="348"/>
      <c r="R123" s="348"/>
      <c r="S123" s="348"/>
      <c r="T123" s="348"/>
      <c r="U123" s="348"/>
      <c r="V123" s="348"/>
      <c r="W123" s="348"/>
      <c r="X123" s="348"/>
      <c r="Y123" s="348"/>
      <c r="Z123" s="348"/>
    </row>
    <row r="124" spans="1:26" s="64" customFormat="1" ht="47.25" customHeight="1" thickBot="1" x14ac:dyDescent="0.35">
      <c r="A124" s="343">
        <v>45411</v>
      </c>
      <c r="B124" s="345" t="s">
        <v>12528</v>
      </c>
      <c r="C124" s="346">
        <v>421910454788</v>
      </c>
      <c r="D124" s="344" t="s">
        <v>12341</v>
      </c>
      <c r="E124" s="344" t="s">
        <v>12341</v>
      </c>
      <c r="F124" s="344"/>
      <c r="G124" s="344"/>
      <c r="H124" s="344"/>
      <c r="I124" s="344"/>
      <c r="J124" s="344"/>
      <c r="K124" s="344"/>
      <c r="L124" s="344" t="s">
        <v>12341</v>
      </c>
      <c r="M124" s="344" t="s">
        <v>12386</v>
      </c>
      <c r="N124" s="344" t="s">
        <v>12339</v>
      </c>
      <c r="O124" s="348"/>
      <c r="P124" s="348"/>
      <c r="Q124" s="348"/>
      <c r="R124" s="348"/>
      <c r="S124" s="348"/>
      <c r="T124" s="348"/>
      <c r="U124" s="348"/>
      <c r="V124" s="348"/>
      <c r="W124" s="348"/>
      <c r="X124" s="348"/>
      <c r="Y124" s="348"/>
      <c r="Z124" s="348"/>
    </row>
    <row r="125" spans="1:26" s="64" customFormat="1" ht="47.25" customHeight="1" thickBot="1" x14ac:dyDescent="0.35">
      <c r="A125" s="343">
        <v>45411</v>
      </c>
      <c r="B125" s="345" t="s">
        <v>12529</v>
      </c>
      <c r="C125" s="344"/>
      <c r="D125" s="344" t="s">
        <v>12341</v>
      </c>
      <c r="E125" s="344" t="s">
        <v>12341</v>
      </c>
      <c r="F125" s="344"/>
      <c r="G125" s="344"/>
      <c r="H125" s="344"/>
      <c r="I125" s="344"/>
      <c r="J125" s="344"/>
      <c r="K125" s="344"/>
      <c r="L125" s="344" t="s">
        <v>12341</v>
      </c>
      <c r="M125" s="344" t="s">
        <v>12386</v>
      </c>
      <c r="N125" s="344" t="s">
        <v>12339</v>
      </c>
      <c r="O125" s="348"/>
      <c r="P125" s="348"/>
      <c r="Q125" s="348"/>
      <c r="R125" s="348"/>
      <c r="S125" s="348"/>
      <c r="T125" s="348"/>
      <c r="U125" s="348"/>
      <c r="V125" s="348"/>
      <c r="W125" s="348"/>
      <c r="X125" s="348"/>
      <c r="Y125" s="348"/>
      <c r="Z125" s="348"/>
    </row>
    <row r="126" spans="1:26" s="64" customFormat="1" ht="47.25" customHeight="1" thickBot="1" x14ac:dyDescent="0.35">
      <c r="A126" s="343">
        <v>45411</v>
      </c>
      <c r="B126" s="345" t="s">
        <v>12530</v>
      </c>
      <c r="C126" s="346">
        <v>421902705618</v>
      </c>
      <c r="D126" s="344" t="s">
        <v>12341</v>
      </c>
      <c r="E126" s="344" t="s">
        <v>12341</v>
      </c>
      <c r="F126" s="344"/>
      <c r="G126" s="344"/>
      <c r="H126" s="344"/>
      <c r="I126" s="344"/>
      <c r="J126" s="344"/>
      <c r="K126" s="344"/>
      <c r="L126" s="344" t="s">
        <v>12341</v>
      </c>
      <c r="M126" s="344" t="s">
        <v>12386</v>
      </c>
      <c r="N126" s="344" t="s">
        <v>12339</v>
      </c>
      <c r="O126" s="348"/>
      <c r="P126" s="348"/>
      <c r="Q126" s="348"/>
      <c r="R126" s="348"/>
      <c r="S126" s="348"/>
      <c r="T126" s="348"/>
      <c r="U126" s="348"/>
      <c r="V126" s="348"/>
      <c r="W126" s="348"/>
      <c r="X126" s="348"/>
      <c r="Y126" s="348"/>
      <c r="Z126" s="348"/>
    </row>
    <row r="127" spans="1:26" s="64" customFormat="1" ht="47.25" customHeight="1" thickBot="1" x14ac:dyDescent="0.35">
      <c r="A127" s="343">
        <v>45411</v>
      </c>
      <c r="B127" s="345" t="s">
        <v>12531</v>
      </c>
      <c r="C127" s="346">
        <v>421903558053</v>
      </c>
      <c r="D127" s="344" t="s">
        <v>12341</v>
      </c>
      <c r="E127" s="344" t="s">
        <v>12341</v>
      </c>
      <c r="F127" s="344"/>
      <c r="G127" s="344"/>
      <c r="H127" s="344"/>
      <c r="I127" s="344"/>
      <c r="J127" s="344"/>
      <c r="K127" s="344"/>
      <c r="L127" s="344" t="s">
        <v>12341</v>
      </c>
      <c r="M127" s="344" t="s">
        <v>12386</v>
      </c>
      <c r="N127" s="344" t="s">
        <v>12339</v>
      </c>
      <c r="O127" s="348"/>
      <c r="P127" s="348"/>
      <c r="Q127" s="348"/>
      <c r="R127" s="348"/>
      <c r="S127" s="348"/>
      <c r="T127" s="348"/>
      <c r="U127" s="348"/>
      <c r="V127" s="348"/>
      <c r="W127" s="348"/>
      <c r="X127" s="348"/>
      <c r="Y127" s="348"/>
      <c r="Z127" s="348"/>
    </row>
    <row r="128" spans="1:26" s="64" customFormat="1" ht="47.25" customHeight="1" thickBot="1" x14ac:dyDescent="0.35">
      <c r="A128" s="343">
        <v>45411</v>
      </c>
      <c r="B128" s="345" t="s">
        <v>12532</v>
      </c>
      <c r="C128" s="346">
        <v>421904660326</v>
      </c>
      <c r="D128" s="344" t="s">
        <v>12352</v>
      </c>
      <c r="E128" s="344" t="s">
        <v>12341</v>
      </c>
      <c r="F128" s="344"/>
      <c r="G128" s="344"/>
      <c r="H128" s="344"/>
      <c r="I128" s="344"/>
      <c r="J128" s="344"/>
      <c r="K128" s="344"/>
      <c r="L128" s="344" t="s">
        <v>12533</v>
      </c>
      <c r="M128" s="344" t="s">
        <v>12386</v>
      </c>
      <c r="N128" s="344" t="s">
        <v>12339</v>
      </c>
      <c r="O128" s="348"/>
      <c r="P128" s="348"/>
      <c r="Q128" s="348"/>
      <c r="R128" s="348"/>
      <c r="S128" s="348"/>
      <c r="T128" s="348"/>
      <c r="U128" s="348"/>
      <c r="V128" s="348"/>
      <c r="W128" s="348"/>
      <c r="X128" s="348"/>
      <c r="Y128" s="348"/>
      <c r="Z128" s="348"/>
    </row>
    <row r="129" spans="1:26" s="64" customFormat="1" ht="47.25" customHeight="1" thickBot="1" x14ac:dyDescent="0.35">
      <c r="A129" s="343">
        <v>45411</v>
      </c>
      <c r="B129" s="345" t="s">
        <v>12534</v>
      </c>
      <c r="C129" s="346" t="s">
        <v>12535</v>
      </c>
      <c r="D129" s="344" t="s">
        <v>12346</v>
      </c>
      <c r="E129" s="344" t="s">
        <v>12341</v>
      </c>
      <c r="F129" s="344"/>
      <c r="G129" s="344"/>
      <c r="H129" s="344"/>
      <c r="I129" s="344"/>
      <c r="J129" s="344"/>
      <c r="K129" s="344"/>
      <c r="L129" s="344" t="s">
        <v>12536</v>
      </c>
      <c r="M129" s="344" t="s">
        <v>12386</v>
      </c>
      <c r="N129" s="344" t="s">
        <v>12339</v>
      </c>
      <c r="O129" s="348"/>
      <c r="P129" s="348"/>
      <c r="Q129" s="348"/>
      <c r="R129" s="348"/>
      <c r="S129" s="348"/>
      <c r="T129" s="348"/>
      <c r="U129" s="348"/>
      <c r="V129" s="348"/>
      <c r="W129" s="348"/>
      <c r="X129" s="348"/>
      <c r="Y129" s="348"/>
      <c r="Z129" s="348"/>
    </row>
    <row r="130" spans="1:26" s="64" customFormat="1" ht="47.25" customHeight="1" thickBot="1" x14ac:dyDescent="0.35">
      <c r="A130" s="343">
        <v>45411</v>
      </c>
      <c r="B130" s="345" t="s">
        <v>12537</v>
      </c>
      <c r="C130" s="346">
        <v>421908972440</v>
      </c>
      <c r="D130" s="344" t="s">
        <v>12341</v>
      </c>
      <c r="E130" s="344" t="s">
        <v>12341</v>
      </c>
      <c r="F130" s="344"/>
      <c r="G130" s="344"/>
      <c r="H130" s="344"/>
      <c r="I130" s="344"/>
      <c r="J130" s="344"/>
      <c r="K130" s="344"/>
      <c r="L130" s="344" t="s">
        <v>12341</v>
      </c>
      <c r="M130" s="344" t="s">
        <v>12386</v>
      </c>
      <c r="N130" s="344" t="s">
        <v>12339</v>
      </c>
      <c r="O130" s="348"/>
      <c r="P130" s="348"/>
      <c r="Q130" s="348"/>
      <c r="R130" s="348"/>
      <c r="S130" s="348"/>
      <c r="T130" s="348"/>
      <c r="U130" s="348"/>
      <c r="V130" s="348"/>
      <c r="W130" s="348"/>
      <c r="X130" s="348"/>
      <c r="Y130" s="348"/>
      <c r="Z130" s="348"/>
    </row>
    <row r="131" spans="1:26" s="64" customFormat="1" ht="47.25" customHeight="1" thickBot="1" x14ac:dyDescent="0.35">
      <c r="A131" s="343">
        <v>45411</v>
      </c>
      <c r="B131" s="345" t="s">
        <v>12538</v>
      </c>
      <c r="C131" s="346" t="s">
        <v>12539</v>
      </c>
      <c r="D131" s="344" t="s">
        <v>12346</v>
      </c>
      <c r="E131" s="344" t="s">
        <v>12341</v>
      </c>
      <c r="F131" s="344"/>
      <c r="G131" s="344"/>
      <c r="H131" s="344"/>
      <c r="I131" s="344"/>
      <c r="J131" s="344"/>
      <c r="K131" s="344"/>
      <c r="L131" s="344" t="s">
        <v>12540</v>
      </c>
      <c r="M131" s="344" t="s">
        <v>12386</v>
      </c>
      <c r="N131" s="344" t="s">
        <v>12339</v>
      </c>
      <c r="O131" s="348"/>
      <c r="P131" s="348"/>
      <c r="Q131" s="348"/>
      <c r="R131" s="348"/>
      <c r="S131" s="348"/>
      <c r="T131" s="348"/>
      <c r="U131" s="348"/>
      <c r="V131" s="348"/>
      <c r="W131" s="348"/>
      <c r="X131" s="348"/>
      <c r="Y131" s="348"/>
      <c r="Z131" s="348"/>
    </row>
    <row r="132" spans="1:26" s="64" customFormat="1" ht="47.25" customHeight="1" thickBot="1" x14ac:dyDescent="0.35">
      <c r="A132" s="343">
        <v>45411</v>
      </c>
      <c r="B132" s="345" t="s">
        <v>12541</v>
      </c>
      <c r="C132" s="346">
        <v>421905430879</v>
      </c>
      <c r="D132" s="344" t="s">
        <v>12341</v>
      </c>
      <c r="E132" s="344" t="s">
        <v>12341</v>
      </c>
      <c r="F132" s="344"/>
      <c r="G132" s="344"/>
      <c r="H132" s="344"/>
      <c r="I132" s="344"/>
      <c r="J132" s="344"/>
      <c r="K132" s="344"/>
      <c r="L132" s="344" t="s">
        <v>12341</v>
      </c>
      <c r="M132" s="344" t="s">
        <v>12386</v>
      </c>
      <c r="N132" s="344" t="s">
        <v>12339</v>
      </c>
      <c r="O132" s="348"/>
      <c r="P132" s="348"/>
      <c r="Q132" s="348"/>
      <c r="R132" s="348"/>
      <c r="S132" s="348"/>
      <c r="T132" s="348"/>
      <c r="U132" s="348"/>
      <c r="V132" s="348"/>
      <c r="W132" s="348"/>
      <c r="X132" s="348"/>
      <c r="Y132" s="348"/>
      <c r="Z132" s="348"/>
    </row>
    <row r="133" spans="1:26" s="64" customFormat="1" ht="47.25" customHeight="1" thickBot="1" x14ac:dyDescent="0.35">
      <c r="A133" s="343">
        <v>45411</v>
      </c>
      <c r="B133" s="345" t="s">
        <v>12542</v>
      </c>
      <c r="C133" s="346">
        <v>421904959396</v>
      </c>
      <c r="D133" s="344" t="s">
        <v>12341</v>
      </c>
      <c r="E133" s="344" t="s">
        <v>12341</v>
      </c>
      <c r="F133" s="344"/>
      <c r="G133" s="344"/>
      <c r="H133" s="344"/>
      <c r="I133" s="344"/>
      <c r="J133" s="344"/>
      <c r="K133" s="344"/>
      <c r="L133" s="344" t="s">
        <v>12341</v>
      </c>
      <c r="M133" s="344" t="s">
        <v>12386</v>
      </c>
      <c r="N133" s="344" t="s">
        <v>12339</v>
      </c>
      <c r="O133" s="348"/>
      <c r="P133" s="348"/>
      <c r="Q133" s="348"/>
      <c r="R133" s="348"/>
      <c r="S133" s="348"/>
      <c r="T133" s="348"/>
      <c r="U133" s="348"/>
      <c r="V133" s="348"/>
      <c r="W133" s="348"/>
      <c r="X133" s="348"/>
      <c r="Y133" s="348"/>
      <c r="Z133" s="348"/>
    </row>
    <row r="134" spans="1:26" s="64" customFormat="1" ht="47.25" customHeight="1" thickBot="1" x14ac:dyDescent="0.35">
      <c r="A134" s="343">
        <v>45411</v>
      </c>
      <c r="B134" s="345" t="s">
        <v>12543</v>
      </c>
      <c r="C134" s="346">
        <v>421919287661</v>
      </c>
      <c r="D134" s="344" t="s">
        <v>12341</v>
      </c>
      <c r="E134" s="344" t="s">
        <v>12341</v>
      </c>
      <c r="F134" s="344"/>
      <c r="G134" s="344"/>
      <c r="H134" s="344"/>
      <c r="I134" s="344"/>
      <c r="J134" s="344"/>
      <c r="K134" s="344"/>
      <c r="L134" s="344" t="s">
        <v>12341</v>
      </c>
      <c r="M134" s="344" t="s">
        <v>12386</v>
      </c>
      <c r="N134" s="344" t="s">
        <v>12339</v>
      </c>
      <c r="O134" s="348"/>
      <c r="P134" s="348"/>
      <c r="Q134" s="348"/>
      <c r="R134" s="348"/>
      <c r="S134" s="348"/>
      <c r="T134" s="348"/>
      <c r="U134" s="348"/>
      <c r="V134" s="348"/>
      <c r="W134" s="348"/>
      <c r="X134" s="348"/>
      <c r="Y134" s="348"/>
      <c r="Z134" s="348"/>
    </row>
    <row r="135" spans="1:26" s="64" customFormat="1" ht="47.25" customHeight="1" thickBot="1" x14ac:dyDescent="0.35">
      <c r="A135" s="343">
        <v>45411</v>
      </c>
      <c r="B135" s="345" t="s">
        <v>12544</v>
      </c>
      <c r="C135" s="346">
        <v>421902705618</v>
      </c>
      <c r="D135" s="344" t="s">
        <v>12341</v>
      </c>
      <c r="E135" s="344" t="s">
        <v>12341</v>
      </c>
      <c r="F135" s="344"/>
      <c r="G135" s="344"/>
      <c r="H135" s="344"/>
      <c r="I135" s="344"/>
      <c r="J135" s="344"/>
      <c r="K135" s="344"/>
      <c r="L135" s="344" t="s">
        <v>12341</v>
      </c>
      <c r="M135" s="344" t="s">
        <v>12386</v>
      </c>
      <c r="N135" s="344" t="s">
        <v>12339</v>
      </c>
      <c r="O135" s="348"/>
      <c r="P135" s="348"/>
      <c r="Q135" s="348"/>
      <c r="R135" s="348"/>
      <c r="S135" s="348"/>
      <c r="T135" s="348"/>
      <c r="U135" s="348"/>
      <c r="V135" s="348"/>
      <c r="W135" s="348"/>
      <c r="X135" s="348"/>
      <c r="Y135" s="348"/>
      <c r="Z135" s="348"/>
    </row>
    <row r="136" spans="1:26" s="64" customFormat="1" ht="47.25" customHeight="1" thickBot="1" x14ac:dyDescent="0.35">
      <c r="A136" s="343">
        <v>45411</v>
      </c>
      <c r="B136" s="345" t="s">
        <v>12545</v>
      </c>
      <c r="C136" s="346" t="s">
        <v>12546</v>
      </c>
      <c r="D136" s="344" t="s">
        <v>12346</v>
      </c>
      <c r="E136" s="344" t="s">
        <v>12341</v>
      </c>
      <c r="F136" s="344"/>
      <c r="G136" s="344"/>
      <c r="H136" s="344"/>
      <c r="I136" s="344"/>
      <c r="J136" s="344"/>
      <c r="K136" s="344"/>
      <c r="L136" s="344" t="s">
        <v>12547</v>
      </c>
      <c r="M136" s="344" t="s">
        <v>12386</v>
      </c>
      <c r="N136" s="344" t="s">
        <v>12339</v>
      </c>
      <c r="O136" s="348"/>
      <c r="P136" s="348"/>
      <c r="Q136" s="348"/>
      <c r="R136" s="348"/>
      <c r="S136" s="348"/>
      <c r="T136" s="348"/>
      <c r="U136" s="348"/>
      <c r="V136" s="348"/>
      <c r="W136" s="348"/>
      <c r="X136" s="348"/>
      <c r="Y136" s="348"/>
      <c r="Z136" s="348"/>
    </row>
    <row r="137" spans="1:26" s="64" customFormat="1" ht="47.25" customHeight="1" thickBot="1" x14ac:dyDescent="0.35">
      <c r="A137" s="343">
        <v>45411</v>
      </c>
      <c r="B137" s="345" t="s">
        <v>12548</v>
      </c>
      <c r="C137" s="346">
        <v>421903937808</v>
      </c>
      <c r="D137" s="344" t="s">
        <v>12346</v>
      </c>
      <c r="E137" s="344" t="s">
        <v>12341</v>
      </c>
      <c r="F137" s="344"/>
      <c r="G137" s="344"/>
      <c r="H137" s="344"/>
      <c r="I137" s="344"/>
      <c r="J137" s="344"/>
      <c r="K137" s="344"/>
      <c r="L137" s="344" t="s">
        <v>12549</v>
      </c>
      <c r="M137" s="344" t="s">
        <v>12386</v>
      </c>
      <c r="N137" s="344" t="s">
        <v>12339</v>
      </c>
      <c r="O137" s="348"/>
      <c r="P137" s="348"/>
      <c r="Q137" s="348"/>
      <c r="R137" s="348"/>
      <c r="S137" s="348"/>
      <c r="T137" s="348"/>
      <c r="U137" s="348"/>
      <c r="V137" s="348"/>
      <c r="W137" s="348"/>
      <c r="X137" s="348"/>
      <c r="Y137" s="348"/>
      <c r="Z137" s="348"/>
    </row>
    <row r="138" spans="1:26" s="64" customFormat="1" ht="47.25" customHeight="1" thickBot="1" x14ac:dyDescent="0.35">
      <c r="A138" s="343">
        <v>45411</v>
      </c>
      <c r="B138" s="345" t="s">
        <v>12550</v>
      </c>
      <c r="C138" s="346">
        <v>421918911869</v>
      </c>
      <c r="D138" s="344" t="s">
        <v>12341</v>
      </c>
      <c r="E138" s="344" t="s">
        <v>12341</v>
      </c>
      <c r="F138" s="344"/>
      <c r="G138" s="344"/>
      <c r="H138" s="344"/>
      <c r="I138" s="344"/>
      <c r="J138" s="344"/>
      <c r="K138" s="344"/>
      <c r="L138" s="344" t="s">
        <v>12341</v>
      </c>
      <c r="M138" s="344" t="s">
        <v>12386</v>
      </c>
      <c r="N138" s="344" t="s">
        <v>12339</v>
      </c>
      <c r="O138" s="348"/>
      <c r="P138" s="348"/>
      <c r="Q138" s="348"/>
      <c r="R138" s="348"/>
      <c r="S138" s="348"/>
      <c r="T138" s="348"/>
      <c r="U138" s="348"/>
      <c r="V138" s="348"/>
      <c r="W138" s="348"/>
      <c r="X138" s="348"/>
      <c r="Y138" s="348"/>
      <c r="Z138" s="348"/>
    </row>
    <row r="139" spans="1:26" s="64" customFormat="1" ht="47.25" customHeight="1" thickBot="1" x14ac:dyDescent="0.35">
      <c r="A139" s="343">
        <v>45411</v>
      </c>
      <c r="B139" s="345" t="s">
        <v>6660</v>
      </c>
      <c r="C139" s="346" t="s">
        <v>12551</v>
      </c>
      <c r="D139" s="344" t="s">
        <v>12341</v>
      </c>
      <c r="E139" s="344" t="s">
        <v>12341</v>
      </c>
      <c r="F139" s="344"/>
      <c r="G139" s="344"/>
      <c r="H139" s="344"/>
      <c r="I139" s="344"/>
      <c r="J139" s="344"/>
      <c r="K139" s="344"/>
      <c r="L139" s="344" t="s">
        <v>12341</v>
      </c>
      <c r="M139" s="344" t="s">
        <v>12386</v>
      </c>
      <c r="N139" s="344" t="s">
        <v>12339</v>
      </c>
      <c r="O139" s="348"/>
      <c r="P139" s="348"/>
      <c r="Q139" s="348"/>
      <c r="R139" s="348"/>
      <c r="S139" s="348"/>
      <c r="T139" s="348"/>
      <c r="U139" s="348"/>
      <c r="V139" s="348"/>
      <c r="W139" s="348"/>
      <c r="X139" s="348"/>
      <c r="Y139" s="348"/>
      <c r="Z139" s="348"/>
    </row>
    <row r="140" spans="1:26" s="64" customFormat="1" ht="47.25" customHeight="1" thickBot="1" x14ac:dyDescent="0.35">
      <c r="A140" s="343">
        <v>45411</v>
      </c>
      <c r="B140" s="345" t="s">
        <v>12552</v>
      </c>
      <c r="C140" s="346" t="s">
        <v>12553</v>
      </c>
      <c r="D140" s="344" t="s">
        <v>12341</v>
      </c>
      <c r="E140" s="344" t="s">
        <v>12341</v>
      </c>
      <c r="F140" s="344"/>
      <c r="G140" s="344"/>
      <c r="H140" s="344"/>
      <c r="I140" s="344"/>
      <c r="J140" s="344"/>
      <c r="K140" s="344"/>
      <c r="L140" s="344" t="s">
        <v>12341</v>
      </c>
      <c r="M140" s="344" t="s">
        <v>12386</v>
      </c>
      <c r="N140" s="344" t="s">
        <v>12339</v>
      </c>
      <c r="O140" s="348"/>
      <c r="P140" s="348"/>
      <c r="Q140" s="348"/>
      <c r="R140" s="348"/>
      <c r="S140" s="348"/>
      <c r="T140" s="348"/>
      <c r="U140" s="348"/>
      <c r="V140" s="348"/>
      <c r="W140" s="348"/>
      <c r="X140" s="348"/>
      <c r="Y140" s="348"/>
      <c r="Z140" s="348"/>
    </row>
    <row r="141" spans="1:26" s="64" customFormat="1" ht="47.25" customHeight="1" thickBot="1" x14ac:dyDescent="0.35">
      <c r="A141" s="343">
        <v>45411</v>
      </c>
      <c r="B141" s="345" t="s">
        <v>12554</v>
      </c>
      <c r="C141" s="346">
        <v>421905305258</v>
      </c>
      <c r="D141" s="344" t="s">
        <v>12341</v>
      </c>
      <c r="E141" s="344" t="s">
        <v>12341</v>
      </c>
      <c r="F141" s="344"/>
      <c r="G141" s="344"/>
      <c r="H141" s="344"/>
      <c r="I141" s="344"/>
      <c r="J141" s="344"/>
      <c r="K141" s="344"/>
      <c r="L141" s="344" t="s">
        <v>12341</v>
      </c>
      <c r="M141" s="344" t="s">
        <v>12386</v>
      </c>
      <c r="N141" s="344" t="s">
        <v>12339</v>
      </c>
      <c r="O141" s="348"/>
      <c r="P141" s="348"/>
      <c r="Q141" s="348"/>
      <c r="R141" s="348"/>
      <c r="S141" s="348"/>
      <c r="T141" s="348"/>
      <c r="U141" s="348"/>
      <c r="V141" s="348"/>
      <c r="W141" s="348"/>
      <c r="X141" s="348"/>
      <c r="Y141" s="348"/>
      <c r="Z141" s="348"/>
    </row>
    <row r="142" spans="1:26" s="64" customFormat="1" ht="47.25" customHeight="1" thickBot="1" x14ac:dyDescent="0.35">
      <c r="A142" s="343">
        <v>45411</v>
      </c>
      <c r="B142" s="345" t="s">
        <v>12555</v>
      </c>
      <c r="C142" s="346">
        <v>421902705618</v>
      </c>
      <c r="D142" s="344" t="s">
        <v>12341</v>
      </c>
      <c r="E142" s="344" t="s">
        <v>12341</v>
      </c>
      <c r="F142" s="344"/>
      <c r="G142" s="344"/>
      <c r="H142" s="344"/>
      <c r="I142" s="344"/>
      <c r="J142" s="344"/>
      <c r="K142" s="344"/>
      <c r="L142" s="344" t="s">
        <v>12341</v>
      </c>
      <c r="M142" s="344" t="s">
        <v>12386</v>
      </c>
      <c r="N142" s="344" t="s">
        <v>12339</v>
      </c>
      <c r="O142" s="348"/>
      <c r="P142" s="348"/>
      <c r="Q142" s="348"/>
      <c r="R142" s="348"/>
      <c r="S142" s="348"/>
      <c r="T142" s="348"/>
      <c r="U142" s="348"/>
      <c r="V142" s="348"/>
      <c r="W142" s="348"/>
      <c r="X142" s="348"/>
      <c r="Y142" s="348"/>
      <c r="Z142" s="348"/>
    </row>
    <row r="143" spans="1:26" s="64" customFormat="1" ht="47.25" customHeight="1" thickBot="1" x14ac:dyDescent="0.35">
      <c r="A143" s="343">
        <v>45411</v>
      </c>
      <c r="B143" s="345" t="s">
        <v>12556</v>
      </c>
      <c r="C143" s="346" t="s">
        <v>12557</v>
      </c>
      <c r="D143" s="344" t="s">
        <v>12346</v>
      </c>
      <c r="E143" s="344" t="s">
        <v>12341</v>
      </c>
      <c r="F143" s="344"/>
      <c r="G143" s="344"/>
      <c r="H143" s="344"/>
      <c r="I143" s="344"/>
      <c r="J143" s="344"/>
      <c r="K143" s="344"/>
      <c r="L143" s="344" t="s">
        <v>12558</v>
      </c>
      <c r="M143" s="344" t="s">
        <v>12386</v>
      </c>
      <c r="N143" s="344" t="s">
        <v>12339</v>
      </c>
      <c r="O143" s="348"/>
      <c r="P143" s="348"/>
      <c r="Q143" s="348"/>
      <c r="R143" s="348"/>
      <c r="S143" s="348"/>
      <c r="T143" s="348"/>
      <c r="U143" s="348"/>
      <c r="V143" s="348"/>
      <c r="W143" s="348"/>
      <c r="X143" s="348"/>
      <c r="Y143" s="348"/>
      <c r="Z143" s="348"/>
    </row>
    <row r="144" spans="1:26" s="64" customFormat="1" ht="47.25" customHeight="1" thickBot="1" x14ac:dyDescent="0.35">
      <c r="A144" s="343">
        <v>45411</v>
      </c>
      <c r="B144" s="345" t="s">
        <v>12559</v>
      </c>
      <c r="C144" s="346">
        <v>421905660888</v>
      </c>
      <c r="D144" s="344" t="s">
        <v>12341</v>
      </c>
      <c r="E144" s="344" t="s">
        <v>12341</v>
      </c>
      <c r="F144" s="344"/>
      <c r="G144" s="344"/>
      <c r="H144" s="344"/>
      <c r="I144" s="344"/>
      <c r="J144" s="344"/>
      <c r="K144" s="344"/>
      <c r="L144" s="344" t="s">
        <v>12341</v>
      </c>
      <c r="M144" s="344" t="s">
        <v>12386</v>
      </c>
      <c r="N144" s="344" t="s">
        <v>12339</v>
      </c>
      <c r="O144" s="348"/>
      <c r="P144" s="348"/>
      <c r="Q144" s="348"/>
      <c r="R144" s="348"/>
      <c r="S144" s="348"/>
      <c r="T144" s="348"/>
      <c r="U144" s="348"/>
      <c r="V144" s="348"/>
      <c r="W144" s="348"/>
      <c r="X144" s="348"/>
      <c r="Y144" s="348"/>
      <c r="Z144" s="348"/>
    </row>
    <row r="145" spans="1:26" s="64" customFormat="1" ht="47.25" customHeight="1" thickBot="1" x14ac:dyDescent="0.35">
      <c r="A145" s="343">
        <v>45411</v>
      </c>
      <c r="B145" s="345" t="s">
        <v>12560</v>
      </c>
      <c r="C145" s="346">
        <v>421905592181</v>
      </c>
      <c r="D145" s="344" t="s">
        <v>12341</v>
      </c>
      <c r="E145" s="344" t="s">
        <v>12341</v>
      </c>
      <c r="F145" s="344"/>
      <c r="G145" s="344"/>
      <c r="H145" s="344"/>
      <c r="I145" s="344"/>
      <c r="J145" s="344"/>
      <c r="K145" s="344"/>
      <c r="L145" s="344" t="s">
        <v>12341</v>
      </c>
      <c r="M145" s="344" t="s">
        <v>12386</v>
      </c>
      <c r="N145" s="344" t="s">
        <v>12339</v>
      </c>
      <c r="O145" s="348"/>
      <c r="P145" s="348"/>
      <c r="Q145" s="348"/>
      <c r="R145" s="348"/>
      <c r="S145" s="348"/>
      <c r="T145" s="348"/>
      <c r="U145" s="348"/>
      <c r="V145" s="348"/>
      <c r="W145" s="348"/>
      <c r="X145" s="348"/>
      <c r="Y145" s="348"/>
      <c r="Z145" s="348"/>
    </row>
    <row r="146" spans="1:26" s="64" customFormat="1" ht="47.25" customHeight="1" thickBot="1" x14ac:dyDescent="0.35">
      <c r="A146" s="343">
        <v>45411</v>
      </c>
      <c r="B146" s="345" t="s">
        <v>12561</v>
      </c>
      <c r="C146" s="346">
        <v>421904838226</v>
      </c>
      <c r="D146" s="344" t="s">
        <v>12341</v>
      </c>
      <c r="E146" s="344" t="s">
        <v>12341</v>
      </c>
      <c r="F146" s="344"/>
      <c r="G146" s="344"/>
      <c r="H146" s="344"/>
      <c r="I146" s="344"/>
      <c r="J146" s="344"/>
      <c r="K146" s="344"/>
      <c r="L146" s="344" t="s">
        <v>12341</v>
      </c>
      <c r="M146" s="344" t="s">
        <v>12386</v>
      </c>
      <c r="N146" s="344" t="s">
        <v>12339</v>
      </c>
      <c r="O146" s="348"/>
      <c r="P146" s="348"/>
      <c r="Q146" s="348"/>
      <c r="R146" s="348"/>
      <c r="S146" s="348"/>
      <c r="T146" s="348"/>
      <c r="U146" s="348"/>
      <c r="V146" s="348"/>
      <c r="W146" s="348"/>
      <c r="X146" s="348"/>
      <c r="Y146" s="348"/>
      <c r="Z146" s="348"/>
    </row>
    <row r="147" spans="1:26" s="64" customFormat="1" ht="47.25" customHeight="1" thickBot="1" x14ac:dyDescent="0.35">
      <c r="A147" s="343">
        <v>45411</v>
      </c>
      <c r="B147" s="345" t="s">
        <v>12562</v>
      </c>
      <c r="C147" s="346">
        <v>421914132593</v>
      </c>
      <c r="D147" s="344" t="s">
        <v>12341</v>
      </c>
      <c r="E147" s="344" t="s">
        <v>12341</v>
      </c>
      <c r="F147" s="344"/>
      <c r="G147" s="344"/>
      <c r="H147" s="344"/>
      <c r="I147" s="344"/>
      <c r="J147" s="344"/>
      <c r="K147" s="344"/>
      <c r="L147" s="344" t="s">
        <v>12341</v>
      </c>
      <c r="M147" s="344" t="s">
        <v>12386</v>
      </c>
      <c r="N147" s="344" t="s">
        <v>12339</v>
      </c>
      <c r="O147" s="348"/>
      <c r="P147" s="348"/>
      <c r="Q147" s="348"/>
      <c r="R147" s="348"/>
      <c r="S147" s="348"/>
      <c r="T147" s="348"/>
      <c r="U147" s="348"/>
      <c r="V147" s="348"/>
      <c r="W147" s="348"/>
      <c r="X147" s="348"/>
      <c r="Y147" s="348"/>
      <c r="Z147" s="348"/>
    </row>
    <row r="148" spans="1:26" s="64" customFormat="1" ht="47.25" customHeight="1" thickBot="1" x14ac:dyDescent="0.35">
      <c r="A148" s="343">
        <v>45411</v>
      </c>
      <c r="B148" s="345" t="s">
        <v>12563</v>
      </c>
      <c r="C148" s="346">
        <v>421948056310</v>
      </c>
      <c r="D148" s="344" t="s">
        <v>12341</v>
      </c>
      <c r="E148" s="344" t="s">
        <v>12341</v>
      </c>
      <c r="F148" s="344"/>
      <c r="G148" s="344"/>
      <c r="H148" s="344"/>
      <c r="I148" s="344"/>
      <c r="J148" s="344"/>
      <c r="K148" s="344"/>
      <c r="L148" s="344" t="s">
        <v>12341</v>
      </c>
      <c r="M148" s="344" t="s">
        <v>12386</v>
      </c>
      <c r="N148" s="344" t="s">
        <v>12339</v>
      </c>
      <c r="O148" s="348"/>
      <c r="P148" s="348"/>
      <c r="Q148" s="348"/>
      <c r="R148" s="348"/>
      <c r="S148" s="348"/>
      <c r="T148" s="348"/>
      <c r="U148" s="348"/>
      <c r="V148" s="348"/>
      <c r="W148" s="348"/>
      <c r="X148" s="348"/>
      <c r="Y148" s="348"/>
      <c r="Z148" s="348"/>
    </row>
    <row r="149" spans="1:26" s="64" customFormat="1" ht="47.25" customHeight="1" thickBot="1" x14ac:dyDescent="0.35">
      <c r="A149" s="343">
        <v>45411</v>
      </c>
      <c r="B149" s="345" t="s">
        <v>12564</v>
      </c>
      <c r="C149" s="346">
        <v>421903444770</v>
      </c>
      <c r="D149" s="344" t="s">
        <v>12341</v>
      </c>
      <c r="E149" s="344" t="s">
        <v>12341</v>
      </c>
      <c r="F149" s="344"/>
      <c r="G149" s="344"/>
      <c r="H149" s="344"/>
      <c r="I149" s="344"/>
      <c r="J149" s="344"/>
      <c r="K149" s="344"/>
      <c r="L149" s="344" t="s">
        <v>12341</v>
      </c>
      <c r="M149" s="344" t="s">
        <v>12386</v>
      </c>
      <c r="N149" s="344" t="s">
        <v>12339</v>
      </c>
      <c r="O149" s="348"/>
      <c r="P149" s="348"/>
      <c r="Q149" s="348"/>
      <c r="R149" s="348"/>
      <c r="S149" s="348"/>
      <c r="T149" s="348"/>
      <c r="U149" s="348"/>
      <c r="V149" s="348"/>
      <c r="W149" s="348"/>
      <c r="X149" s="348"/>
      <c r="Y149" s="348"/>
      <c r="Z149" s="348"/>
    </row>
    <row r="150" spans="1:26" s="64" customFormat="1" ht="47.25" customHeight="1" thickBot="1" x14ac:dyDescent="0.35">
      <c r="A150" s="343">
        <v>45411</v>
      </c>
      <c r="B150" s="345" t="s">
        <v>12565</v>
      </c>
      <c r="C150" s="346">
        <v>421907453047</v>
      </c>
      <c r="D150" s="344" t="s">
        <v>12341</v>
      </c>
      <c r="E150" s="344" t="s">
        <v>12341</v>
      </c>
      <c r="F150" s="344"/>
      <c r="G150" s="344"/>
      <c r="H150" s="344"/>
      <c r="I150" s="344"/>
      <c r="J150" s="344"/>
      <c r="K150" s="344"/>
      <c r="L150" s="344" t="s">
        <v>12341</v>
      </c>
      <c r="M150" s="344" t="s">
        <v>12386</v>
      </c>
      <c r="N150" s="344" t="s">
        <v>12339</v>
      </c>
      <c r="O150" s="348"/>
      <c r="P150" s="348"/>
      <c r="Q150" s="348"/>
      <c r="R150" s="348"/>
      <c r="S150" s="348"/>
      <c r="T150" s="348"/>
      <c r="U150" s="348"/>
      <c r="V150" s="348"/>
      <c r="W150" s="348"/>
      <c r="X150" s="348"/>
      <c r="Y150" s="348"/>
      <c r="Z150" s="348"/>
    </row>
    <row r="151" spans="1:26" s="64" customFormat="1" ht="47.25" customHeight="1" thickBot="1" x14ac:dyDescent="0.35">
      <c r="A151" s="343">
        <v>45411</v>
      </c>
      <c r="B151" s="345" t="s">
        <v>12566</v>
      </c>
      <c r="C151" s="346">
        <v>421902898789</v>
      </c>
      <c r="D151" s="344" t="s">
        <v>12341</v>
      </c>
      <c r="E151" s="344" t="s">
        <v>12341</v>
      </c>
      <c r="F151" s="344"/>
      <c r="G151" s="344"/>
      <c r="H151" s="344"/>
      <c r="I151" s="344"/>
      <c r="J151" s="344"/>
      <c r="K151" s="344"/>
      <c r="L151" s="344" t="s">
        <v>12341</v>
      </c>
      <c r="M151" s="344" t="s">
        <v>12386</v>
      </c>
      <c r="N151" s="344" t="s">
        <v>12339</v>
      </c>
      <c r="O151" s="348"/>
      <c r="P151" s="348"/>
      <c r="Q151" s="348"/>
      <c r="R151" s="348"/>
      <c r="S151" s="348"/>
      <c r="T151" s="348"/>
      <c r="U151" s="348"/>
      <c r="V151" s="348"/>
      <c r="W151" s="348"/>
      <c r="X151" s="348"/>
      <c r="Y151" s="348"/>
      <c r="Z151" s="348"/>
    </row>
    <row r="152" spans="1:26" s="64" customFormat="1" ht="47.25" customHeight="1" thickBot="1" x14ac:dyDescent="0.35">
      <c r="A152" s="343">
        <v>45411</v>
      </c>
      <c r="B152" s="345" t="s">
        <v>12567</v>
      </c>
      <c r="C152" s="346">
        <v>421902160019</v>
      </c>
      <c r="D152" s="344" t="s">
        <v>12341</v>
      </c>
      <c r="E152" s="344" t="s">
        <v>12341</v>
      </c>
      <c r="F152" s="344"/>
      <c r="G152" s="344"/>
      <c r="H152" s="344"/>
      <c r="I152" s="344"/>
      <c r="J152" s="344"/>
      <c r="K152" s="344"/>
      <c r="L152" s="344" t="s">
        <v>12341</v>
      </c>
      <c r="M152" s="344" t="s">
        <v>12386</v>
      </c>
      <c r="N152" s="344" t="s">
        <v>12339</v>
      </c>
      <c r="O152" s="348"/>
      <c r="P152" s="348"/>
      <c r="Q152" s="348"/>
      <c r="R152" s="348"/>
      <c r="S152" s="348"/>
      <c r="T152" s="348"/>
      <c r="U152" s="348"/>
      <c r="V152" s="348"/>
      <c r="W152" s="348"/>
      <c r="X152" s="348"/>
      <c r="Y152" s="348"/>
      <c r="Z152" s="348"/>
    </row>
    <row r="153" spans="1:26" s="64" customFormat="1" ht="47.25" customHeight="1" thickBot="1" x14ac:dyDescent="0.35">
      <c r="A153" s="343">
        <v>45411</v>
      </c>
      <c r="B153" s="345" t="s">
        <v>12568</v>
      </c>
      <c r="C153" s="346">
        <v>421907774990</v>
      </c>
      <c r="D153" s="344" t="s">
        <v>12341</v>
      </c>
      <c r="E153" s="344" t="s">
        <v>12341</v>
      </c>
      <c r="F153" s="344"/>
      <c r="G153" s="344"/>
      <c r="H153" s="344"/>
      <c r="I153" s="344"/>
      <c r="J153" s="344"/>
      <c r="K153" s="344"/>
      <c r="L153" s="344" t="s">
        <v>12341</v>
      </c>
      <c r="M153" s="344" t="s">
        <v>12386</v>
      </c>
      <c r="N153" s="344" t="s">
        <v>12339</v>
      </c>
      <c r="O153" s="348"/>
      <c r="P153" s="348"/>
      <c r="Q153" s="348"/>
      <c r="R153" s="348"/>
      <c r="S153" s="348"/>
      <c r="T153" s="348"/>
      <c r="U153" s="348"/>
      <c r="V153" s="348"/>
      <c r="W153" s="348"/>
      <c r="X153" s="348"/>
      <c r="Y153" s="348"/>
      <c r="Z153" s="348"/>
    </row>
    <row r="154" spans="1:26" s="64" customFormat="1" ht="47.25" customHeight="1" thickBot="1" x14ac:dyDescent="0.35">
      <c r="A154" s="343">
        <v>45411</v>
      </c>
      <c r="B154" s="345" t="s">
        <v>12569</v>
      </c>
      <c r="C154" s="346">
        <v>421903786052</v>
      </c>
      <c r="D154" s="344" t="s">
        <v>12341</v>
      </c>
      <c r="E154" s="344" t="s">
        <v>12341</v>
      </c>
      <c r="F154" s="344"/>
      <c r="G154" s="344"/>
      <c r="H154" s="344"/>
      <c r="I154" s="344"/>
      <c r="J154" s="344"/>
      <c r="K154" s="344"/>
      <c r="L154" s="344" t="s">
        <v>12341</v>
      </c>
      <c r="M154" s="344" t="s">
        <v>12386</v>
      </c>
      <c r="N154" s="344" t="s">
        <v>12339</v>
      </c>
      <c r="O154" s="348"/>
      <c r="P154" s="348"/>
      <c r="Q154" s="348"/>
      <c r="R154" s="348"/>
      <c r="S154" s="348"/>
      <c r="T154" s="348"/>
      <c r="U154" s="348"/>
      <c r="V154" s="348"/>
      <c r="W154" s="348"/>
      <c r="X154" s="348"/>
      <c r="Y154" s="348"/>
      <c r="Z154" s="348"/>
    </row>
    <row r="155" spans="1:26" s="64" customFormat="1" ht="47.25" customHeight="1" thickBot="1" x14ac:dyDescent="0.35">
      <c r="A155" s="343">
        <v>45411</v>
      </c>
      <c r="B155" s="345" t="s">
        <v>12570</v>
      </c>
      <c r="C155" s="346">
        <v>421915046128</v>
      </c>
      <c r="D155" s="344" t="s">
        <v>12341</v>
      </c>
      <c r="E155" s="344" t="s">
        <v>12341</v>
      </c>
      <c r="F155" s="344"/>
      <c r="G155" s="344"/>
      <c r="H155" s="344"/>
      <c r="I155" s="344"/>
      <c r="J155" s="344"/>
      <c r="K155" s="344"/>
      <c r="L155" s="344" t="s">
        <v>12341</v>
      </c>
      <c r="M155" s="344" t="s">
        <v>12386</v>
      </c>
      <c r="N155" s="344" t="s">
        <v>12339</v>
      </c>
      <c r="O155" s="348"/>
      <c r="P155" s="348"/>
      <c r="Q155" s="348"/>
      <c r="R155" s="348"/>
      <c r="S155" s="348"/>
      <c r="T155" s="348"/>
      <c r="U155" s="348"/>
      <c r="V155" s="348"/>
      <c r="W155" s="348"/>
      <c r="X155" s="348"/>
      <c r="Y155" s="348"/>
      <c r="Z155" s="348"/>
    </row>
    <row r="156" spans="1:26" s="64" customFormat="1" ht="47.25" customHeight="1" thickBot="1" x14ac:dyDescent="0.35">
      <c r="A156" s="343">
        <v>45411</v>
      </c>
      <c r="B156" s="345" t="s">
        <v>12571</v>
      </c>
      <c r="C156" s="344"/>
      <c r="D156" s="344" t="s">
        <v>12341</v>
      </c>
      <c r="E156" s="344" t="s">
        <v>12341</v>
      </c>
      <c r="F156" s="344"/>
      <c r="G156" s="344"/>
      <c r="H156" s="344"/>
      <c r="I156" s="344"/>
      <c r="J156" s="344"/>
      <c r="K156" s="344"/>
      <c r="L156" s="344" t="s">
        <v>12341</v>
      </c>
      <c r="M156" s="344" t="s">
        <v>12386</v>
      </c>
      <c r="N156" s="344" t="s">
        <v>12339</v>
      </c>
      <c r="O156" s="348"/>
      <c r="P156" s="348"/>
      <c r="Q156" s="348"/>
      <c r="R156" s="348"/>
      <c r="S156" s="348"/>
      <c r="T156" s="348"/>
      <c r="U156" s="348"/>
      <c r="V156" s="348"/>
      <c r="W156" s="348"/>
      <c r="X156" s="348"/>
      <c r="Y156" s="348"/>
      <c r="Z156" s="348"/>
    </row>
    <row r="157" spans="1:26" s="64" customFormat="1" ht="47.25" customHeight="1" thickBot="1" x14ac:dyDescent="0.35">
      <c r="A157" s="343">
        <v>45411</v>
      </c>
      <c r="B157" s="345" t="s">
        <v>12572</v>
      </c>
      <c r="C157" s="346" t="s">
        <v>12573</v>
      </c>
      <c r="D157" s="344" t="s">
        <v>12341</v>
      </c>
      <c r="E157" s="344" t="s">
        <v>12341</v>
      </c>
      <c r="F157" s="344"/>
      <c r="G157" s="344"/>
      <c r="H157" s="344"/>
      <c r="I157" s="344"/>
      <c r="J157" s="344"/>
      <c r="K157" s="344"/>
      <c r="L157" s="344" t="s">
        <v>12574</v>
      </c>
      <c r="M157" s="344" t="s">
        <v>12386</v>
      </c>
      <c r="N157" s="344" t="s">
        <v>12339</v>
      </c>
      <c r="O157" s="348"/>
      <c r="P157" s="348"/>
      <c r="Q157" s="348"/>
      <c r="R157" s="348"/>
      <c r="S157" s="348"/>
      <c r="T157" s="348"/>
      <c r="U157" s="348"/>
      <c r="V157" s="348"/>
      <c r="W157" s="348"/>
      <c r="X157" s="348"/>
      <c r="Y157" s="348"/>
      <c r="Z157" s="348"/>
    </row>
    <row r="158" spans="1:26" s="64" customFormat="1" ht="47.25" customHeight="1" thickBot="1" x14ac:dyDescent="0.35">
      <c r="A158" s="343">
        <v>45411</v>
      </c>
      <c r="B158" s="345" t="s">
        <v>12575</v>
      </c>
      <c r="C158" s="346">
        <v>421917387414</v>
      </c>
      <c r="D158" s="344" t="s">
        <v>12360</v>
      </c>
      <c r="E158" s="344" t="s">
        <v>12427</v>
      </c>
      <c r="F158" s="344" t="s">
        <v>12360</v>
      </c>
      <c r="G158" s="344"/>
      <c r="H158" s="347">
        <v>100</v>
      </c>
      <c r="I158" s="347">
        <v>40</v>
      </c>
      <c r="J158" s="344"/>
      <c r="K158" s="344"/>
      <c r="L158" s="344" t="s">
        <v>12576</v>
      </c>
      <c r="M158" s="344" t="s">
        <v>12386</v>
      </c>
      <c r="N158" s="344" t="s">
        <v>12339</v>
      </c>
      <c r="O158" s="348"/>
      <c r="P158" s="348"/>
      <c r="Q158" s="348"/>
      <c r="R158" s="348"/>
      <c r="S158" s="348"/>
      <c r="T158" s="348"/>
      <c r="U158" s="348"/>
      <c r="V158" s="348"/>
      <c r="W158" s="348"/>
      <c r="X158" s="348"/>
      <c r="Y158" s="348"/>
      <c r="Z158" s="348"/>
    </row>
    <row r="159" spans="1:26" s="64" customFormat="1" ht="47.25" customHeight="1" thickBot="1" x14ac:dyDescent="0.35">
      <c r="A159" s="343">
        <v>45411</v>
      </c>
      <c r="B159" s="345" t="s">
        <v>12577</v>
      </c>
      <c r="C159" s="346">
        <v>421903444770</v>
      </c>
      <c r="D159" s="344" t="s">
        <v>12341</v>
      </c>
      <c r="E159" s="344" t="s">
        <v>12341</v>
      </c>
      <c r="F159" s="344"/>
      <c r="G159" s="344"/>
      <c r="H159" s="344"/>
      <c r="I159" s="344"/>
      <c r="J159" s="344"/>
      <c r="K159" s="344"/>
      <c r="L159" s="344" t="s">
        <v>12341</v>
      </c>
      <c r="M159" s="344" t="s">
        <v>12386</v>
      </c>
      <c r="N159" s="344" t="s">
        <v>12339</v>
      </c>
      <c r="O159" s="348"/>
      <c r="P159" s="348"/>
      <c r="Q159" s="348"/>
      <c r="R159" s="348"/>
      <c r="S159" s="348"/>
      <c r="T159" s="348"/>
      <c r="U159" s="348"/>
      <c r="V159" s="348"/>
      <c r="W159" s="348"/>
      <c r="X159" s="348"/>
      <c r="Y159" s="348"/>
      <c r="Z159" s="348"/>
    </row>
    <row r="160" spans="1:26" s="64" customFormat="1" ht="47.25" customHeight="1" thickBot="1" x14ac:dyDescent="0.35">
      <c r="A160" s="343">
        <v>45411</v>
      </c>
      <c r="B160" s="345" t="s">
        <v>5644</v>
      </c>
      <c r="C160" s="346">
        <v>421908065903</v>
      </c>
      <c r="D160" s="344" t="s">
        <v>12341</v>
      </c>
      <c r="E160" s="344" t="s">
        <v>12341</v>
      </c>
      <c r="F160" s="344"/>
      <c r="G160" s="344"/>
      <c r="H160" s="344"/>
      <c r="I160" s="344"/>
      <c r="J160" s="344"/>
      <c r="K160" s="344"/>
      <c r="L160" s="344" t="s">
        <v>12341</v>
      </c>
      <c r="M160" s="344" t="s">
        <v>12386</v>
      </c>
      <c r="N160" s="344" t="s">
        <v>12339</v>
      </c>
      <c r="O160" s="348"/>
      <c r="P160" s="348"/>
      <c r="Q160" s="348"/>
      <c r="R160" s="348"/>
      <c r="S160" s="348"/>
      <c r="T160" s="348"/>
      <c r="U160" s="348"/>
      <c r="V160" s="348"/>
      <c r="W160" s="348"/>
      <c r="X160" s="348"/>
      <c r="Y160" s="348"/>
      <c r="Z160" s="348"/>
    </row>
    <row r="161" spans="1:26" s="64" customFormat="1" ht="47.25" customHeight="1" thickBot="1" x14ac:dyDescent="0.35">
      <c r="A161" s="343">
        <v>45411</v>
      </c>
      <c r="B161" s="345" t="s">
        <v>12578</v>
      </c>
      <c r="C161" s="346">
        <v>421905205626</v>
      </c>
      <c r="D161" s="344" t="s">
        <v>12341</v>
      </c>
      <c r="E161" s="344" t="s">
        <v>12394</v>
      </c>
      <c r="F161" s="344" t="s">
        <v>12334</v>
      </c>
      <c r="G161" s="347">
        <v>180</v>
      </c>
      <c r="H161" s="347">
        <v>90</v>
      </c>
      <c r="I161" s="347">
        <v>90</v>
      </c>
      <c r="J161" s="344"/>
      <c r="K161" s="344"/>
      <c r="L161" s="344" t="s">
        <v>12341</v>
      </c>
      <c r="M161" s="344" t="s">
        <v>12386</v>
      </c>
      <c r="N161" s="344" t="s">
        <v>12344</v>
      </c>
      <c r="O161" s="348"/>
      <c r="P161" s="348"/>
      <c r="Q161" s="348"/>
      <c r="R161" s="348"/>
      <c r="S161" s="348"/>
      <c r="T161" s="348"/>
      <c r="U161" s="348"/>
      <c r="V161" s="348"/>
      <c r="W161" s="348"/>
      <c r="X161" s="348"/>
      <c r="Y161" s="348"/>
      <c r="Z161" s="348"/>
    </row>
    <row r="162" spans="1:26" s="64" customFormat="1" ht="47.25" customHeight="1" thickBot="1" x14ac:dyDescent="0.35">
      <c r="A162" s="343">
        <v>45411</v>
      </c>
      <c r="B162" s="345" t="s">
        <v>12579</v>
      </c>
      <c r="C162" s="346">
        <v>421902705618</v>
      </c>
      <c r="D162" s="344" t="s">
        <v>12341</v>
      </c>
      <c r="E162" s="344" t="s">
        <v>12341</v>
      </c>
      <c r="F162" s="344"/>
      <c r="G162" s="344"/>
      <c r="H162" s="344"/>
      <c r="I162" s="344"/>
      <c r="J162" s="344"/>
      <c r="K162" s="344"/>
      <c r="L162" s="344" t="s">
        <v>12341</v>
      </c>
      <c r="M162" s="344" t="s">
        <v>12386</v>
      </c>
      <c r="N162" s="344" t="s">
        <v>12339</v>
      </c>
      <c r="O162" s="348"/>
      <c r="P162" s="348"/>
      <c r="Q162" s="348"/>
      <c r="R162" s="348"/>
      <c r="S162" s="348"/>
      <c r="T162" s="348"/>
      <c r="U162" s="348"/>
      <c r="V162" s="348"/>
      <c r="W162" s="348"/>
      <c r="X162" s="348"/>
      <c r="Y162" s="348"/>
      <c r="Z162" s="348"/>
    </row>
    <row r="163" spans="1:26" s="64" customFormat="1" ht="47.25" customHeight="1" thickBot="1" x14ac:dyDescent="0.35">
      <c r="A163" s="343">
        <v>45411</v>
      </c>
      <c r="B163" s="345" t="s">
        <v>6665</v>
      </c>
      <c r="C163" s="344"/>
      <c r="D163" s="344" t="s">
        <v>12341</v>
      </c>
      <c r="E163" s="344" t="s">
        <v>12341</v>
      </c>
      <c r="F163" s="344"/>
      <c r="G163" s="344"/>
      <c r="H163" s="344"/>
      <c r="I163" s="344"/>
      <c r="J163" s="344"/>
      <c r="K163" s="344"/>
      <c r="L163" s="344" t="s">
        <v>12341</v>
      </c>
      <c r="M163" s="344" t="s">
        <v>12386</v>
      </c>
      <c r="N163" s="344" t="s">
        <v>12339</v>
      </c>
      <c r="O163" s="348"/>
      <c r="P163" s="348"/>
      <c r="Q163" s="348"/>
      <c r="R163" s="348"/>
      <c r="S163" s="348"/>
      <c r="T163" s="348"/>
      <c r="U163" s="348"/>
      <c r="V163" s="348"/>
      <c r="W163" s="348"/>
      <c r="X163" s="348"/>
      <c r="Y163" s="348"/>
      <c r="Z163" s="348"/>
    </row>
    <row r="164" spans="1:26" s="64" customFormat="1" ht="47.25" customHeight="1" thickBot="1" x14ac:dyDescent="0.35">
      <c r="A164" s="343">
        <v>45411</v>
      </c>
      <c r="B164" s="345" t="s">
        <v>12580</v>
      </c>
      <c r="C164" s="346">
        <v>421949560539</v>
      </c>
      <c r="D164" s="344" t="s">
        <v>12341</v>
      </c>
      <c r="E164" s="344" t="s">
        <v>12341</v>
      </c>
      <c r="F164" s="344"/>
      <c r="G164" s="344"/>
      <c r="H164" s="344"/>
      <c r="I164" s="344"/>
      <c r="J164" s="344"/>
      <c r="K164" s="344"/>
      <c r="L164" s="344" t="s">
        <v>12581</v>
      </c>
      <c r="M164" s="344" t="s">
        <v>12386</v>
      </c>
      <c r="N164" s="344" t="s">
        <v>12339</v>
      </c>
      <c r="O164" s="348"/>
      <c r="P164" s="348"/>
      <c r="Q164" s="348"/>
      <c r="R164" s="348"/>
      <c r="S164" s="348"/>
      <c r="T164" s="348"/>
      <c r="U164" s="348"/>
      <c r="V164" s="348"/>
      <c r="W164" s="348"/>
      <c r="X164" s="348"/>
      <c r="Y164" s="348"/>
      <c r="Z164" s="348"/>
    </row>
    <row r="165" spans="1:26" s="64" customFormat="1" ht="47.25" customHeight="1" thickBot="1" x14ac:dyDescent="0.35">
      <c r="A165" s="343">
        <v>45411</v>
      </c>
      <c r="B165" s="345" t="s">
        <v>12582</v>
      </c>
      <c r="C165" s="346">
        <v>421914132593</v>
      </c>
      <c r="D165" s="344" t="s">
        <v>12341</v>
      </c>
      <c r="E165" s="344" t="s">
        <v>12341</v>
      </c>
      <c r="F165" s="344"/>
      <c r="G165" s="344"/>
      <c r="H165" s="344"/>
      <c r="I165" s="344"/>
      <c r="J165" s="344"/>
      <c r="K165" s="344"/>
      <c r="L165" s="344" t="s">
        <v>12341</v>
      </c>
      <c r="M165" s="344" t="s">
        <v>12386</v>
      </c>
      <c r="N165" s="344" t="s">
        <v>12339</v>
      </c>
      <c r="O165" s="348"/>
      <c r="P165" s="348"/>
      <c r="Q165" s="348"/>
      <c r="R165" s="348"/>
      <c r="S165" s="348"/>
      <c r="T165" s="348"/>
      <c r="U165" s="348"/>
      <c r="V165" s="348"/>
      <c r="W165" s="348"/>
      <c r="X165" s="348"/>
      <c r="Y165" s="348"/>
      <c r="Z165" s="348"/>
    </row>
    <row r="166" spans="1:26" s="64" customFormat="1" ht="47.25" customHeight="1" thickBot="1" x14ac:dyDescent="0.35">
      <c r="A166" s="343">
        <v>45411</v>
      </c>
      <c r="B166" s="345" t="s">
        <v>12583</v>
      </c>
      <c r="C166" s="344"/>
      <c r="D166" s="344" t="s">
        <v>12341</v>
      </c>
      <c r="E166" s="344" t="s">
        <v>12341</v>
      </c>
      <c r="F166" s="344"/>
      <c r="G166" s="344"/>
      <c r="H166" s="344"/>
      <c r="I166" s="344"/>
      <c r="J166" s="344"/>
      <c r="K166" s="344"/>
      <c r="L166" s="344" t="s">
        <v>12341</v>
      </c>
      <c r="M166" s="344" t="s">
        <v>12386</v>
      </c>
      <c r="N166" s="344" t="s">
        <v>12339</v>
      </c>
      <c r="O166" s="348"/>
      <c r="P166" s="348"/>
      <c r="Q166" s="348"/>
      <c r="R166" s="348"/>
      <c r="S166" s="348"/>
      <c r="T166" s="348"/>
      <c r="U166" s="348"/>
      <c r="V166" s="348"/>
      <c r="W166" s="348"/>
      <c r="X166" s="348"/>
      <c r="Y166" s="348"/>
      <c r="Z166" s="348"/>
    </row>
    <row r="167" spans="1:26" s="64" customFormat="1" ht="47.25" customHeight="1" thickBot="1" x14ac:dyDescent="0.35">
      <c r="A167" s="343">
        <v>45411</v>
      </c>
      <c r="B167" s="345" t="s">
        <v>4911</v>
      </c>
      <c r="C167" s="346" t="s">
        <v>12584</v>
      </c>
      <c r="D167" s="344" t="s">
        <v>12341</v>
      </c>
      <c r="E167" s="344" t="s">
        <v>12341</v>
      </c>
      <c r="F167" s="344"/>
      <c r="G167" s="344"/>
      <c r="H167" s="344"/>
      <c r="I167" s="344"/>
      <c r="J167" s="344"/>
      <c r="K167" s="344"/>
      <c r="L167" s="344" t="s">
        <v>12341</v>
      </c>
      <c r="M167" s="344" t="s">
        <v>12386</v>
      </c>
      <c r="N167" s="344" t="s">
        <v>12339</v>
      </c>
      <c r="O167" s="348"/>
      <c r="P167" s="348"/>
      <c r="Q167" s="348"/>
      <c r="R167" s="348"/>
      <c r="S167" s="348"/>
      <c r="T167" s="348"/>
      <c r="U167" s="348"/>
      <c r="V167" s="348"/>
      <c r="W167" s="348"/>
      <c r="X167" s="348"/>
      <c r="Y167" s="348"/>
      <c r="Z167" s="348"/>
    </row>
    <row r="168" spans="1:26" s="64" customFormat="1" ht="47.25" customHeight="1" thickBot="1" x14ac:dyDescent="0.35">
      <c r="A168" s="343">
        <v>45411</v>
      </c>
      <c r="B168" s="345" t="s">
        <v>12585</v>
      </c>
      <c r="C168" s="346">
        <v>421944252648</v>
      </c>
      <c r="D168" s="344" t="s">
        <v>12341</v>
      </c>
      <c r="E168" s="344" t="s">
        <v>12341</v>
      </c>
      <c r="F168" s="344"/>
      <c r="G168" s="344"/>
      <c r="H168" s="344"/>
      <c r="I168" s="344"/>
      <c r="J168" s="344"/>
      <c r="K168" s="344"/>
      <c r="L168" s="344" t="s">
        <v>12341</v>
      </c>
      <c r="M168" s="344" t="s">
        <v>12386</v>
      </c>
      <c r="N168" s="344" t="s">
        <v>12339</v>
      </c>
      <c r="O168" s="348"/>
      <c r="P168" s="348"/>
      <c r="Q168" s="348"/>
      <c r="R168" s="348"/>
      <c r="S168" s="348"/>
      <c r="T168" s="348"/>
      <c r="U168" s="348"/>
      <c r="V168" s="348"/>
      <c r="W168" s="348"/>
      <c r="X168" s="348"/>
      <c r="Y168" s="348"/>
      <c r="Z168" s="348"/>
    </row>
    <row r="169" spans="1:26" s="64" customFormat="1" ht="47.25" customHeight="1" thickBot="1" x14ac:dyDescent="0.35">
      <c r="A169" s="343">
        <v>45411</v>
      </c>
      <c r="B169" s="345" t="s">
        <v>12586</v>
      </c>
      <c r="C169" s="346">
        <v>421902705618</v>
      </c>
      <c r="D169" s="344" t="s">
        <v>12346</v>
      </c>
      <c r="E169" s="344" t="s">
        <v>12341</v>
      </c>
      <c r="F169" s="344"/>
      <c r="G169" s="344"/>
      <c r="H169" s="344"/>
      <c r="I169" s="344"/>
      <c r="J169" s="344"/>
      <c r="K169" s="344"/>
      <c r="L169" s="344" t="s">
        <v>12587</v>
      </c>
      <c r="M169" s="344" t="s">
        <v>12386</v>
      </c>
      <c r="N169" s="344" t="s">
        <v>12339</v>
      </c>
      <c r="O169" s="348"/>
      <c r="P169" s="348"/>
      <c r="Q169" s="348"/>
      <c r="R169" s="348"/>
      <c r="S169" s="348"/>
      <c r="T169" s="348"/>
      <c r="U169" s="348"/>
      <c r="V169" s="348"/>
      <c r="W169" s="348"/>
      <c r="X169" s="348"/>
      <c r="Y169" s="348"/>
      <c r="Z169" s="348"/>
    </row>
    <row r="170" spans="1:26" s="64" customFormat="1" ht="47.25" customHeight="1" thickBot="1" x14ac:dyDescent="0.35">
      <c r="A170" s="343">
        <v>45411</v>
      </c>
      <c r="B170" s="345" t="s">
        <v>12588</v>
      </c>
      <c r="C170" s="346" t="s">
        <v>12589</v>
      </c>
      <c r="D170" s="344" t="s">
        <v>12346</v>
      </c>
      <c r="E170" s="344" t="s">
        <v>12341</v>
      </c>
      <c r="F170" s="344"/>
      <c r="G170" s="344"/>
      <c r="H170" s="344"/>
      <c r="I170" s="344"/>
      <c r="J170" s="344"/>
      <c r="K170" s="344"/>
      <c r="L170" s="344" t="s">
        <v>12590</v>
      </c>
      <c r="M170" s="344" t="s">
        <v>12386</v>
      </c>
      <c r="N170" s="344" t="s">
        <v>12339</v>
      </c>
      <c r="O170" s="348"/>
      <c r="P170" s="348"/>
      <c r="Q170" s="348"/>
      <c r="R170" s="348"/>
      <c r="S170" s="348"/>
      <c r="T170" s="348"/>
      <c r="U170" s="348"/>
      <c r="V170" s="348"/>
      <c r="W170" s="348"/>
      <c r="X170" s="348"/>
      <c r="Y170" s="348"/>
      <c r="Z170" s="348"/>
    </row>
    <row r="171" spans="1:26" s="64" customFormat="1" ht="47.25" customHeight="1" thickBot="1" x14ac:dyDescent="0.35">
      <c r="A171" s="343">
        <v>45411</v>
      </c>
      <c r="B171" s="345" t="s">
        <v>12591</v>
      </c>
      <c r="C171" s="344"/>
      <c r="D171" s="344" t="s">
        <v>12592</v>
      </c>
      <c r="E171" s="344" t="s">
        <v>12593</v>
      </c>
      <c r="F171" s="344" t="s">
        <v>12592</v>
      </c>
      <c r="G171" s="344"/>
      <c r="H171" s="347">
        <v>86</v>
      </c>
      <c r="I171" s="347">
        <v>74</v>
      </c>
      <c r="J171" s="344"/>
      <c r="K171" s="344"/>
      <c r="L171" s="344" t="s">
        <v>12594</v>
      </c>
      <c r="M171" s="344" t="s">
        <v>12386</v>
      </c>
      <c r="N171" s="344" t="s">
        <v>12339</v>
      </c>
      <c r="O171" s="348"/>
      <c r="P171" s="348"/>
      <c r="Q171" s="348"/>
      <c r="R171" s="348"/>
      <c r="S171" s="348"/>
      <c r="T171" s="348"/>
      <c r="U171" s="348"/>
      <c r="V171" s="348"/>
      <c r="W171" s="348"/>
      <c r="X171" s="348"/>
      <c r="Y171" s="348"/>
      <c r="Z171" s="348"/>
    </row>
    <row r="172" spans="1:26" s="64" customFormat="1" ht="47.25" customHeight="1" thickBot="1" x14ac:dyDescent="0.35">
      <c r="A172" s="343">
        <v>45411</v>
      </c>
      <c r="B172" s="345" t="s">
        <v>12595</v>
      </c>
      <c r="C172" s="346">
        <v>421902337707</v>
      </c>
      <c r="D172" s="344" t="s">
        <v>12341</v>
      </c>
      <c r="E172" s="344" t="s">
        <v>12341</v>
      </c>
      <c r="F172" s="344"/>
      <c r="G172" s="344"/>
      <c r="H172" s="344"/>
      <c r="I172" s="344"/>
      <c r="J172" s="344"/>
      <c r="K172" s="344"/>
      <c r="L172" s="344" t="s">
        <v>12341</v>
      </c>
      <c r="M172" s="344" t="s">
        <v>12386</v>
      </c>
      <c r="N172" s="344" t="s">
        <v>12339</v>
      </c>
      <c r="O172" s="348"/>
      <c r="P172" s="348"/>
      <c r="Q172" s="348"/>
      <c r="R172" s="348"/>
      <c r="S172" s="348"/>
      <c r="T172" s="348"/>
      <c r="U172" s="348"/>
      <c r="V172" s="348"/>
      <c r="W172" s="348"/>
      <c r="X172" s="348"/>
      <c r="Y172" s="348"/>
      <c r="Z172" s="348"/>
    </row>
    <row r="173" spans="1:26" s="64" customFormat="1" ht="47.25" customHeight="1" thickBot="1" x14ac:dyDescent="0.35">
      <c r="A173" s="343">
        <v>45411</v>
      </c>
      <c r="B173" s="345" t="s">
        <v>12596</v>
      </c>
      <c r="C173" s="346">
        <v>421904177891</v>
      </c>
      <c r="D173" s="344" t="s">
        <v>12341</v>
      </c>
      <c r="E173" s="344" t="s">
        <v>12341</v>
      </c>
      <c r="F173" s="344"/>
      <c r="G173" s="344"/>
      <c r="H173" s="344"/>
      <c r="I173" s="344"/>
      <c r="J173" s="344"/>
      <c r="K173" s="344"/>
      <c r="L173" s="344" t="s">
        <v>12341</v>
      </c>
      <c r="M173" s="344" t="s">
        <v>12386</v>
      </c>
      <c r="N173" s="344" t="s">
        <v>12339</v>
      </c>
      <c r="O173" s="348"/>
      <c r="P173" s="348"/>
      <c r="Q173" s="348"/>
      <c r="R173" s="348"/>
      <c r="S173" s="348"/>
      <c r="T173" s="348"/>
      <c r="U173" s="348"/>
      <c r="V173" s="348"/>
      <c r="W173" s="348"/>
      <c r="X173" s="348"/>
      <c r="Y173" s="348"/>
      <c r="Z173" s="348"/>
    </row>
    <row r="174" spans="1:26" s="64" customFormat="1" ht="47.25" customHeight="1" thickBot="1" x14ac:dyDescent="0.35">
      <c r="A174" s="343">
        <v>45411</v>
      </c>
      <c r="B174" s="345" t="s">
        <v>12597</v>
      </c>
      <c r="C174" s="344"/>
      <c r="D174" s="344" t="s">
        <v>12341</v>
      </c>
      <c r="E174" s="344" t="s">
        <v>12341</v>
      </c>
      <c r="F174" s="344"/>
      <c r="G174" s="344"/>
      <c r="H174" s="344"/>
      <c r="I174" s="344"/>
      <c r="J174" s="344"/>
      <c r="K174" s="344"/>
      <c r="L174" s="344" t="s">
        <v>12341</v>
      </c>
      <c r="M174" s="344" t="s">
        <v>12386</v>
      </c>
      <c r="N174" s="344" t="s">
        <v>12339</v>
      </c>
      <c r="O174" s="348"/>
      <c r="P174" s="348"/>
      <c r="Q174" s="348"/>
      <c r="R174" s="348"/>
      <c r="S174" s="348"/>
      <c r="T174" s="348"/>
      <c r="U174" s="348"/>
      <c r="V174" s="348"/>
      <c r="W174" s="348"/>
      <c r="X174" s="348"/>
      <c r="Y174" s="348"/>
      <c r="Z174" s="348"/>
    </row>
    <row r="175" spans="1:26" s="64" customFormat="1" ht="47.25" customHeight="1" thickBot="1" x14ac:dyDescent="0.35">
      <c r="A175" s="343">
        <v>45411</v>
      </c>
      <c r="B175" s="345" t="s">
        <v>12598</v>
      </c>
      <c r="C175" s="346">
        <v>421911864865</v>
      </c>
      <c r="D175" s="344" t="s">
        <v>12341</v>
      </c>
      <c r="E175" s="344" t="s">
        <v>12341</v>
      </c>
      <c r="F175" s="344"/>
      <c r="G175" s="344"/>
      <c r="H175" s="344"/>
      <c r="I175" s="344"/>
      <c r="J175" s="344"/>
      <c r="K175" s="344"/>
      <c r="L175" s="344" t="s">
        <v>12341</v>
      </c>
      <c r="M175" s="344" t="s">
        <v>12386</v>
      </c>
      <c r="N175" s="344" t="s">
        <v>12339</v>
      </c>
      <c r="O175" s="348"/>
      <c r="P175" s="348"/>
      <c r="Q175" s="348"/>
      <c r="R175" s="348"/>
      <c r="S175" s="348"/>
      <c r="T175" s="348"/>
      <c r="U175" s="348"/>
      <c r="V175" s="348"/>
      <c r="W175" s="348"/>
      <c r="X175" s="348"/>
      <c r="Y175" s="348"/>
      <c r="Z175" s="348"/>
    </row>
    <row r="176" spans="1:26" s="64" customFormat="1" ht="47.25" customHeight="1" thickBot="1" x14ac:dyDescent="0.35">
      <c r="A176" s="343">
        <v>45411</v>
      </c>
      <c r="B176" s="345" t="s">
        <v>12599</v>
      </c>
      <c r="C176" s="346">
        <v>421907963927</v>
      </c>
      <c r="D176" s="344" t="s">
        <v>12341</v>
      </c>
      <c r="E176" s="344" t="s">
        <v>12341</v>
      </c>
      <c r="F176" s="344"/>
      <c r="G176" s="344"/>
      <c r="H176" s="344"/>
      <c r="I176" s="344"/>
      <c r="J176" s="344"/>
      <c r="K176" s="344"/>
      <c r="L176" s="344" t="s">
        <v>12341</v>
      </c>
      <c r="M176" s="344" t="s">
        <v>12386</v>
      </c>
      <c r="N176" s="344" t="s">
        <v>12339</v>
      </c>
      <c r="O176" s="348"/>
      <c r="P176" s="348"/>
      <c r="Q176" s="348"/>
      <c r="R176" s="348"/>
      <c r="S176" s="348"/>
      <c r="T176" s="348"/>
      <c r="U176" s="348"/>
      <c r="V176" s="348"/>
      <c r="W176" s="348"/>
      <c r="X176" s="348"/>
      <c r="Y176" s="348"/>
      <c r="Z176" s="348"/>
    </row>
    <row r="177" spans="1:26" s="64" customFormat="1" ht="47.25" customHeight="1" thickBot="1" x14ac:dyDescent="0.35">
      <c r="A177" s="343">
        <v>45411</v>
      </c>
      <c r="B177" s="345" t="s">
        <v>12600</v>
      </c>
      <c r="C177" s="346">
        <v>421917537141</v>
      </c>
      <c r="D177" s="344" t="s">
        <v>12341</v>
      </c>
      <c r="E177" s="344" t="s">
        <v>12341</v>
      </c>
      <c r="F177" s="344"/>
      <c r="G177" s="344"/>
      <c r="H177" s="344"/>
      <c r="I177" s="344"/>
      <c r="J177" s="344"/>
      <c r="K177" s="344"/>
      <c r="L177" s="344" t="s">
        <v>12601</v>
      </c>
      <c r="M177" s="344" t="s">
        <v>12386</v>
      </c>
      <c r="N177" s="344" t="s">
        <v>12339</v>
      </c>
      <c r="O177" s="348"/>
      <c r="P177" s="348"/>
      <c r="Q177" s="348"/>
      <c r="R177" s="348"/>
      <c r="S177" s="348"/>
      <c r="T177" s="348"/>
      <c r="U177" s="348"/>
      <c r="V177" s="348"/>
      <c r="W177" s="348"/>
      <c r="X177" s="348"/>
      <c r="Y177" s="348"/>
      <c r="Z177" s="348"/>
    </row>
    <row r="178" spans="1:26" s="64" customFormat="1" ht="47.25" customHeight="1" thickBot="1" x14ac:dyDescent="0.35">
      <c r="A178" s="343">
        <v>45411</v>
      </c>
      <c r="B178" s="345" t="s">
        <v>187</v>
      </c>
      <c r="C178" s="346">
        <v>4219117507</v>
      </c>
      <c r="D178" s="344" t="s">
        <v>12341</v>
      </c>
      <c r="E178" s="344" t="s">
        <v>12341</v>
      </c>
      <c r="F178" s="344"/>
      <c r="G178" s="344"/>
      <c r="H178" s="344"/>
      <c r="I178" s="344"/>
      <c r="J178" s="344"/>
      <c r="K178" s="344"/>
      <c r="L178" s="344" t="s">
        <v>12341</v>
      </c>
      <c r="M178" s="344" t="s">
        <v>12386</v>
      </c>
      <c r="N178" s="344" t="s">
        <v>12339</v>
      </c>
      <c r="O178" s="348"/>
      <c r="P178" s="348"/>
      <c r="Q178" s="348"/>
      <c r="R178" s="348"/>
      <c r="S178" s="348"/>
      <c r="T178" s="348"/>
      <c r="U178" s="348"/>
      <c r="V178" s="348"/>
      <c r="W178" s="348"/>
      <c r="X178" s="348"/>
      <c r="Y178" s="348"/>
      <c r="Z178" s="348"/>
    </row>
    <row r="179" spans="1:26" s="64" customFormat="1" ht="47.25" customHeight="1" thickBot="1" x14ac:dyDescent="0.35">
      <c r="A179" s="343">
        <v>45411</v>
      </c>
      <c r="B179" s="345" t="s">
        <v>12602</v>
      </c>
      <c r="C179" s="344"/>
      <c r="D179" s="344" t="s">
        <v>12341</v>
      </c>
      <c r="E179" s="344" t="s">
        <v>12341</v>
      </c>
      <c r="F179" s="344"/>
      <c r="G179" s="344"/>
      <c r="H179" s="344"/>
      <c r="I179" s="344"/>
      <c r="J179" s="344"/>
      <c r="K179" s="344"/>
      <c r="L179" s="344" t="s">
        <v>12341</v>
      </c>
      <c r="M179" s="344" t="s">
        <v>12386</v>
      </c>
      <c r="N179" s="344" t="s">
        <v>12339</v>
      </c>
      <c r="O179" s="348"/>
      <c r="P179" s="348"/>
      <c r="Q179" s="348"/>
      <c r="R179" s="348"/>
      <c r="S179" s="348"/>
      <c r="T179" s="348"/>
      <c r="U179" s="348"/>
      <c r="V179" s="348"/>
      <c r="W179" s="348"/>
      <c r="X179" s="348"/>
      <c r="Y179" s="348"/>
      <c r="Z179" s="348"/>
    </row>
    <row r="180" spans="1:26" s="64" customFormat="1" ht="47.25" customHeight="1" thickBot="1" x14ac:dyDescent="0.35">
      <c r="A180" s="343">
        <v>45411</v>
      </c>
      <c r="B180" s="345" t="s">
        <v>12603</v>
      </c>
      <c r="C180" s="346">
        <v>421910842993</v>
      </c>
      <c r="D180" s="344" t="s">
        <v>12341</v>
      </c>
      <c r="E180" s="344" t="s">
        <v>12341</v>
      </c>
      <c r="F180" s="344"/>
      <c r="G180" s="344"/>
      <c r="H180" s="344"/>
      <c r="I180" s="344"/>
      <c r="J180" s="344"/>
      <c r="K180" s="344"/>
      <c r="L180" s="344" t="s">
        <v>12341</v>
      </c>
      <c r="M180" s="344" t="s">
        <v>12386</v>
      </c>
      <c r="N180" s="344" t="s">
        <v>12339</v>
      </c>
      <c r="O180" s="348"/>
      <c r="P180" s="348"/>
      <c r="Q180" s="348"/>
      <c r="R180" s="348"/>
      <c r="S180" s="348"/>
      <c r="T180" s="348"/>
      <c r="U180" s="348"/>
      <c r="V180" s="348"/>
      <c r="W180" s="348"/>
      <c r="X180" s="348"/>
      <c r="Y180" s="348"/>
      <c r="Z180" s="348"/>
    </row>
    <row r="181" spans="1:26" s="64" customFormat="1" ht="47.25" customHeight="1" thickBot="1" x14ac:dyDescent="0.35">
      <c r="A181" s="343">
        <v>45411</v>
      </c>
      <c r="B181" s="345" t="s">
        <v>12604</v>
      </c>
      <c r="C181" s="346">
        <v>421948063034</v>
      </c>
      <c r="D181" s="344" t="s">
        <v>12341</v>
      </c>
      <c r="E181" s="344" t="s">
        <v>12341</v>
      </c>
      <c r="F181" s="344"/>
      <c r="G181" s="344"/>
      <c r="H181" s="344"/>
      <c r="I181" s="344"/>
      <c r="J181" s="344"/>
      <c r="K181" s="344"/>
      <c r="L181" s="344" t="s">
        <v>12341</v>
      </c>
      <c r="M181" s="344" t="s">
        <v>12386</v>
      </c>
      <c r="N181" s="344" t="s">
        <v>12339</v>
      </c>
      <c r="O181" s="348"/>
      <c r="P181" s="348"/>
      <c r="Q181" s="348"/>
      <c r="R181" s="348"/>
      <c r="S181" s="348"/>
      <c r="T181" s="348"/>
      <c r="U181" s="348"/>
      <c r="V181" s="348"/>
      <c r="W181" s="348"/>
      <c r="X181" s="348"/>
      <c r="Y181" s="348"/>
      <c r="Z181" s="348"/>
    </row>
    <row r="182" spans="1:26" s="64" customFormat="1" ht="47.25" customHeight="1" thickBot="1" x14ac:dyDescent="0.35">
      <c r="A182" s="343">
        <v>45411</v>
      </c>
      <c r="B182" s="345" t="s">
        <v>12605</v>
      </c>
      <c r="C182" s="346">
        <v>421948190293</v>
      </c>
      <c r="D182" s="344" t="s">
        <v>12341</v>
      </c>
      <c r="E182" s="344" t="s">
        <v>12341</v>
      </c>
      <c r="F182" s="344"/>
      <c r="G182" s="344"/>
      <c r="H182" s="344"/>
      <c r="I182" s="344"/>
      <c r="J182" s="344"/>
      <c r="K182" s="344"/>
      <c r="L182" s="344" t="s">
        <v>12341</v>
      </c>
      <c r="M182" s="344" t="s">
        <v>12386</v>
      </c>
      <c r="N182" s="344" t="s">
        <v>12339</v>
      </c>
      <c r="O182" s="348"/>
      <c r="P182" s="348"/>
      <c r="Q182" s="348"/>
      <c r="R182" s="348"/>
      <c r="S182" s="348"/>
      <c r="T182" s="348"/>
      <c r="U182" s="348"/>
      <c r="V182" s="348"/>
      <c r="W182" s="348"/>
      <c r="X182" s="348"/>
      <c r="Y182" s="348"/>
      <c r="Z182" s="348"/>
    </row>
    <row r="183" spans="1:26" s="64" customFormat="1" ht="47.25" customHeight="1" thickBot="1" x14ac:dyDescent="0.35">
      <c r="A183" s="343">
        <v>45411</v>
      </c>
      <c r="B183" s="345" t="s">
        <v>12606</v>
      </c>
      <c r="C183" s="346">
        <v>421951254864</v>
      </c>
      <c r="D183" s="344" t="s">
        <v>12341</v>
      </c>
      <c r="E183" s="344" t="s">
        <v>12341</v>
      </c>
      <c r="F183" s="344"/>
      <c r="G183" s="344"/>
      <c r="H183" s="344"/>
      <c r="I183" s="344"/>
      <c r="J183" s="344"/>
      <c r="K183" s="344"/>
      <c r="L183" s="344" t="s">
        <v>12341</v>
      </c>
      <c r="M183" s="344" t="s">
        <v>12386</v>
      </c>
      <c r="N183" s="344" t="s">
        <v>12339</v>
      </c>
      <c r="O183" s="348"/>
      <c r="P183" s="348"/>
      <c r="Q183" s="348"/>
      <c r="R183" s="348"/>
      <c r="S183" s="348"/>
      <c r="T183" s="348"/>
      <c r="U183" s="348"/>
      <c r="V183" s="348"/>
      <c r="W183" s="348"/>
      <c r="X183" s="348"/>
      <c r="Y183" s="348"/>
      <c r="Z183" s="348"/>
    </row>
    <row r="184" spans="1:26" s="64" customFormat="1" ht="47.25" customHeight="1" thickBot="1" x14ac:dyDescent="0.35">
      <c r="A184" s="343">
        <v>45411</v>
      </c>
      <c r="B184" s="345" t="s">
        <v>12607</v>
      </c>
      <c r="C184" s="346">
        <v>421902705618</v>
      </c>
      <c r="D184" s="344" t="s">
        <v>12346</v>
      </c>
      <c r="E184" s="344" t="s">
        <v>12341</v>
      </c>
      <c r="F184" s="344"/>
      <c r="G184" s="344"/>
      <c r="H184" s="344"/>
      <c r="I184" s="344"/>
      <c r="J184" s="344"/>
      <c r="K184" s="344"/>
      <c r="L184" s="344" t="s">
        <v>12608</v>
      </c>
      <c r="M184" s="344" t="s">
        <v>12386</v>
      </c>
      <c r="N184" s="344" t="s">
        <v>12339</v>
      </c>
      <c r="O184" s="348"/>
      <c r="P184" s="348"/>
      <c r="Q184" s="348"/>
      <c r="R184" s="348"/>
      <c r="S184" s="348"/>
      <c r="T184" s="348"/>
      <c r="U184" s="348"/>
      <c r="V184" s="348"/>
      <c r="W184" s="348"/>
      <c r="X184" s="348"/>
      <c r="Y184" s="348"/>
      <c r="Z184" s="348"/>
    </row>
    <row r="185" spans="1:26" s="64" customFormat="1" ht="47.25" customHeight="1" thickBot="1" x14ac:dyDescent="0.35">
      <c r="A185" s="343">
        <v>45411</v>
      </c>
      <c r="B185" s="345" t="s">
        <v>12609</v>
      </c>
      <c r="C185" s="346">
        <v>421904331561</v>
      </c>
      <c r="D185" s="344" t="s">
        <v>12360</v>
      </c>
      <c r="E185" s="344" t="s">
        <v>12341</v>
      </c>
      <c r="F185" s="344"/>
      <c r="G185" s="344"/>
      <c r="H185" s="344"/>
      <c r="I185" s="344"/>
      <c r="J185" s="344"/>
      <c r="K185" s="344"/>
      <c r="L185" s="344" t="s">
        <v>12610</v>
      </c>
      <c r="M185" s="344" t="s">
        <v>12386</v>
      </c>
      <c r="N185" s="344" t="s">
        <v>12339</v>
      </c>
      <c r="O185" s="348"/>
      <c r="P185" s="348"/>
      <c r="Q185" s="348"/>
      <c r="R185" s="348"/>
      <c r="S185" s="348"/>
      <c r="T185" s="348"/>
      <c r="U185" s="348"/>
      <c r="V185" s="348"/>
      <c r="W185" s="348"/>
      <c r="X185" s="348"/>
      <c r="Y185" s="348"/>
      <c r="Z185" s="348"/>
    </row>
    <row r="186" spans="1:26" s="64" customFormat="1" ht="47.25" customHeight="1" thickBot="1" x14ac:dyDescent="0.35">
      <c r="A186" s="343">
        <v>45411</v>
      </c>
      <c r="B186" s="345" t="s">
        <v>12611</v>
      </c>
      <c r="C186" s="346">
        <v>421914130488</v>
      </c>
      <c r="D186" s="344" t="s">
        <v>12341</v>
      </c>
      <c r="E186" s="344" t="s">
        <v>12341</v>
      </c>
      <c r="F186" s="344"/>
      <c r="G186" s="344"/>
      <c r="H186" s="344"/>
      <c r="I186" s="344"/>
      <c r="J186" s="344"/>
      <c r="K186" s="344"/>
      <c r="L186" s="344" t="s">
        <v>12341</v>
      </c>
      <c r="M186" s="344" t="s">
        <v>12386</v>
      </c>
      <c r="N186" s="344" t="s">
        <v>12339</v>
      </c>
      <c r="O186" s="348"/>
      <c r="P186" s="348"/>
      <c r="Q186" s="348"/>
      <c r="R186" s="348"/>
      <c r="S186" s="348"/>
      <c r="T186" s="348"/>
      <c r="U186" s="348"/>
      <c r="V186" s="348"/>
      <c r="W186" s="348"/>
      <c r="X186" s="348"/>
      <c r="Y186" s="348"/>
      <c r="Z186" s="348"/>
    </row>
    <row r="187" spans="1:26" s="64" customFormat="1" ht="47.25" customHeight="1" thickBot="1" x14ac:dyDescent="0.35">
      <c r="A187" s="343">
        <v>45411</v>
      </c>
      <c r="B187" s="345" t="s">
        <v>12612</v>
      </c>
      <c r="C187" s="346">
        <v>421905731634</v>
      </c>
      <c r="D187" s="344" t="s">
        <v>12341</v>
      </c>
      <c r="E187" s="344" t="s">
        <v>12341</v>
      </c>
      <c r="F187" s="344"/>
      <c r="G187" s="344"/>
      <c r="H187" s="344"/>
      <c r="I187" s="344"/>
      <c r="J187" s="344"/>
      <c r="K187" s="344"/>
      <c r="L187" s="344" t="s">
        <v>12341</v>
      </c>
      <c r="M187" s="344" t="s">
        <v>12386</v>
      </c>
      <c r="N187" s="344" t="s">
        <v>12339</v>
      </c>
      <c r="O187" s="348"/>
      <c r="P187" s="348"/>
      <c r="Q187" s="348"/>
      <c r="R187" s="348"/>
      <c r="S187" s="348"/>
      <c r="T187" s="348"/>
      <c r="U187" s="348"/>
      <c r="V187" s="348"/>
      <c r="W187" s="348"/>
      <c r="X187" s="348"/>
      <c r="Y187" s="348"/>
      <c r="Z187" s="348"/>
    </row>
    <row r="188" spans="1:26" s="64" customFormat="1" ht="47.25" customHeight="1" thickBot="1" x14ac:dyDescent="0.35">
      <c r="A188" s="343">
        <v>45411</v>
      </c>
      <c r="B188" s="345" t="s">
        <v>12613</v>
      </c>
      <c r="C188" s="346">
        <v>421910628789</v>
      </c>
      <c r="D188" s="344" t="s">
        <v>12341</v>
      </c>
      <c r="E188" s="344" t="s">
        <v>12341</v>
      </c>
      <c r="F188" s="344"/>
      <c r="G188" s="344"/>
      <c r="H188" s="344"/>
      <c r="I188" s="344"/>
      <c r="J188" s="344"/>
      <c r="K188" s="344"/>
      <c r="L188" s="344" t="s">
        <v>12341</v>
      </c>
      <c r="M188" s="344" t="s">
        <v>12386</v>
      </c>
      <c r="N188" s="344" t="s">
        <v>12339</v>
      </c>
      <c r="O188" s="348"/>
      <c r="P188" s="348"/>
      <c r="Q188" s="348"/>
      <c r="R188" s="348"/>
      <c r="S188" s="348"/>
      <c r="T188" s="348"/>
      <c r="U188" s="348"/>
      <c r="V188" s="348"/>
      <c r="W188" s="348"/>
      <c r="X188" s="348"/>
      <c r="Y188" s="348"/>
      <c r="Z188" s="348"/>
    </row>
    <row r="189" spans="1:26" s="64" customFormat="1" ht="47.25" customHeight="1" thickBot="1" x14ac:dyDescent="0.35">
      <c r="A189" s="343">
        <v>45411</v>
      </c>
      <c r="B189" s="345" t="s">
        <v>12614</v>
      </c>
      <c r="C189" s="346">
        <v>421902705618</v>
      </c>
      <c r="D189" s="344" t="s">
        <v>12341</v>
      </c>
      <c r="E189" s="344" t="s">
        <v>12341</v>
      </c>
      <c r="F189" s="344"/>
      <c r="G189" s="344"/>
      <c r="H189" s="344"/>
      <c r="I189" s="344"/>
      <c r="J189" s="344"/>
      <c r="K189" s="344"/>
      <c r="L189" s="344" t="s">
        <v>12341</v>
      </c>
      <c r="M189" s="344" t="s">
        <v>12386</v>
      </c>
      <c r="N189" s="344" t="s">
        <v>12339</v>
      </c>
      <c r="O189" s="348"/>
      <c r="P189" s="348"/>
      <c r="Q189" s="348"/>
      <c r="R189" s="348"/>
      <c r="S189" s="348"/>
      <c r="T189" s="348"/>
      <c r="U189" s="348"/>
      <c r="V189" s="348"/>
      <c r="W189" s="348"/>
      <c r="X189" s="348"/>
      <c r="Y189" s="348"/>
      <c r="Z189" s="348"/>
    </row>
    <row r="190" spans="1:26" s="64" customFormat="1" ht="47.25" customHeight="1" thickBot="1" x14ac:dyDescent="0.35">
      <c r="A190" s="343">
        <v>45411</v>
      </c>
      <c r="B190" s="345" t="s">
        <v>12615</v>
      </c>
      <c r="C190" s="346">
        <v>421904111930</v>
      </c>
      <c r="D190" s="344" t="s">
        <v>12341</v>
      </c>
      <c r="E190" s="344" t="s">
        <v>12341</v>
      </c>
      <c r="F190" s="344"/>
      <c r="G190" s="344"/>
      <c r="H190" s="344"/>
      <c r="I190" s="344"/>
      <c r="J190" s="344"/>
      <c r="K190" s="344"/>
      <c r="L190" s="344" t="s">
        <v>12341</v>
      </c>
      <c r="M190" s="344" t="s">
        <v>12386</v>
      </c>
      <c r="N190" s="344" t="s">
        <v>12339</v>
      </c>
      <c r="O190" s="348"/>
      <c r="P190" s="348"/>
      <c r="Q190" s="348"/>
      <c r="R190" s="348"/>
      <c r="S190" s="348"/>
      <c r="T190" s="348"/>
      <c r="U190" s="348"/>
      <c r="V190" s="348"/>
      <c r="W190" s="348"/>
      <c r="X190" s="348"/>
      <c r="Y190" s="348"/>
      <c r="Z190" s="348"/>
    </row>
    <row r="191" spans="1:26" s="64" customFormat="1" ht="47.25" customHeight="1" thickBot="1" x14ac:dyDescent="0.35">
      <c r="A191" s="343">
        <v>45411</v>
      </c>
      <c r="B191" s="345" t="s">
        <v>12616</v>
      </c>
      <c r="C191" s="346" t="s">
        <v>12617</v>
      </c>
      <c r="D191" s="344" t="s">
        <v>12341</v>
      </c>
      <c r="E191" s="344" t="s">
        <v>12341</v>
      </c>
      <c r="F191" s="344"/>
      <c r="G191" s="344"/>
      <c r="H191" s="344"/>
      <c r="I191" s="344"/>
      <c r="J191" s="344"/>
      <c r="K191" s="344"/>
      <c r="L191" s="344" t="s">
        <v>12618</v>
      </c>
      <c r="M191" s="344" t="s">
        <v>12386</v>
      </c>
      <c r="N191" s="344" t="s">
        <v>12339</v>
      </c>
      <c r="O191" s="348"/>
      <c r="P191" s="348"/>
      <c r="Q191" s="348"/>
      <c r="R191" s="348"/>
      <c r="S191" s="348"/>
      <c r="T191" s="348"/>
      <c r="U191" s="348"/>
      <c r="V191" s="348"/>
      <c r="W191" s="348"/>
      <c r="X191" s="348"/>
      <c r="Y191" s="348"/>
      <c r="Z191" s="348"/>
    </row>
    <row r="192" spans="1:26" s="64" customFormat="1" ht="47.25" customHeight="1" thickBot="1" x14ac:dyDescent="0.35">
      <c r="A192" s="343">
        <v>45411</v>
      </c>
      <c r="B192" s="345" t="s">
        <v>12619</v>
      </c>
      <c r="C192" s="346">
        <v>421902705618</v>
      </c>
      <c r="D192" s="344" t="s">
        <v>12341</v>
      </c>
      <c r="E192" s="344" t="s">
        <v>12341</v>
      </c>
      <c r="F192" s="344"/>
      <c r="G192" s="344"/>
      <c r="H192" s="344"/>
      <c r="I192" s="344"/>
      <c r="J192" s="344"/>
      <c r="K192" s="344"/>
      <c r="L192" s="344" t="s">
        <v>12341</v>
      </c>
      <c r="M192" s="344" t="s">
        <v>12386</v>
      </c>
      <c r="N192" s="344" t="s">
        <v>12339</v>
      </c>
      <c r="O192" s="348"/>
      <c r="P192" s="348"/>
      <c r="Q192" s="348"/>
      <c r="R192" s="348"/>
      <c r="S192" s="348"/>
      <c r="T192" s="348"/>
      <c r="U192" s="348"/>
      <c r="V192" s="348"/>
      <c r="W192" s="348"/>
      <c r="X192" s="348"/>
      <c r="Y192" s="348"/>
      <c r="Z192" s="348"/>
    </row>
    <row r="193" spans="1:26" s="64" customFormat="1" ht="47.25" customHeight="1" thickBot="1" x14ac:dyDescent="0.35">
      <c r="A193" s="343">
        <v>45411</v>
      </c>
      <c r="B193" s="345" t="s">
        <v>12620</v>
      </c>
      <c r="C193" s="346">
        <v>421905017025</v>
      </c>
      <c r="D193" s="344" t="s">
        <v>12341</v>
      </c>
      <c r="E193" s="344" t="s">
        <v>12341</v>
      </c>
      <c r="F193" s="344"/>
      <c r="G193" s="344"/>
      <c r="H193" s="344"/>
      <c r="I193" s="344"/>
      <c r="J193" s="344"/>
      <c r="K193" s="344"/>
      <c r="L193" s="344" t="s">
        <v>12341</v>
      </c>
      <c r="M193" s="344" t="s">
        <v>12386</v>
      </c>
      <c r="N193" s="344" t="s">
        <v>12339</v>
      </c>
      <c r="O193" s="348"/>
      <c r="P193" s="348"/>
      <c r="Q193" s="348"/>
      <c r="R193" s="348"/>
      <c r="S193" s="348"/>
      <c r="T193" s="348"/>
      <c r="U193" s="348"/>
      <c r="V193" s="348"/>
      <c r="W193" s="348"/>
      <c r="X193" s="348"/>
      <c r="Y193" s="348"/>
      <c r="Z193" s="348"/>
    </row>
    <row r="194" spans="1:26" s="64" customFormat="1" ht="47.25" customHeight="1" thickBot="1" x14ac:dyDescent="0.35">
      <c r="A194" s="343">
        <v>45411</v>
      </c>
      <c r="B194" s="345" t="s">
        <v>12621</v>
      </c>
      <c r="C194" s="346">
        <v>421905444581</v>
      </c>
      <c r="D194" s="344" t="s">
        <v>12341</v>
      </c>
      <c r="E194" s="344" t="s">
        <v>12341</v>
      </c>
      <c r="F194" s="344"/>
      <c r="G194" s="344"/>
      <c r="H194" s="344"/>
      <c r="I194" s="344"/>
      <c r="J194" s="344"/>
      <c r="K194" s="344"/>
      <c r="L194" s="344" t="s">
        <v>12341</v>
      </c>
      <c r="M194" s="344" t="s">
        <v>12386</v>
      </c>
      <c r="N194" s="344" t="s">
        <v>12339</v>
      </c>
      <c r="O194" s="348"/>
      <c r="P194" s="348"/>
      <c r="Q194" s="348"/>
      <c r="R194" s="348"/>
      <c r="S194" s="348"/>
      <c r="T194" s="348"/>
      <c r="U194" s="348"/>
      <c r="V194" s="348"/>
      <c r="W194" s="348"/>
      <c r="X194" s="348"/>
      <c r="Y194" s="348"/>
      <c r="Z194" s="348"/>
    </row>
    <row r="195" spans="1:26" s="64" customFormat="1" ht="47.25" customHeight="1" thickBot="1" x14ac:dyDescent="0.35">
      <c r="A195" s="343">
        <v>45411</v>
      </c>
      <c r="B195" s="345" t="s">
        <v>12622</v>
      </c>
      <c r="C195" s="344"/>
      <c r="D195" s="344" t="s">
        <v>12341</v>
      </c>
      <c r="E195" s="344" t="s">
        <v>12341</v>
      </c>
      <c r="F195" s="344"/>
      <c r="G195" s="344"/>
      <c r="H195" s="344"/>
      <c r="I195" s="344"/>
      <c r="J195" s="344"/>
      <c r="K195" s="344"/>
      <c r="L195" s="344" t="s">
        <v>12341</v>
      </c>
      <c r="M195" s="344" t="s">
        <v>12386</v>
      </c>
      <c r="N195" s="344" t="s">
        <v>12339</v>
      </c>
      <c r="O195" s="348"/>
      <c r="P195" s="348"/>
      <c r="Q195" s="348"/>
      <c r="R195" s="348"/>
      <c r="S195" s="348"/>
      <c r="T195" s="348"/>
      <c r="U195" s="348"/>
      <c r="V195" s="348"/>
      <c r="W195" s="348"/>
      <c r="X195" s="348"/>
      <c r="Y195" s="348"/>
      <c r="Z195" s="348"/>
    </row>
    <row r="196" spans="1:26" s="64" customFormat="1" ht="47.25" customHeight="1" thickBot="1" x14ac:dyDescent="0.35">
      <c r="A196" s="343">
        <v>45411</v>
      </c>
      <c r="B196" s="345" t="s">
        <v>12623</v>
      </c>
      <c r="C196" s="346">
        <v>421948846447</v>
      </c>
      <c r="D196" s="344" t="s">
        <v>12341</v>
      </c>
      <c r="E196" s="344" t="s">
        <v>12341</v>
      </c>
      <c r="F196" s="344"/>
      <c r="G196" s="344"/>
      <c r="H196" s="344"/>
      <c r="I196" s="344"/>
      <c r="J196" s="344"/>
      <c r="K196" s="344"/>
      <c r="L196" s="344" t="s">
        <v>12341</v>
      </c>
      <c r="M196" s="344" t="s">
        <v>12386</v>
      </c>
      <c r="N196" s="344" t="s">
        <v>12339</v>
      </c>
      <c r="O196" s="348"/>
      <c r="P196" s="348"/>
      <c r="Q196" s="348"/>
      <c r="R196" s="348"/>
      <c r="S196" s="348"/>
      <c r="T196" s="348"/>
      <c r="U196" s="348"/>
      <c r="V196" s="348"/>
      <c r="W196" s="348"/>
      <c r="X196" s="348"/>
      <c r="Y196" s="348"/>
      <c r="Z196" s="348"/>
    </row>
    <row r="197" spans="1:26" s="64" customFormat="1" ht="47.25" customHeight="1" thickBot="1" x14ac:dyDescent="0.35">
      <c r="A197" s="343">
        <v>45411</v>
      </c>
      <c r="B197" s="345" t="s">
        <v>12624</v>
      </c>
      <c r="C197" s="344"/>
      <c r="D197" s="344" t="s">
        <v>12341</v>
      </c>
      <c r="E197" s="344" t="s">
        <v>12341</v>
      </c>
      <c r="F197" s="344"/>
      <c r="G197" s="344"/>
      <c r="H197" s="344"/>
      <c r="I197" s="344"/>
      <c r="J197" s="344"/>
      <c r="K197" s="344"/>
      <c r="L197" s="344" t="s">
        <v>12341</v>
      </c>
      <c r="M197" s="344" t="s">
        <v>12386</v>
      </c>
      <c r="N197" s="344" t="s">
        <v>12339</v>
      </c>
      <c r="O197" s="348"/>
      <c r="P197" s="348"/>
      <c r="Q197" s="348"/>
      <c r="R197" s="348"/>
      <c r="S197" s="348"/>
      <c r="T197" s="348"/>
      <c r="U197" s="348"/>
      <c r="V197" s="348"/>
      <c r="W197" s="348"/>
      <c r="X197" s="348"/>
      <c r="Y197" s="348"/>
      <c r="Z197" s="348"/>
    </row>
    <row r="198" spans="1:26" s="64" customFormat="1" ht="47.25" customHeight="1" thickBot="1" x14ac:dyDescent="0.35">
      <c r="A198" s="343">
        <v>45411</v>
      </c>
      <c r="B198" s="345" t="s">
        <v>2992</v>
      </c>
      <c r="C198" s="346">
        <v>421948190293</v>
      </c>
      <c r="D198" s="344" t="s">
        <v>12341</v>
      </c>
      <c r="E198" s="344" t="s">
        <v>12341</v>
      </c>
      <c r="F198" s="344"/>
      <c r="G198" s="344"/>
      <c r="H198" s="344"/>
      <c r="I198" s="344"/>
      <c r="J198" s="344"/>
      <c r="K198" s="344"/>
      <c r="L198" s="344" t="s">
        <v>12341</v>
      </c>
      <c r="M198" s="344" t="s">
        <v>12386</v>
      </c>
      <c r="N198" s="344" t="s">
        <v>12339</v>
      </c>
      <c r="O198" s="348"/>
      <c r="P198" s="348"/>
      <c r="Q198" s="348"/>
      <c r="R198" s="348"/>
      <c r="S198" s="348"/>
      <c r="T198" s="348"/>
      <c r="U198" s="348"/>
      <c r="V198" s="348"/>
      <c r="W198" s="348"/>
      <c r="X198" s="348"/>
      <c r="Y198" s="348"/>
      <c r="Z198" s="348"/>
    </row>
    <row r="199" spans="1:26" s="64" customFormat="1" ht="47.25" customHeight="1" thickBot="1" x14ac:dyDescent="0.35">
      <c r="A199" s="343">
        <v>45411</v>
      </c>
      <c r="B199" s="345" t="s">
        <v>12625</v>
      </c>
      <c r="C199" s="346">
        <v>421902705618</v>
      </c>
      <c r="D199" s="344" t="s">
        <v>12341</v>
      </c>
      <c r="E199" s="344" t="s">
        <v>12341</v>
      </c>
      <c r="F199" s="344"/>
      <c r="G199" s="344"/>
      <c r="H199" s="344"/>
      <c r="I199" s="344"/>
      <c r="J199" s="344"/>
      <c r="K199" s="344"/>
      <c r="L199" s="344" t="s">
        <v>12341</v>
      </c>
      <c r="M199" s="344" t="s">
        <v>12386</v>
      </c>
      <c r="N199" s="344" t="s">
        <v>12339</v>
      </c>
      <c r="O199" s="348"/>
      <c r="P199" s="348"/>
      <c r="Q199" s="348"/>
      <c r="R199" s="348"/>
      <c r="S199" s="348"/>
      <c r="T199" s="348"/>
      <c r="U199" s="348"/>
      <c r="V199" s="348"/>
      <c r="W199" s="348"/>
      <c r="X199" s="348"/>
      <c r="Y199" s="348"/>
      <c r="Z199" s="348"/>
    </row>
    <row r="200" spans="1:26" s="64" customFormat="1" ht="47.25" customHeight="1" thickBot="1" x14ac:dyDescent="0.35">
      <c r="A200" s="343">
        <v>45411</v>
      </c>
      <c r="B200" s="345" t="s">
        <v>12626</v>
      </c>
      <c r="C200" s="346" t="s">
        <v>12627</v>
      </c>
      <c r="D200" s="344" t="s">
        <v>12341</v>
      </c>
      <c r="E200" s="344" t="s">
        <v>12341</v>
      </c>
      <c r="F200" s="344"/>
      <c r="G200" s="344"/>
      <c r="H200" s="344"/>
      <c r="I200" s="344"/>
      <c r="J200" s="344"/>
      <c r="K200" s="344"/>
      <c r="L200" s="344" t="s">
        <v>12628</v>
      </c>
      <c r="M200" s="344" t="s">
        <v>12386</v>
      </c>
      <c r="N200" s="344" t="s">
        <v>12339</v>
      </c>
      <c r="O200" s="348"/>
      <c r="P200" s="348"/>
      <c r="Q200" s="348"/>
      <c r="R200" s="348"/>
      <c r="S200" s="348"/>
      <c r="T200" s="348"/>
      <c r="U200" s="348"/>
      <c r="V200" s="348"/>
      <c r="W200" s="348"/>
      <c r="X200" s="348"/>
      <c r="Y200" s="348"/>
      <c r="Z200" s="348"/>
    </row>
    <row r="201" spans="1:26" s="64" customFormat="1" ht="47.25" customHeight="1" thickBot="1" x14ac:dyDescent="0.35">
      <c r="A201" s="343">
        <v>45411</v>
      </c>
      <c r="B201" s="345" t="s">
        <v>12629</v>
      </c>
      <c r="C201" s="346">
        <v>421905519815</v>
      </c>
      <c r="D201" s="344" t="s">
        <v>12341</v>
      </c>
      <c r="E201" s="344" t="s">
        <v>12341</v>
      </c>
      <c r="F201" s="344"/>
      <c r="G201" s="344"/>
      <c r="H201" s="344"/>
      <c r="I201" s="344"/>
      <c r="J201" s="344"/>
      <c r="K201" s="344"/>
      <c r="L201" s="344" t="s">
        <v>12341</v>
      </c>
      <c r="M201" s="344" t="s">
        <v>12386</v>
      </c>
      <c r="N201" s="344" t="s">
        <v>12339</v>
      </c>
      <c r="O201" s="348"/>
      <c r="P201" s="348"/>
      <c r="Q201" s="348"/>
      <c r="R201" s="348"/>
      <c r="S201" s="348"/>
      <c r="T201" s="348"/>
      <c r="U201" s="348"/>
      <c r="V201" s="348"/>
      <c r="W201" s="348"/>
      <c r="X201" s="348"/>
      <c r="Y201" s="348"/>
      <c r="Z201" s="348"/>
    </row>
    <row r="202" spans="1:26" s="64" customFormat="1" ht="47.25" customHeight="1" thickBot="1" x14ac:dyDescent="0.35">
      <c r="A202" s="343">
        <v>45411</v>
      </c>
      <c r="B202" s="345" t="s">
        <v>12630</v>
      </c>
      <c r="C202" s="346">
        <v>421948038226</v>
      </c>
      <c r="D202" s="344" t="s">
        <v>12341</v>
      </c>
      <c r="E202" s="344" t="s">
        <v>12341</v>
      </c>
      <c r="F202" s="344"/>
      <c r="G202" s="344"/>
      <c r="H202" s="344"/>
      <c r="I202" s="344"/>
      <c r="J202" s="344"/>
      <c r="K202" s="344"/>
      <c r="L202" s="344" t="s">
        <v>12341</v>
      </c>
      <c r="M202" s="344" t="s">
        <v>12386</v>
      </c>
      <c r="N202" s="344" t="s">
        <v>12339</v>
      </c>
      <c r="O202" s="348"/>
      <c r="P202" s="348"/>
      <c r="Q202" s="348"/>
      <c r="R202" s="348"/>
      <c r="S202" s="348"/>
      <c r="T202" s="348"/>
      <c r="U202" s="348"/>
      <c r="V202" s="348"/>
      <c r="W202" s="348"/>
      <c r="X202" s="348"/>
      <c r="Y202" s="348"/>
      <c r="Z202" s="348"/>
    </row>
    <row r="203" spans="1:26" s="64" customFormat="1" ht="47.25" customHeight="1" thickBot="1" x14ac:dyDescent="0.35">
      <c r="A203" s="343">
        <v>45411</v>
      </c>
      <c r="B203" s="345" t="s">
        <v>12631</v>
      </c>
      <c r="C203" s="346">
        <v>421904555655</v>
      </c>
      <c r="D203" s="344" t="s">
        <v>12341</v>
      </c>
      <c r="E203" s="344" t="s">
        <v>12341</v>
      </c>
      <c r="F203" s="344"/>
      <c r="G203" s="344"/>
      <c r="H203" s="344"/>
      <c r="I203" s="344"/>
      <c r="J203" s="344"/>
      <c r="K203" s="344"/>
      <c r="L203" s="344" t="s">
        <v>12341</v>
      </c>
      <c r="M203" s="344" t="s">
        <v>12386</v>
      </c>
      <c r="N203" s="344" t="s">
        <v>12339</v>
      </c>
      <c r="O203" s="348"/>
      <c r="P203" s="348"/>
      <c r="Q203" s="348"/>
      <c r="R203" s="348"/>
      <c r="S203" s="348"/>
      <c r="T203" s="348"/>
      <c r="U203" s="348"/>
      <c r="V203" s="348"/>
      <c r="W203" s="348"/>
      <c r="X203" s="348"/>
      <c r="Y203" s="348"/>
      <c r="Z203" s="348"/>
    </row>
    <row r="204" spans="1:26" s="64" customFormat="1" ht="47.25" customHeight="1" thickBot="1" x14ac:dyDescent="0.35">
      <c r="A204" s="343">
        <v>45411</v>
      </c>
      <c r="B204" s="345" t="s">
        <v>12632</v>
      </c>
      <c r="C204" s="346">
        <v>421911698905</v>
      </c>
      <c r="D204" s="344" t="s">
        <v>12341</v>
      </c>
      <c r="E204" s="344" t="s">
        <v>12341</v>
      </c>
      <c r="F204" s="344"/>
      <c r="G204" s="344"/>
      <c r="H204" s="344"/>
      <c r="I204" s="344"/>
      <c r="J204" s="344"/>
      <c r="K204" s="344"/>
      <c r="L204" s="344" t="s">
        <v>12341</v>
      </c>
      <c r="M204" s="344" t="s">
        <v>12386</v>
      </c>
      <c r="N204" s="344" t="s">
        <v>12339</v>
      </c>
      <c r="O204" s="348"/>
      <c r="P204" s="348"/>
      <c r="Q204" s="348"/>
      <c r="R204" s="348"/>
      <c r="S204" s="348"/>
      <c r="T204" s="348"/>
      <c r="U204" s="348"/>
      <c r="V204" s="348"/>
      <c r="W204" s="348"/>
      <c r="X204" s="348"/>
      <c r="Y204" s="348"/>
      <c r="Z204" s="348"/>
    </row>
    <row r="205" spans="1:26" s="64" customFormat="1" ht="47.25" customHeight="1" thickBot="1" x14ac:dyDescent="0.35">
      <c r="A205" s="343">
        <v>45418</v>
      </c>
      <c r="B205" s="345" t="s">
        <v>12633</v>
      </c>
      <c r="C205" s="344"/>
      <c r="D205" s="344" t="s">
        <v>12341</v>
      </c>
      <c r="E205" s="344" t="s">
        <v>12369</v>
      </c>
      <c r="F205" s="344" t="s">
        <v>12346</v>
      </c>
      <c r="G205" s="347">
        <v>80</v>
      </c>
      <c r="H205" s="347">
        <v>40</v>
      </c>
      <c r="I205" s="347">
        <v>40</v>
      </c>
      <c r="J205" s="344"/>
      <c r="K205" s="344"/>
      <c r="L205" s="344" t="s">
        <v>12341</v>
      </c>
      <c r="M205" s="344" t="s">
        <v>12634</v>
      </c>
      <c r="N205" s="344" t="s">
        <v>12339</v>
      </c>
      <c r="O205" s="348"/>
      <c r="P205" s="348"/>
      <c r="Q205" s="348"/>
      <c r="R205" s="348"/>
      <c r="S205" s="348"/>
      <c r="T205" s="348"/>
      <c r="U205" s="348"/>
      <c r="V205" s="348"/>
      <c r="W205" s="348"/>
      <c r="X205" s="348"/>
      <c r="Y205" s="348"/>
      <c r="Z205" s="348"/>
    </row>
    <row r="206" spans="1:26" s="64" customFormat="1" ht="47.25" customHeight="1" thickBot="1" x14ac:dyDescent="0.35">
      <c r="A206" s="343">
        <v>45419</v>
      </c>
      <c r="B206" s="345" t="s">
        <v>12635</v>
      </c>
      <c r="C206" s="346">
        <v>421940812304</v>
      </c>
      <c r="D206" s="344" t="s">
        <v>12341</v>
      </c>
      <c r="E206" s="344" t="s">
        <v>12356</v>
      </c>
      <c r="F206" s="344" t="s">
        <v>12346</v>
      </c>
      <c r="G206" s="347">
        <v>80</v>
      </c>
      <c r="H206" s="347">
        <v>20</v>
      </c>
      <c r="I206" s="347">
        <v>60</v>
      </c>
      <c r="J206" s="344" t="s">
        <v>12636</v>
      </c>
      <c r="K206" s="344"/>
      <c r="L206" s="344" t="s">
        <v>12341</v>
      </c>
      <c r="M206" s="344" t="s">
        <v>12634</v>
      </c>
      <c r="N206" s="344" t="s">
        <v>12344</v>
      </c>
      <c r="O206" s="348"/>
      <c r="P206" s="348"/>
      <c r="Q206" s="348"/>
      <c r="R206" s="348"/>
      <c r="S206" s="348"/>
      <c r="T206" s="348"/>
      <c r="U206" s="348"/>
      <c r="V206" s="348"/>
      <c r="W206" s="348"/>
      <c r="X206" s="348"/>
      <c r="Y206" s="348"/>
      <c r="Z206" s="348"/>
    </row>
    <row r="207" spans="1:26" s="64" customFormat="1" ht="47.25" customHeight="1" thickBot="1" x14ac:dyDescent="0.35">
      <c r="A207" s="343">
        <v>45419</v>
      </c>
      <c r="B207" s="345" t="s">
        <v>12637</v>
      </c>
      <c r="C207" s="346">
        <v>421904873494</v>
      </c>
      <c r="D207" s="344" t="s">
        <v>12638</v>
      </c>
      <c r="E207" s="344" t="s">
        <v>12639</v>
      </c>
      <c r="F207" s="344" t="s">
        <v>12360</v>
      </c>
      <c r="G207" s="344"/>
      <c r="H207" s="344"/>
      <c r="I207" s="347">
        <v>240</v>
      </c>
      <c r="J207" s="344" t="s">
        <v>12640</v>
      </c>
      <c r="K207" s="344"/>
      <c r="L207" s="344" t="s">
        <v>12641</v>
      </c>
      <c r="M207" s="344" t="s">
        <v>12634</v>
      </c>
      <c r="N207" s="344" t="s">
        <v>12344</v>
      </c>
      <c r="O207" s="348"/>
      <c r="P207" s="348"/>
      <c r="Q207" s="348"/>
      <c r="R207" s="348"/>
      <c r="S207" s="348"/>
      <c r="T207" s="348"/>
      <c r="U207" s="348"/>
      <c r="V207" s="348"/>
      <c r="W207" s="348"/>
      <c r="X207" s="348"/>
      <c r="Y207" s="348"/>
      <c r="Z207" s="348"/>
    </row>
    <row r="208" spans="1:26" s="64" customFormat="1" ht="47.25" customHeight="1" thickBot="1" x14ac:dyDescent="0.35">
      <c r="A208" s="343">
        <v>45419</v>
      </c>
      <c r="B208" s="345" t="s">
        <v>12642</v>
      </c>
      <c r="C208" s="346">
        <v>421910841416</v>
      </c>
      <c r="D208" s="344" t="s">
        <v>12341</v>
      </c>
      <c r="E208" s="344" t="s">
        <v>12356</v>
      </c>
      <c r="F208" s="344" t="s">
        <v>12346</v>
      </c>
      <c r="G208" s="347">
        <v>80</v>
      </c>
      <c r="H208" s="347">
        <v>20</v>
      </c>
      <c r="I208" s="347">
        <v>60</v>
      </c>
      <c r="J208" s="344" t="s">
        <v>12636</v>
      </c>
      <c r="K208" s="344"/>
      <c r="L208" s="344" t="s">
        <v>12643</v>
      </c>
      <c r="M208" s="344" t="s">
        <v>12634</v>
      </c>
      <c r="N208" s="344" t="s">
        <v>12344</v>
      </c>
      <c r="O208" s="348"/>
      <c r="P208" s="348"/>
      <c r="Q208" s="348"/>
      <c r="R208" s="348"/>
      <c r="S208" s="348"/>
      <c r="T208" s="348"/>
      <c r="U208" s="348"/>
      <c r="V208" s="348"/>
      <c r="W208" s="348"/>
      <c r="X208" s="348"/>
      <c r="Y208" s="348"/>
      <c r="Z208" s="348"/>
    </row>
    <row r="209" spans="1:26" s="64" customFormat="1" ht="47.25" customHeight="1" thickBot="1" x14ac:dyDescent="0.35">
      <c r="A209" s="343">
        <v>45419</v>
      </c>
      <c r="B209" s="345" t="s">
        <v>12644</v>
      </c>
      <c r="C209" s="346">
        <v>421914193798</v>
      </c>
      <c r="D209" s="344" t="s">
        <v>12341</v>
      </c>
      <c r="E209" s="344" t="s">
        <v>12342</v>
      </c>
      <c r="F209" s="344" t="s">
        <v>12346</v>
      </c>
      <c r="G209" s="344"/>
      <c r="H209" s="344" t="s">
        <v>12645</v>
      </c>
      <c r="I209" s="344" t="s">
        <v>12645</v>
      </c>
      <c r="J209" s="344" t="s">
        <v>12646</v>
      </c>
      <c r="K209" s="344"/>
      <c r="L209" s="344" t="s">
        <v>12647</v>
      </c>
      <c r="M209" s="344" t="s">
        <v>12634</v>
      </c>
      <c r="N209" s="344" t="s">
        <v>12344</v>
      </c>
      <c r="O209" s="348"/>
      <c r="P209" s="348"/>
      <c r="Q209" s="348"/>
      <c r="R209" s="348"/>
      <c r="S209" s="348"/>
      <c r="T209" s="348"/>
      <c r="U209" s="348"/>
      <c r="V209" s="348"/>
      <c r="W209" s="348"/>
      <c r="X209" s="348"/>
      <c r="Y209" s="348"/>
      <c r="Z209" s="348"/>
    </row>
    <row r="210" spans="1:26" s="64" customFormat="1" ht="47.25" customHeight="1" thickBot="1" x14ac:dyDescent="0.35">
      <c r="A210" s="343">
        <v>45419</v>
      </c>
      <c r="B210" s="345" t="s">
        <v>12648</v>
      </c>
      <c r="C210" s="346">
        <v>421904403885</v>
      </c>
      <c r="D210" s="344" t="s">
        <v>12341</v>
      </c>
      <c r="E210" s="344" t="s">
        <v>12356</v>
      </c>
      <c r="F210" s="344" t="s">
        <v>12346</v>
      </c>
      <c r="G210" s="347">
        <v>80</v>
      </c>
      <c r="H210" s="347">
        <v>20</v>
      </c>
      <c r="I210" s="347">
        <v>60</v>
      </c>
      <c r="J210" s="344" t="s">
        <v>12649</v>
      </c>
      <c r="K210" s="344"/>
      <c r="L210" s="344" t="s">
        <v>12650</v>
      </c>
      <c r="M210" s="344" t="s">
        <v>12634</v>
      </c>
      <c r="N210" s="344" t="s">
        <v>12344</v>
      </c>
      <c r="O210" s="348"/>
      <c r="P210" s="348"/>
      <c r="Q210" s="348"/>
      <c r="R210" s="348"/>
      <c r="S210" s="348"/>
      <c r="T210" s="348"/>
      <c r="U210" s="348"/>
      <c r="V210" s="348"/>
      <c r="W210" s="348"/>
      <c r="X210" s="348"/>
      <c r="Y210" s="348"/>
      <c r="Z210" s="348"/>
    </row>
    <row r="211" spans="1:26" s="64" customFormat="1" ht="47.25" customHeight="1" thickBot="1" x14ac:dyDescent="0.35">
      <c r="A211" s="343">
        <v>45419</v>
      </c>
      <c r="B211" s="345" t="s">
        <v>12651</v>
      </c>
      <c r="C211" s="344"/>
      <c r="D211" s="344" t="s">
        <v>12341</v>
      </c>
      <c r="E211" s="344" t="s">
        <v>12356</v>
      </c>
      <c r="F211" s="344" t="s">
        <v>12360</v>
      </c>
      <c r="G211" s="347">
        <v>0</v>
      </c>
      <c r="H211" s="347">
        <v>40</v>
      </c>
      <c r="I211" s="347">
        <v>60</v>
      </c>
      <c r="J211" s="344" t="s">
        <v>12652</v>
      </c>
      <c r="K211" s="344"/>
      <c r="L211" s="344" t="s">
        <v>12341</v>
      </c>
      <c r="M211" s="344" t="s">
        <v>12634</v>
      </c>
      <c r="N211" s="344" t="s">
        <v>12344</v>
      </c>
      <c r="O211" s="348"/>
      <c r="P211" s="348"/>
      <c r="Q211" s="348"/>
      <c r="R211" s="348"/>
      <c r="S211" s="348"/>
      <c r="T211" s="348"/>
      <c r="U211" s="348"/>
      <c r="V211" s="348"/>
      <c r="W211" s="348"/>
      <c r="X211" s="348"/>
      <c r="Y211" s="348"/>
      <c r="Z211" s="348"/>
    </row>
    <row r="212" spans="1:26" s="64" customFormat="1" ht="47.25" customHeight="1" thickBot="1" x14ac:dyDescent="0.35">
      <c r="A212" s="343">
        <v>45419</v>
      </c>
      <c r="B212" s="345" t="s">
        <v>12653</v>
      </c>
      <c r="C212" s="346">
        <v>421910777662</v>
      </c>
      <c r="D212" s="344" t="s">
        <v>12341</v>
      </c>
      <c r="E212" s="344" t="s">
        <v>12356</v>
      </c>
      <c r="F212" s="344" t="s">
        <v>12346</v>
      </c>
      <c r="G212" s="347">
        <v>50</v>
      </c>
      <c r="H212" s="347">
        <v>15</v>
      </c>
      <c r="I212" s="347">
        <v>35</v>
      </c>
      <c r="J212" s="344" t="s">
        <v>12654</v>
      </c>
      <c r="K212" s="344"/>
      <c r="L212" s="344" t="s">
        <v>12341</v>
      </c>
      <c r="M212" s="344" t="s">
        <v>12634</v>
      </c>
      <c r="N212" s="344" t="s">
        <v>12344</v>
      </c>
      <c r="O212" s="348"/>
      <c r="P212" s="348"/>
      <c r="Q212" s="348"/>
      <c r="R212" s="348"/>
      <c r="S212" s="348"/>
      <c r="T212" s="348"/>
      <c r="U212" s="348"/>
      <c r="V212" s="348"/>
      <c r="W212" s="348"/>
      <c r="X212" s="348"/>
      <c r="Y212" s="348"/>
      <c r="Z212" s="348"/>
    </row>
    <row r="213" spans="1:26" s="64" customFormat="1" ht="47.25" customHeight="1" thickBot="1" x14ac:dyDescent="0.3">
      <c r="A213" s="343">
        <v>45426</v>
      </c>
      <c r="B213" s="350" t="s">
        <v>12655</v>
      </c>
      <c r="C213" s="344"/>
      <c r="D213" s="344" t="s">
        <v>12341</v>
      </c>
      <c r="E213" s="344" t="s">
        <v>12341</v>
      </c>
      <c r="F213" s="344"/>
      <c r="G213" s="344"/>
      <c r="H213" s="344"/>
      <c r="I213" s="344"/>
      <c r="J213" s="344"/>
      <c r="K213" s="344" t="s">
        <v>12656</v>
      </c>
      <c r="L213" s="344" t="s">
        <v>12341</v>
      </c>
      <c r="M213" s="344" t="s">
        <v>12634</v>
      </c>
      <c r="N213" s="344" t="s">
        <v>12339</v>
      </c>
      <c r="O213" s="348"/>
      <c r="P213" s="348"/>
      <c r="Q213" s="348"/>
      <c r="R213" s="348"/>
      <c r="S213" s="348"/>
      <c r="T213" s="348"/>
      <c r="U213" s="348"/>
      <c r="V213" s="348"/>
      <c r="W213" s="348"/>
      <c r="X213" s="348"/>
      <c r="Y213" s="348"/>
      <c r="Z213" s="348"/>
    </row>
    <row r="214" spans="1:26" s="64" customFormat="1" ht="47.25" customHeight="1" thickBot="1" x14ac:dyDescent="0.35">
      <c r="A214" s="343">
        <v>45426</v>
      </c>
      <c r="B214" s="345" t="s">
        <v>12657</v>
      </c>
      <c r="C214" s="346">
        <v>421903797642</v>
      </c>
      <c r="D214" s="344" t="s">
        <v>12341</v>
      </c>
      <c r="E214" s="344" t="s">
        <v>12356</v>
      </c>
      <c r="F214" s="344" t="s">
        <v>12346</v>
      </c>
      <c r="G214" s="347">
        <v>80</v>
      </c>
      <c r="H214" s="347">
        <v>40</v>
      </c>
      <c r="I214" s="347">
        <v>40</v>
      </c>
      <c r="J214" s="344"/>
      <c r="K214" s="344"/>
      <c r="L214" s="344" t="s">
        <v>12341</v>
      </c>
      <c r="M214" s="344" t="s">
        <v>12634</v>
      </c>
      <c r="N214" s="344" t="s">
        <v>12344</v>
      </c>
      <c r="O214" s="348"/>
      <c r="P214" s="348"/>
      <c r="Q214" s="348"/>
      <c r="R214" s="348"/>
      <c r="S214" s="348"/>
      <c r="T214" s="348"/>
      <c r="U214" s="348"/>
      <c r="V214" s="348"/>
      <c r="W214" s="348"/>
      <c r="X214" s="348"/>
      <c r="Y214" s="348"/>
      <c r="Z214" s="348"/>
    </row>
    <row r="215" spans="1:26" s="64" customFormat="1" ht="47.25" customHeight="1" thickBot="1" x14ac:dyDescent="0.35">
      <c r="A215" s="343">
        <v>45427</v>
      </c>
      <c r="B215" s="345" t="s">
        <v>12658</v>
      </c>
      <c r="C215" s="346">
        <v>421911324360</v>
      </c>
      <c r="D215" s="344" t="s">
        <v>12341</v>
      </c>
      <c r="E215" s="344" t="s">
        <v>12341</v>
      </c>
      <c r="F215" s="344"/>
      <c r="G215" s="344"/>
      <c r="H215" s="344"/>
      <c r="I215" s="344"/>
      <c r="J215" s="344"/>
      <c r="K215" s="344" t="s">
        <v>12659</v>
      </c>
      <c r="L215" s="344" t="s">
        <v>12660</v>
      </c>
      <c r="M215" s="344" t="s">
        <v>12634</v>
      </c>
      <c r="N215" s="344" t="s">
        <v>12339</v>
      </c>
      <c r="O215" s="348"/>
      <c r="P215" s="348"/>
      <c r="Q215" s="348"/>
      <c r="R215" s="348"/>
      <c r="S215" s="348"/>
      <c r="T215" s="348"/>
      <c r="U215" s="348"/>
      <c r="V215" s="348"/>
      <c r="W215" s="348"/>
      <c r="X215" s="348"/>
      <c r="Y215" s="348"/>
      <c r="Z215" s="348"/>
    </row>
    <row r="216" spans="1:26" s="64" customFormat="1" ht="47.25" customHeight="1" thickBot="1" x14ac:dyDescent="0.3">
      <c r="A216" s="343">
        <v>45427</v>
      </c>
      <c r="B216" s="350" t="s">
        <v>12661</v>
      </c>
      <c r="C216" s="344"/>
      <c r="D216" s="344" t="s">
        <v>12341</v>
      </c>
      <c r="E216" s="344" t="s">
        <v>12341</v>
      </c>
      <c r="F216" s="344"/>
      <c r="G216" s="344"/>
      <c r="H216" s="344"/>
      <c r="I216" s="344"/>
      <c r="J216" s="344"/>
      <c r="K216" s="344" t="s">
        <v>12662</v>
      </c>
      <c r="L216" s="344" t="s">
        <v>12341</v>
      </c>
      <c r="M216" s="344" t="s">
        <v>12634</v>
      </c>
      <c r="N216" s="344" t="s">
        <v>12339</v>
      </c>
      <c r="O216" s="348"/>
      <c r="P216" s="348"/>
      <c r="Q216" s="348"/>
      <c r="R216" s="348"/>
      <c r="S216" s="348"/>
      <c r="T216" s="348"/>
      <c r="U216" s="348"/>
      <c r="V216" s="348"/>
      <c r="W216" s="348"/>
      <c r="X216" s="348"/>
      <c r="Y216" s="348"/>
      <c r="Z216" s="348"/>
    </row>
    <row r="217" spans="1:26" s="64" customFormat="1" ht="47.25" customHeight="1" thickBot="1" x14ac:dyDescent="0.3">
      <c r="A217" s="343">
        <v>45427</v>
      </c>
      <c r="B217" s="350" t="s">
        <v>12663</v>
      </c>
      <c r="C217" s="344"/>
      <c r="D217" s="344" t="s">
        <v>12341</v>
      </c>
      <c r="E217" s="344" t="s">
        <v>12341</v>
      </c>
      <c r="F217" s="344"/>
      <c r="G217" s="344"/>
      <c r="H217" s="344"/>
      <c r="I217" s="344"/>
      <c r="J217" s="344"/>
      <c r="K217" s="344" t="s">
        <v>12664</v>
      </c>
      <c r="L217" s="344" t="s">
        <v>12665</v>
      </c>
      <c r="M217" s="344" t="s">
        <v>12634</v>
      </c>
      <c r="N217" s="344" t="s">
        <v>12339</v>
      </c>
      <c r="O217" s="348"/>
      <c r="P217" s="348"/>
      <c r="Q217" s="348"/>
      <c r="R217" s="348"/>
      <c r="S217" s="348"/>
      <c r="T217" s="348"/>
      <c r="U217" s="348"/>
      <c r="V217" s="348"/>
      <c r="W217" s="348"/>
      <c r="X217" s="348"/>
      <c r="Y217" s="348"/>
      <c r="Z217" s="348"/>
    </row>
    <row r="218" spans="1:26" s="64" customFormat="1" ht="47.25" customHeight="1" thickBot="1" x14ac:dyDescent="0.35">
      <c r="A218" s="343">
        <v>45428</v>
      </c>
      <c r="B218" s="345" t="s">
        <v>12666</v>
      </c>
      <c r="C218" s="346">
        <v>421904325329</v>
      </c>
      <c r="D218" s="344" t="s">
        <v>12341</v>
      </c>
      <c r="E218" s="344" t="s">
        <v>12356</v>
      </c>
      <c r="F218" s="344" t="s">
        <v>12346</v>
      </c>
      <c r="G218" s="347">
        <v>80</v>
      </c>
      <c r="H218" s="347">
        <v>40</v>
      </c>
      <c r="I218" s="347">
        <v>40</v>
      </c>
      <c r="J218" s="344"/>
      <c r="K218" s="344"/>
      <c r="L218" s="344" t="s">
        <v>12341</v>
      </c>
      <c r="M218" s="344" t="s">
        <v>12634</v>
      </c>
      <c r="N218" s="344" t="s">
        <v>12344</v>
      </c>
      <c r="O218" s="348"/>
      <c r="P218" s="348"/>
      <c r="Q218" s="348"/>
      <c r="R218" s="348"/>
      <c r="S218" s="348"/>
      <c r="T218" s="348"/>
      <c r="U218" s="348"/>
      <c r="V218" s="348"/>
      <c r="W218" s="348"/>
      <c r="X218" s="348"/>
      <c r="Y218" s="348"/>
      <c r="Z218" s="348"/>
    </row>
    <row r="219" spans="1:26" s="64" customFormat="1" ht="47.25" customHeight="1" thickBot="1" x14ac:dyDescent="0.35">
      <c r="A219" s="343">
        <v>45428</v>
      </c>
      <c r="B219" s="345" t="s">
        <v>12667</v>
      </c>
      <c r="C219" s="346">
        <v>421948231133</v>
      </c>
      <c r="D219" s="344" t="s">
        <v>12341</v>
      </c>
      <c r="E219" s="344" t="s">
        <v>12341</v>
      </c>
      <c r="F219" s="344"/>
      <c r="G219" s="344"/>
      <c r="H219" s="344"/>
      <c r="I219" s="344"/>
      <c r="J219" s="344"/>
      <c r="K219" s="344" t="s">
        <v>12668</v>
      </c>
      <c r="L219" s="344" t="s">
        <v>12669</v>
      </c>
      <c r="M219" s="344" t="s">
        <v>12634</v>
      </c>
      <c r="N219" s="344" t="s">
        <v>12339</v>
      </c>
      <c r="O219" s="348"/>
      <c r="P219" s="348"/>
      <c r="Q219" s="348"/>
      <c r="R219" s="348"/>
      <c r="S219" s="348"/>
      <c r="T219" s="348"/>
      <c r="U219" s="348"/>
      <c r="V219" s="348"/>
      <c r="W219" s="348"/>
      <c r="X219" s="348"/>
      <c r="Y219" s="348"/>
      <c r="Z219" s="348"/>
    </row>
    <row r="220" spans="1:26" s="64" customFormat="1" ht="47.25" customHeight="1" thickBot="1" x14ac:dyDescent="0.35">
      <c r="A220" s="343">
        <v>45429</v>
      </c>
      <c r="B220" s="345" t="s">
        <v>12670</v>
      </c>
      <c r="C220" s="344"/>
      <c r="D220" s="344" t="s">
        <v>12341</v>
      </c>
      <c r="E220" s="344" t="s">
        <v>12341</v>
      </c>
      <c r="F220" s="344"/>
      <c r="G220" s="344"/>
      <c r="H220" s="344"/>
      <c r="I220" s="344"/>
      <c r="J220" s="344"/>
      <c r="K220" s="344" t="s">
        <v>12671</v>
      </c>
      <c r="L220" s="344" t="s">
        <v>12341</v>
      </c>
      <c r="M220" s="344" t="s">
        <v>12634</v>
      </c>
      <c r="N220" s="344" t="s">
        <v>12339</v>
      </c>
      <c r="O220" s="348"/>
      <c r="P220" s="348"/>
      <c r="Q220" s="348"/>
      <c r="R220" s="348"/>
      <c r="S220" s="348"/>
      <c r="T220" s="348"/>
      <c r="U220" s="348"/>
      <c r="V220" s="348"/>
      <c r="W220" s="348"/>
      <c r="X220" s="348"/>
      <c r="Y220" s="348"/>
      <c r="Z220" s="348"/>
    </row>
    <row r="221" spans="1:26" s="64" customFormat="1" ht="47.25" customHeight="1" thickBot="1" x14ac:dyDescent="0.35">
      <c r="A221" s="343">
        <v>45429</v>
      </c>
      <c r="B221" s="345" t="s">
        <v>12672</v>
      </c>
      <c r="C221" s="346">
        <v>421903446701</v>
      </c>
      <c r="D221" s="344" t="s">
        <v>12341</v>
      </c>
      <c r="E221" s="344" t="s">
        <v>12341</v>
      </c>
      <c r="F221" s="344"/>
      <c r="G221" s="344"/>
      <c r="H221" s="344"/>
      <c r="I221" s="344"/>
      <c r="J221" s="344"/>
      <c r="K221" s="344" t="s">
        <v>12673</v>
      </c>
      <c r="L221" s="344" t="s">
        <v>12341</v>
      </c>
      <c r="M221" s="344" t="s">
        <v>12634</v>
      </c>
      <c r="N221" s="344" t="s">
        <v>12339</v>
      </c>
      <c r="O221" s="348"/>
      <c r="P221" s="348"/>
      <c r="Q221" s="348"/>
      <c r="R221" s="348"/>
      <c r="S221" s="348"/>
      <c r="T221" s="348"/>
      <c r="U221" s="348"/>
      <c r="V221" s="348"/>
      <c r="W221" s="348"/>
      <c r="X221" s="348"/>
      <c r="Y221" s="348"/>
      <c r="Z221" s="348"/>
    </row>
    <row r="222" spans="1:26" s="64" customFormat="1" ht="47.25" customHeight="1" thickBot="1" x14ac:dyDescent="0.35">
      <c r="A222" s="343">
        <v>45429</v>
      </c>
      <c r="B222" s="345" t="s">
        <v>12674</v>
      </c>
      <c r="C222" s="344"/>
      <c r="D222" s="344" t="s">
        <v>12341</v>
      </c>
      <c r="E222" s="344" t="s">
        <v>12675</v>
      </c>
      <c r="F222" s="344" t="s">
        <v>12334</v>
      </c>
      <c r="G222" s="347">
        <v>160</v>
      </c>
      <c r="H222" s="347">
        <v>80</v>
      </c>
      <c r="I222" s="347">
        <v>80</v>
      </c>
      <c r="J222" s="344"/>
      <c r="K222" s="344"/>
      <c r="L222" s="344" t="s">
        <v>12341</v>
      </c>
      <c r="M222" s="344" t="s">
        <v>12634</v>
      </c>
      <c r="N222" s="344" t="s">
        <v>12339</v>
      </c>
      <c r="O222" s="348"/>
      <c r="P222" s="348"/>
      <c r="Q222" s="348"/>
      <c r="R222" s="348"/>
      <c r="S222" s="348"/>
      <c r="T222" s="348"/>
      <c r="U222" s="348"/>
      <c r="V222" s="348"/>
      <c r="W222" s="348"/>
      <c r="X222" s="348"/>
      <c r="Y222" s="348"/>
      <c r="Z222" s="348"/>
    </row>
    <row r="223" spans="1:26" s="64" customFormat="1" ht="47.25" customHeight="1" thickBot="1" x14ac:dyDescent="0.35">
      <c r="A223" s="343">
        <v>45429</v>
      </c>
      <c r="B223" s="345" t="s">
        <v>12676</v>
      </c>
      <c r="C223" s="344"/>
      <c r="D223" s="344" t="s">
        <v>12341</v>
      </c>
      <c r="E223" s="344" t="s">
        <v>12356</v>
      </c>
      <c r="F223" s="344" t="s">
        <v>12346</v>
      </c>
      <c r="G223" s="347">
        <v>80</v>
      </c>
      <c r="H223" s="347">
        <v>40</v>
      </c>
      <c r="I223" s="347">
        <v>40</v>
      </c>
      <c r="J223" s="344"/>
      <c r="K223" s="344"/>
      <c r="L223" s="344" t="s">
        <v>12341</v>
      </c>
      <c r="M223" s="344" t="s">
        <v>12634</v>
      </c>
      <c r="N223" s="344" t="s">
        <v>12344</v>
      </c>
      <c r="O223" s="348"/>
      <c r="P223" s="348"/>
      <c r="Q223" s="348"/>
      <c r="R223" s="348"/>
      <c r="S223" s="348"/>
      <c r="T223" s="348"/>
      <c r="U223" s="348"/>
      <c r="V223" s="348"/>
      <c r="W223" s="348"/>
      <c r="X223" s="348"/>
      <c r="Y223" s="348"/>
      <c r="Z223" s="348"/>
    </row>
    <row r="224" spans="1:26" s="64" customFormat="1" ht="47.25" customHeight="1" thickBot="1" x14ac:dyDescent="0.35">
      <c r="A224" s="343">
        <v>45429</v>
      </c>
      <c r="B224" s="345" t="s">
        <v>12670</v>
      </c>
      <c r="C224" s="346">
        <v>421903670320</v>
      </c>
      <c r="D224" s="344" t="s">
        <v>12341</v>
      </c>
      <c r="E224" s="344" t="s">
        <v>12675</v>
      </c>
      <c r="F224" s="344" t="s">
        <v>12341</v>
      </c>
      <c r="G224" s="347">
        <v>80</v>
      </c>
      <c r="H224" s="347">
        <v>40</v>
      </c>
      <c r="I224" s="347">
        <v>40</v>
      </c>
      <c r="J224" s="344"/>
      <c r="K224" s="344"/>
      <c r="L224" s="344" t="s">
        <v>12677</v>
      </c>
      <c r="M224" s="344" t="s">
        <v>12634</v>
      </c>
      <c r="N224" s="344" t="s">
        <v>12339</v>
      </c>
      <c r="O224" s="348"/>
      <c r="P224" s="348"/>
      <c r="Q224" s="348"/>
      <c r="R224" s="348"/>
      <c r="S224" s="348"/>
      <c r="T224" s="348"/>
      <c r="U224" s="348"/>
      <c r="V224" s="348"/>
      <c r="W224" s="348"/>
      <c r="X224" s="348"/>
      <c r="Y224" s="348"/>
      <c r="Z224" s="348"/>
    </row>
    <row r="225" spans="1:26" s="64" customFormat="1" ht="47.25" customHeight="1" thickBot="1" x14ac:dyDescent="0.35">
      <c r="A225" s="343">
        <v>45429</v>
      </c>
      <c r="B225" s="345" t="s">
        <v>12678</v>
      </c>
      <c r="C225" s="346">
        <v>421911294557</v>
      </c>
      <c r="D225" s="344" t="s">
        <v>12679</v>
      </c>
      <c r="E225" s="344" t="s">
        <v>2992</v>
      </c>
      <c r="F225" s="344" t="s">
        <v>12679</v>
      </c>
      <c r="G225" s="344"/>
      <c r="H225" s="344"/>
      <c r="I225" s="347">
        <v>35</v>
      </c>
      <c r="J225" s="344" t="s">
        <v>12680</v>
      </c>
      <c r="K225" s="344" t="s">
        <v>12681</v>
      </c>
      <c r="L225" s="344" t="s">
        <v>12682</v>
      </c>
      <c r="M225" s="344" t="s">
        <v>12634</v>
      </c>
      <c r="N225" s="344" t="s">
        <v>12339</v>
      </c>
      <c r="O225" s="348"/>
      <c r="P225" s="348"/>
      <c r="Q225" s="348"/>
      <c r="R225" s="348"/>
      <c r="S225" s="348"/>
      <c r="T225" s="348"/>
      <c r="U225" s="348"/>
      <c r="V225" s="348"/>
      <c r="W225" s="348"/>
      <c r="X225" s="348"/>
      <c r="Y225" s="348"/>
      <c r="Z225" s="348"/>
    </row>
    <row r="226" spans="1:26" s="64" customFormat="1" ht="47.25" customHeight="1" thickBot="1" x14ac:dyDescent="0.35">
      <c r="A226" s="343">
        <v>45429</v>
      </c>
      <c r="B226" s="345" t="s">
        <v>12683</v>
      </c>
      <c r="C226" s="346">
        <v>421908350264</v>
      </c>
      <c r="D226" s="344" t="s">
        <v>12341</v>
      </c>
      <c r="E226" s="344" t="s">
        <v>12356</v>
      </c>
      <c r="F226" s="344" t="s">
        <v>12346</v>
      </c>
      <c r="G226" s="347">
        <v>80</v>
      </c>
      <c r="H226" s="347">
        <v>40</v>
      </c>
      <c r="I226" s="347">
        <v>40</v>
      </c>
      <c r="J226" s="344"/>
      <c r="K226" s="344"/>
      <c r="L226" s="344" t="s">
        <v>12341</v>
      </c>
      <c r="M226" s="344" t="s">
        <v>12634</v>
      </c>
      <c r="N226" s="344" t="s">
        <v>12344</v>
      </c>
      <c r="O226" s="348"/>
      <c r="P226" s="348"/>
      <c r="Q226" s="348"/>
      <c r="R226" s="348"/>
      <c r="S226" s="348"/>
      <c r="T226" s="348"/>
      <c r="U226" s="348"/>
      <c r="V226" s="348"/>
      <c r="W226" s="348"/>
      <c r="X226" s="348"/>
      <c r="Y226" s="348"/>
      <c r="Z226" s="348"/>
    </row>
    <row r="227" spans="1:26" s="64" customFormat="1" ht="47.25" customHeight="1" thickBot="1" x14ac:dyDescent="0.35">
      <c r="A227" s="343">
        <v>45429</v>
      </c>
      <c r="B227" s="345" t="s">
        <v>12684</v>
      </c>
      <c r="C227" s="346">
        <v>421907100899</v>
      </c>
      <c r="D227" s="344" t="s">
        <v>12341</v>
      </c>
      <c r="E227" s="344" t="s">
        <v>12685</v>
      </c>
      <c r="F227" s="344" t="s">
        <v>12341</v>
      </c>
      <c r="G227" s="347">
        <v>100</v>
      </c>
      <c r="H227" s="347">
        <v>60</v>
      </c>
      <c r="I227" s="347">
        <v>40</v>
      </c>
      <c r="J227" s="344" t="s">
        <v>12686</v>
      </c>
      <c r="K227" s="344" t="s">
        <v>12687</v>
      </c>
      <c r="L227" s="344" t="s">
        <v>12688</v>
      </c>
      <c r="M227" s="344" t="s">
        <v>12634</v>
      </c>
      <c r="N227" s="344" t="s">
        <v>12339</v>
      </c>
      <c r="O227" s="348"/>
      <c r="P227" s="348"/>
      <c r="Q227" s="348"/>
      <c r="R227" s="348"/>
      <c r="S227" s="348"/>
      <c r="T227" s="348"/>
      <c r="U227" s="348"/>
      <c r="V227" s="348"/>
      <c r="W227" s="348"/>
      <c r="X227" s="348"/>
      <c r="Y227" s="348"/>
      <c r="Z227" s="348"/>
    </row>
    <row r="228" spans="1:26" s="64" customFormat="1" ht="47.25" customHeight="1" thickBot="1" x14ac:dyDescent="0.35">
      <c r="A228" s="343">
        <v>45429</v>
      </c>
      <c r="B228" s="345" t="s">
        <v>12689</v>
      </c>
      <c r="C228" s="346">
        <v>421903602299</v>
      </c>
      <c r="D228" s="344" t="s">
        <v>12341</v>
      </c>
      <c r="E228" s="344" t="s">
        <v>12341</v>
      </c>
      <c r="F228" s="344"/>
      <c r="G228" s="344"/>
      <c r="H228" s="344"/>
      <c r="I228" s="344"/>
      <c r="J228" s="344"/>
      <c r="K228" s="344"/>
      <c r="L228" s="344" t="s">
        <v>12690</v>
      </c>
      <c r="M228" s="344" t="s">
        <v>12634</v>
      </c>
      <c r="N228" s="344" t="s">
        <v>12339</v>
      </c>
      <c r="O228" s="348"/>
      <c r="P228" s="348"/>
      <c r="Q228" s="348"/>
      <c r="R228" s="348"/>
      <c r="S228" s="348"/>
      <c r="T228" s="348"/>
      <c r="U228" s="348"/>
      <c r="V228" s="348"/>
      <c r="W228" s="348"/>
      <c r="X228" s="348"/>
      <c r="Y228" s="348"/>
      <c r="Z228" s="348"/>
    </row>
    <row r="229" spans="1:26" s="64" customFormat="1" ht="47.25" customHeight="1" thickBot="1" x14ac:dyDescent="0.35">
      <c r="A229" s="343">
        <v>45429</v>
      </c>
      <c r="B229" s="345" t="s">
        <v>12689</v>
      </c>
      <c r="C229" s="344"/>
      <c r="D229" s="344" t="s">
        <v>12341</v>
      </c>
      <c r="E229" s="344" t="s">
        <v>12341</v>
      </c>
      <c r="F229" s="344"/>
      <c r="G229" s="344"/>
      <c r="H229" s="344"/>
      <c r="I229" s="344"/>
      <c r="J229" s="344"/>
      <c r="K229" s="344" t="s">
        <v>12691</v>
      </c>
      <c r="L229" s="344" t="s">
        <v>12341</v>
      </c>
      <c r="M229" s="344" t="s">
        <v>12634</v>
      </c>
      <c r="N229" s="344" t="s">
        <v>12339</v>
      </c>
      <c r="O229" s="348"/>
      <c r="P229" s="348"/>
      <c r="Q229" s="348"/>
      <c r="R229" s="348"/>
      <c r="S229" s="348"/>
      <c r="T229" s="348"/>
      <c r="U229" s="348"/>
      <c r="V229" s="348"/>
      <c r="W229" s="348"/>
      <c r="X229" s="348"/>
      <c r="Y229" s="348"/>
      <c r="Z229" s="348"/>
    </row>
    <row r="230" spans="1:26" s="64" customFormat="1" ht="47.25" customHeight="1" thickBot="1" x14ac:dyDescent="0.35">
      <c r="A230" s="343">
        <v>45429</v>
      </c>
      <c r="B230" s="345" t="s">
        <v>12692</v>
      </c>
      <c r="C230" s="346">
        <v>421903775781</v>
      </c>
      <c r="D230" s="344" t="s">
        <v>12341</v>
      </c>
      <c r="E230" s="344" t="s">
        <v>12341</v>
      </c>
      <c r="F230" s="344"/>
      <c r="G230" s="344"/>
      <c r="H230" s="344"/>
      <c r="I230" s="344"/>
      <c r="J230" s="344"/>
      <c r="K230" s="344" t="s">
        <v>12693</v>
      </c>
      <c r="L230" s="344" t="s">
        <v>12341</v>
      </c>
      <c r="M230" s="344" t="s">
        <v>12634</v>
      </c>
      <c r="N230" s="344" t="s">
        <v>12339</v>
      </c>
      <c r="O230" s="348"/>
      <c r="P230" s="348"/>
      <c r="Q230" s="348"/>
      <c r="R230" s="348"/>
      <c r="S230" s="348"/>
      <c r="T230" s="348"/>
      <c r="U230" s="348"/>
      <c r="V230" s="348"/>
      <c r="W230" s="348"/>
      <c r="X230" s="348"/>
      <c r="Y230" s="348"/>
      <c r="Z230" s="348"/>
    </row>
    <row r="231" spans="1:26" s="64" customFormat="1" ht="47.25" customHeight="1" thickBot="1" x14ac:dyDescent="0.35">
      <c r="A231" s="343">
        <v>45431</v>
      </c>
      <c r="B231" s="345" t="s">
        <v>12694</v>
      </c>
      <c r="C231" s="346">
        <v>421950367856</v>
      </c>
      <c r="D231" s="344" t="s">
        <v>12352</v>
      </c>
      <c r="E231" s="344" t="s">
        <v>12335</v>
      </c>
      <c r="F231" s="344" t="s">
        <v>12346</v>
      </c>
      <c r="G231" s="347">
        <v>220</v>
      </c>
      <c r="H231" s="347">
        <v>0</v>
      </c>
      <c r="I231" s="347">
        <v>220</v>
      </c>
      <c r="J231" s="344" t="s">
        <v>12695</v>
      </c>
      <c r="K231" s="344"/>
      <c r="L231" s="344" t="s">
        <v>12696</v>
      </c>
      <c r="M231" s="344" t="s">
        <v>12634</v>
      </c>
      <c r="N231" s="344" t="s">
        <v>12339</v>
      </c>
      <c r="O231" s="348"/>
      <c r="P231" s="348"/>
      <c r="Q231" s="348"/>
      <c r="R231" s="348"/>
      <c r="S231" s="348"/>
      <c r="T231" s="348"/>
      <c r="U231" s="348"/>
      <c r="V231" s="348"/>
      <c r="W231" s="348"/>
      <c r="X231" s="348"/>
      <c r="Y231" s="348"/>
      <c r="Z231" s="348"/>
    </row>
    <row r="232" spans="1:26" s="64" customFormat="1" ht="47.25" customHeight="1" thickBot="1" x14ac:dyDescent="0.35">
      <c r="A232" s="343">
        <v>45432</v>
      </c>
      <c r="B232" s="345" t="s">
        <v>12697</v>
      </c>
      <c r="C232" s="346">
        <v>421905276586</v>
      </c>
      <c r="D232" s="344" t="s">
        <v>12341</v>
      </c>
      <c r="E232" s="344" t="s">
        <v>12341</v>
      </c>
      <c r="F232" s="344"/>
      <c r="G232" s="344"/>
      <c r="H232" s="344"/>
      <c r="I232" s="344"/>
      <c r="J232" s="344"/>
      <c r="K232" s="344" t="s">
        <v>12698</v>
      </c>
      <c r="L232" s="344" t="s">
        <v>12699</v>
      </c>
      <c r="M232" s="344" t="s">
        <v>12634</v>
      </c>
      <c r="N232" s="344" t="s">
        <v>12339</v>
      </c>
      <c r="O232" s="348"/>
      <c r="P232" s="348"/>
      <c r="Q232" s="348"/>
      <c r="R232" s="348"/>
      <c r="S232" s="348"/>
      <c r="T232" s="348"/>
      <c r="U232" s="348"/>
      <c r="V232" s="348"/>
      <c r="W232" s="348"/>
      <c r="X232" s="348"/>
      <c r="Y232" s="348"/>
      <c r="Z232" s="348"/>
    </row>
    <row r="233" spans="1:26" s="64" customFormat="1" ht="47.25" customHeight="1" thickBot="1" x14ac:dyDescent="0.35">
      <c r="A233" s="343">
        <v>45432</v>
      </c>
      <c r="B233" s="345" t="s">
        <v>12700</v>
      </c>
      <c r="C233" s="346">
        <v>421951142023</v>
      </c>
      <c r="D233" s="344" t="s">
        <v>12341</v>
      </c>
      <c r="E233" s="344" t="s">
        <v>12341</v>
      </c>
      <c r="F233" s="344"/>
      <c r="G233" s="344"/>
      <c r="H233" s="344"/>
      <c r="I233" s="344"/>
      <c r="J233" s="344"/>
      <c r="K233" s="344" t="s">
        <v>12701</v>
      </c>
      <c r="L233" s="344" t="s">
        <v>12341</v>
      </c>
      <c r="M233" s="344" t="s">
        <v>12634</v>
      </c>
      <c r="N233" s="344" t="s">
        <v>12339</v>
      </c>
      <c r="O233" s="348"/>
      <c r="P233" s="348"/>
      <c r="Q233" s="348"/>
      <c r="R233" s="348"/>
      <c r="S233" s="348"/>
      <c r="T233" s="348"/>
      <c r="U233" s="348"/>
      <c r="V233" s="348"/>
      <c r="W233" s="348"/>
      <c r="X233" s="348"/>
      <c r="Y233" s="348"/>
      <c r="Z233" s="348"/>
    </row>
    <row r="234" spans="1:26" s="64" customFormat="1" ht="47.25" customHeight="1" thickBot="1" x14ac:dyDescent="0.35">
      <c r="A234" s="343">
        <v>45432</v>
      </c>
      <c r="B234" s="345" t="s">
        <v>12702</v>
      </c>
      <c r="C234" s="346">
        <v>421907079922</v>
      </c>
      <c r="D234" s="344" t="s">
        <v>12341</v>
      </c>
      <c r="E234" s="344" t="s">
        <v>12341</v>
      </c>
      <c r="F234" s="344"/>
      <c r="G234" s="344"/>
      <c r="H234" s="344"/>
      <c r="I234" s="344"/>
      <c r="J234" s="344"/>
      <c r="K234" s="344" t="s">
        <v>12703</v>
      </c>
      <c r="L234" s="344" t="s">
        <v>12341</v>
      </c>
      <c r="M234" s="344" t="s">
        <v>12634</v>
      </c>
      <c r="N234" s="344" t="s">
        <v>12339</v>
      </c>
      <c r="O234" s="348"/>
      <c r="P234" s="348"/>
      <c r="Q234" s="348"/>
      <c r="R234" s="348"/>
      <c r="S234" s="348"/>
      <c r="T234" s="348"/>
      <c r="U234" s="348"/>
      <c r="V234" s="348"/>
      <c r="W234" s="348"/>
      <c r="X234" s="348"/>
      <c r="Y234" s="348"/>
      <c r="Z234" s="348"/>
    </row>
    <row r="235" spans="1:26" s="64" customFormat="1" ht="47.25" customHeight="1" thickBot="1" x14ac:dyDescent="0.35">
      <c r="A235" s="343">
        <v>45432</v>
      </c>
      <c r="B235" s="345" t="s">
        <v>12704</v>
      </c>
      <c r="C235" s="346">
        <v>421948201750</v>
      </c>
      <c r="D235" s="344" t="s">
        <v>12341</v>
      </c>
      <c r="E235" s="344" t="s">
        <v>12341</v>
      </c>
      <c r="F235" s="344"/>
      <c r="G235" s="344"/>
      <c r="H235" s="344"/>
      <c r="I235" s="344"/>
      <c r="J235" s="344"/>
      <c r="K235" s="344" t="s">
        <v>12705</v>
      </c>
      <c r="L235" s="344" t="s">
        <v>12706</v>
      </c>
      <c r="M235" s="344" t="s">
        <v>12634</v>
      </c>
      <c r="N235" s="344" t="s">
        <v>12339</v>
      </c>
      <c r="O235" s="348"/>
      <c r="P235" s="348"/>
      <c r="Q235" s="348"/>
      <c r="R235" s="348"/>
      <c r="S235" s="348"/>
      <c r="T235" s="348"/>
      <c r="U235" s="348"/>
      <c r="V235" s="348"/>
      <c r="W235" s="348"/>
      <c r="X235" s="348"/>
      <c r="Y235" s="348"/>
      <c r="Z235" s="348"/>
    </row>
    <row r="236" spans="1:26" s="64" customFormat="1" ht="47.25" customHeight="1" thickBot="1" x14ac:dyDescent="0.35">
      <c r="A236" s="343">
        <v>45432</v>
      </c>
      <c r="B236" s="345" t="s">
        <v>12707</v>
      </c>
      <c r="C236" s="346">
        <v>4219171117</v>
      </c>
      <c r="D236" s="344" t="s">
        <v>12341</v>
      </c>
      <c r="E236" s="344" t="s">
        <v>12341</v>
      </c>
      <c r="F236" s="344"/>
      <c r="G236" s="344"/>
      <c r="H236" s="344"/>
      <c r="I236" s="344"/>
      <c r="J236" s="344"/>
      <c r="K236" s="344" t="s">
        <v>12708</v>
      </c>
      <c r="L236" s="344" t="s">
        <v>12709</v>
      </c>
      <c r="M236" s="344" t="s">
        <v>12634</v>
      </c>
      <c r="N236" s="344" t="s">
        <v>12339</v>
      </c>
      <c r="O236" s="348"/>
      <c r="P236" s="348"/>
      <c r="Q236" s="348"/>
      <c r="R236" s="348"/>
      <c r="S236" s="348"/>
      <c r="T236" s="348"/>
      <c r="U236" s="348"/>
      <c r="V236" s="348"/>
      <c r="W236" s="348"/>
      <c r="X236" s="348"/>
      <c r="Y236" s="348"/>
      <c r="Z236" s="348"/>
    </row>
    <row r="237" spans="1:26" s="64" customFormat="1" ht="47.25" customHeight="1" thickBot="1" x14ac:dyDescent="0.35">
      <c r="A237" s="343">
        <v>45432</v>
      </c>
      <c r="B237" s="345" t="s">
        <v>12710</v>
      </c>
      <c r="C237" s="344"/>
      <c r="D237" s="344" t="s">
        <v>12341</v>
      </c>
      <c r="E237" s="344" t="s">
        <v>12342</v>
      </c>
      <c r="F237" s="344" t="s">
        <v>12346</v>
      </c>
      <c r="G237" s="347">
        <v>160</v>
      </c>
      <c r="H237" s="347">
        <v>80</v>
      </c>
      <c r="I237" s="347">
        <v>80</v>
      </c>
      <c r="J237" s="344" t="s">
        <v>12711</v>
      </c>
      <c r="K237" s="344"/>
      <c r="L237" s="344" t="s">
        <v>12712</v>
      </c>
      <c r="M237" s="344" t="s">
        <v>12634</v>
      </c>
      <c r="N237" s="344" t="s">
        <v>12344</v>
      </c>
      <c r="O237" s="348"/>
      <c r="P237" s="348"/>
      <c r="Q237" s="348"/>
      <c r="R237" s="348"/>
      <c r="S237" s="348"/>
      <c r="T237" s="348"/>
      <c r="U237" s="348"/>
      <c r="V237" s="348"/>
      <c r="W237" s="348"/>
      <c r="X237" s="348"/>
      <c r="Y237" s="348"/>
      <c r="Z237" s="348"/>
    </row>
    <row r="238" spans="1:26" s="64" customFormat="1" ht="47.25" customHeight="1" thickBot="1" x14ac:dyDescent="0.35">
      <c r="A238" s="343">
        <v>45432</v>
      </c>
      <c r="B238" s="345" t="s">
        <v>12713</v>
      </c>
      <c r="C238" s="346">
        <v>421905865914</v>
      </c>
      <c r="D238" s="344" t="s">
        <v>12341</v>
      </c>
      <c r="E238" s="344" t="s">
        <v>12356</v>
      </c>
      <c r="F238" s="344" t="s">
        <v>12346</v>
      </c>
      <c r="G238" s="347">
        <v>80</v>
      </c>
      <c r="H238" s="347">
        <v>40</v>
      </c>
      <c r="I238" s="347">
        <v>40</v>
      </c>
      <c r="J238" s="344"/>
      <c r="K238" s="344"/>
      <c r="L238" s="344" t="s">
        <v>12341</v>
      </c>
      <c r="M238" s="344" t="s">
        <v>12634</v>
      </c>
      <c r="N238" s="344" t="s">
        <v>12344</v>
      </c>
      <c r="O238" s="348"/>
      <c r="P238" s="348"/>
      <c r="Q238" s="348"/>
      <c r="R238" s="348"/>
      <c r="S238" s="348"/>
      <c r="T238" s="348"/>
      <c r="U238" s="348"/>
      <c r="V238" s="348"/>
      <c r="W238" s="348"/>
      <c r="X238" s="348"/>
      <c r="Y238" s="348"/>
      <c r="Z238" s="348"/>
    </row>
    <row r="239" spans="1:26" s="64" customFormat="1" ht="47.25" customHeight="1" thickBot="1" x14ac:dyDescent="0.35">
      <c r="A239" s="343">
        <v>45432</v>
      </c>
      <c r="B239" s="345" t="s">
        <v>12714</v>
      </c>
      <c r="C239" s="346">
        <v>421948451514</v>
      </c>
      <c r="D239" s="344" t="s">
        <v>12341</v>
      </c>
      <c r="E239" s="344" t="s">
        <v>12715</v>
      </c>
      <c r="F239" s="347">
        <v>0</v>
      </c>
      <c r="G239" s="347">
        <v>0</v>
      </c>
      <c r="H239" s="347">
        <v>0</v>
      </c>
      <c r="I239" s="347">
        <v>0</v>
      </c>
      <c r="J239" s="344"/>
      <c r="K239" s="344"/>
      <c r="L239" s="344" t="s">
        <v>12341</v>
      </c>
      <c r="M239" s="344" t="s">
        <v>12634</v>
      </c>
      <c r="N239" s="344" t="s">
        <v>12339</v>
      </c>
      <c r="O239" s="348"/>
      <c r="P239" s="348"/>
      <c r="Q239" s="348"/>
      <c r="R239" s="348"/>
      <c r="S239" s="348"/>
      <c r="T239" s="348"/>
      <c r="U239" s="348"/>
      <c r="V239" s="348"/>
      <c r="W239" s="348"/>
      <c r="X239" s="348"/>
      <c r="Y239" s="348"/>
      <c r="Z239" s="348"/>
    </row>
    <row r="240" spans="1:26" s="64" customFormat="1" ht="47.25" customHeight="1" thickBot="1" x14ac:dyDescent="0.35">
      <c r="A240" s="343">
        <v>45432</v>
      </c>
      <c r="B240" s="345" t="s">
        <v>12716</v>
      </c>
      <c r="C240" s="346">
        <v>421915330711</v>
      </c>
      <c r="D240" s="344" t="s">
        <v>12341</v>
      </c>
      <c r="E240" s="344" t="s">
        <v>12341</v>
      </c>
      <c r="F240" s="344"/>
      <c r="G240" s="344"/>
      <c r="H240" s="344"/>
      <c r="I240" s="344"/>
      <c r="J240" s="344"/>
      <c r="K240" s="344" t="s">
        <v>12717</v>
      </c>
      <c r="L240" s="344" t="s">
        <v>12718</v>
      </c>
      <c r="M240" s="344" t="s">
        <v>12634</v>
      </c>
      <c r="N240" s="344" t="s">
        <v>12339</v>
      </c>
      <c r="O240" s="348"/>
      <c r="P240" s="348"/>
      <c r="Q240" s="348"/>
      <c r="R240" s="348"/>
      <c r="S240" s="348"/>
      <c r="T240" s="348"/>
      <c r="U240" s="348"/>
      <c r="V240" s="348"/>
      <c r="W240" s="348"/>
      <c r="X240" s="348"/>
      <c r="Y240" s="348"/>
      <c r="Z240" s="348"/>
    </row>
    <row r="241" spans="1:26" s="64" customFormat="1" ht="47.25" customHeight="1" thickBot="1" x14ac:dyDescent="0.35">
      <c r="A241" s="343">
        <v>45433</v>
      </c>
      <c r="B241" s="345" t="s">
        <v>12719</v>
      </c>
      <c r="C241" s="346">
        <v>421904271753</v>
      </c>
      <c r="D241" s="344" t="s">
        <v>12341</v>
      </c>
      <c r="E241" s="344" t="s">
        <v>12341</v>
      </c>
      <c r="F241" s="344"/>
      <c r="G241" s="344"/>
      <c r="H241" s="344"/>
      <c r="I241" s="344"/>
      <c r="J241" s="344"/>
      <c r="K241" s="344" t="s">
        <v>12720</v>
      </c>
      <c r="L241" s="344" t="s">
        <v>12721</v>
      </c>
      <c r="M241" s="344" t="s">
        <v>12634</v>
      </c>
      <c r="N241" s="344" t="s">
        <v>12339</v>
      </c>
      <c r="O241" s="348"/>
      <c r="P241" s="348"/>
      <c r="Q241" s="348"/>
      <c r="R241" s="348"/>
      <c r="S241" s="348"/>
      <c r="T241" s="348"/>
      <c r="U241" s="348"/>
      <c r="V241" s="348"/>
      <c r="W241" s="348"/>
      <c r="X241" s="348"/>
      <c r="Y241" s="348"/>
      <c r="Z241" s="348"/>
    </row>
    <row r="242" spans="1:26" s="64" customFormat="1" ht="47.25" customHeight="1" thickBot="1" x14ac:dyDescent="0.35">
      <c r="A242" s="343">
        <v>45433</v>
      </c>
      <c r="B242" s="345" t="s">
        <v>12722</v>
      </c>
      <c r="C242" s="344"/>
      <c r="D242" s="344" t="s">
        <v>12341</v>
      </c>
      <c r="E242" s="344" t="s">
        <v>12341</v>
      </c>
      <c r="F242" s="344"/>
      <c r="G242" s="344"/>
      <c r="H242" s="344"/>
      <c r="I242" s="344"/>
      <c r="J242" s="344"/>
      <c r="K242" s="344" t="s">
        <v>12723</v>
      </c>
      <c r="L242" s="344" t="s">
        <v>12341</v>
      </c>
      <c r="M242" s="344" t="s">
        <v>12634</v>
      </c>
      <c r="N242" s="344" t="s">
        <v>12339</v>
      </c>
      <c r="O242" s="348"/>
      <c r="P242" s="348"/>
      <c r="Q242" s="348"/>
      <c r="R242" s="348"/>
      <c r="S242" s="348"/>
      <c r="T242" s="348"/>
      <c r="U242" s="348"/>
      <c r="V242" s="348"/>
      <c r="W242" s="348"/>
      <c r="X242" s="348"/>
      <c r="Y242" s="348"/>
      <c r="Z242" s="348"/>
    </row>
    <row r="243" spans="1:26" s="64" customFormat="1" ht="47.25" customHeight="1" thickBot="1" x14ac:dyDescent="0.35">
      <c r="A243" s="343">
        <v>45433</v>
      </c>
      <c r="B243" s="345" t="s">
        <v>12724</v>
      </c>
      <c r="C243" s="346">
        <v>421905748838</v>
      </c>
      <c r="D243" s="344" t="s">
        <v>12341</v>
      </c>
      <c r="E243" s="344" t="s">
        <v>12341</v>
      </c>
      <c r="F243" s="344"/>
      <c r="G243" s="344"/>
      <c r="H243" s="344"/>
      <c r="I243" s="344"/>
      <c r="J243" s="344"/>
      <c r="K243" s="344" t="s">
        <v>12725</v>
      </c>
      <c r="L243" s="344" t="s">
        <v>12726</v>
      </c>
      <c r="M243" s="344" t="s">
        <v>12634</v>
      </c>
      <c r="N243" s="344" t="s">
        <v>12339</v>
      </c>
      <c r="O243" s="348"/>
      <c r="P243" s="348"/>
      <c r="Q243" s="348"/>
      <c r="R243" s="348"/>
      <c r="S243" s="348"/>
      <c r="T243" s="348"/>
      <c r="U243" s="348"/>
      <c r="V243" s="348"/>
      <c r="W243" s="348"/>
      <c r="X243" s="348"/>
      <c r="Y243" s="348"/>
      <c r="Z243" s="348"/>
    </row>
    <row r="244" spans="1:26" s="64" customFormat="1" ht="47.25" customHeight="1" thickBot="1" x14ac:dyDescent="0.35">
      <c r="A244" s="343">
        <v>45433</v>
      </c>
      <c r="B244" s="345" t="s">
        <v>12727</v>
      </c>
      <c r="C244" s="346">
        <v>421940271395</v>
      </c>
      <c r="D244" s="344" t="s">
        <v>12341</v>
      </c>
      <c r="E244" s="344" t="s">
        <v>12341</v>
      </c>
      <c r="F244" s="344"/>
      <c r="G244" s="344"/>
      <c r="H244" s="344"/>
      <c r="I244" s="344"/>
      <c r="J244" s="344"/>
      <c r="K244" s="344" t="s">
        <v>12728</v>
      </c>
      <c r="L244" s="344" t="s">
        <v>12341</v>
      </c>
      <c r="M244" s="344" t="s">
        <v>12634</v>
      </c>
      <c r="N244" s="344" t="s">
        <v>12339</v>
      </c>
      <c r="O244" s="348"/>
      <c r="P244" s="348"/>
      <c r="Q244" s="348"/>
      <c r="R244" s="348"/>
      <c r="S244" s="348"/>
      <c r="T244" s="348"/>
      <c r="U244" s="348"/>
      <c r="V244" s="348"/>
      <c r="W244" s="348"/>
      <c r="X244" s="348"/>
      <c r="Y244" s="348"/>
      <c r="Z244" s="348"/>
    </row>
    <row r="245" spans="1:26" s="64" customFormat="1" ht="47.25" customHeight="1" thickBot="1" x14ac:dyDescent="0.35">
      <c r="A245" s="343">
        <v>45433</v>
      </c>
      <c r="B245" s="345" t="s">
        <v>12729</v>
      </c>
      <c r="C245" s="346">
        <v>421940372961</v>
      </c>
      <c r="D245" s="344" t="s">
        <v>12352</v>
      </c>
      <c r="E245" s="344" t="s">
        <v>12341</v>
      </c>
      <c r="F245" s="344"/>
      <c r="G245" s="344"/>
      <c r="H245" s="344"/>
      <c r="I245" s="344"/>
      <c r="J245" s="344"/>
      <c r="K245" s="344" t="s">
        <v>12730</v>
      </c>
      <c r="L245" s="344" t="s">
        <v>12731</v>
      </c>
      <c r="M245" s="344" t="s">
        <v>12634</v>
      </c>
      <c r="N245" s="344" t="s">
        <v>12339</v>
      </c>
      <c r="O245" s="348"/>
      <c r="P245" s="348"/>
      <c r="Q245" s="348"/>
      <c r="R245" s="348"/>
      <c r="S245" s="348"/>
      <c r="T245" s="348"/>
      <c r="U245" s="348"/>
      <c r="V245" s="348"/>
      <c r="W245" s="348"/>
      <c r="X245" s="348"/>
      <c r="Y245" s="348"/>
      <c r="Z245" s="348"/>
    </row>
    <row r="246" spans="1:26" s="64" customFormat="1" ht="47.25" customHeight="1" thickBot="1" x14ac:dyDescent="0.35">
      <c r="A246" s="343">
        <v>45433</v>
      </c>
      <c r="B246" s="345" t="s">
        <v>12732</v>
      </c>
      <c r="C246" s="346">
        <v>421951558034</v>
      </c>
      <c r="D246" s="344" t="s">
        <v>12341</v>
      </c>
      <c r="E246" s="344" t="s">
        <v>12356</v>
      </c>
      <c r="F246" s="344" t="s">
        <v>12334</v>
      </c>
      <c r="G246" s="347">
        <v>80</v>
      </c>
      <c r="H246" s="347">
        <v>40</v>
      </c>
      <c r="I246" s="347">
        <v>40</v>
      </c>
      <c r="J246" s="344" t="s">
        <v>12711</v>
      </c>
      <c r="K246" s="344"/>
      <c r="L246" s="344" t="s">
        <v>12733</v>
      </c>
      <c r="M246" s="344" t="s">
        <v>12634</v>
      </c>
      <c r="N246" s="344" t="s">
        <v>12344</v>
      </c>
      <c r="O246" s="348"/>
      <c r="P246" s="348"/>
      <c r="Q246" s="348"/>
      <c r="R246" s="348"/>
      <c r="S246" s="348"/>
      <c r="T246" s="348"/>
      <c r="U246" s="348"/>
      <c r="V246" s="348"/>
      <c r="W246" s="348"/>
      <c r="X246" s="348"/>
      <c r="Y246" s="348"/>
      <c r="Z246" s="348"/>
    </row>
    <row r="247" spans="1:26" s="64" customFormat="1" ht="47.25" customHeight="1" thickBot="1" x14ac:dyDescent="0.35">
      <c r="A247" s="343">
        <v>45433</v>
      </c>
      <c r="B247" s="345" t="s">
        <v>12734</v>
      </c>
      <c r="C247" s="346">
        <v>421907173531</v>
      </c>
      <c r="D247" s="344" t="s">
        <v>12341</v>
      </c>
      <c r="E247" s="344" t="s">
        <v>12341</v>
      </c>
      <c r="F247" s="344"/>
      <c r="G247" s="344"/>
      <c r="H247" s="344"/>
      <c r="I247" s="344"/>
      <c r="J247" s="344"/>
      <c r="K247" s="344" t="s">
        <v>12735</v>
      </c>
      <c r="L247" s="344" t="s">
        <v>12736</v>
      </c>
      <c r="M247" s="344" t="s">
        <v>12634</v>
      </c>
      <c r="N247" s="344" t="s">
        <v>12339</v>
      </c>
      <c r="O247" s="348"/>
      <c r="P247" s="348"/>
      <c r="Q247" s="348"/>
      <c r="R247" s="348"/>
      <c r="S247" s="348"/>
      <c r="T247" s="348"/>
      <c r="U247" s="348"/>
      <c r="V247" s="348"/>
      <c r="W247" s="348"/>
      <c r="X247" s="348"/>
      <c r="Y247" s="348"/>
      <c r="Z247" s="348"/>
    </row>
    <row r="248" spans="1:26" s="64" customFormat="1" ht="47.25" customHeight="1" thickBot="1" x14ac:dyDescent="0.35">
      <c r="A248" s="343">
        <v>45433</v>
      </c>
      <c r="B248" s="345" t="s">
        <v>12737</v>
      </c>
      <c r="C248" s="346">
        <v>421908923436</v>
      </c>
      <c r="D248" s="344" t="s">
        <v>12341</v>
      </c>
      <c r="E248" s="344" t="s">
        <v>12341</v>
      </c>
      <c r="F248" s="344"/>
      <c r="G248" s="344"/>
      <c r="H248" s="344"/>
      <c r="I248" s="344"/>
      <c r="J248" s="344"/>
      <c r="K248" s="344" t="s">
        <v>12738</v>
      </c>
      <c r="L248" s="344" t="s">
        <v>12739</v>
      </c>
      <c r="M248" s="344" t="s">
        <v>12634</v>
      </c>
      <c r="N248" s="344" t="s">
        <v>12339</v>
      </c>
      <c r="O248" s="348"/>
      <c r="P248" s="348"/>
      <c r="Q248" s="348"/>
      <c r="R248" s="348"/>
      <c r="S248" s="348"/>
      <c r="T248" s="348"/>
      <c r="U248" s="348"/>
      <c r="V248" s="348"/>
      <c r="W248" s="348"/>
      <c r="X248" s="348"/>
      <c r="Y248" s="348"/>
      <c r="Z248" s="348"/>
    </row>
    <row r="249" spans="1:26" s="64" customFormat="1" ht="47.25" customHeight="1" thickBot="1" x14ac:dyDescent="0.35">
      <c r="A249" s="343">
        <v>45433</v>
      </c>
      <c r="B249" s="345" t="s">
        <v>12740</v>
      </c>
      <c r="C249" s="346">
        <v>421915720180</v>
      </c>
      <c r="D249" s="344" t="s">
        <v>12341</v>
      </c>
      <c r="E249" s="344" t="s">
        <v>12342</v>
      </c>
      <c r="F249" s="344" t="s">
        <v>12346</v>
      </c>
      <c r="G249" s="347">
        <v>160</v>
      </c>
      <c r="H249" s="347">
        <v>80</v>
      </c>
      <c r="I249" s="347">
        <v>80</v>
      </c>
      <c r="J249" s="344"/>
      <c r="K249" s="344"/>
      <c r="L249" s="344" t="s">
        <v>12341</v>
      </c>
      <c r="M249" s="344" t="s">
        <v>12634</v>
      </c>
      <c r="N249" s="344" t="s">
        <v>12344</v>
      </c>
      <c r="O249" s="348"/>
      <c r="P249" s="348"/>
      <c r="Q249" s="348"/>
      <c r="R249" s="348"/>
      <c r="S249" s="348"/>
      <c r="T249" s="348"/>
      <c r="U249" s="348"/>
      <c r="V249" s="348"/>
      <c r="W249" s="348"/>
      <c r="X249" s="348"/>
      <c r="Y249" s="348"/>
      <c r="Z249" s="348"/>
    </row>
    <row r="250" spans="1:26" s="64" customFormat="1" ht="47.25" customHeight="1" thickBot="1" x14ac:dyDescent="0.35">
      <c r="A250" s="343">
        <v>45433</v>
      </c>
      <c r="B250" s="345" t="s">
        <v>12741</v>
      </c>
      <c r="C250" s="346">
        <v>421904783169</v>
      </c>
      <c r="D250" s="344" t="s">
        <v>12341</v>
      </c>
      <c r="E250" s="344" t="s">
        <v>12341</v>
      </c>
      <c r="F250" s="344"/>
      <c r="G250" s="344"/>
      <c r="H250" s="344"/>
      <c r="I250" s="344"/>
      <c r="J250" s="344"/>
      <c r="K250" s="344" t="s">
        <v>12742</v>
      </c>
      <c r="L250" s="344" t="s">
        <v>12743</v>
      </c>
      <c r="M250" s="344" t="s">
        <v>12634</v>
      </c>
      <c r="N250" s="344" t="s">
        <v>12339</v>
      </c>
      <c r="O250" s="348"/>
      <c r="P250" s="348"/>
      <c r="Q250" s="348"/>
      <c r="R250" s="348"/>
      <c r="S250" s="348"/>
      <c r="T250" s="348"/>
      <c r="U250" s="348"/>
      <c r="V250" s="348"/>
      <c r="W250" s="348"/>
      <c r="X250" s="348"/>
      <c r="Y250" s="348"/>
      <c r="Z250" s="348"/>
    </row>
    <row r="251" spans="1:26" s="64" customFormat="1" ht="47.25" customHeight="1" thickBot="1" x14ac:dyDescent="0.35">
      <c r="A251" s="343">
        <v>45433</v>
      </c>
      <c r="B251" s="345" t="s">
        <v>12744</v>
      </c>
      <c r="C251" s="346">
        <v>421907043445</v>
      </c>
      <c r="D251" s="344" t="s">
        <v>12341</v>
      </c>
      <c r="E251" s="344" t="s">
        <v>12341</v>
      </c>
      <c r="F251" s="344"/>
      <c r="G251" s="344"/>
      <c r="H251" s="344"/>
      <c r="I251" s="344"/>
      <c r="J251" s="344"/>
      <c r="K251" s="344" t="s">
        <v>12745</v>
      </c>
      <c r="L251" s="344" t="s">
        <v>12746</v>
      </c>
      <c r="M251" s="344" t="s">
        <v>12634</v>
      </c>
      <c r="N251" s="344" t="s">
        <v>12339</v>
      </c>
      <c r="O251" s="348"/>
      <c r="P251" s="348"/>
      <c r="Q251" s="348"/>
      <c r="R251" s="348"/>
      <c r="S251" s="348"/>
      <c r="T251" s="348"/>
      <c r="U251" s="348"/>
      <c r="V251" s="348"/>
      <c r="W251" s="348"/>
      <c r="X251" s="348"/>
      <c r="Y251" s="348"/>
      <c r="Z251" s="348"/>
    </row>
    <row r="252" spans="1:26" s="64" customFormat="1" ht="47.25" customHeight="1" thickBot="1" x14ac:dyDescent="0.35">
      <c r="A252" s="343">
        <v>45433</v>
      </c>
      <c r="B252" s="345" t="s">
        <v>12747</v>
      </c>
      <c r="C252" s="344"/>
      <c r="D252" s="344" t="s">
        <v>12341</v>
      </c>
      <c r="E252" s="344" t="s">
        <v>12341</v>
      </c>
      <c r="F252" s="344"/>
      <c r="G252" s="344"/>
      <c r="H252" s="344"/>
      <c r="I252" s="344"/>
      <c r="J252" s="344"/>
      <c r="K252" s="344" t="s">
        <v>12748</v>
      </c>
      <c r="L252" s="344" t="s">
        <v>12341</v>
      </c>
      <c r="M252" s="344" t="s">
        <v>12634</v>
      </c>
      <c r="N252" s="344" t="s">
        <v>12339</v>
      </c>
      <c r="O252" s="348"/>
      <c r="P252" s="348"/>
      <c r="Q252" s="348"/>
      <c r="R252" s="348"/>
      <c r="S252" s="348"/>
      <c r="T252" s="348"/>
      <c r="U252" s="348"/>
      <c r="V252" s="348"/>
      <c r="W252" s="348"/>
      <c r="X252" s="348"/>
      <c r="Y252" s="348"/>
      <c r="Z252" s="348"/>
    </row>
    <row r="253" spans="1:26" s="64" customFormat="1" ht="47.25" customHeight="1" thickBot="1" x14ac:dyDescent="0.35">
      <c r="A253" s="343">
        <v>45433</v>
      </c>
      <c r="B253" s="345" t="s">
        <v>12749</v>
      </c>
      <c r="C253" s="346">
        <v>421905107061</v>
      </c>
      <c r="D253" s="344" t="s">
        <v>12341</v>
      </c>
      <c r="E253" s="344" t="s">
        <v>12341</v>
      </c>
      <c r="F253" s="344"/>
      <c r="G253" s="344"/>
      <c r="H253" s="344"/>
      <c r="I253" s="344"/>
      <c r="J253" s="344"/>
      <c r="K253" s="344" t="s">
        <v>12750</v>
      </c>
      <c r="L253" s="344" t="s">
        <v>12751</v>
      </c>
      <c r="M253" s="344" t="s">
        <v>12634</v>
      </c>
      <c r="N253" s="344" t="s">
        <v>12339</v>
      </c>
      <c r="O253" s="348"/>
      <c r="P253" s="348"/>
      <c r="Q253" s="348"/>
      <c r="R253" s="348"/>
      <c r="S253" s="348"/>
      <c r="T253" s="348"/>
      <c r="U253" s="348"/>
      <c r="V253" s="348"/>
      <c r="W253" s="348"/>
      <c r="X253" s="348"/>
      <c r="Y253" s="348"/>
      <c r="Z253" s="348"/>
    </row>
    <row r="254" spans="1:26" s="64" customFormat="1" ht="47.25" customHeight="1" thickBot="1" x14ac:dyDescent="0.35">
      <c r="A254" s="343">
        <v>45433</v>
      </c>
      <c r="B254" s="345" t="s">
        <v>12752</v>
      </c>
      <c r="C254" s="346">
        <v>421904558916</v>
      </c>
      <c r="D254" s="344" t="s">
        <v>12341</v>
      </c>
      <c r="E254" s="344" t="s">
        <v>12341</v>
      </c>
      <c r="F254" s="344"/>
      <c r="G254" s="344"/>
      <c r="H254" s="344"/>
      <c r="I254" s="344"/>
      <c r="J254" s="344"/>
      <c r="K254" s="344" t="s">
        <v>12753</v>
      </c>
      <c r="L254" s="344" t="s">
        <v>12341</v>
      </c>
      <c r="M254" s="344" t="s">
        <v>12634</v>
      </c>
      <c r="N254" s="344" t="s">
        <v>12339</v>
      </c>
      <c r="O254" s="348"/>
      <c r="P254" s="348"/>
      <c r="Q254" s="348"/>
      <c r="R254" s="348"/>
      <c r="S254" s="348"/>
      <c r="T254" s="348"/>
      <c r="U254" s="348"/>
      <c r="V254" s="348"/>
      <c r="W254" s="348"/>
      <c r="X254" s="348"/>
      <c r="Y254" s="348"/>
      <c r="Z254" s="348"/>
    </row>
    <row r="255" spans="1:26" s="64" customFormat="1" ht="47.25" customHeight="1" thickBot="1" x14ac:dyDescent="0.35">
      <c r="A255" s="343">
        <v>45433</v>
      </c>
      <c r="B255" s="345" t="s">
        <v>12754</v>
      </c>
      <c r="C255" s="346">
        <v>421911170444</v>
      </c>
      <c r="D255" s="344" t="s">
        <v>12341</v>
      </c>
      <c r="E255" s="344" t="s">
        <v>12341</v>
      </c>
      <c r="F255" s="344"/>
      <c r="G255" s="344"/>
      <c r="H255" s="344"/>
      <c r="I255" s="344"/>
      <c r="J255" s="344"/>
      <c r="K255" s="344" t="s">
        <v>12755</v>
      </c>
      <c r="L255" s="344" t="s">
        <v>12341</v>
      </c>
      <c r="M255" s="344" t="s">
        <v>12634</v>
      </c>
      <c r="N255" s="344" t="s">
        <v>12339</v>
      </c>
      <c r="O255" s="348"/>
      <c r="P255" s="348"/>
      <c r="Q255" s="348"/>
      <c r="R255" s="348"/>
      <c r="S255" s="348"/>
      <c r="T255" s="348"/>
      <c r="U255" s="348"/>
      <c r="V255" s="348"/>
      <c r="W255" s="348"/>
      <c r="X255" s="348"/>
      <c r="Y255" s="348"/>
      <c r="Z255" s="348"/>
    </row>
    <row r="256" spans="1:26" s="64" customFormat="1" ht="47.25" customHeight="1" thickBot="1" x14ac:dyDescent="0.35">
      <c r="A256" s="343">
        <v>45434</v>
      </c>
      <c r="B256" s="345" t="s">
        <v>12756</v>
      </c>
      <c r="C256" s="346">
        <v>421902100117</v>
      </c>
      <c r="D256" s="344" t="s">
        <v>12341</v>
      </c>
      <c r="E256" s="344" t="s">
        <v>12341</v>
      </c>
      <c r="F256" s="344"/>
      <c r="G256" s="344"/>
      <c r="H256" s="344"/>
      <c r="I256" s="344"/>
      <c r="J256" s="344"/>
      <c r="K256" s="344" t="s">
        <v>12757</v>
      </c>
      <c r="L256" s="344" t="s">
        <v>12341</v>
      </c>
      <c r="M256" s="344" t="s">
        <v>12634</v>
      </c>
      <c r="N256" s="344" t="s">
        <v>12339</v>
      </c>
      <c r="O256" s="348"/>
      <c r="P256" s="348"/>
      <c r="Q256" s="348"/>
      <c r="R256" s="348"/>
      <c r="S256" s="348"/>
      <c r="T256" s="348"/>
      <c r="U256" s="348"/>
      <c r="V256" s="348"/>
      <c r="W256" s="348"/>
      <c r="X256" s="348"/>
      <c r="Y256" s="348"/>
      <c r="Z256" s="348"/>
    </row>
    <row r="257" spans="1:26" s="64" customFormat="1" ht="47.25" customHeight="1" thickBot="1" x14ac:dyDescent="0.35">
      <c r="A257" s="343">
        <v>45434</v>
      </c>
      <c r="B257" s="345" t="s">
        <v>12758</v>
      </c>
      <c r="C257" s="344"/>
      <c r="D257" s="344" t="s">
        <v>12341</v>
      </c>
      <c r="E257" s="344" t="s">
        <v>12759</v>
      </c>
      <c r="F257" s="344" t="s">
        <v>12346</v>
      </c>
      <c r="G257" s="347">
        <v>170</v>
      </c>
      <c r="H257" s="344" t="s">
        <v>12666</v>
      </c>
      <c r="I257" s="344" t="s">
        <v>12666</v>
      </c>
      <c r="J257" s="344"/>
      <c r="K257" s="344"/>
      <c r="L257" s="344" t="s">
        <v>12341</v>
      </c>
      <c r="M257" s="344" t="s">
        <v>12634</v>
      </c>
      <c r="N257" s="344" t="s">
        <v>12339</v>
      </c>
      <c r="O257" s="348"/>
      <c r="P257" s="348"/>
      <c r="Q257" s="348"/>
      <c r="R257" s="348"/>
      <c r="S257" s="348"/>
      <c r="T257" s="348"/>
      <c r="U257" s="348"/>
      <c r="V257" s="348"/>
      <c r="W257" s="348"/>
      <c r="X257" s="348"/>
      <c r="Y257" s="348"/>
      <c r="Z257" s="348"/>
    </row>
    <row r="258" spans="1:26" s="64" customFormat="1" ht="47.25" customHeight="1" thickBot="1" x14ac:dyDescent="0.35">
      <c r="A258" s="343">
        <v>45434</v>
      </c>
      <c r="B258" s="345" t="s">
        <v>12760</v>
      </c>
      <c r="C258" s="346">
        <v>421949477747</v>
      </c>
      <c r="D258" s="344" t="s">
        <v>12341</v>
      </c>
      <c r="E258" s="344" t="s">
        <v>12341</v>
      </c>
      <c r="F258" s="344"/>
      <c r="G258" s="344"/>
      <c r="H258" s="344"/>
      <c r="I258" s="344"/>
      <c r="J258" s="344"/>
      <c r="K258" s="344" t="s">
        <v>12761</v>
      </c>
      <c r="L258" s="344" t="s">
        <v>12762</v>
      </c>
      <c r="M258" s="344" t="s">
        <v>12634</v>
      </c>
      <c r="N258" s="344" t="s">
        <v>12339</v>
      </c>
      <c r="O258" s="348"/>
      <c r="P258" s="348"/>
      <c r="Q258" s="348"/>
      <c r="R258" s="348"/>
      <c r="S258" s="348"/>
      <c r="T258" s="348"/>
      <c r="U258" s="348"/>
      <c r="V258" s="348"/>
      <c r="W258" s="348"/>
      <c r="X258" s="348"/>
      <c r="Y258" s="348"/>
      <c r="Z258" s="348"/>
    </row>
    <row r="259" spans="1:26" s="64" customFormat="1" ht="47.25" customHeight="1" thickBot="1" x14ac:dyDescent="0.35">
      <c r="A259" s="343">
        <v>45434</v>
      </c>
      <c r="B259" s="345" t="s">
        <v>12763</v>
      </c>
      <c r="C259" s="346">
        <v>421940271395</v>
      </c>
      <c r="D259" s="344" t="s">
        <v>12341</v>
      </c>
      <c r="E259" s="344" t="s">
        <v>12341</v>
      </c>
      <c r="F259" s="344"/>
      <c r="G259" s="344"/>
      <c r="H259" s="344"/>
      <c r="I259" s="344"/>
      <c r="J259" s="344"/>
      <c r="K259" s="344" t="s">
        <v>12764</v>
      </c>
      <c r="L259" s="344" t="s">
        <v>12765</v>
      </c>
      <c r="M259" s="344" t="s">
        <v>12634</v>
      </c>
      <c r="N259" s="344" t="s">
        <v>12339</v>
      </c>
      <c r="O259" s="348"/>
      <c r="P259" s="348"/>
      <c r="Q259" s="348"/>
      <c r="R259" s="348"/>
      <c r="S259" s="348"/>
      <c r="T259" s="348"/>
      <c r="U259" s="348"/>
      <c r="V259" s="348"/>
      <c r="W259" s="348"/>
      <c r="X259" s="348"/>
      <c r="Y259" s="348"/>
      <c r="Z259" s="348"/>
    </row>
    <row r="260" spans="1:26" s="64" customFormat="1" ht="47.25" customHeight="1" thickBot="1" x14ac:dyDescent="0.35">
      <c r="A260" s="343">
        <v>45434</v>
      </c>
      <c r="B260" s="345" t="s">
        <v>12766</v>
      </c>
      <c r="C260" s="346">
        <v>421903893226</v>
      </c>
      <c r="D260" s="344" t="s">
        <v>12341</v>
      </c>
      <c r="E260" s="344" t="s">
        <v>12341</v>
      </c>
      <c r="F260" s="344"/>
      <c r="G260" s="344"/>
      <c r="H260" s="344"/>
      <c r="I260" s="344"/>
      <c r="J260" s="344"/>
      <c r="K260" s="344" t="s">
        <v>12767</v>
      </c>
      <c r="L260" s="344" t="s">
        <v>12341</v>
      </c>
      <c r="M260" s="344" t="s">
        <v>12634</v>
      </c>
      <c r="N260" s="344" t="s">
        <v>12339</v>
      </c>
      <c r="O260" s="348"/>
      <c r="P260" s="348"/>
      <c r="Q260" s="348"/>
      <c r="R260" s="348"/>
      <c r="S260" s="348"/>
      <c r="T260" s="348"/>
      <c r="U260" s="348"/>
      <c r="V260" s="348"/>
      <c r="W260" s="348"/>
      <c r="X260" s="348"/>
      <c r="Y260" s="348"/>
      <c r="Z260" s="348"/>
    </row>
    <row r="261" spans="1:26" s="64" customFormat="1" ht="47.25" customHeight="1" thickBot="1" x14ac:dyDescent="0.35">
      <c r="A261" s="343">
        <v>45434</v>
      </c>
      <c r="B261" s="345" t="s">
        <v>12768</v>
      </c>
      <c r="C261" s="346">
        <v>421910226218</v>
      </c>
      <c r="D261" s="344" t="s">
        <v>12341</v>
      </c>
      <c r="E261" s="344" t="s">
        <v>12356</v>
      </c>
      <c r="F261" s="344" t="s">
        <v>12346</v>
      </c>
      <c r="G261" s="347">
        <v>80</v>
      </c>
      <c r="H261" s="347">
        <v>40</v>
      </c>
      <c r="I261" s="347">
        <v>40</v>
      </c>
      <c r="J261" s="344"/>
      <c r="K261" s="344"/>
      <c r="L261" s="344" t="s">
        <v>12341</v>
      </c>
      <c r="M261" s="344" t="s">
        <v>12634</v>
      </c>
      <c r="N261" s="344" t="s">
        <v>12344</v>
      </c>
      <c r="O261" s="348"/>
      <c r="P261" s="348"/>
      <c r="Q261" s="348"/>
      <c r="R261" s="348"/>
      <c r="S261" s="348"/>
      <c r="T261" s="348"/>
      <c r="U261" s="348"/>
      <c r="V261" s="348"/>
      <c r="W261" s="348"/>
      <c r="X261" s="348"/>
      <c r="Y261" s="348"/>
      <c r="Z261" s="348"/>
    </row>
    <row r="262" spans="1:26" s="64" customFormat="1" ht="47.25" customHeight="1" thickBot="1" x14ac:dyDescent="0.35">
      <c r="A262" s="343">
        <v>45434</v>
      </c>
      <c r="B262" s="345" t="s">
        <v>12769</v>
      </c>
      <c r="C262" s="346">
        <f>42191061 +4211</f>
        <v>42195272</v>
      </c>
      <c r="D262" s="344" t="s">
        <v>12341</v>
      </c>
      <c r="E262" s="344" t="s">
        <v>12770</v>
      </c>
      <c r="F262" s="344" t="s">
        <v>12346</v>
      </c>
      <c r="G262" s="347">
        <v>75</v>
      </c>
      <c r="H262" s="347">
        <v>0</v>
      </c>
      <c r="I262" s="347">
        <v>75</v>
      </c>
      <c r="J262" s="344" t="s">
        <v>12771</v>
      </c>
      <c r="K262" s="344"/>
      <c r="L262" s="344" t="s">
        <v>12341</v>
      </c>
      <c r="M262" s="344" t="s">
        <v>12634</v>
      </c>
      <c r="N262" s="344" t="s">
        <v>12339</v>
      </c>
      <c r="O262" s="348"/>
      <c r="P262" s="348"/>
      <c r="Q262" s="348"/>
      <c r="R262" s="348"/>
      <c r="S262" s="348"/>
      <c r="T262" s="348"/>
      <c r="U262" s="348"/>
      <c r="V262" s="348"/>
      <c r="W262" s="348"/>
      <c r="X262" s="348"/>
      <c r="Y262" s="348"/>
      <c r="Z262" s="348"/>
    </row>
    <row r="263" spans="1:26" s="64" customFormat="1" ht="47.25" customHeight="1" thickBot="1" x14ac:dyDescent="0.35">
      <c r="A263" s="343">
        <v>45434</v>
      </c>
      <c r="B263" s="345" t="s">
        <v>12772</v>
      </c>
      <c r="C263" s="346">
        <v>421905757301</v>
      </c>
      <c r="D263" s="344" t="s">
        <v>12341</v>
      </c>
      <c r="E263" s="344" t="s">
        <v>12356</v>
      </c>
      <c r="F263" s="344" t="s">
        <v>12346</v>
      </c>
      <c r="G263" s="347">
        <v>80</v>
      </c>
      <c r="H263" s="347">
        <v>40</v>
      </c>
      <c r="I263" s="347">
        <v>40</v>
      </c>
      <c r="J263" s="344"/>
      <c r="K263" s="344"/>
      <c r="L263" s="344" t="s">
        <v>12773</v>
      </c>
      <c r="M263" s="344" t="s">
        <v>12634</v>
      </c>
      <c r="N263" s="344" t="s">
        <v>12344</v>
      </c>
      <c r="O263" s="348"/>
      <c r="P263" s="348"/>
      <c r="Q263" s="348"/>
      <c r="R263" s="348"/>
      <c r="S263" s="348"/>
      <c r="T263" s="348"/>
      <c r="U263" s="348"/>
      <c r="V263" s="348"/>
      <c r="W263" s="348"/>
      <c r="X263" s="348"/>
      <c r="Y263" s="348"/>
      <c r="Z263" s="348"/>
    </row>
    <row r="264" spans="1:26" s="64" customFormat="1" ht="47.25" customHeight="1" thickBot="1" x14ac:dyDescent="0.35">
      <c r="A264" s="343">
        <v>45435</v>
      </c>
      <c r="B264" s="345" t="s">
        <v>12774</v>
      </c>
      <c r="C264" s="346">
        <v>421907975364</v>
      </c>
      <c r="D264" s="344" t="s">
        <v>12341</v>
      </c>
      <c r="E264" s="344" t="s">
        <v>12685</v>
      </c>
      <c r="F264" s="344" t="s">
        <v>12341</v>
      </c>
      <c r="G264" s="347">
        <v>100</v>
      </c>
      <c r="H264" s="344"/>
      <c r="I264" s="347">
        <v>35</v>
      </c>
      <c r="J264" s="344" t="s">
        <v>12711</v>
      </c>
      <c r="K264" s="344" t="s">
        <v>12775</v>
      </c>
      <c r="L264" s="344" t="s">
        <v>12776</v>
      </c>
      <c r="M264" s="344" t="s">
        <v>12634</v>
      </c>
      <c r="N264" s="344" t="s">
        <v>12339</v>
      </c>
      <c r="O264" s="348"/>
      <c r="P264" s="348"/>
      <c r="Q264" s="348"/>
      <c r="R264" s="348"/>
      <c r="S264" s="348"/>
      <c r="T264" s="348"/>
      <c r="U264" s="348"/>
      <c r="V264" s="348"/>
      <c r="W264" s="348"/>
      <c r="X264" s="348"/>
      <c r="Y264" s="348"/>
      <c r="Z264" s="348"/>
    </row>
    <row r="265" spans="1:26" s="64" customFormat="1" ht="47.25" customHeight="1" thickBot="1" x14ac:dyDescent="0.35">
      <c r="A265" s="343">
        <v>45435</v>
      </c>
      <c r="B265" s="345" t="s">
        <v>12777</v>
      </c>
      <c r="C265" s="346">
        <v>421948202804</v>
      </c>
      <c r="D265" s="344" t="s">
        <v>12341</v>
      </c>
      <c r="E265" s="344" t="s">
        <v>12341</v>
      </c>
      <c r="F265" s="344"/>
      <c r="G265" s="344"/>
      <c r="H265" s="344"/>
      <c r="I265" s="344"/>
      <c r="J265" s="344"/>
      <c r="K265" s="344" t="s">
        <v>12778</v>
      </c>
      <c r="L265" s="344" t="s">
        <v>12341</v>
      </c>
      <c r="M265" s="344" t="s">
        <v>12634</v>
      </c>
      <c r="N265" s="344" t="s">
        <v>12339</v>
      </c>
      <c r="O265" s="348"/>
      <c r="P265" s="348"/>
      <c r="Q265" s="348"/>
      <c r="R265" s="348"/>
      <c r="S265" s="348"/>
      <c r="T265" s="348"/>
      <c r="U265" s="348"/>
      <c r="V265" s="348"/>
      <c r="W265" s="348"/>
      <c r="X265" s="348"/>
      <c r="Y265" s="348"/>
      <c r="Z265" s="348"/>
    </row>
    <row r="266" spans="1:26" s="64" customFormat="1" ht="47.25" customHeight="1" thickBot="1" x14ac:dyDescent="0.35">
      <c r="A266" s="343">
        <v>45435</v>
      </c>
      <c r="B266" s="345" t="s">
        <v>12779</v>
      </c>
      <c r="C266" s="346">
        <v>421907070072</v>
      </c>
      <c r="D266" s="344" t="s">
        <v>12341</v>
      </c>
      <c r="E266" s="344" t="s">
        <v>12356</v>
      </c>
      <c r="F266" s="344" t="s">
        <v>12334</v>
      </c>
      <c r="G266" s="347">
        <v>80</v>
      </c>
      <c r="H266" s="347">
        <v>40</v>
      </c>
      <c r="I266" s="347">
        <v>40</v>
      </c>
      <c r="J266" s="344"/>
      <c r="K266" s="344"/>
      <c r="L266" s="344" t="s">
        <v>12780</v>
      </c>
      <c r="M266" s="344" t="s">
        <v>12634</v>
      </c>
      <c r="N266" s="344" t="s">
        <v>12344</v>
      </c>
      <c r="O266" s="348"/>
      <c r="P266" s="348"/>
      <c r="Q266" s="348"/>
      <c r="R266" s="348"/>
      <c r="S266" s="348"/>
      <c r="T266" s="348"/>
      <c r="U266" s="348"/>
      <c r="V266" s="348"/>
      <c r="W266" s="348"/>
      <c r="X266" s="348"/>
      <c r="Y266" s="348"/>
      <c r="Z266" s="348"/>
    </row>
    <row r="267" spans="1:26" s="64" customFormat="1" ht="47.25" customHeight="1" thickBot="1" x14ac:dyDescent="0.35">
      <c r="A267" s="343">
        <v>45435</v>
      </c>
      <c r="B267" s="345" t="s">
        <v>12781</v>
      </c>
      <c r="C267" s="346">
        <v>421910544399</v>
      </c>
      <c r="D267" s="344" t="s">
        <v>12341</v>
      </c>
      <c r="E267" s="344" t="s">
        <v>12341</v>
      </c>
      <c r="F267" s="344"/>
      <c r="G267" s="344"/>
      <c r="H267" s="344"/>
      <c r="I267" s="344"/>
      <c r="J267" s="344"/>
      <c r="K267" s="344" t="s">
        <v>12782</v>
      </c>
      <c r="L267" s="344" t="s">
        <v>12341</v>
      </c>
      <c r="M267" s="344" t="s">
        <v>12634</v>
      </c>
      <c r="N267" s="344" t="s">
        <v>12339</v>
      </c>
      <c r="O267" s="348"/>
      <c r="P267" s="348"/>
      <c r="Q267" s="348"/>
      <c r="R267" s="348"/>
      <c r="S267" s="348"/>
      <c r="T267" s="348"/>
      <c r="U267" s="348"/>
      <c r="V267" s="348"/>
      <c r="W267" s="348"/>
      <c r="X267" s="348"/>
      <c r="Y267" s="348"/>
      <c r="Z267" s="348"/>
    </row>
    <row r="268" spans="1:26" s="64" customFormat="1" ht="47.25" customHeight="1" thickBot="1" x14ac:dyDescent="0.35">
      <c r="A268" s="343">
        <v>45435</v>
      </c>
      <c r="B268" s="345" t="s">
        <v>12783</v>
      </c>
      <c r="C268" s="346">
        <v>421903720823</v>
      </c>
      <c r="D268" s="344" t="s">
        <v>12341</v>
      </c>
      <c r="E268" s="344" t="s">
        <v>12341</v>
      </c>
      <c r="F268" s="344"/>
      <c r="G268" s="344"/>
      <c r="H268" s="344"/>
      <c r="I268" s="344"/>
      <c r="J268" s="344"/>
      <c r="K268" s="344" t="s">
        <v>12784</v>
      </c>
      <c r="L268" s="344" t="s">
        <v>12341</v>
      </c>
      <c r="M268" s="344" t="s">
        <v>12634</v>
      </c>
      <c r="N268" s="344" t="s">
        <v>12339</v>
      </c>
      <c r="O268" s="348"/>
      <c r="P268" s="348"/>
      <c r="Q268" s="348"/>
      <c r="R268" s="348"/>
      <c r="S268" s="348"/>
      <c r="T268" s="348"/>
      <c r="U268" s="348"/>
      <c r="V268" s="348"/>
      <c r="W268" s="348"/>
      <c r="X268" s="348"/>
      <c r="Y268" s="348"/>
      <c r="Z268" s="348"/>
    </row>
    <row r="269" spans="1:26" s="64" customFormat="1" ht="47.25" customHeight="1" thickBot="1" x14ac:dyDescent="0.35">
      <c r="A269" s="343">
        <v>45435</v>
      </c>
      <c r="B269" s="345" t="s">
        <v>12785</v>
      </c>
      <c r="C269" s="344"/>
      <c r="D269" s="344" t="s">
        <v>12341</v>
      </c>
      <c r="E269" s="344" t="s">
        <v>12356</v>
      </c>
      <c r="F269" s="344" t="s">
        <v>12346</v>
      </c>
      <c r="G269" s="347">
        <v>80</v>
      </c>
      <c r="H269" s="347">
        <v>40</v>
      </c>
      <c r="I269" s="347">
        <v>40</v>
      </c>
      <c r="J269" s="344"/>
      <c r="K269" s="344"/>
      <c r="L269" s="344" t="s">
        <v>12341</v>
      </c>
      <c r="M269" s="344" t="s">
        <v>12634</v>
      </c>
      <c r="N269" s="344" t="s">
        <v>12344</v>
      </c>
      <c r="O269" s="348"/>
      <c r="P269" s="348"/>
      <c r="Q269" s="348"/>
      <c r="R269" s="348"/>
      <c r="S269" s="348"/>
      <c r="T269" s="348"/>
      <c r="U269" s="348"/>
      <c r="V269" s="348"/>
      <c r="W269" s="348"/>
      <c r="X269" s="348"/>
      <c r="Y269" s="348"/>
      <c r="Z269" s="348"/>
    </row>
    <row r="270" spans="1:26" s="64" customFormat="1" ht="47.25" customHeight="1" thickBot="1" x14ac:dyDescent="0.35">
      <c r="A270" s="343">
        <v>45436</v>
      </c>
      <c r="B270" s="345" t="s">
        <v>12786</v>
      </c>
      <c r="C270" s="346">
        <v>421910526066</v>
      </c>
      <c r="D270" s="344" t="s">
        <v>12352</v>
      </c>
      <c r="E270" s="344" t="s">
        <v>12341</v>
      </c>
      <c r="F270" s="344"/>
      <c r="G270" s="344"/>
      <c r="H270" s="344"/>
      <c r="I270" s="344"/>
      <c r="J270" s="344"/>
      <c r="K270" s="344" t="s">
        <v>12787</v>
      </c>
      <c r="L270" s="344" t="s">
        <v>12788</v>
      </c>
      <c r="M270" s="344" t="s">
        <v>12634</v>
      </c>
      <c r="N270" s="344" t="s">
        <v>12339</v>
      </c>
      <c r="O270" s="348"/>
      <c r="P270" s="348"/>
      <c r="Q270" s="348"/>
      <c r="R270" s="348"/>
      <c r="S270" s="348"/>
      <c r="T270" s="348"/>
      <c r="U270" s="348"/>
      <c r="V270" s="348"/>
      <c r="W270" s="348"/>
      <c r="X270" s="348"/>
      <c r="Y270" s="348"/>
      <c r="Z270" s="348"/>
    </row>
    <row r="271" spans="1:26" s="64" customFormat="1" ht="47.25" customHeight="1" thickBot="1" x14ac:dyDescent="0.35">
      <c r="A271" s="343">
        <v>45436</v>
      </c>
      <c r="B271" s="345" t="s">
        <v>12789</v>
      </c>
      <c r="C271" s="346">
        <v>421905455227</v>
      </c>
      <c r="D271" s="344" t="s">
        <v>12341</v>
      </c>
      <c r="E271" s="344" t="s">
        <v>12342</v>
      </c>
      <c r="F271" s="344" t="s">
        <v>12346</v>
      </c>
      <c r="G271" s="347">
        <v>160</v>
      </c>
      <c r="H271" s="347">
        <v>80</v>
      </c>
      <c r="I271" s="347">
        <v>80</v>
      </c>
      <c r="J271" s="344"/>
      <c r="K271" s="344"/>
      <c r="L271" s="344" t="s">
        <v>12341</v>
      </c>
      <c r="M271" s="344" t="s">
        <v>12634</v>
      </c>
      <c r="N271" s="344" t="s">
        <v>12344</v>
      </c>
      <c r="O271" s="348"/>
      <c r="P271" s="348"/>
      <c r="Q271" s="348"/>
      <c r="R271" s="348"/>
      <c r="S271" s="348"/>
      <c r="T271" s="348"/>
      <c r="U271" s="348"/>
      <c r="V271" s="348"/>
      <c r="W271" s="348"/>
      <c r="X271" s="348"/>
      <c r="Y271" s="348"/>
      <c r="Z271" s="348"/>
    </row>
    <row r="272" spans="1:26" s="64" customFormat="1" ht="47.25" customHeight="1" thickBot="1" x14ac:dyDescent="0.35">
      <c r="A272" s="343">
        <v>45436</v>
      </c>
      <c r="B272" s="345" t="s">
        <v>12790</v>
      </c>
      <c r="C272" s="346">
        <v>421905503624</v>
      </c>
      <c r="D272" s="344" t="s">
        <v>12341</v>
      </c>
      <c r="E272" s="344" t="s">
        <v>12341</v>
      </c>
      <c r="F272" s="344"/>
      <c r="G272" s="344"/>
      <c r="H272" s="344"/>
      <c r="I272" s="344"/>
      <c r="J272" s="344"/>
      <c r="K272" s="344" t="s">
        <v>12791</v>
      </c>
      <c r="L272" s="344" t="s">
        <v>12341</v>
      </c>
      <c r="M272" s="344" t="s">
        <v>12634</v>
      </c>
      <c r="N272" s="344" t="s">
        <v>12339</v>
      </c>
      <c r="O272" s="348"/>
      <c r="P272" s="348"/>
      <c r="Q272" s="348"/>
      <c r="R272" s="348"/>
      <c r="S272" s="348"/>
      <c r="T272" s="348"/>
      <c r="U272" s="348"/>
      <c r="V272" s="348"/>
      <c r="W272" s="348"/>
      <c r="X272" s="348"/>
      <c r="Y272" s="348"/>
      <c r="Z272" s="348"/>
    </row>
    <row r="273" spans="1:26" s="64" customFormat="1" ht="47.25" customHeight="1" thickBot="1" x14ac:dyDescent="0.35">
      <c r="A273" s="343">
        <v>45436</v>
      </c>
      <c r="B273" s="345" t="s">
        <v>12792</v>
      </c>
      <c r="C273" s="344"/>
      <c r="D273" s="344" t="s">
        <v>12341</v>
      </c>
      <c r="E273" s="344" t="s">
        <v>12341</v>
      </c>
      <c r="F273" s="344"/>
      <c r="G273" s="344"/>
      <c r="H273" s="344"/>
      <c r="I273" s="344"/>
      <c r="J273" s="344"/>
      <c r="K273" s="344" t="s">
        <v>12778</v>
      </c>
      <c r="L273" s="344" t="s">
        <v>12341</v>
      </c>
      <c r="M273" s="344" t="s">
        <v>12634</v>
      </c>
      <c r="N273" s="344" t="s">
        <v>12339</v>
      </c>
      <c r="O273" s="348"/>
      <c r="P273" s="348"/>
      <c r="Q273" s="348"/>
      <c r="R273" s="348"/>
      <c r="S273" s="348"/>
      <c r="T273" s="348"/>
      <c r="U273" s="348"/>
      <c r="V273" s="348"/>
      <c r="W273" s="348"/>
      <c r="X273" s="348"/>
      <c r="Y273" s="348"/>
      <c r="Z273" s="348"/>
    </row>
    <row r="274" spans="1:26" s="64" customFormat="1" ht="47.25" customHeight="1" thickBot="1" x14ac:dyDescent="0.35">
      <c r="A274" s="343">
        <v>45436</v>
      </c>
      <c r="B274" s="345" t="s">
        <v>12793</v>
      </c>
      <c r="C274" s="346">
        <v>421905150416</v>
      </c>
      <c r="D274" s="344" t="s">
        <v>12341</v>
      </c>
      <c r="E274" s="344" t="s">
        <v>12341</v>
      </c>
      <c r="F274" s="344"/>
      <c r="G274" s="344"/>
      <c r="H274" s="344"/>
      <c r="I274" s="344"/>
      <c r="J274" s="344"/>
      <c r="K274" s="344" t="s">
        <v>12794</v>
      </c>
      <c r="L274" s="344" t="s">
        <v>12341</v>
      </c>
      <c r="M274" s="344" t="s">
        <v>12634</v>
      </c>
      <c r="N274" s="344" t="s">
        <v>12339</v>
      </c>
      <c r="O274" s="348"/>
      <c r="P274" s="348"/>
      <c r="Q274" s="348"/>
      <c r="R274" s="348"/>
      <c r="S274" s="348"/>
      <c r="T274" s="348"/>
      <c r="U274" s="348"/>
      <c r="V274" s="348"/>
      <c r="W274" s="348"/>
      <c r="X274" s="348"/>
      <c r="Y274" s="348"/>
      <c r="Z274" s="348"/>
    </row>
    <row r="275" spans="1:26" s="64" customFormat="1" ht="47.25" customHeight="1" thickBot="1" x14ac:dyDescent="0.35">
      <c r="A275" s="343">
        <v>45436</v>
      </c>
      <c r="B275" s="345" t="s">
        <v>12795</v>
      </c>
      <c r="C275" s="346">
        <v>421907173531</v>
      </c>
      <c r="D275" s="344" t="s">
        <v>12341</v>
      </c>
      <c r="E275" s="344" t="s">
        <v>12341</v>
      </c>
      <c r="F275" s="344"/>
      <c r="G275" s="344"/>
      <c r="H275" s="344"/>
      <c r="I275" s="344"/>
      <c r="J275" s="344"/>
      <c r="K275" s="344" t="s">
        <v>12796</v>
      </c>
      <c r="L275" s="344" t="s">
        <v>12797</v>
      </c>
      <c r="M275" s="344" t="s">
        <v>12634</v>
      </c>
      <c r="N275" s="344" t="s">
        <v>12339</v>
      </c>
      <c r="O275" s="348"/>
      <c r="P275" s="348"/>
      <c r="Q275" s="348"/>
      <c r="R275" s="348"/>
      <c r="S275" s="348"/>
      <c r="T275" s="348"/>
      <c r="U275" s="348"/>
      <c r="V275" s="348"/>
      <c r="W275" s="348"/>
      <c r="X275" s="348"/>
      <c r="Y275" s="348"/>
      <c r="Z275" s="348"/>
    </row>
    <row r="276" spans="1:26" s="64" customFormat="1" ht="47.25" customHeight="1" thickBot="1" x14ac:dyDescent="0.35">
      <c r="A276" s="343">
        <v>45436</v>
      </c>
      <c r="B276" s="345" t="s">
        <v>12798</v>
      </c>
      <c r="C276" s="346">
        <v>421905503624</v>
      </c>
      <c r="D276" s="344" t="s">
        <v>12341</v>
      </c>
      <c r="E276" s="344" t="s">
        <v>12799</v>
      </c>
      <c r="F276" s="344" t="s">
        <v>12346</v>
      </c>
      <c r="G276" s="347">
        <v>180</v>
      </c>
      <c r="H276" s="344"/>
      <c r="I276" s="344"/>
      <c r="J276" s="344" t="s">
        <v>12800</v>
      </c>
      <c r="K276" s="344"/>
      <c r="L276" s="344" t="s">
        <v>12341</v>
      </c>
      <c r="M276" s="344" t="s">
        <v>12634</v>
      </c>
      <c r="N276" s="344" t="s">
        <v>12344</v>
      </c>
      <c r="O276" s="348"/>
      <c r="P276" s="348"/>
      <c r="Q276" s="348"/>
      <c r="R276" s="348"/>
      <c r="S276" s="348"/>
      <c r="T276" s="348"/>
      <c r="U276" s="348"/>
      <c r="V276" s="348"/>
      <c r="W276" s="348"/>
      <c r="X276" s="348"/>
      <c r="Y276" s="348"/>
      <c r="Z276" s="348"/>
    </row>
    <row r="277" spans="1:26" s="64" customFormat="1" ht="47.25" customHeight="1" thickBot="1" x14ac:dyDescent="0.35">
      <c r="A277" s="343">
        <v>45436</v>
      </c>
      <c r="B277" s="345" t="s">
        <v>12801</v>
      </c>
      <c r="C277" s="346">
        <v>421907921027</v>
      </c>
      <c r="D277" s="344" t="s">
        <v>12341</v>
      </c>
      <c r="E277" s="344" t="s">
        <v>12342</v>
      </c>
      <c r="F277" s="344" t="s">
        <v>12346</v>
      </c>
      <c r="G277" s="347">
        <v>160</v>
      </c>
      <c r="H277" s="347">
        <v>80</v>
      </c>
      <c r="I277" s="347">
        <v>80</v>
      </c>
      <c r="J277" s="344" t="s">
        <v>12802</v>
      </c>
      <c r="K277" s="344"/>
      <c r="L277" s="344" t="s">
        <v>12803</v>
      </c>
      <c r="M277" s="344" t="s">
        <v>12634</v>
      </c>
      <c r="N277" s="344" t="s">
        <v>12344</v>
      </c>
      <c r="O277" s="348"/>
      <c r="P277" s="348"/>
      <c r="Q277" s="348"/>
      <c r="R277" s="348"/>
      <c r="S277" s="348"/>
      <c r="T277" s="348"/>
      <c r="U277" s="348"/>
      <c r="V277" s="348"/>
      <c r="W277" s="348"/>
      <c r="X277" s="348"/>
      <c r="Y277" s="348"/>
      <c r="Z277" s="348"/>
    </row>
    <row r="278" spans="1:26" s="64" customFormat="1" ht="47.25" customHeight="1" thickBot="1" x14ac:dyDescent="0.35">
      <c r="A278" s="343">
        <v>45438</v>
      </c>
      <c r="B278" s="345" t="s">
        <v>12804</v>
      </c>
      <c r="C278" s="346">
        <v>421903774461</v>
      </c>
      <c r="D278" s="344" t="s">
        <v>12341</v>
      </c>
      <c r="E278" s="344" t="s">
        <v>12341</v>
      </c>
      <c r="F278" s="344"/>
      <c r="G278" s="344"/>
      <c r="H278" s="344"/>
      <c r="I278" s="344"/>
      <c r="J278" s="344"/>
      <c r="K278" s="344" t="s">
        <v>12805</v>
      </c>
      <c r="L278" s="344" t="s">
        <v>12806</v>
      </c>
      <c r="M278" s="344" t="s">
        <v>12634</v>
      </c>
      <c r="N278" s="344" t="s">
        <v>12339</v>
      </c>
      <c r="O278" s="348"/>
      <c r="P278" s="348"/>
      <c r="Q278" s="348"/>
      <c r="R278" s="348"/>
      <c r="S278" s="348"/>
      <c r="T278" s="348"/>
      <c r="U278" s="348"/>
      <c r="V278" s="348"/>
      <c r="W278" s="348"/>
      <c r="X278" s="348"/>
      <c r="Y278" s="348"/>
      <c r="Z278" s="348"/>
    </row>
    <row r="279" spans="1:26" s="64" customFormat="1" ht="47.25" customHeight="1" thickBot="1" x14ac:dyDescent="0.35">
      <c r="A279" s="343">
        <v>45439</v>
      </c>
      <c r="B279" s="345" t="s">
        <v>12807</v>
      </c>
      <c r="C279" s="346">
        <v>421917941466</v>
      </c>
      <c r="D279" s="344" t="s">
        <v>12352</v>
      </c>
      <c r="E279" s="344" t="s">
        <v>12808</v>
      </c>
      <c r="F279" s="347">
        <v>0</v>
      </c>
      <c r="G279" s="347">
        <v>0</v>
      </c>
      <c r="H279" s="347">
        <v>0</v>
      </c>
      <c r="I279" s="347">
        <v>0</v>
      </c>
      <c r="J279" s="344" t="s">
        <v>12809</v>
      </c>
      <c r="K279" s="344"/>
      <c r="L279" s="344" t="s">
        <v>12810</v>
      </c>
      <c r="M279" s="344" t="s">
        <v>12634</v>
      </c>
      <c r="N279" s="344" t="s">
        <v>12339</v>
      </c>
      <c r="O279" s="348"/>
      <c r="P279" s="348"/>
      <c r="Q279" s="348"/>
      <c r="R279" s="348"/>
      <c r="S279" s="348"/>
      <c r="T279" s="348"/>
      <c r="U279" s="348"/>
      <c r="V279" s="348"/>
      <c r="W279" s="348"/>
      <c r="X279" s="348"/>
      <c r="Y279" s="348"/>
      <c r="Z279" s="348"/>
    </row>
    <row r="280" spans="1:26" s="64" customFormat="1" ht="47.25" customHeight="1" thickBot="1" x14ac:dyDescent="0.35">
      <c r="A280" s="343">
        <v>45439</v>
      </c>
      <c r="B280" s="345" t="s">
        <v>12811</v>
      </c>
      <c r="C280" s="346">
        <v>421905503624</v>
      </c>
      <c r="D280" s="344" t="s">
        <v>12341</v>
      </c>
      <c r="E280" s="344" t="s">
        <v>12341</v>
      </c>
      <c r="F280" s="344"/>
      <c r="G280" s="344"/>
      <c r="H280" s="344"/>
      <c r="I280" s="344"/>
      <c r="J280" s="344"/>
      <c r="K280" s="344" t="s">
        <v>12812</v>
      </c>
      <c r="L280" s="344" t="s">
        <v>12813</v>
      </c>
      <c r="M280" s="344" t="s">
        <v>12634</v>
      </c>
      <c r="N280" s="344" t="s">
        <v>12339</v>
      </c>
      <c r="O280" s="348"/>
      <c r="P280" s="348"/>
      <c r="Q280" s="348"/>
      <c r="R280" s="348"/>
      <c r="S280" s="348"/>
      <c r="T280" s="348"/>
      <c r="U280" s="348"/>
      <c r="V280" s="348"/>
      <c r="W280" s="348"/>
      <c r="X280" s="348"/>
      <c r="Y280" s="348"/>
      <c r="Z280" s="348"/>
    </row>
    <row r="281" spans="1:26" s="64" customFormat="1" ht="47.25" customHeight="1" thickBot="1" x14ac:dyDescent="0.35">
      <c r="A281" s="343">
        <v>45439</v>
      </c>
      <c r="B281" s="345" t="s">
        <v>12814</v>
      </c>
      <c r="C281" s="346">
        <v>421902160019</v>
      </c>
      <c r="D281" s="344" t="s">
        <v>12341</v>
      </c>
      <c r="E281" s="344" t="s">
        <v>12341</v>
      </c>
      <c r="F281" s="344"/>
      <c r="G281" s="344"/>
      <c r="H281" s="344"/>
      <c r="I281" s="344"/>
      <c r="J281" s="344"/>
      <c r="K281" s="344" t="s">
        <v>12815</v>
      </c>
      <c r="L281" s="344" t="s">
        <v>12341</v>
      </c>
      <c r="M281" s="344" t="s">
        <v>12634</v>
      </c>
      <c r="N281" s="344" t="s">
        <v>12339</v>
      </c>
      <c r="O281" s="348"/>
      <c r="P281" s="348"/>
      <c r="Q281" s="348"/>
      <c r="R281" s="348"/>
      <c r="S281" s="348"/>
      <c r="T281" s="348"/>
      <c r="U281" s="348"/>
      <c r="V281" s="348"/>
      <c r="W281" s="348"/>
      <c r="X281" s="348"/>
      <c r="Y281" s="348"/>
      <c r="Z281" s="348"/>
    </row>
    <row r="282" spans="1:26" s="64" customFormat="1" ht="47.25" customHeight="1" thickBot="1" x14ac:dyDescent="0.35">
      <c r="A282" s="343">
        <v>45439</v>
      </c>
      <c r="B282" s="345" t="s">
        <v>12816</v>
      </c>
      <c r="C282" s="346">
        <v>421911751587</v>
      </c>
      <c r="D282" s="344" t="s">
        <v>12341</v>
      </c>
      <c r="E282" s="344" t="s">
        <v>12341</v>
      </c>
      <c r="F282" s="344"/>
      <c r="G282" s="344"/>
      <c r="H282" s="344"/>
      <c r="I282" s="344"/>
      <c r="J282" s="344"/>
      <c r="K282" s="344" t="s">
        <v>12817</v>
      </c>
      <c r="L282" s="344" t="s">
        <v>12341</v>
      </c>
      <c r="M282" s="344" t="s">
        <v>12634</v>
      </c>
      <c r="N282" s="344" t="s">
        <v>12339</v>
      </c>
      <c r="O282" s="348"/>
      <c r="P282" s="348"/>
      <c r="Q282" s="348"/>
      <c r="R282" s="348"/>
      <c r="S282" s="348"/>
      <c r="T282" s="348"/>
      <c r="U282" s="348"/>
      <c r="V282" s="348"/>
      <c r="W282" s="348"/>
      <c r="X282" s="348"/>
      <c r="Y282" s="348"/>
      <c r="Z282" s="348"/>
    </row>
    <row r="283" spans="1:26" s="64" customFormat="1" ht="47.25" customHeight="1" thickBot="1" x14ac:dyDescent="0.3">
      <c r="A283" s="343">
        <v>45439</v>
      </c>
      <c r="B283" s="350" t="s">
        <v>12818</v>
      </c>
      <c r="C283" s="344"/>
      <c r="D283" s="344" t="s">
        <v>12341</v>
      </c>
      <c r="E283" s="344" t="s">
        <v>12341</v>
      </c>
      <c r="F283" s="344"/>
      <c r="G283" s="344"/>
      <c r="H283" s="344"/>
      <c r="I283" s="344"/>
      <c r="J283" s="344"/>
      <c r="K283" s="344" t="s">
        <v>12819</v>
      </c>
      <c r="L283" s="344" t="s">
        <v>12341</v>
      </c>
      <c r="M283" s="344" t="s">
        <v>12634</v>
      </c>
      <c r="N283" s="344" t="s">
        <v>12339</v>
      </c>
      <c r="O283" s="348"/>
      <c r="P283" s="348"/>
      <c r="Q283" s="348"/>
      <c r="R283" s="348"/>
      <c r="S283" s="348"/>
      <c r="T283" s="348"/>
      <c r="U283" s="348"/>
      <c r="V283" s="348"/>
      <c r="W283" s="348"/>
      <c r="X283" s="348"/>
      <c r="Y283" s="348"/>
      <c r="Z283" s="348"/>
    </row>
    <row r="284" spans="1:26" s="64" customFormat="1" ht="47.25" customHeight="1" thickBot="1" x14ac:dyDescent="0.35">
      <c r="A284" s="343">
        <v>45439</v>
      </c>
      <c r="B284" s="345" t="s">
        <v>12820</v>
      </c>
      <c r="C284" s="344"/>
      <c r="D284" s="344" t="s">
        <v>12341</v>
      </c>
      <c r="E284" s="344" t="s">
        <v>12341</v>
      </c>
      <c r="F284" s="344"/>
      <c r="G284" s="344"/>
      <c r="H284" s="344"/>
      <c r="I284" s="344"/>
      <c r="J284" s="344"/>
      <c r="K284" s="344" t="s">
        <v>12821</v>
      </c>
      <c r="L284" s="344" t="s">
        <v>12341</v>
      </c>
      <c r="M284" s="344" t="s">
        <v>12634</v>
      </c>
      <c r="N284" s="344" t="s">
        <v>12339</v>
      </c>
      <c r="O284" s="348"/>
      <c r="P284" s="348"/>
      <c r="Q284" s="348"/>
      <c r="R284" s="348"/>
      <c r="S284" s="348"/>
      <c r="T284" s="348"/>
      <c r="U284" s="348"/>
      <c r="V284" s="348"/>
      <c r="W284" s="348"/>
      <c r="X284" s="348"/>
      <c r="Y284" s="348"/>
      <c r="Z284" s="348"/>
    </row>
    <row r="285" spans="1:26" s="64" customFormat="1" ht="47.25" customHeight="1" thickBot="1" x14ac:dyDescent="0.35">
      <c r="A285" s="343">
        <v>45439</v>
      </c>
      <c r="B285" s="345" t="s">
        <v>12822</v>
      </c>
      <c r="C285" s="346">
        <v>421903818262</v>
      </c>
      <c r="D285" s="344" t="s">
        <v>12341</v>
      </c>
      <c r="E285" s="344" t="s">
        <v>12823</v>
      </c>
      <c r="F285" s="344" t="s">
        <v>12346</v>
      </c>
      <c r="G285" s="347">
        <v>80</v>
      </c>
      <c r="H285" s="347">
        <v>40</v>
      </c>
      <c r="I285" s="347">
        <v>40</v>
      </c>
      <c r="J285" s="344"/>
      <c r="K285" s="344"/>
      <c r="L285" s="344" t="s">
        <v>12341</v>
      </c>
      <c r="M285" s="344" t="s">
        <v>12634</v>
      </c>
      <c r="N285" s="344" t="s">
        <v>12339</v>
      </c>
      <c r="O285" s="348"/>
      <c r="P285" s="348"/>
      <c r="Q285" s="348"/>
      <c r="R285" s="348"/>
      <c r="S285" s="348"/>
      <c r="T285" s="348"/>
      <c r="U285" s="348"/>
      <c r="V285" s="348"/>
      <c r="W285" s="348"/>
      <c r="X285" s="348"/>
      <c r="Y285" s="348"/>
      <c r="Z285" s="348"/>
    </row>
    <row r="286" spans="1:26" s="64" customFormat="1" ht="47.25" customHeight="1" thickBot="1" x14ac:dyDescent="0.35">
      <c r="A286" s="343">
        <v>45440</v>
      </c>
      <c r="B286" s="345" t="s">
        <v>12824</v>
      </c>
      <c r="C286" s="344"/>
      <c r="D286" s="344" t="s">
        <v>12341</v>
      </c>
      <c r="E286" s="344" t="s">
        <v>12675</v>
      </c>
      <c r="F286" s="344" t="s">
        <v>12346</v>
      </c>
      <c r="G286" s="347">
        <v>80</v>
      </c>
      <c r="H286" s="347">
        <v>40</v>
      </c>
      <c r="I286" s="347">
        <v>40</v>
      </c>
      <c r="J286" s="344"/>
      <c r="K286" s="344"/>
      <c r="L286" s="344" t="s">
        <v>12341</v>
      </c>
      <c r="M286" s="344" t="s">
        <v>12634</v>
      </c>
      <c r="N286" s="344" t="s">
        <v>12339</v>
      </c>
      <c r="O286" s="348"/>
      <c r="P286" s="348"/>
      <c r="Q286" s="348"/>
      <c r="R286" s="348"/>
      <c r="S286" s="348"/>
      <c r="T286" s="348"/>
      <c r="U286" s="348"/>
      <c r="V286" s="348"/>
      <c r="W286" s="348"/>
      <c r="X286" s="348"/>
      <c r="Y286" s="348"/>
      <c r="Z286" s="348"/>
    </row>
    <row r="287" spans="1:26" s="64" customFormat="1" ht="47.25" customHeight="1" thickBot="1" x14ac:dyDescent="0.3">
      <c r="A287" s="343">
        <v>45440</v>
      </c>
      <c r="B287" s="350" t="s">
        <v>12825</v>
      </c>
      <c r="C287" s="344"/>
      <c r="D287" s="344" t="s">
        <v>12341</v>
      </c>
      <c r="E287" s="344" t="s">
        <v>12341</v>
      </c>
      <c r="F287" s="344"/>
      <c r="G287" s="344"/>
      <c r="H287" s="344"/>
      <c r="I287" s="344"/>
      <c r="J287" s="344"/>
      <c r="K287" s="344" t="s">
        <v>12826</v>
      </c>
      <c r="L287" s="344" t="s">
        <v>12341</v>
      </c>
      <c r="M287" s="344" t="s">
        <v>12634</v>
      </c>
      <c r="N287" s="344" t="s">
        <v>12339</v>
      </c>
      <c r="O287" s="348"/>
      <c r="P287" s="348"/>
      <c r="Q287" s="348"/>
      <c r="R287" s="348"/>
      <c r="S287" s="348"/>
      <c r="T287" s="348"/>
      <c r="U287" s="348"/>
      <c r="V287" s="348"/>
      <c r="W287" s="348"/>
      <c r="X287" s="348"/>
      <c r="Y287" s="348"/>
      <c r="Z287" s="348"/>
    </row>
    <row r="288" spans="1:26" s="64" customFormat="1" ht="47.25" customHeight="1" thickBot="1" x14ac:dyDescent="0.35">
      <c r="A288" s="343">
        <v>45440</v>
      </c>
      <c r="B288" s="345" t="s">
        <v>12827</v>
      </c>
      <c r="C288" s="344"/>
      <c r="D288" s="344" t="s">
        <v>12341</v>
      </c>
      <c r="E288" s="344" t="s">
        <v>12341</v>
      </c>
      <c r="F288" s="344"/>
      <c r="G288" s="344"/>
      <c r="H288" s="344"/>
      <c r="I288" s="344"/>
      <c r="J288" s="344"/>
      <c r="K288" s="344" t="s">
        <v>12828</v>
      </c>
      <c r="L288" s="344" t="s">
        <v>12341</v>
      </c>
      <c r="M288" s="344" t="s">
        <v>12634</v>
      </c>
      <c r="N288" s="344" t="s">
        <v>12339</v>
      </c>
      <c r="O288" s="348"/>
      <c r="P288" s="348"/>
      <c r="Q288" s="348"/>
      <c r="R288" s="348"/>
      <c r="S288" s="348"/>
      <c r="T288" s="348"/>
      <c r="U288" s="348"/>
      <c r="V288" s="348"/>
      <c r="W288" s="348"/>
      <c r="X288" s="348"/>
      <c r="Y288" s="348"/>
      <c r="Z288" s="348"/>
    </row>
    <row r="289" spans="1:26" s="64" customFormat="1" ht="47.25" customHeight="1" thickBot="1" x14ac:dyDescent="0.35">
      <c r="A289" s="343">
        <v>45440</v>
      </c>
      <c r="B289" s="345" t="s">
        <v>12829</v>
      </c>
      <c r="C289" s="344"/>
      <c r="D289" s="344" t="s">
        <v>12341</v>
      </c>
      <c r="E289" s="344" t="s">
        <v>12830</v>
      </c>
      <c r="F289" s="344" t="s">
        <v>12346</v>
      </c>
      <c r="G289" s="347">
        <v>365</v>
      </c>
      <c r="H289" s="347">
        <v>0</v>
      </c>
      <c r="I289" s="347">
        <v>365</v>
      </c>
      <c r="J289" s="344"/>
      <c r="K289" s="344"/>
      <c r="L289" s="344" t="s">
        <v>12341</v>
      </c>
      <c r="M289" s="344" t="s">
        <v>12634</v>
      </c>
      <c r="N289" s="344" t="s">
        <v>12339</v>
      </c>
      <c r="O289" s="348"/>
      <c r="P289" s="348"/>
      <c r="Q289" s="348"/>
      <c r="R289" s="348"/>
      <c r="S289" s="348"/>
      <c r="T289" s="348"/>
      <c r="U289" s="348"/>
      <c r="V289" s="348"/>
      <c r="W289" s="348"/>
      <c r="X289" s="348"/>
      <c r="Y289" s="348"/>
      <c r="Z289" s="348"/>
    </row>
    <row r="290" spans="1:26" s="64" customFormat="1" ht="47.25" customHeight="1" thickBot="1" x14ac:dyDescent="0.35">
      <c r="A290" s="343">
        <v>45440</v>
      </c>
      <c r="B290" s="345" t="s">
        <v>12831</v>
      </c>
      <c r="C290" s="346">
        <v>421905150416</v>
      </c>
      <c r="D290" s="344" t="s">
        <v>12341</v>
      </c>
      <c r="E290" s="344" t="s">
        <v>12341</v>
      </c>
      <c r="F290" s="344"/>
      <c r="G290" s="344"/>
      <c r="H290" s="344"/>
      <c r="I290" s="344"/>
      <c r="J290" s="344"/>
      <c r="K290" s="344" t="s">
        <v>12832</v>
      </c>
      <c r="L290" s="344" t="s">
        <v>12341</v>
      </c>
      <c r="M290" s="344" t="s">
        <v>12634</v>
      </c>
      <c r="N290" s="344" t="s">
        <v>12339</v>
      </c>
      <c r="O290" s="348"/>
      <c r="P290" s="348"/>
      <c r="Q290" s="348"/>
      <c r="R290" s="348"/>
      <c r="S290" s="348"/>
      <c r="T290" s="348"/>
      <c r="U290" s="348"/>
      <c r="V290" s="348"/>
      <c r="W290" s="348"/>
      <c r="X290" s="348"/>
      <c r="Y290" s="348"/>
      <c r="Z290" s="348"/>
    </row>
    <row r="291" spans="1:26" s="64" customFormat="1" ht="47.25" customHeight="1" thickBot="1" x14ac:dyDescent="0.35">
      <c r="A291" s="343">
        <v>45441</v>
      </c>
      <c r="B291" s="345" t="s">
        <v>12833</v>
      </c>
      <c r="C291" s="344"/>
      <c r="D291" s="344" t="s">
        <v>12341</v>
      </c>
      <c r="E291" s="344" t="s">
        <v>12834</v>
      </c>
      <c r="F291" s="344" t="s">
        <v>12346</v>
      </c>
      <c r="G291" s="347">
        <v>85</v>
      </c>
      <c r="H291" s="347">
        <v>42.5</v>
      </c>
      <c r="I291" s="347">
        <v>42.5</v>
      </c>
      <c r="J291" s="344" t="s">
        <v>12835</v>
      </c>
      <c r="K291" s="344"/>
      <c r="L291" s="344" t="s">
        <v>12341</v>
      </c>
      <c r="M291" s="344" t="s">
        <v>12634</v>
      </c>
      <c r="N291" s="344" t="s">
        <v>12344</v>
      </c>
      <c r="O291" s="348"/>
      <c r="P291" s="348"/>
      <c r="Q291" s="348"/>
      <c r="R291" s="348"/>
      <c r="S291" s="348"/>
      <c r="T291" s="348"/>
      <c r="U291" s="348"/>
      <c r="V291" s="348"/>
      <c r="W291" s="348"/>
      <c r="X291" s="348"/>
      <c r="Y291" s="348"/>
      <c r="Z291" s="348"/>
    </row>
    <row r="292" spans="1:26" s="64" customFormat="1" ht="47.25" customHeight="1" thickBot="1" x14ac:dyDescent="0.35">
      <c r="A292" s="343">
        <v>45441</v>
      </c>
      <c r="B292" s="345" t="s">
        <v>12836</v>
      </c>
      <c r="C292" s="344"/>
      <c r="D292" s="344" t="s">
        <v>12341</v>
      </c>
      <c r="E292" s="344" t="s">
        <v>12341</v>
      </c>
      <c r="F292" s="344"/>
      <c r="G292" s="344"/>
      <c r="H292" s="344"/>
      <c r="I292" s="344"/>
      <c r="J292" s="344"/>
      <c r="K292" s="344" t="s">
        <v>12837</v>
      </c>
      <c r="L292" s="344" t="s">
        <v>12341</v>
      </c>
      <c r="M292" s="344" t="s">
        <v>12634</v>
      </c>
      <c r="N292" s="344" t="s">
        <v>12339</v>
      </c>
      <c r="O292" s="348"/>
      <c r="P292" s="348"/>
      <c r="Q292" s="348"/>
      <c r="R292" s="348"/>
      <c r="S292" s="348"/>
      <c r="T292" s="348"/>
      <c r="U292" s="348"/>
      <c r="V292" s="348"/>
      <c r="W292" s="348"/>
      <c r="X292" s="348"/>
      <c r="Y292" s="348"/>
      <c r="Z292" s="348"/>
    </row>
    <row r="293" spans="1:26" s="64" customFormat="1" ht="47.25" customHeight="1" thickBot="1" x14ac:dyDescent="0.35">
      <c r="A293" s="343">
        <v>45441</v>
      </c>
      <c r="B293" s="345" t="s">
        <v>12838</v>
      </c>
      <c r="C293" s="344"/>
      <c r="D293" s="344" t="s">
        <v>12341</v>
      </c>
      <c r="E293" s="344" t="s">
        <v>12675</v>
      </c>
      <c r="F293" s="344" t="s">
        <v>12346</v>
      </c>
      <c r="G293" s="347">
        <v>80</v>
      </c>
      <c r="H293" s="347">
        <v>40</v>
      </c>
      <c r="I293" s="347">
        <v>40</v>
      </c>
      <c r="J293" s="344"/>
      <c r="K293" s="344"/>
      <c r="L293" s="344" t="s">
        <v>12341</v>
      </c>
      <c r="M293" s="344" t="s">
        <v>12634</v>
      </c>
      <c r="N293" s="344" t="s">
        <v>12339</v>
      </c>
      <c r="O293" s="348"/>
      <c r="P293" s="348"/>
      <c r="Q293" s="348"/>
      <c r="R293" s="348"/>
      <c r="S293" s="348"/>
      <c r="T293" s="348"/>
      <c r="U293" s="348"/>
      <c r="V293" s="348"/>
      <c r="W293" s="348"/>
      <c r="X293" s="348"/>
      <c r="Y293" s="348"/>
      <c r="Z293" s="348"/>
    </row>
    <row r="294" spans="1:26" s="64" customFormat="1" ht="47.25" customHeight="1" thickBot="1" x14ac:dyDescent="0.35">
      <c r="A294" s="343">
        <v>45441</v>
      </c>
      <c r="B294" s="345" t="s">
        <v>12839</v>
      </c>
      <c r="C294" s="344"/>
      <c r="D294" s="344" t="s">
        <v>12341</v>
      </c>
      <c r="E294" s="344" t="s">
        <v>12675</v>
      </c>
      <c r="F294" s="344" t="s">
        <v>12346</v>
      </c>
      <c r="G294" s="347">
        <v>80</v>
      </c>
      <c r="H294" s="347">
        <v>40</v>
      </c>
      <c r="I294" s="347">
        <v>40</v>
      </c>
      <c r="J294" s="344"/>
      <c r="K294" s="344"/>
      <c r="L294" s="344" t="s">
        <v>12341</v>
      </c>
      <c r="M294" s="344" t="s">
        <v>12634</v>
      </c>
      <c r="N294" s="344" t="s">
        <v>12339</v>
      </c>
      <c r="O294" s="348"/>
      <c r="P294" s="348"/>
      <c r="Q294" s="348"/>
      <c r="R294" s="348"/>
      <c r="S294" s="348"/>
      <c r="T294" s="348"/>
      <c r="U294" s="348"/>
      <c r="V294" s="348"/>
      <c r="W294" s="348"/>
      <c r="X294" s="348"/>
      <c r="Y294" s="348"/>
      <c r="Z294" s="348"/>
    </row>
    <row r="295" spans="1:26" s="64" customFormat="1" ht="47.25" customHeight="1" thickBot="1" x14ac:dyDescent="0.35">
      <c r="A295" s="343">
        <v>45441</v>
      </c>
      <c r="B295" s="345" t="s">
        <v>12840</v>
      </c>
      <c r="C295" s="344"/>
      <c r="D295" s="344" t="s">
        <v>12341</v>
      </c>
      <c r="E295" s="344" t="s">
        <v>12341</v>
      </c>
      <c r="F295" s="344"/>
      <c r="G295" s="344"/>
      <c r="H295" s="344"/>
      <c r="I295" s="344"/>
      <c r="J295" s="344"/>
      <c r="K295" s="344" t="s">
        <v>12841</v>
      </c>
      <c r="L295" s="344" t="s">
        <v>12341</v>
      </c>
      <c r="M295" s="344" t="s">
        <v>12634</v>
      </c>
      <c r="N295" s="344" t="s">
        <v>12339</v>
      </c>
      <c r="O295" s="348"/>
      <c r="P295" s="348"/>
      <c r="Q295" s="348"/>
      <c r="R295" s="348"/>
      <c r="S295" s="348"/>
      <c r="T295" s="348"/>
      <c r="U295" s="348"/>
      <c r="V295" s="348"/>
      <c r="W295" s="348"/>
      <c r="X295" s="348"/>
      <c r="Y295" s="348"/>
      <c r="Z295" s="348"/>
    </row>
    <row r="296" spans="1:26" s="64" customFormat="1" ht="47.25" customHeight="1" thickBot="1" x14ac:dyDescent="0.3">
      <c r="A296" s="343">
        <v>45441</v>
      </c>
      <c r="B296" s="350" t="s">
        <v>12842</v>
      </c>
      <c r="C296" s="344"/>
      <c r="D296" s="344" t="s">
        <v>12341</v>
      </c>
      <c r="E296" s="344" t="s">
        <v>12341</v>
      </c>
      <c r="F296" s="344"/>
      <c r="G296" s="344"/>
      <c r="H296" s="344"/>
      <c r="I296" s="344"/>
      <c r="J296" s="344"/>
      <c r="K296" s="344" t="s">
        <v>12843</v>
      </c>
      <c r="L296" s="344" t="s">
        <v>12341</v>
      </c>
      <c r="M296" s="344" t="s">
        <v>12634</v>
      </c>
      <c r="N296" s="344" t="s">
        <v>12339</v>
      </c>
      <c r="O296" s="348"/>
      <c r="P296" s="348"/>
      <c r="Q296" s="348"/>
      <c r="R296" s="348"/>
      <c r="S296" s="348"/>
      <c r="T296" s="348"/>
      <c r="U296" s="348"/>
      <c r="V296" s="348"/>
      <c r="W296" s="348"/>
      <c r="X296" s="348"/>
      <c r="Y296" s="348"/>
      <c r="Z296" s="348"/>
    </row>
    <row r="297" spans="1:26" s="64" customFormat="1" ht="47.25" customHeight="1" thickBot="1" x14ac:dyDescent="0.3">
      <c r="A297" s="343">
        <v>45441</v>
      </c>
      <c r="B297" s="350" t="s">
        <v>12844</v>
      </c>
      <c r="C297" s="344"/>
      <c r="D297" s="344" t="s">
        <v>12341</v>
      </c>
      <c r="E297" s="344" t="s">
        <v>12341</v>
      </c>
      <c r="F297" s="344"/>
      <c r="G297" s="344"/>
      <c r="H297" s="344"/>
      <c r="I297" s="344"/>
      <c r="J297" s="344"/>
      <c r="K297" s="344" t="s">
        <v>12845</v>
      </c>
      <c r="L297" s="344" t="s">
        <v>12341</v>
      </c>
      <c r="M297" s="344" t="s">
        <v>12634</v>
      </c>
      <c r="N297" s="344" t="s">
        <v>12339</v>
      </c>
      <c r="O297" s="348"/>
      <c r="P297" s="348"/>
      <c r="Q297" s="348"/>
      <c r="R297" s="348"/>
      <c r="S297" s="348"/>
      <c r="T297" s="348"/>
      <c r="U297" s="348"/>
      <c r="V297" s="348"/>
      <c r="W297" s="348"/>
      <c r="X297" s="348"/>
      <c r="Y297" s="348"/>
      <c r="Z297" s="348"/>
    </row>
    <row r="298" spans="1:26" s="64" customFormat="1" ht="47.25" customHeight="1" thickBot="1" x14ac:dyDescent="0.3">
      <c r="A298" s="343">
        <v>45441</v>
      </c>
      <c r="B298" s="350" t="s">
        <v>12846</v>
      </c>
      <c r="C298" s="344"/>
      <c r="D298" s="344" t="s">
        <v>12341</v>
      </c>
      <c r="E298" s="344" t="s">
        <v>12341</v>
      </c>
      <c r="F298" s="344"/>
      <c r="G298" s="344"/>
      <c r="H298" s="344"/>
      <c r="I298" s="344"/>
      <c r="J298" s="344"/>
      <c r="K298" s="344" t="s">
        <v>12847</v>
      </c>
      <c r="L298" s="344" t="s">
        <v>12341</v>
      </c>
      <c r="M298" s="344" t="s">
        <v>12634</v>
      </c>
      <c r="N298" s="344" t="s">
        <v>12339</v>
      </c>
      <c r="O298" s="348"/>
      <c r="P298" s="348"/>
      <c r="Q298" s="348"/>
      <c r="R298" s="348"/>
      <c r="S298" s="348"/>
      <c r="T298" s="348"/>
      <c r="U298" s="348"/>
      <c r="V298" s="348"/>
      <c r="W298" s="348"/>
      <c r="X298" s="348"/>
      <c r="Y298" s="348"/>
      <c r="Z298" s="348"/>
    </row>
    <row r="299" spans="1:26" s="64" customFormat="1" ht="47.25" customHeight="1" thickBot="1" x14ac:dyDescent="0.35">
      <c r="A299" s="343">
        <v>45441</v>
      </c>
      <c r="B299" s="345" t="s">
        <v>12848</v>
      </c>
      <c r="C299" s="344"/>
      <c r="D299" s="344" t="s">
        <v>12341</v>
      </c>
      <c r="E299" s="344" t="s">
        <v>12341</v>
      </c>
      <c r="F299" s="344"/>
      <c r="G299" s="344"/>
      <c r="H299" s="344"/>
      <c r="I299" s="344"/>
      <c r="J299" s="344"/>
      <c r="K299" s="344" t="s">
        <v>12849</v>
      </c>
      <c r="L299" s="344" t="s">
        <v>12850</v>
      </c>
      <c r="M299" s="344" t="s">
        <v>12634</v>
      </c>
      <c r="N299" s="344" t="s">
        <v>12339</v>
      </c>
      <c r="O299" s="348"/>
      <c r="P299" s="348"/>
      <c r="Q299" s="348"/>
      <c r="R299" s="348"/>
      <c r="S299" s="348"/>
      <c r="T299" s="348"/>
      <c r="U299" s="348"/>
      <c r="V299" s="348"/>
      <c r="W299" s="348"/>
      <c r="X299" s="348"/>
      <c r="Y299" s="348"/>
      <c r="Z299" s="348"/>
    </row>
    <row r="300" spans="1:26" s="64" customFormat="1" ht="47.25" customHeight="1" thickBot="1" x14ac:dyDescent="0.3">
      <c r="A300" s="343">
        <v>45441</v>
      </c>
      <c r="B300" s="350" t="s">
        <v>12851</v>
      </c>
      <c r="C300" s="344"/>
      <c r="D300" s="344" t="s">
        <v>12341</v>
      </c>
      <c r="E300" s="344" t="s">
        <v>12341</v>
      </c>
      <c r="F300" s="344"/>
      <c r="G300" s="344"/>
      <c r="H300" s="344"/>
      <c r="I300" s="344"/>
      <c r="J300" s="344"/>
      <c r="K300" s="344" t="s">
        <v>12852</v>
      </c>
      <c r="L300" s="344" t="s">
        <v>12341</v>
      </c>
      <c r="M300" s="344" t="s">
        <v>12634</v>
      </c>
      <c r="N300" s="344" t="s">
        <v>12339</v>
      </c>
      <c r="O300" s="348"/>
      <c r="P300" s="348"/>
      <c r="Q300" s="348"/>
      <c r="R300" s="348"/>
      <c r="S300" s="348"/>
      <c r="T300" s="348"/>
      <c r="U300" s="348"/>
      <c r="V300" s="348"/>
      <c r="W300" s="348"/>
      <c r="X300" s="348"/>
      <c r="Y300" s="348"/>
      <c r="Z300" s="348"/>
    </row>
    <row r="301" spans="1:26" s="64" customFormat="1" ht="47.25" customHeight="1" thickBot="1" x14ac:dyDescent="0.35">
      <c r="A301" s="343">
        <v>45441</v>
      </c>
      <c r="B301" s="345" t="s">
        <v>12853</v>
      </c>
      <c r="C301" s="344"/>
      <c r="D301" s="344" t="s">
        <v>12341</v>
      </c>
      <c r="E301" s="344" t="s">
        <v>12675</v>
      </c>
      <c r="F301" s="344" t="s">
        <v>12346</v>
      </c>
      <c r="G301" s="347">
        <v>80</v>
      </c>
      <c r="H301" s="347">
        <v>40</v>
      </c>
      <c r="I301" s="347">
        <v>40</v>
      </c>
      <c r="J301" s="344"/>
      <c r="K301" s="344"/>
      <c r="L301" s="344" t="s">
        <v>12341</v>
      </c>
      <c r="M301" s="344" t="s">
        <v>12634</v>
      </c>
      <c r="N301" s="344" t="s">
        <v>12339</v>
      </c>
      <c r="O301" s="348"/>
      <c r="P301" s="348"/>
      <c r="Q301" s="348"/>
      <c r="R301" s="348"/>
      <c r="S301" s="348"/>
      <c r="T301" s="348"/>
      <c r="U301" s="348"/>
      <c r="V301" s="348"/>
      <c r="W301" s="348"/>
      <c r="X301" s="348"/>
      <c r="Y301" s="348"/>
      <c r="Z301" s="348"/>
    </row>
    <row r="302" spans="1:26" s="64" customFormat="1" ht="47.25" customHeight="1" thickBot="1" x14ac:dyDescent="0.35">
      <c r="A302" s="343">
        <v>45442</v>
      </c>
      <c r="B302" s="345" t="s">
        <v>12854</v>
      </c>
      <c r="C302" s="344"/>
      <c r="D302" s="344" t="s">
        <v>12341</v>
      </c>
      <c r="E302" s="344" t="s">
        <v>12809</v>
      </c>
      <c r="F302" s="344" t="s">
        <v>2324</v>
      </c>
      <c r="G302" s="344"/>
      <c r="H302" s="344"/>
      <c r="I302" s="344"/>
      <c r="J302" s="344" t="s">
        <v>12809</v>
      </c>
      <c r="K302" s="344"/>
      <c r="L302" s="344" t="s">
        <v>12341</v>
      </c>
      <c r="M302" s="344" t="s">
        <v>12634</v>
      </c>
      <c r="N302" s="344" t="s">
        <v>12339</v>
      </c>
      <c r="O302" s="348"/>
      <c r="P302" s="348"/>
      <c r="Q302" s="348"/>
      <c r="R302" s="348"/>
      <c r="S302" s="348"/>
      <c r="T302" s="348"/>
      <c r="U302" s="348"/>
      <c r="V302" s="348"/>
      <c r="W302" s="348"/>
      <c r="X302" s="348"/>
      <c r="Y302" s="348"/>
      <c r="Z302" s="348"/>
    </row>
    <row r="303" spans="1:26" s="64" customFormat="1" ht="47.25" customHeight="1" thickBot="1" x14ac:dyDescent="0.35">
      <c r="A303" s="343">
        <v>45442</v>
      </c>
      <c r="B303" s="345" t="s">
        <v>12855</v>
      </c>
      <c r="C303" s="344"/>
      <c r="D303" s="344" t="s">
        <v>12341</v>
      </c>
      <c r="E303" s="344" t="s">
        <v>12341</v>
      </c>
      <c r="F303" s="344"/>
      <c r="G303" s="344"/>
      <c r="H303" s="344"/>
      <c r="I303" s="344"/>
      <c r="J303" s="344"/>
      <c r="K303" s="344" t="s">
        <v>12856</v>
      </c>
      <c r="L303" s="344" t="s">
        <v>12341</v>
      </c>
      <c r="M303" s="344" t="s">
        <v>12634</v>
      </c>
      <c r="N303" s="344" t="s">
        <v>12339</v>
      </c>
      <c r="O303" s="348"/>
      <c r="P303" s="348"/>
      <c r="Q303" s="348"/>
      <c r="R303" s="348"/>
      <c r="S303" s="348"/>
      <c r="T303" s="348"/>
      <c r="U303" s="348"/>
      <c r="V303" s="348"/>
      <c r="W303" s="348"/>
      <c r="X303" s="348"/>
      <c r="Y303" s="348"/>
      <c r="Z303" s="348"/>
    </row>
    <row r="304" spans="1:26" s="64" customFormat="1" ht="47.25" customHeight="1" thickBot="1" x14ac:dyDescent="0.35">
      <c r="A304" s="343">
        <v>45442</v>
      </c>
      <c r="B304" s="345" t="s">
        <v>12857</v>
      </c>
      <c r="C304" s="344"/>
      <c r="D304" s="344" t="s">
        <v>12341</v>
      </c>
      <c r="E304" s="344" t="s">
        <v>2992</v>
      </c>
      <c r="F304" s="344" t="s">
        <v>12346</v>
      </c>
      <c r="G304" s="347">
        <v>170</v>
      </c>
      <c r="H304" s="347">
        <v>0</v>
      </c>
      <c r="I304" s="347">
        <v>170</v>
      </c>
      <c r="J304" s="344" t="s">
        <v>12858</v>
      </c>
      <c r="K304" s="344"/>
      <c r="L304" s="344" t="s">
        <v>12341</v>
      </c>
      <c r="M304" s="344" t="s">
        <v>12634</v>
      </c>
      <c r="N304" s="344" t="s">
        <v>12339</v>
      </c>
      <c r="O304" s="348"/>
      <c r="P304" s="348"/>
      <c r="Q304" s="348"/>
      <c r="R304" s="348"/>
      <c r="S304" s="348"/>
      <c r="T304" s="348"/>
      <c r="U304" s="348"/>
      <c r="V304" s="348"/>
      <c r="W304" s="348"/>
      <c r="X304" s="348"/>
      <c r="Y304" s="348"/>
      <c r="Z304" s="348"/>
    </row>
    <row r="305" spans="1:26" s="64" customFormat="1" ht="47.25" customHeight="1" thickBot="1" x14ac:dyDescent="0.35">
      <c r="A305" s="343">
        <v>45442</v>
      </c>
      <c r="B305" s="345" t="s">
        <v>12859</v>
      </c>
      <c r="C305" s="344"/>
      <c r="D305" s="344" t="s">
        <v>12341</v>
      </c>
      <c r="E305" s="344" t="s">
        <v>12675</v>
      </c>
      <c r="F305" s="344" t="s">
        <v>12346</v>
      </c>
      <c r="G305" s="347">
        <v>80</v>
      </c>
      <c r="H305" s="347">
        <v>40</v>
      </c>
      <c r="I305" s="347">
        <v>40</v>
      </c>
      <c r="J305" s="344"/>
      <c r="K305" s="344"/>
      <c r="L305" s="344" t="s">
        <v>12341</v>
      </c>
      <c r="M305" s="344" t="s">
        <v>12634</v>
      </c>
      <c r="N305" s="344" t="s">
        <v>12339</v>
      </c>
      <c r="O305" s="348"/>
      <c r="P305" s="348"/>
      <c r="Q305" s="348"/>
      <c r="R305" s="348"/>
      <c r="S305" s="348"/>
      <c r="T305" s="348"/>
      <c r="U305" s="348"/>
      <c r="V305" s="348"/>
      <c r="W305" s="348"/>
      <c r="X305" s="348"/>
      <c r="Y305" s="348"/>
      <c r="Z305" s="348"/>
    </row>
    <row r="306" spans="1:26" s="64" customFormat="1" ht="47.25" customHeight="1" thickBot="1" x14ac:dyDescent="0.35">
      <c r="A306" s="343">
        <v>45442</v>
      </c>
      <c r="B306" s="345" t="s">
        <v>12860</v>
      </c>
      <c r="C306" s="344"/>
      <c r="D306" s="344" t="s">
        <v>12341</v>
      </c>
      <c r="E306" s="344" t="s">
        <v>12341</v>
      </c>
      <c r="F306" s="344"/>
      <c r="G306" s="344"/>
      <c r="H306" s="344"/>
      <c r="I306" s="344"/>
      <c r="J306" s="344"/>
      <c r="K306" s="344" t="s">
        <v>12861</v>
      </c>
      <c r="L306" s="344" t="s">
        <v>12341</v>
      </c>
      <c r="M306" s="344" t="s">
        <v>12634</v>
      </c>
      <c r="N306" s="344" t="s">
        <v>12339</v>
      </c>
      <c r="O306" s="348"/>
      <c r="P306" s="348"/>
      <c r="Q306" s="348"/>
      <c r="R306" s="348"/>
      <c r="S306" s="348"/>
      <c r="T306" s="348"/>
      <c r="U306" s="348"/>
      <c r="V306" s="348"/>
      <c r="W306" s="348"/>
      <c r="X306" s="348"/>
      <c r="Y306" s="348"/>
      <c r="Z306" s="348"/>
    </row>
    <row r="307" spans="1:26" s="64" customFormat="1" ht="47.25" customHeight="1" thickBot="1" x14ac:dyDescent="0.35">
      <c r="A307" s="343">
        <v>45442</v>
      </c>
      <c r="B307" s="345" t="s">
        <v>12862</v>
      </c>
      <c r="C307" s="344"/>
      <c r="D307" s="344" t="s">
        <v>12341</v>
      </c>
      <c r="E307" s="344" t="s">
        <v>12675</v>
      </c>
      <c r="F307" s="344" t="s">
        <v>12346</v>
      </c>
      <c r="G307" s="347">
        <v>85</v>
      </c>
      <c r="H307" s="347">
        <v>42.5</v>
      </c>
      <c r="I307" s="347">
        <v>42.5</v>
      </c>
      <c r="J307" s="344"/>
      <c r="K307" s="344"/>
      <c r="L307" s="344" t="s">
        <v>12341</v>
      </c>
      <c r="M307" s="344" t="s">
        <v>12634</v>
      </c>
      <c r="N307" s="344" t="s">
        <v>12339</v>
      </c>
      <c r="O307" s="348"/>
      <c r="P307" s="348"/>
      <c r="Q307" s="348"/>
      <c r="R307" s="348"/>
      <c r="S307" s="348"/>
      <c r="T307" s="348"/>
      <c r="U307" s="348"/>
      <c r="V307" s="348"/>
      <c r="W307" s="348"/>
      <c r="X307" s="348"/>
      <c r="Y307" s="348"/>
      <c r="Z307" s="348"/>
    </row>
    <row r="308" spans="1:26" s="64" customFormat="1" ht="47.25" customHeight="1" thickBot="1" x14ac:dyDescent="0.35">
      <c r="A308" s="343">
        <v>45442</v>
      </c>
      <c r="B308" s="345" t="s">
        <v>12863</v>
      </c>
      <c r="C308" s="344"/>
      <c r="D308" s="344" t="s">
        <v>12341</v>
      </c>
      <c r="E308" s="344" t="s">
        <v>12864</v>
      </c>
      <c r="F308" s="344" t="s">
        <v>12346</v>
      </c>
      <c r="G308" s="347">
        <v>80</v>
      </c>
      <c r="H308" s="347">
        <v>40</v>
      </c>
      <c r="I308" s="347">
        <v>40</v>
      </c>
      <c r="J308" s="344"/>
      <c r="K308" s="344"/>
      <c r="L308" s="344" t="s">
        <v>12341</v>
      </c>
      <c r="M308" s="344" t="s">
        <v>12634</v>
      </c>
      <c r="N308" s="344" t="s">
        <v>12344</v>
      </c>
      <c r="O308" s="348"/>
      <c r="P308" s="348"/>
      <c r="Q308" s="348"/>
      <c r="R308" s="348"/>
      <c r="S308" s="348"/>
      <c r="T308" s="348"/>
      <c r="U308" s="348"/>
      <c r="V308" s="348"/>
      <c r="W308" s="348"/>
      <c r="X308" s="348"/>
      <c r="Y308" s="348"/>
      <c r="Z308" s="348"/>
    </row>
    <row r="309" spans="1:26" s="64" customFormat="1" ht="47.25" customHeight="1" thickBot="1" x14ac:dyDescent="0.35">
      <c r="A309" s="343">
        <v>45442</v>
      </c>
      <c r="B309" s="345" t="s">
        <v>12865</v>
      </c>
      <c r="C309" s="344"/>
      <c r="D309" s="344" t="s">
        <v>12341</v>
      </c>
      <c r="E309" s="344" t="s">
        <v>12341</v>
      </c>
      <c r="F309" s="344"/>
      <c r="G309" s="344"/>
      <c r="H309" s="344"/>
      <c r="I309" s="344"/>
      <c r="J309" s="344"/>
      <c r="K309" s="344" t="s">
        <v>12866</v>
      </c>
      <c r="L309" s="344" t="s">
        <v>12341</v>
      </c>
      <c r="M309" s="344" t="s">
        <v>12634</v>
      </c>
      <c r="N309" s="344" t="s">
        <v>12339</v>
      </c>
      <c r="O309" s="348"/>
      <c r="P309" s="348"/>
      <c r="Q309" s="348"/>
      <c r="R309" s="348"/>
      <c r="S309" s="348"/>
      <c r="T309" s="348"/>
      <c r="U309" s="348"/>
      <c r="V309" s="348"/>
      <c r="W309" s="348"/>
      <c r="X309" s="348"/>
      <c r="Y309" s="348"/>
      <c r="Z309" s="348"/>
    </row>
    <row r="310" spans="1:26" s="64" customFormat="1" ht="47.25" customHeight="1" thickBot="1" x14ac:dyDescent="0.35">
      <c r="A310" s="343">
        <v>45442</v>
      </c>
      <c r="B310" s="345" t="s">
        <v>12867</v>
      </c>
      <c r="C310" s="344"/>
      <c r="D310" s="344" t="s">
        <v>12341</v>
      </c>
      <c r="E310" s="344" t="s">
        <v>2992</v>
      </c>
      <c r="F310" s="344" t="s">
        <v>12346</v>
      </c>
      <c r="G310" s="347">
        <v>100</v>
      </c>
      <c r="H310" s="347">
        <v>50</v>
      </c>
      <c r="I310" s="347">
        <v>35</v>
      </c>
      <c r="J310" s="344" t="s">
        <v>12868</v>
      </c>
      <c r="K310" s="344"/>
      <c r="L310" s="344" t="s">
        <v>12341</v>
      </c>
      <c r="M310" s="344" t="s">
        <v>12634</v>
      </c>
      <c r="N310" s="344" t="s">
        <v>12339</v>
      </c>
      <c r="O310" s="348"/>
      <c r="P310" s="348"/>
      <c r="Q310" s="348"/>
      <c r="R310" s="348"/>
      <c r="S310" s="348"/>
      <c r="T310" s="348"/>
      <c r="U310" s="348"/>
      <c r="V310" s="348"/>
      <c r="W310" s="348"/>
      <c r="X310" s="348"/>
      <c r="Y310" s="348"/>
      <c r="Z310" s="348"/>
    </row>
    <row r="311" spans="1:26" s="64" customFormat="1" ht="47.25" customHeight="1" thickBot="1" x14ac:dyDescent="0.35">
      <c r="A311" s="343">
        <v>45443</v>
      </c>
      <c r="B311" s="345" t="s">
        <v>12869</v>
      </c>
      <c r="C311" s="344"/>
      <c r="D311" s="344" t="s">
        <v>12341</v>
      </c>
      <c r="E311" s="344" t="s">
        <v>12341</v>
      </c>
      <c r="F311" s="344"/>
      <c r="G311" s="344"/>
      <c r="H311" s="344"/>
      <c r="I311" s="344"/>
      <c r="J311" s="344"/>
      <c r="K311" s="344" t="s">
        <v>12870</v>
      </c>
      <c r="L311" s="344" t="s">
        <v>12341</v>
      </c>
      <c r="M311" s="344" t="s">
        <v>12634</v>
      </c>
      <c r="N311" s="344" t="s">
        <v>12339</v>
      </c>
      <c r="O311" s="348"/>
      <c r="P311" s="348"/>
      <c r="Q311" s="348"/>
      <c r="R311" s="348"/>
      <c r="S311" s="348"/>
      <c r="T311" s="348"/>
      <c r="U311" s="348"/>
      <c r="V311" s="348"/>
      <c r="W311" s="348"/>
      <c r="X311" s="348"/>
      <c r="Y311" s="348"/>
      <c r="Z311" s="348"/>
    </row>
    <row r="312" spans="1:26" s="64" customFormat="1" ht="47.25" customHeight="1" thickBot="1" x14ac:dyDescent="0.35">
      <c r="A312" s="343">
        <v>45443</v>
      </c>
      <c r="B312" s="345" t="s">
        <v>12871</v>
      </c>
      <c r="C312" s="344"/>
      <c r="D312" s="344" t="s">
        <v>12341</v>
      </c>
      <c r="E312" s="344" t="s">
        <v>12341</v>
      </c>
      <c r="F312" s="344"/>
      <c r="G312" s="344"/>
      <c r="H312" s="344"/>
      <c r="I312" s="344"/>
      <c r="J312" s="344"/>
      <c r="K312" s="344" t="s">
        <v>12872</v>
      </c>
      <c r="L312" s="344" t="s">
        <v>12873</v>
      </c>
      <c r="M312" s="344" t="s">
        <v>12634</v>
      </c>
      <c r="N312" s="344" t="s">
        <v>12339</v>
      </c>
      <c r="O312" s="348"/>
      <c r="P312" s="348"/>
      <c r="Q312" s="348"/>
      <c r="R312" s="348"/>
      <c r="S312" s="348"/>
      <c r="T312" s="348"/>
      <c r="U312" s="348"/>
      <c r="V312" s="348"/>
      <c r="W312" s="348"/>
      <c r="X312" s="348"/>
      <c r="Y312" s="348"/>
      <c r="Z312" s="348"/>
    </row>
    <row r="313" spans="1:26" s="64" customFormat="1" ht="47.25" customHeight="1" thickBot="1" x14ac:dyDescent="0.35">
      <c r="A313" s="343">
        <v>45443</v>
      </c>
      <c r="B313" s="345" t="s">
        <v>12874</v>
      </c>
      <c r="C313" s="344"/>
      <c r="D313" s="344" t="s">
        <v>12341</v>
      </c>
      <c r="E313" s="344" t="s">
        <v>12675</v>
      </c>
      <c r="F313" s="344" t="s">
        <v>12346</v>
      </c>
      <c r="G313" s="347">
        <v>80</v>
      </c>
      <c r="H313" s="347">
        <v>40</v>
      </c>
      <c r="I313" s="347">
        <v>40</v>
      </c>
      <c r="J313" s="344"/>
      <c r="K313" s="344"/>
      <c r="L313" s="344" t="s">
        <v>12341</v>
      </c>
      <c r="M313" s="344" t="s">
        <v>12634</v>
      </c>
      <c r="N313" s="344" t="s">
        <v>12339</v>
      </c>
      <c r="O313" s="348"/>
      <c r="P313" s="348"/>
      <c r="Q313" s="348"/>
      <c r="R313" s="348"/>
      <c r="S313" s="348"/>
      <c r="T313" s="348"/>
      <c r="U313" s="348"/>
      <c r="V313" s="348"/>
      <c r="W313" s="348"/>
      <c r="X313" s="348"/>
      <c r="Y313" s="348"/>
      <c r="Z313" s="348"/>
    </row>
    <row r="314" spans="1:26" s="64" customFormat="1" ht="47.25" customHeight="1" thickBot="1" x14ac:dyDescent="0.35">
      <c r="A314" s="343">
        <v>45443</v>
      </c>
      <c r="B314" s="345" t="s">
        <v>12875</v>
      </c>
      <c r="C314" s="344"/>
      <c r="D314" s="344" t="s">
        <v>12341</v>
      </c>
      <c r="E314" s="344" t="s">
        <v>12341</v>
      </c>
      <c r="F314" s="344"/>
      <c r="G314" s="344"/>
      <c r="H314" s="344"/>
      <c r="I314" s="344"/>
      <c r="J314" s="344"/>
      <c r="K314" s="344" t="s">
        <v>12876</v>
      </c>
      <c r="L314" s="344" t="s">
        <v>12877</v>
      </c>
      <c r="M314" s="344" t="s">
        <v>12634</v>
      </c>
      <c r="N314" s="344" t="s">
        <v>12339</v>
      </c>
      <c r="O314" s="348"/>
      <c r="P314" s="348"/>
      <c r="Q314" s="348"/>
      <c r="R314" s="348"/>
      <c r="S314" s="348"/>
      <c r="T314" s="348"/>
      <c r="U314" s="348"/>
      <c r="V314" s="348"/>
      <c r="W314" s="348"/>
      <c r="X314" s="348"/>
      <c r="Y314" s="348"/>
      <c r="Z314" s="348"/>
    </row>
    <row r="315" spans="1:26" s="64" customFormat="1" ht="47.25" customHeight="1" thickBot="1" x14ac:dyDescent="0.35">
      <c r="A315" s="343">
        <v>45443</v>
      </c>
      <c r="B315" s="345" t="s">
        <v>12878</v>
      </c>
      <c r="C315" s="344"/>
      <c r="D315" s="344" t="s">
        <v>12341</v>
      </c>
      <c r="E315" s="344" t="s">
        <v>12675</v>
      </c>
      <c r="F315" s="344" t="s">
        <v>12346</v>
      </c>
      <c r="G315" s="347">
        <v>80</v>
      </c>
      <c r="H315" s="347">
        <v>40</v>
      </c>
      <c r="I315" s="347">
        <v>40</v>
      </c>
      <c r="J315" s="344"/>
      <c r="K315" s="344"/>
      <c r="L315" s="344" t="s">
        <v>12341</v>
      </c>
      <c r="M315" s="344" t="s">
        <v>12634</v>
      </c>
      <c r="N315" s="344" t="s">
        <v>12339</v>
      </c>
      <c r="O315" s="348"/>
      <c r="P315" s="348"/>
      <c r="Q315" s="348"/>
      <c r="R315" s="348"/>
      <c r="S315" s="348"/>
      <c r="T315" s="348"/>
      <c r="U315" s="348"/>
      <c r="V315" s="348"/>
      <c r="W315" s="348"/>
      <c r="X315" s="348"/>
      <c r="Y315" s="348"/>
      <c r="Z315" s="348"/>
    </row>
    <row r="316" spans="1:26" s="64" customFormat="1" ht="47.25" customHeight="1" thickBot="1" x14ac:dyDescent="0.3">
      <c r="A316" s="343">
        <v>45446</v>
      </c>
      <c r="B316" s="350" t="s">
        <v>12879</v>
      </c>
      <c r="C316" s="344"/>
      <c r="D316" s="344" t="s">
        <v>12341</v>
      </c>
      <c r="E316" s="344" t="s">
        <v>12341</v>
      </c>
      <c r="F316" s="344"/>
      <c r="G316" s="344"/>
      <c r="H316" s="344"/>
      <c r="I316" s="344"/>
      <c r="J316" s="344"/>
      <c r="K316" s="344" t="s">
        <v>12880</v>
      </c>
      <c r="L316" s="344" t="s">
        <v>12341</v>
      </c>
      <c r="M316" s="344" t="s">
        <v>12881</v>
      </c>
      <c r="N316" s="344" t="s">
        <v>12339</v>
      </c>
      <c r="O316" s="348"/>
      <c r="P316" s="348"/>
      <c r="Q316" s="348"/>
      <c r="R316" s="348"/>
      <c r="S316" s="348"/>
      <c r="T316" s="348"/>
      <c r="U316" s="348"/>
      <c r="V316" s="348"/>
      <c r="W316" s="348"/>
      <c r="X316" s="348"/>
      <c r="Y316" s="348"/>
      <c r="Z316" s="348"/>
    </row>
    <row r="317" spans="1:26" s="64" customFormat="1" ht="47.25" customHeight="1" thickBot="1" x14ac:dyDescent="0.35">
      <c r="A317" s="343">
        <v>45446</v>
      </c>
      <c r="B317" s="345" t="s">
        <v>12882</v>
      </c>
      <c r="C317" s="344"/>
      <c r="D317" s="344" t="s">
        <v>12341</v>
      </c>
      <c r="E317" s="344" t="s">
        <v>12341</v>
      </c>
      <c r="F317" s="344"/>
      <c r="G317" s="344"/>
      <c r="H317" s="344"/>
      <c r="I317" s="344"/>
      <c r="J317" s="344"/>
      <c r="K317" s="344" t="s">
        <v>12883</v>
      </c>
      <c r="L317" s="344" t="s">
        <v>12341</v>
      </c>
      <c r="M317" s="344" t="s">
        <v>12881</v>
      </c>
      <c r="N317" s="344" t="s">
        <v>12339</v>
      </c>
      <c r="O317" s="348"/>
      <c r="P317" s="348"/>
      <c r="Q317" s="348"/>
      <c r="R317" s="348"/>
      <c r="S317" s="348"/>
      <c r="T317" s="348"/>
      <c r="U317" s="348"/>
      <c r="V317" s="348"/>
      <c r="W317" s="348"/>
      <c r="X317" s="348"/>
      <c r="Y317" s="348"/>
      <c r="Z317" s="348"/>
    </row>
    <row r="318" spans="1:26" s="64" customFormat="1" ht="47.25" customHeight="1" thickBot="1" x14ac:dyDescent="0.35">
      <c r="A318" s="343">
        <v>45446</v>
      </c>
      <c r="B318" s="345" t="s">
        <v>12884</v>
      </c>
      <c r="C318" s="344"/>
      <c r="D318" s="344" t="s">
        <v>12341</v>
      </c>
      <c r="E318" s="344" t="s">
        <v>12341</v>
      </c>
      <c r="F318" s="344"/>
      <c r="G318" s="344"/>
      <c r="H318" s="344"/>
      <c r="I318" s="344"/>
      <c r="J318" s="344"/>
      <c r="K318" s="344" t="s">
        <v>12885</v>
      </c>
      <c r="L318" s="344" t="s">
        <v>12341</v>
      </c>
      <c r="M318" s="344" t="s">
        <v>12881</v>
      </c>
      <c r="N318" s="344" t="s">
        <v>12339</v>
      </c>
      <c r="O318" s="348"/>
      <c r="P318" s="348"/>
      <c r="Q318" s="348"/>
      <c r="R318" s="348"/>
      <c r="S318" s="348"/>
      <c r="T318" s="348"/>
      <c r="U318" s="348"/>
      <c r="V318" s="348"/>
      <c r="W318" s="348"/>
      <c r="X318" s="348"/>
      <c r="Y318" s="348"/>
      <c r="Z318" s="348"/>
    </row>
    <row r="319" spans="1:26" s="64" customFormat="1" ht="47.25" customHeight="1" thickBot="1" x14ac:dyDescent="0.3">
      <c r="A319" s="343">
        <v>45446</v>
      </c>
      <c r="B319" s="350" t="s">
        <v>12886</v>
      </c>
      <c r="C319" s="344"/>
      <c r="D319" s="344" t="s">
        <v>12341</v>
      </c>
      <c r="E319" s="344" t="s">
        <v>12341</v>
      </c>
      <c r="F319" s="344"/>
      <c r="G319" s="344"/>
      <c r="H319" s="344"/>
      <c r="I319" s="344"/>
      <c r="J319" s="344"/>
      <c r="K319" s="344" t="s">
        <v>12778</v>
      </c>
      <c r="L319" s="344" t="s">
        <v>12887</v>
      </c>
      <c r="M319" s="344" t="s">
        <v>12881</v>
      </c>
      <c r="N319" s="344" t="s">
        <v>12339</v>
      </c>
      <c r="O319" s="348"/>
      <c r="P319" s="348"/>
      <c r="Q319" s="348"/>
      <c r="R319" s="348"/>
      <c r="S319" s="348"/>
      <c r="T319" s="348"/>
      <c r="U319" s="348"/>
      <c r="V319" s="348"/>
      <c r="W319" s="348"/>
      <c r="X319" s="348"/>
      <c r="Y319" s="348"/>
      <c r="Z319" s="348"/>
    </row>
    <row r="320" spans="1:26" s="64" customFormat="1" ht="47.25" customHeight="1" thickBot="1" x14ac:dyDescent="0.3">
      <c r="A320" s="343">
        <v>45446</v>
      </c>
      <c r="B320" s="350" t="s">
        <v>12888</v>
      </c>
      <c r="C320" s="344"/>
      <c r="D320" s="344" t="s">
        <v>12341</v>
      </c>
      <c r="E320" s="344" t="s">
        <v>12341</v>
      </c>
      <c r="F320" s="344"/>
      <c r="G320" s="344"/>
      <c r="H320" s="344"/>
      <c r="I320" s="344"/>
      <c r="J320" s="344"/>
      <c r="K320" s="344" t="s">
        <v>12889</v>
      </c>
      <c r="L320" s="344" t="s">
        <v>12341</v>
      </c>
      <c r="M320" s="344" t="s">
        <v>12881</v>
      </c>
      <c r="N320" s="344" t="s">
        <v>12339</v>
      </c>
      <c r="O320" s="348"/>
      <c r="P320" s="348"/>
      <c r="Q320" s="348"/>
      <c r="R320" s="348"/>
      <c r="S320" s="348"/>
      <c r="T320" s="348"/>
      <c r="U320" s="348"/>
      <c r="V320" s="348"/>
      <c r="W320" s="348"/>
      <c r="X320" s="348"/>
      <c r="Y320" s="348"/>
      <c r="Z320" s="348"/>
    </row>
    <row r="321" spans="1:26" s="64" customFormat="1" ht="47.25" customHeight="1" thickBot="1" x14ac:dyDescent="0.3">
      <c r="A321" s="343">
        <v>45446</v>
      </c>
      <c r="B321" s="350" t="s">
        <v>12890</v>
      </c>
      <c r="C321" s="344"/>
      <c r="D321" s="344" t="s">
        <v>12341</v>
      </c>
      <c r="E321" s="344" t="s">
        <v>12341</v>
      </c>
      <c r="F321" s="344"/>
      <c r="G321" s="344"/>
      <c r="H321" s="344"/>
      <c r="I321" s="344"/>
      <c r="J321" s="344"/>
      <c r="K321" s="344"/>
      <c r="L321" s="344" t="s">
        <v>12891</v>
      </c>
      <c r="M321" s="344" t="s">
        <v>12881</v>
      </c>
      <c r="N321" s="344" t="s">
        <v>12339</v>
      </c>
      <c r="O321" s="348"/>
      <c r="P321" s="348"/>
      <c r="Q321" s="348"/>
      <c r="R321" s="348"/>
      <c r="S321" s="348"/>
      <c r="T321" s="348"/>
      <c r="U321" s="348"/>
      <c r="V321" s="348"/>
      <c r="W321" s="348"/>
      <c r="X321" s="348"/>
      <c r="Y321" s="348"/>
      <c r="Z321" s="348"/>
    </row>
    <row r="322" spans="1:26" s="64" customFormat="1" ht="47.25" customHeight="1" thickBot="1" x14ac:dyDescent="0.3">
      <c r="A322" s="343">
        <v>45446</v>
      </c>
      <c r="B322" s="350" t="s">
        <v>12892</v>
      </c>
      <c r="C322" s="344"/>
      <c r="D322" s="344" t="s">
        <v>12341</v>
      </c>
      <c r="E322" s="344" t="s">
        <v>12341</v>
      </c>
      <c r="F322" s="344"/>
      <c r="G322" s="344"/>
      <c r="H322" s="344"/>
      <c r="I322" s="344"/>
      <c r="J322" s="344"/>
      <c r="K322" s="344" t="s">
        <v>12893</v>
      </c>
      <c r="L322" s="344" t="s">
        <v>12341</v>
      </c>
      <c r="M322" s="344" t="s">
        <v>12881</v>
      </c>
      <c r="N322" s="344" t="s">
        <v>12339</v>
      </c>
      <c r="O322" s="348"/>
      <c r="P322" s="348"/>
      <c r="Q322" s="348"/>
      <c r="R322" s="348"/>
      <c r="S322" s="348"/>
      <c r="T322" s="348"/>
      <c r="U322" s="348"/>
      <c r="V322" s="348"/>
      <c r="W322" s="348"/>
      <c r="X322" s="348"/>
      <c r="Y322" s="348"/>
      <c r="Z322" s="348"/>
    </row>
    <row r="323" spans="1:26" s="64" customFormat="1" ht="47.25" customHeight="1" thickBot="1" x14ac:dyDescent="0.3">
      <c r="A323" s="343">
        <v>45447</v>
      </c>
      <c r="B323" s="350" t="s">
        <v>12894</v>
      </c>
      <c r="C323" s="344"/>
      <c r="D323" s="344" t="s">
        <v>12341</v>
      </c>
      <c r="E323" s="344" t="s">
        <v>12341</v>
      </c>
      <c r="F323" s="344"/>
      <c r="G323" s="344"/>
      <c r="H323" s="344"/>
      <c r="I323" s="344"/>
      <c r="J323" s="344"/>
      <c r="K323" s="344" t="s">
        <v>12895</v>
      </c>
      <c r="L323" s="344" t="s">
        <v>12341</v>
      </c>
      <c r="M323" s="344" t="s">
        <v>12881</v>
      </c>
      <c r="N323" s="344" t="s">
        <v>12339</v>
      </c>
      <c r="O323" s="348"/>
      <c r="P323" s="348"/>
      <c r="Q323" s="348"/>
      <c r="R323" s="348"/>
      <c r="S323" s="348"/>
      <c r="T323" s="348"/>
      <c r="U323" s="348"/>
      <c r="V323" s="348"/>
      <c r="W323" s="348"/>
      <c r="X323" s="348"/>
      <c r="Y323" s="348"/>
      <c r="Z323" s="348"/>
    </row>
    <row r="324" spans="1:26" s="64" customFormat="1" ht="47.25" customHeight="1" thickBot="1" x14ac:dyDescent="0.35">
      <c r="A324" s="343">
        <v>45447</v>
      </c>
      <c r="B324" s="345" t="s">
        <v>12896</v>
      </c>
      <c r="C324" s="344"/>
      <c r="D324" s="344" t="s">
        <v>12341</v>
      </c>
      <c r="E324" s="344" t="s">
        <v>12341</v>
      </c>
      <c r="F324" s="344"/>
      <c r="G324" s="344"/>
      <c r="H324" s="344"/>
      <c r="I324" s="344"/>
      <c r="J324" s="344"/>
      <c r="K324" s="344" t="s">
        <v>12897</v>
      </c>
      <c r="L324" s="344" t="s">
        <v>12341</v>
      </c>
      <c r="M324" s="344" t="s">
        <v>12881</v>
      </c>
      <c r="N324" s="344" t="s">
        <v>12339</v>
      </c>
      <c r="O324" s="348"/>
      <c r="P324" s="348"/>
      <c r="Q324" s="348"/>
      <c r="R324" s="348"/>
      <c r="S324" s="348"/>
      <c r="T324" s="348"/>
      <c r="U324" s="348"/>
      <c r="V324" s="348"/>
      <c r="W324" s="348"/>
      <c r="X324" s="348"/>
      <c r="Y324" s="348"/>
      <c r="Z324" s="348"/>
    </row>
    <row r="325" spans="1:26" s="64" customFormat="1" ht="47.25" customHeight="1" thickBot="1" x14ac:dyDescent="0.3">
      <c r="A325" s="343">
        <v>45449</v>
      </c>
      <c r="B325" s="350" t="s">
        <v>12898</v>
      </c>
      <c r="C325" s="344"/>
      <c r="D325" s="344" t="s">
        <v>12341</v>
      </c>
      <c r="E325" s="344" t="s">
        <v>12341</v>
      </c>
      <c r="F325" s="344"/>
      <c r="G325" s="344"/>
      <c r="H325" s="344"/>
      <c r="I325" s="344"/>
      <c r="J325" s="344"/>
      <c r="K325" s="344" t="s">
        <v>12899</v>
      </c>
      <c r="L325" s="344" t="s">
        <v>12341</v>
      </c>
      <c r="M325" s="344" t="s">
        <v>12881</v>
      </c>
      <c r="N325" s="344" t="s">
        <v>12339</v>
      </c>
      <c r="O325" s="348"/>
      <c r="P325" s="348"/>
      <c r="Q325" s="348"/>
      <c r="R325" s="348"/>
      <c r="S325" s="348"/>
      <c r="T325" s="348"/>
      <c r="U325" s="348"/>
      <c r="V325" s="348"/>
      <c r="W325" s="348"/>
      <c r="X325" s="348"/>
      <c r="Y325" s="348"/>
      <c r="Z325" s="348"/>
    </row>
    <row r="326" spans="1:26" s="64" customFormat="1" ht="47.25" customHeight="1" thickBot="1" x14ac:dyDescent="0.35">
      <c r="A326" s="343">
        <v>45449</v>
      </c>
      <c r="B326" s="345" t="s">
        <v>12900</v>
      </c>
      <c r="C326" s="344"/>
      <c r="D326" s="344" t="s">
        <v>12341</v>
      </c>
      <c r="E326" s="344" t="s">
        <v>12341</v>
      </c>
      <c r="F326" s="344"/>
      <c r="G326" s="344"/>
      <c r="H326" s="344"/>
      <c r="I326" s="344"/>
      <c r="J326" s="344"/>
      <c r="K326" s="344" t="s">
        <v>12901</v>
      </c>
      <c r="L326" s="344" t="s">
        <v>12341</v>
      </c>
      <c r="M326" s="344" t="s">
        <v>12881</v>
      </c>
      <c r="N326" s="344" t="s">
        <v>12339</v>
      </c>
      <c r="O326" s="348"/>
      <c r="P326" s="348"/>
      <c r="Q326" s="348"/>
      <c r="R326" s="348"/>
      <c r="S326" s="348"/>
      <c r="T326" s="348"/>
      <c r="U326" s="348"/>
      <c r="V326" s="348"/>
      <c r="W326" s="348"/>
      <c r="X326" s="348"/>
      <c r="Y326" s="348"/>
      <c r="Z326" s="348"/>
    </row>
    <row r="327" spans="1:26" s="64" customFormat="1" ht="47.25" customHeight="1" thickBot="1" x14ac:dyDescent="0.3">
      <c r="A327" s="343">
        <v>45449</v>
      </c>
      <c r="B327" s="350" t="s">
        <v>12902</v>
      </c>
      <c r="C327" s="344"/>
      <c r="D327" s="344" t="s">
        <v>12341</v>
      </c>
      <c r="E327" s="344" t="s">
        <v>12341</v>
      </c>
      <c r="F327" s="344"/>
      <c r="G327" s="344"/>
      <c r="H327" s="344"/>
      <c r="I327" s="344"/>
      <c r="J327" s="344"/>
      <c r="K327" s="344"/>
      <c r="L327" s="344" t="s">
        <v>12903</v>
      </c>
      <c r="M327" s="344" t="s">
        <v>12881</v>
      </c>
      <c r="N327" s="344" t="s">
        <v>12339</v>
      </c>
      <c r="O327" s="348"/>
      <c r="P327" s="348"/>
      <c r="Q327" s="348"/>
      <c r="R327" s="348"/>
      <c r="S327" s="348"/>
      <c r="T327" s="348"/>
      <c r="U327" s="348"/>
      <c r="V327" s="348"/>
      <c r="W327" s="348"/>
      <c r="X327" s="348"/>
      <c r="Y327" s="348"/>
      <c r="Z327" s="348"/>
    </row>
    <row r="328" spans="1:26" s="64" customFormat="1" ht="47.25" customHeight="1" thickBot="1" x14ac:dyDescent="0.35">
      <c r="A328" s="343">
        <v>45449</v>
      </c>
      <c r="B328" s="345" t="s">
        <v>12904</v>
      </c>
      <c r="C328" s="344"/>
      <c r="D328" s="344" t="s">
        <v>12341</v>
      </c>
      <c r="E328" s="344" t="s">
        <v>12341</v>
      </c>
      <c r="F328" s="344"/>
      <c r="G328" s="344"/>
      <c r="H328" s="344"/>
      <c r="I328" s="344"/>
      <c r="J328" s="344"/>
      <c r="K328" s="344" t="s">
        <v>12905</v>
      </c>
      <c r="L328" s="344" t="s">
        <v>12341</v>
      </c>
      <c r="M328" s="344" t="s">
        <v>12881</v>
      </c>
      <c r="N328" s="344" t="s">
        <v>12339</v>
      </c>
      <c r="O328" s="348"/>
      <c r="P328" s="348"/>
      <c r="Q328" s="348"/>
      <c r="R328" s="348"/>
      <c r="S328" s="348"/>
      <c r="T328" s="348"/>
      <c r="U328" s="348"/>
      <c r="V328" s="348"/>
      <c r="W328" s="348"/>
      <c r="X328" s="348"/>
      <c r="Y328" s="348"/>
      <c r="Z328" s="348"/>
    </row>
    <row r="329" spans="1:26" s="64" customFormat="1" ht="47.25" customHeight="1" thickBot="1" x14ac:dyDescent="0.3">
      <c r="A329" s="343">
        <v>45449</v>
      </c>
      <c r="B329" s="350" t="s">
        <v>12906</v>
      </c>
      <c r="C329" s="344"/>
      <c r="D329" s="344" t="s">
        <v>12341</v>
      </c>
      <c r="E329" s="344" t="s">
        <v>12341</v>
      </c>
      <c r="F329" s="344"/>
      <c r="G329" s="344"/>
      <c r="H329" s="344"/>
      <c r="I329" s="344"/>
      <c r="J329" s="344"/>
      <c r="K329" s="344" t="s">
        <v>12778</v>
      </c>
      <c r="L329" s="344" t="s">
        <v>12907</v>
      </c>
      <c r="M329" s="344" t="s">
        <v>12881</v>
      </c>
      <c r="N329" s="344" t="s">
        <v>12339</v>
      </c>
      <c r="O329" s="348"/>
      <c r="P329" s="348"/>
      <c r="Q329" s="348"/>
      <c r="R329" s="348"/>
      <c r="S329" s="348"/>
      <c r="T329" s="348"/>
      <c r="U329" s="348"/>
      <c r="V329" s="348"/>
      <c r="W329" s="348"/>
      <c r="X329" s="348"/>
      <c r="Y329" s="348"/>
      <c r="Z329" s="348"/>
    </row>
    <row r="330" spans="1:26" s="64" customFormat="1" ht="47.25" customHeight="1" thickBot="1" x14ac:dyDescent="0.35">
      <c r="A330" s="343">
        <v>45449</v>
      </c>
      <c r="B330" s="345" t="s">
        <v>12908</v>
      </c>
      <c r="C330" s="344"/>
      <c r="D330" s="344" t="s">
        <v>12341</v>
      </c>
      <c r="E330" s="344" t="s">
        <v>12369</v>
      </c>
      <c r="F330" s="344" t="s">
        <v>12346</v>
      </c>
      <c r="G330" s="347">
        <v>80</v>
      </c>
      <c r="H330" s="347">
        <v>40</v>
      </c>
      <c r="I330" s="347">
        <v>40</v>
      </c>
      <c r="J330" s="344"/>
      <c r="K330" s="344"/>
      <c r="L330" s="344" t="s">
        <v>12341</v>
      </c>
      <c r="M330" s="344" t="s">
        <v>12881</v>
      </c>
      <c r="N330" s="344" t="s">
        <v>12339</v>
      </c>
      <c r="O330" s="348"/>
      <c r="P330" s="348"/>
      <c r="Q330" s="348"/>
      <c r="R330" s="348"/>
      <c r="S330" s="348"/>
      <c r="T330" s="348"/>
      <c r="U330" s="348"/>
      <c r="V330" s="348"/>
      <c r="W330" s="348"/>
      <c r="X330" s="348"/>
      <c r="Y330" s="348"/>
      <c r="Z330" s="348"/>
    </row>
    <row r="331" spans="1:26" s="64" customFormat="1" ht="47.25" customHeight="1" thickBot="1" x14ac:dyDescent="0.35">
      <c r="A331" s="343">
        <v>45449</v>
      </c>
      <c r="B331" s="345" t="s">
        <v>12909</v>
      </c>
      <c r="C331" s="344"/>
      <c r="D331" s="344" t="s">
        <v>12341</v>
      </c>
      <c r="E331" s="344" t="s">
        <v>12341</v>
      </c>
      <c r="F331" s="344"/>
      <c r="G331" s="344"/>
      <c r="H331" s="344"/>
      <c r="I331" s="344"/>
      <c r="J331" s="344"/>
      <c r="K331" s="344" t="s">
        <v>12778</v>
      </c>
      <c r="L331" s="344" t="s">
        <v>12910</v>
      </c>
      <c r="M331" s="344" t="s">
        <v>12881</v>
      </c>
      <c r="N331" s="344" t="s">
        <v>12339</v>
      </c>
      <c r="O331" s="348"/>
      <c r="P331" s="348"/>
      <c r="Q331" s="348"/>
      <c r="R331" s="348"/>
      <c r="S331" s="348"/>
      <c r="T331" s="348"/>
      <c r="U331" s="348"/>
      <c r="V331" s="348"/>
      <c r="W331" s="348"/>
      <c r="X331" s="348"/>
      <c r="Y331" s="348"/>
      <c r="Z331" s="348"/>
    </row>
    <row r="332" spans="1:26" s="64" customFormat="1" ht="47.25" customHeight="1" thickBot="1" x14ac:dyDescent="0.3">
      <c r="A332" s="343">
        <v>45449</v>
      </c>
      <c r="B332" s="350" t="s">
        <v>12911</v>
      </c>
      <c r="C332" s="344"/>
      <c r="D332" s="344" t="s">
        <v>12341</v>
      </c>
      <c r="E332" s="344" t="s">
        <v>12341</v>
      </c>
      <c r="F332" s="344"/>
      <c r="G332" s="344"/>
      <c r="H332" s="344"/>
      <c r="I332" s="344"/>
      <c r="J332" s="344"/>
      <c r="K332" s="344" t="s">
        <v>12778</v>
      </c>
      <c r="L332" s="344" t="s">
        <v>12912</v>
      </c>
      <c r="M332" s="344" t="s">
        <v>12881</v>
      </c>
      <c r="N332" s="344" t="s">
        <v>12339</v>
      </c>
      <c r="O332" s="348"/>
      <c r="P332" s="348"/>
      <c r="Q332" s="348"/>
      <c r="R332" s="348"/>
      <c r="S332" s="348"/>
      <c r="T332" s="348"/>
      <c r="U332" s="348"/>
      <c r="V332" s="348"/>
      <c r="W332" s="348"/>
      <c r="X332" s="348"/>
      <c r="Y332" s="348"/>
      <c r="Z332" s="348"/>
    </row>
    <row r="333" spans="1:26" s="64" customFormat="1" ht="47.25" customHeight="1" thickBot="1" x14ac:dyDescent="0.3">
      <c r="A333" s="343">
        <v>45449</v>
      </c>
      <c r="B333" s="350" t="s">
        <v>12913</v>
      </c>
      <c r="C333" s="344"/>
      <c r="D333" s="344" t="s">
        <v>12341</v>
      </c>
      <c r="E333" s="344" t="s">
        <v>12341</v>
      </c>
      <c r="F333" s="344"/>
      <c r="G333" s="344"/>
      <c r="H333" s="344"/>
      <c r="I333" s="344"/>
      <c r="J333" s="344"/>
      <c r="K333" s="344"/>
      <c r="L333" s="344" t="s">
        <v>12914</v>
      </c>
      <c r="M333" s="344" t="s">
        <v>12881</v>
      </c>
      <c r="N333" s="344" t="s">
        <v>12339</v>
      </c>
      <c r="O333" s="348"/>
      <c r="P333" s="348"/>
      <c r="Q333" s="348"/>
      <c r="R333" s="348"/>
      <c r="S333" s="348"/>
      <c r="T333" s="348"/>
      <c r="U333" s="348"/>
      <c r="V333" s="348"/>
      <c r="W333" s="348"/>
      <c r="X333" s="348"/>
      <c r="Y333" s="348"/>
      <c r="Z333" s="348"/>
    </row>
    <row r="334" spans="1:26" s="64" customFormat="1" ht="47.25" customHeight="1" thickBot="1" x14ac:dyDescent="0.35">
      <c r="A334" s="343">
        <v>45449</v>
      </c>
      <c r="B334" s="345" t="s">
        <v>12915</v>
      </c>
      <c r="C334" s="344"/>
      <c r="D334" s="344" t="s">
        <v>12341</v>
      </c>
      <c r="E334" s="344" t="s">
        <v>12341</v>
      </c>
      <c r="F334" s="344"/>
      <c r="G334" s="344"/>
      <c r="H334" s="344"/>
      <c r="I334" s="344"/>
      <c r="J334" s="344"/>
      <c r="K334" s="344" t="s">
        <v>12778</v>
      </c>
      <c r="L334" s="344" t="s">
        <v>12916</v>
      </c>
      <c r="M334" s="344" t="s">
        <v>12881</v>
      </c>
      <c r="N334" s="344" t="s">
        <v>12339</v>
      </c>
      <c r="O334" s="348"/>
      <c r="P334" s="348"/>
      <c r="Q334" s="348"/>
      <c r="R334" s="348"/>
      <c r="S334" s="348"/>
      <c r="T334" s="348"/>
      <c r="U334" s="348"/>
      <c r="V334" s="348"/>
      <c r="W334" s="348"/>
      <c r="X334" s="348"/>
      <c r="Y334" s="348"/>
      <c r="Z334" s="348"/>
    </row>
    <row r="335" spans="1:26" s="64" customFormat="1" ht="47.25" customHeight="1" thickBot="1" x14ac:dyDescent="0.35">
      <c r="A335" s="343">
        <v>45450</v>
      </c>
      <c r="B335" s="345" t="s">
        <v>12917</v>
      </c>
      <c r="C335" s="344"/>
      <c r="D335" s="344" t="s">
        <v>12341</v>
      </c>
      <c r="E335" s="344" t="s">
        <v>12341</v>
      </c>
      <c r="F335" s="344"/>
      <c r="G335" s="344"/>
      <c r="H335" s="344"/>
      <c r="I335" s="344"/>
      <c r="J335" s="344"/>
      <c r="K335" s="344" t="s">
        <v>12918</v>
      </c>
      <c r="L335" s="344" t="s">
        <v>12341</v>
      </c>
      <c r="M335" s="344" t="s">
        <v>12881</v>
      </c>
      <c r="N335" s="344" t="s">
        <v>12339</v>
      </c>
      <c r="O335" s="348"/>
      <c r="P335" s="348"/>
      <c r="Q335" s="348"/>
      <c r="R335" s="348"/>
      <c r="S335" s="348"/>
      <c r="T335" s="348"/>
      <c r="U335" s="348"/>
      <c r="V335" s="348"/>
      <c r="W335" s="348"/>
      <c r="X335" s="348"/>
      <c r="Y335" s="348"/>
      <c r="Z335" s="348"/>
    </row>
    <row r="336" spans="1:26" s="64" customFormat="1" ht="47.25" customHeight="1" thickBot="1" x14ac:dyDescent="0.35">
      <c r="A336" s="343">
        <v>45451</v>
      </c>
      <c r="B336" s="345" t="s">
        <v>12919</v>
      </c>
      <c r="C336" s="344"/>
      <c r="D336" s="344" t="s">
        <v>12341</v>
      </c>
      <c r="E336" s="344" t="s">
        <v>12341</v>
      </c>
      <c r="F336" s="344"/>
      <c r="G336" s="344"/>
      <c r="H336" s="344"/>
      <c r="I336" s="344"/>
      <c r="J336" s="344"/>
      <c r="K336" s="344" t="s">
        <v>12920</v>
      </c>
      <c r="L336" s="344" t="s">
        <v>12341</v>
      </c>
      <c r="M336" s="344" t="s">
        <v>12881</v>
      </c>
      <c r="N336" s="344" t="s">
        <v>12339</v>
      </c>
      <c r="O336" s="348"/>
      <c r="P336" s="348"/>
      <c r="Q336" s="348"/>
      <c r="R336" s="348"/>
      <c r="S336" s="348"/>
      <c r="T336" s="348"/>
      <c r="U336" s="348"/>
      <c r="V336" s="348"/>
      <c r="W336" s="348"/>
      <c r="X336" s="348"/>
      <c r="Y336" s="348"/>
      <c r="Z336" s="348"/>
    </row>
    <row r="337" spans="1:26" s="64" customFormat="1" ht="47.25" customHeight="1" thickBot="1" x14ac:dyDescent="0.35">
      <c r="A337" s="343">
        <v>45453</v>
      </c>
      <c r="B337" s="345" t="s">
        <v>12921</v>
      </c>
      <c r="C337" s="344"/>
      <c r="D337" s="344" t="s">
        <v>12341</v>
      </c>
      <c r="E337" s="344" t="s">
        <v>12341</v>
      </c>
      <c r="F337" s="344"/>
      <c r="G337" s="344"/>
      <c r="H337" s="344"/>
      <c r="I337" s="344"/>
      <c r="J337" s="344"/>
      <c r="K337" s="344" t="s">
        <v>12922</v>
      </c>
      <c r="L337" s="344" t="s">
        <v>12341</v>
      </c>
      <c r="M337" s="344" t="s">
        <v>12881</v>
      </c>
      <c r="N337" s="344" t="s">
        <v>12339</v>
      </c>
      <c r="O337" s="348"/>
      <c r="P337" s="348"/>
      <c r="Q337" s="348"/>
      <c r="R337" s="348"/>
      <c r="S337" s="348"/>
      <c r="T337" s="348"/>
      <c r="U337" s="348"/>
      <c r="V337" s="348"/>
      <c r="W337" s="348"/>
      <c r="X337" s="348"/>
      <c r="Y337" s="348"/>
      <c r="Z337" s="348"/>
    </row>
    <row r="338" spans="1:26" s="64" customFormat="1" ht="47.25" customHeight="1" thickBot="1" x14ac:dyDescent="0.3">
      <c r="A338" s="343">
        <v>45454</v>
      </c>
      <c r="B338" s="350" t="s">
        <v>12923</v>
      </c>
      <c r="C338" s="344"/>
      <c r="D338" s="344" t="s">
        <v>12341</v>
      </c>
      <c r="E338" s="344" t="s">
        <v>12341</v>
      </c>
      <c r="F338" s="344"/>
      <c r="G338" s="344"/>
      <c r="H338" s="344"/>
      <c r="I338" s="344"/>
      <c r="J338" s="344"/>
      <c r="K338" s="344" t="s">
        <v>12924</v>
      </c>
      <c r="L338" s="344" t="s">
        <v>12925</v>
      </c>
      <c r="M338" s="344" t="s">
        <v>12881</v>
      </c>
      <c r="N338" s="344" t="s">
        <v>12339</v>
      </c>
      <c r="O338" s="348"/>
      <c r="P338" s="348"/>
      <c r="Q338" s="348"/>
      <c r="R338" s="348"/>
      <c r="S338" s="348"/>
      <c r="T338" s="348"/>
      <c r="U338" s="348"/>
      <c r="V338" s="348"/>
      <c r="W338" s="348"/>
      <c r="X338" s="348"/>
      <c r="Y338" s="348"/>
      <c r="Z338" s="348"/>
    </row>
    <row r="339" spans="1:26" s="64" customFormat="1" ht="47.25" customHeight="1" thickBot="1" x14ac:dyDescent="0.35">
      <c r="A339" s="343">
        <v>45455</v>
      </c>
      <c r="B339" s="345" t="s">
        <v>12926</v>
      </c>
      <c r="C339" s="344"/>
      <c r="D339" s="344" t="s">
        <v>12341</v>
      </c>
      <c r="E339" s="344" t="s">
        <v>12341</v>
      </c>
      <c r="F339" s="344"/>
      <c r="G339" s="344"/>
      <c r="H339" s="344"/>
      <c r="I339" s="344"/>
      <c r="J339" s="344"/>
      <c r="K339" s="344" t="s">
        <v>12927</v>
      </c>
      <c r="L339" s="344" t="s">
        <v>12341</v>
      </c>
      <c r="M339" s="344" t="s">
        <v>12881</v>
      </c>
      <c r="N339" s="344" t="s">
        <v>12339</v>
      </c>
      <c r="O339" s="348"/>
      <c r="P339" s="348"/>
      <c r="Q339" s="348"/>
      <c r="R339" s="348"/>
      <c r="S339" s="348"/>
      <c r="T339" s="348"/>
      <c r="U339" s="348"/>
      <c r="V339" s="348"/>
      <c r="W339" s="348"/>
      <c r="X339" s="348"/>
      <c r="Y339" s="348"/>
      <c r="Z339" s="348"/>
    </row>
    <row r="340" spans="1:26" s="64" customFormat="1" ht="47.25" customHeight="1" thickBot="1" x14ac:dyDescent="0.35">
      <c r="A340" s="343">
        <v>45456</v>
      </c>
      <c r="B340" s="345" t="s">
        <v>12928</v>
      </c>
      <c r="C340" s="344"/>
      <c r="D340" s="344" t="s">
        <v>12341</v>
      </c>
      <c r="E340" s="344" t="s">
        <v>12929</v>
      </c>
      <c r="F340" s="344" t="s">
        <v>12346</v>
      </c>
      <c r="G340" s="347">
        <v>100</v>
      </c>
      <c r="H340" s="347">
        <v>60</v>
      </c>
      <c r="I340" s="347">
        <v>40</v>
      </c>
      <c r="J340" s="344"/>
      <c r="K340" s="344"/>
      <c r="L340" s="344" t="s">
        <v>12341</v>
      </c>
      <c r="M340" s="344" t="s">
        <v>12881</v>
      </c>
      <c r="N340" s="344" t="s">
        <v>12339</v>
      </c>
      <c r="O340" s="348"/>
      <c r="P340" s="348"/>
      <c r="Q340" s="348"/>
      <c r="R340" s="348"/>
      <c r="S340" s="348"/>
      <c r="T340" s="348"/>
      <c r="U340" s="348"/>
      <c r="V340" s="348"/>
      <c r="W340" s="348"/>
      <c r="X340" s="348"/>
      <c r="Y340" s="348"/>
      <c r="Z340" s="348"/>
    </row>
    <row r="341" spans="1:26" s="64" customFormat="1" ht="47.25" customHeight="1" thickBot="1" x14ac:dyDescent="0.3">
      <c r="A341" s="343">
        <v>45456</v>
      </c>
      <c r="B341" s="350" t="s">
        <v>12930</v>
      </c>
      <c r="C341" s="344"/>
      <c r="D341" s="344" t="s">
        <v>12341</v>
      </c>
      <c r="E341" s="344" t="s">
        <v>12341</v>
      </c>
      <c r="F341" s="344"/>
      <c r="G341" s="344"/>
      <c r="H341" s="344"/>
      <c r="I341" s="344"/>
      <c r="J341" s="344"/>
      <c r="K341" s="344" t="s">
        <v>12931</v>
      </c>
      <c r="L341" s="344" t="s">
        <v>12932</v>
      </c>
      <c r="M341" s="344" t="s">
        <v>12881</v>
      </c>
      <c r="N341" s="344" t="s">
        <v>12339</v>
      </c>
      <c r="O341" s="348"/>
      <c r="P341" s="348"/>
      <c r="Q341" s="348"/>
      <c r="R341" s="348"/>
      <c r="S341" s="348"/>
      <c r="T341" s="348"/>
      <c r="U341" s="348"/>
      <c r="V341" s="348"/>
      <c r="W341" s="348"/>
      <c r="X341" s="348"/>
      <c r="Y341" s="348"/>
      <c r="Z341" s="348"/>
    </row>
    <row r="342" spans="1:26" s="64" customFormat="1" ht="47.25" customHeight="1" thickBot="1" x14ac:dyDescent="0.3">
      <c r="A342" s="343">
        <v>45456</v>
      </c>
      <c r="B342" s="350" t="s">
        <v>12933</v>
      </c>
      <c r="C342" s="344"/>
      <c r="D342" s="344" t="s">
        <v>12341</v>
      </c>
      <c r="E342" s="344" t="s">
        <v>12341</v>
      </c>
      <c r="F342" s="344"/>
      <c r="G342" s="344"/>
      <c r="H342" s="344"/>
      <c r="I342" s="344"/>
      <c r="J342" s="344"/>
      <c r="K342" s="344" t="s">
        <v>12934</v>
      </c>
      <c r="L342" s="344" t="s">
        <v>12935</v>
      </c>
      <c r="M342" s="344" t="s">
        <v>12881</v>
      </c>
      <c r="N342" s="344" t="s">
        <v>12339</v>
      </c>
      <c r="O342" s="348"/>
      <c r="P342" s="348"/>
      <c r="Q342" s="348"/>
      <c r="R342" s="348"/>
      <c r="S342" s="348"/>
      <c r="T342" s="348"/>
      <c r="U342" s="348"/>
      <c r="V342" s="348"/>
      <c r="W342" s="348"/>
      <c r="X342" s="348"/>
      <c r="Y342" s="348"/>
      <c r="Z342" s="348"/>
    </row>
    <row r="343" spans="1:26" s="64" customFormat="1" ht="47.25" customHeight="1" thickBot="1" x14ac:dyDescent="0.3">
      <c r="A343" s="343">
        <v>45456</v>
      </c>
      <c r="B343" s="350" t="s">
        <v>12930</v>
      </c>
      <c r="C343" s="344"/>
      <c r="D343" s="344" t="s">
        <v>12341</v>
      </c>
      <c r="E343" s="344" t="s">
        <v>12341</v>
      </c>
      <c r="F343" s="344"/>
      <c r="G343" s="344"/>
      <c r="H343" s="344"/>
      <c r="I343" s="344"/>
      <c r="J343" s="344"/>
      <c r="K343" s="344"/>
      <c r="L343" s="344" t="s">
        <v>12936</v>
      </c>
      <c r="M343" s="344" t="s">
        <v>12881</v>
      </c>
      <c r="N343" s="344" t="s">
        <v>12339</v>
      </c>
      <c r="O343" s="348"/>
      <c r="P343" s="348"/>
      <c r="Q343" s="348"/>
      <c r="R343" s="348"/>
      <c r="S343" s="348"/>
      <c r="T343" s="348"/>
      <c r="U343" s="348"/>
      <c r="V343" s="348"/>
      <c r="W343" s="348"/>
      <c r="X343" s="348"/>
      <c r="Y343" s="348"/>
      <c r="Z343" s="348"/>
    </row>
    <row r="344" spans="1:26" s="64" customFormat="1" ht="47.25" customHeight="1" thickBot="1" x14ac:dyDescent="0.35">
      <c r="A344" s="343">
        <v>45456</v>
      </c>
      <c r="B344" s="345" t="s">
        <v>12937</v>
      </c>
      <c r="C344" s="344"/>
      <c r="D344" s="344" t="s">
        <v>12341</v>
      </c>
      <c r="E344" s="344" t="s">
        <v>12356</v>
      </c>
      <c r="F344" s="344" t="s">
        <v>12346</v>
      </c>
      <c r="G344" s="347">
        <v>80</v>
      </c>
      <c r="H344" s="347">
        <v>40</v>
      </c>
      <c r="I344" s="347">
        <v>40</v>
      </c>
      <c r="J344" s="344"/>
      <c r="K344" s="344"/>
      <c r="L344" s="344" t="s">
        <v>12341</v>
      </c>
      <c r="M344" s="344" t="s">
        <v>12881</v>
      </c>
      <c r="N344" s="344" t="s">
        <v>12344</v>
      </c>
      <c r="O344" s="348"/>
      <c r="P344" s="348"/>
      <c r="Q344" s="348"/>
      <c r="R344" s="348"/>
      <c r="S344" s="348"/>
      <c r="T344" s="348"/>
      <c r="U344" s="348"/>
      <c r="V344" s="348"/>
      <c r="W344" s="348"/>
      <c r="X344" s="348"/>
      <c r="Y344" s="348"/>
      <c r="Z344" s="348"/>
    </row>
    <row r="345" spans="1:26" s="64" customFormat="1" ht="47.25" customHeight="1" thickBot="1" x14ac:dyDescent="0.3">
      <c r="A345" s="343">
        <v>45456</v>
      </c>
      <c r="B345" s="350" t="s">
        <v>12938</v>
      </c>
      <c r="C345" s="344"/>
      <c r="D345" s="344" t="s">
        <v>12341</v>
      </c>
      <c r="E345" s="344" t="s">
        <v>12341</v>
      </c>
      <c r="F345" s="344"/>
      <c r="G345" s="344"/>
      <c r="H345" s="344"/>
      <c r="I345" s="344"/>
      <c r="J345" s="344"/>
      <c r="K345" s="344" t="s">
        <v>12939</v>
      </c>
      <c r="L345" s="344" t="s">
        <v>12940</v>
      </c>
      <c r="M345" s="344" t="s">
        <v>12881</v>
      </c>
      <c r="N345" s="344" t="s">
        <v>12339</v>
      </c>
      <c r="O345" s="348"/>
      <c r="P345" s="348"/>
      <c r="Q345" s="348"/>
      <c r="R345" s="348"/>
      <c r="S345" s="348"/>
      <c r="T345" s="348"/>
      <c r="U345" s="348"/>
      <c r="V345" s="348"/>
      <c r="W345" s="348"/>
      <c r="X345" s="348"/>
      <c r="Y345" s="348"/>
      <c r="Z345" s="348"/>
    </row>
    <row r="346" spans="1:26" s="64" customFormat="1" ht="47.25" customHeight="1" thickBot="1" x14ac:dyDescent="0.35">
      <c r="A346" s="343">
        <v>45456</v>
      </c>
      <c r="B346" s="345" t="s">
        <v>12941</v>
      </c>
      <c r="C346" s="344"/>
      <c r="D346" s="344" t="s">
        <v>12341</v>
      </c>
      <c r="E346" s="344" t="s">
        <v>12356</v>
      </c>
      <c r="F346" s="344" t="s">
        <v>12346</v>
      </c>
      <c r="G346" s="347">
        <v>80</v>
      </c>
      <c r="H346" s="347">
        <v>40</v>
      </c>
      <c r="I346" s="347">
        <v>40</v>
      </c>
      <c r="J346" s="344" t="s">
        <v>12942</v>
      </c>
      <c r="K346" s="344"/>
      <c r="L346" s="344" t="s">
        <v>12341</v>
      </c>
      <c r="M346" s="344" t="s">
        <v>12881</v>
      </c>
      <c r="N346" s="344" t="s">
        <v>12344</v>
      </c>
      <c r="O346" s="348"/>
      <c r="P346" s="348"/>
      <c r="Q346" s="348"/>
      <c r="R346" s="348"/>
      <c r="S346" s="348"/>
      <c r="T346" s="348"/>
      <c r="U346" s="348"/>
      <c r="V346" s="348"/>
      <c r="W346" s="348"/>
      <c r="X346" s="348"/>
      <c r="Y346" s="348"/>
      <c r="Z346" s="348"/>
    </row>
    <row r="347" spans="1:26" s="64" customFormat="1" ht="47.25" customHeight="1" thickBot="1" x14ac:dyDescent="0.3">
      <c r="A347" s="343">
        <v>45457</v>
      </c>
      <c r="B347" s="350" t="s">
        <v>12943</v>
      </c>
      <c r="C347" s="344"/>
      <c r="D347" s="344" t="s">
        <v>12341</v>
      </c>
      <c r="E347" s="344" t="s">
        <v>12341</v>
      </c>
      <c r="F347" s="344"/>
      <c r="G347" s="344"/>
      <c r="H347" s="344"/>
      <c r="I347" s="344"/>
      <c r="J347" s="344"/>
      <c r="K347" s="344" t="s">
        <v>12944</v>
      </c>
      <c r="L347" s="344" t="s">
        <v>12945</v>
      </c>
      <c r="M347" s="344" t="s">
        <v>12881</v>
      </c>
      <c r="N347" s="344" t="s">
        <v>12339</v>
      </c>
      <c r="O347" s="348"/>
      <c r="P347" s="348"/>
      <c r="Q347" s="348"/>
      <c r="R347" s="348"/>
      <c r="S347" s="348"/>
      <c r="T347" s="348"/>
      <c r="U347" s="348"/>
      <c r="V347" s="348"/>
      <c r="W347" s="348"/>
      <c r="X347" s="348"/>
      <c r="Y347" s="348"/>
      <c r="Z347" s="348"/>
    </row>
    <row r="348" spans="1:26" s="64" customFormat="1" ht="47.25" customHeight="1" thickBot="1" x14ac:dyDescent="0.35">
      <c r="A348" s="343">
        <v>45460</v>
      </c>
      <c r="B348" s="345" t="s">
        <v>12946</v>
      </c>
      <c r="C348" s="344"/>
      <c r="D348" s="344" t="s">
        <v>12341</v>
      </c>
      <c r="E348" s="344" t="s">
        <v>12342</v>
      </c>
      <c r="F348" s="344" t="s">
        <v>12346</v>
      </c>
      <c r="G348" s="347">
        <v>160</v>
      </c>
      <c r="H348" s="347">
        <v>86</v>
      </c>
      <c r="I348" s="347">
        <v>74</v>
      </c>
      <c r="J348" s="344"/>
      <c r="K348" s="344"/>
      <c r="L348" s="344" t="s">
        <v>12341</v>
      </c>
      <c r="M348" s="344" t="s">
        <v>12881</v>
      </c>
      <c r="N348" s="344" t="s">
        <v>12344</v>
      </c>
      <c r="O348" s="348"/>
      <c r="P348" s="348"/>
      <c r="Q348" s="348"/>
      <c r="R348" s="348"/>
      <c r="S348" s="348"/>
      <c r="T348" s="348"/>
      <c r="U348" s="348"/>
      <c r="V348" s="348"/>
      <c r="W348" s="348"/>
      <c r="X348" s="348"/>
      <c r="Y348" s="348"/>
      <c r="Z348" s="348"/>
    </row>
    <row r="349" spans="1:26" s="64" customFormat="1" ht="47.25" customHeight="1" thickBot="1" x14ac:dyDescent="0.3">
      <c r="A349" s="343">
        <v>45460</v>
      </c>
      <c r="B349" s="350" t="s">
        <v>12947</v>
      </c>
      <c r="C349" s="344"/>
      <c r="D349" s="344" t="s">
        <v>12341</v>
      </c>
      <c r="E349" s="344" t="s">
        <v>12341</v>
      </c>
      <c r="F349" s="344"/>
      <c r="G349" s="344"/>
      <c r="H349" s="344"/>
      <c r="I349" s="344"/>
      <c r="J349" s="344"/>
      <c r="K349" s="344" t="s">
        <v>12948</v>
      </c>
      <c r="L349" s="344" t="s">
        <v>12949</v>
      </c>
      <c r="M349" s="344" t="s">
        <v>12881</v>
      </c>
      <c r="N349" s="344" t="s">
        <v>12339</v>
      </c>
      <c r="O349" s="348"/>
      <c r="P349" s="348"/>
      <c r="Q349" s="348"/>
      <c r="R349" s="348"/>
      <c r="S349" s="348"/>
      <c r="T349" s="348"/>
      <c r="U349" s="348"/>
      <c r="V349" s="348"/>
      <c r="W349" s="348"/>
      <c r="X349" s="348"/>
      <c r="Y349" s="348"/>
      <c r="Z349" s="348"/>
    </row>
    <row r="350" spans="1:26" s="64" customFormat="1" ht="47.25" customHeight="1" thickBot="1" x14ac:dyDescent="0.35">
      <c r="A350" s="343">
        <v>45460</v>
      </c>
      <c r="B350" s="345" t="s">
        <v>12950</v>
      </c>
      <c r="C350" s="344"/>
      <c r="D350" s="344" t="s">
        <v>12341</v>
      </c>
      <c r="E350" s="344" t="s">
        <v>12356</v>
      </c>
      <c r="F350" s="344" t="s">
        <v>12346</v>
      </c>
      <c r="G350" s="347">
        <v>80</v>
      </c>
      <c r="H350" s="347">
        <v>40</v>
      </c>
      <c r="I350" s="347">
        <v>40</v>
      </c>
      <c r="J350" s="344"/>
      <c r="K350" s="344"/>
      <c r="L350" s="344" t="s">
        <v>12341</v>
      </c>
      <c r="M350" s="344" t="s">
        <v>12881</v>
      </c>
      <c r="N350" s="344" t="s">
        <v>12344</v>
      </c>
      <c r="O350" s="348"/>
      <c r="P350" s="348"/>
      <c r="Q350" s="348"/>
      <c r="R350" s="348"/>
      <c r="S350" s="348"/>
      <c r="T350" s="348"/>
      <c r="U350" s="348"/>
      <c r="V350" s="348"/>
      <c r="W350" s="348"/>
      <c r="X350" s="348"/>
      <c r="Y350" s="348"/>
      <c r="Z350" s="348"/>
    </row>
    <row r="351" spans="1:26" s="64" customFormat="1" ht="47.25" customHeight="1" thickBot="1" x14ac:dyDescent="0.35">
      <c r="A351" s="343">
        <v>45460</v>
      </c>
      <c r="B351" s="345" t="s">
        <v>12951</v>
      </c>
      <c r="C351" s="344"/>
      <c r="D351" s="344" t="s">
        <v>12341</v>
      </c>
      <c r="E351" s="344" t="s">
        <v>12356</v>
      </c>
      <c r="F351" s="344" t="s">
        <v>12346</v>
      </c>
      <c r="G351" s="347">
        <v>80</v>
      </c>
      <c r="H351" s="347">
        <v>40</v>
      </c>
      <c r="I351" s="347">
        <v>40</v>
      </c>
      <c r="J351" s="344"/>
      <c r="K351" s="344"/>
      <c r="L351" s="344" t="s">
        <v>12341</v>
      </c>
      <c r="M351" s="344" t="s">
        <v>12881</v>
      </c>
      <c r="N351" s="344" t="s">
        <v>12344</v>
      </c>
      <c r="O351" s="348"/>
      <c r="P351" s="348"/>
      <c r="Q351" s="348"/>
      <c r="R351" s="348"/>
      <c r="S351" s="348"/>
      <c r="T351" s="348"/>
      <c r="U351" s="348"/>
      <c r="V351" s="348"/>
      <c r="W351" s="348"/>
      <c r="X351" s="348"/>
      <c r="Y351" s="348"/>
      <c r="Z351" s="348"/>
    </row>
    <row r="352" spans="1:26" s="64" customFormat="1" ht="47.25" customHeight="1" thickBot="1" x14ac:dyDescent="0.3">
      <c r="A352" s="343">
        <v>45460</v>
      </c>
      <c r="B352" s="350" t="s">
        <v>12952</v>
      </c>
      <c r="C352" s="344"/>
      <c r="D352" s="344" t="s">
        <v>12341</v>
      </c>
      <c r="E352" s="344" t="s">
        <v>12341</v>
      </c>
      <c r="F352" s="344"/>
      <c r="G352" s="344"/>
      <c r="H352" s="344"/>
      <c r="I352" s="344"/>
      <c r="J352" s="344"/>
      <c r="K352" s="344"/>
      <c r="L352" s="344" t="s">
        <v>12341</v>
      </c>
      <c r="M352" s="344" t="s">
        <v>12881</v>
      </c>
      <c r="N352" s="344" t="s">
        <v>12339</v>
      </c>
      <c r="O352" s="348"/>
      <c r="P352" s="348"/>
      <c r="Q352" s="348"/>
      <c r="R352" s="348"/>
      <c r="S352" s="348"/>
      <c r="T352" s="348"/>
      <c r="U352" s="348"/>
      <c r="V352" s="348"/>
      <c r="W352" s="348"/>
      <c r="X352" s="348"/>
      <c r="Y352" s="348"/>
      <c r="Z352" s="348"/>
    </row>
    <row r="353" spans="1:26" s="64" customFormat="1" ht="47.25" customHeight="1" thickBot="1" x14ac:dyDescent="0.35">
      <c r="A353" s="343">
        <v>45460</v>
      </c>
      <c r="B353" s="345" t="s">
        <v>12953</v>
      </c>
      <c r="C353" s="344"/>
      <c r="D353" s="344" t="s">
        <v>12341</v>
      </c>
      <c r="E353" s="344" t="s">
        <v>12341</v>
      </c>
      <c r="F353" s="344"/>
      <c r="G353" s="344"/>
      <c r="H353" s="344"/>
      <c r="I353" s="344"/>
      <c r="J353" s="344"/>
      <c r="K353" s="344" t="s">
        <v>12954</v>
      </c>
      <c r="L353" s="344" t="s">
        <v>12955</v>
      </c>
      <c r="M353" s="344" t="s">
        <v>12881</v>
      </c>
      <c r="N353" s="344" t="s">
        <v>12339</v>
      </c>
      <c r="O353" s="348"/>
      <c r="P353" s="348"/>
      <c r="Q353" s="348"/>
      <c r="R353" s="348"/>
      <c r="S353" s="348"/>
      <c r="T353" s="348"/>
      <c r="U353" s="348"/>
      <c r="V353" s="348"/>
      <c r="W353" s="348"/>
      <c r="X353" s="348"/>
      <c r="Y353" s="348"/>
      <c r="Z353" s="348"/>
    </row>
    <row r="354" spans="1:26" s="64" customFormat="1" ht="47.25" customHeight="1" thickBot="1" x14ac:dyDescent="0.35">
      <c r="A354" s="343">
        <v>45460</v>
      </c>
      <c r="B354" s="345" t="s">
        <v>12956</v>
      </c>
      <c r="C354" s="344"/>
      <c r="D354" s="344" t="s">
        <v>12341</v>
      </c>
      <c r="E354" s="344" t="s">
        <v>12341</v>
      </c>
      <c r="F354" s="344"/>
      <c r="G354" s="344"/>
      <c r="H354" s="344"/>
      <c r="I354" s="344"/>
      <c r="J354" s="344"/>
      <c r="K354" s="344"/>
      <c r="L354" s="344" t="s">
        <v>12957</v>
      </c>
      <c r="M354" s="344" t="s">
        <v>12881</v>
      </c>
      <c r="N354" s="344" t="s">
        <v>12339</v>
      </c>
      <c r="O354" s="348"/>
      <c r="P354" s="348"/>
      <c r="Q354" s="348"/>
      <c r="R354" s="348"/>
      <c r="S354" s="348"/>
      <c r="T354" s="348"/>
      <c r="U354" s="348"/>
      <c r="V354" s="348"/>
      <c r="W354" s="348"/>
      <c r="X354" s="348"/>
      <c r="Y354" s="348"/>
      <c r="Z354" s="348"/>
    </row>
    <row r="355" spans="1:26" s="64" customFormat="1" ht="47.25" customHeight="1" thickBot="1" x14ac:dyDescent="0.35">
      <c r="A355" s="343">
        <v>45460</v>
      </c>
      <c r="B355" s="345" t="s">
        <v>12956</v>
      </c>
      <c r="C355" s="344"/>
      <c r="D355" s="344" t="s">
        <v>12341</v>
      </c>
      <c r="E355" s="344" t="s">
        <v>12341</v>
      </c>
      <c r="F355" s="344"/>
      <c r="G355" s="344"/>
      <c r="H355" s="344"/>
      <c r="I355" s="344"/>
      <c r="J355" s="344"/>
      <c r="K355" s="344" t="s">
        <v>12958</v>
      </c>
      <c r="L355" s="344" t="s">
        <v>12959</v>
      </c>
      <c r="M355" s="344" t="s">
        <v>12881</v>
      </c>
      <c r="N355" s="344" t="s">
        <v>12339</v>
      </c>
      <c r="O355" s="348"/>
      <c r="P355" s="348"/>
      <c r="Q355" s="348"/>
      <c r="R355" s="348"/>
      <c r="S355" s="348"/>
      <c r="T355" s="348"/>
      <c r="U355" s="348"/>
      <c r="V355" s="348"/>
      <c r="W355" s="348"/>
      <c r="X355" s="348"/>
      <c r="Y355" s="348"/>
      <c r="Z355" s="348"/>
    </row>
    <row r="356" spans="1:26" s="64" customFormat="1" ht="47.25" customHeight="1" thickBot="1" x14ac:dyDescent="0.35">
      <c r="A356" s="343">
        <v>45460</v>
      </c>
      <c r="B356" s="345" t="s">
        <v>12960</v>
      </c>
      <c r="C356" s="344"/>
      <c r="D356" s="344" t="s">
        <v>12341</v>
      </c>
      <c r="E356" s="344" t="s">
        <v>12341</v>
      </c>
      <c r="F356" s="344"/>
      <c r="G356" s="344"/>
      <c r="H356" s="344"/>
      <c r="I356" s="344"/>
      <c r="J356" s="344"/>
      <c r="K356" s="344"/>
      <c r="L356" s="344" t="s">
        <v>12961</v>
      </c>
      <c r="M356" s="344" t="s">
        <v>12881</v>
      </c>
      <c r="N356" s="344" t="s">
        <v>12339</v>
      </c>
      <c r="O356" s="348"/>
      <c r="P356" s="348"/>
      <c r="Q356" s="348"/>
      <c r="R356" s="348"/>
      <c r="S356" s="348"/>
      <c r="T356" s="348"/>
      <c r="U356" s="348"/>
      <c r="V356" s="348"/>
      <c r="W356" s="348"/>
      <c r="X356" s="348"/>
      <c r="Y356" s="348"/>
      <c r="Z356" s="348"/>
    </row>
    <row r="357" spans="1:26" s="64" customFormat="1" ht="47.25" customHeight="1" thickBot="1" x14ac:dyDescent="0.35">
      <c r="A357" s="343">
        <v>45460</v>
      </c>
      <c r="B357" s="345" t="s">
        <v>12960</v>
      </c>
      <c r="C357" s="344"/>
      <c r="D357" s="344" t="s">
        <v>12341</v>
      </c>
      <c r="E357" s="344" t="s">
        <v>12341</v>
      </c>
      <c r="F357" s="344"/>
      <c r="G357" s="344"/>
      <c r="H357" s="344"/>
      <c r="I357" s="344"/>
      <c r="J357" s="344"/>
      <c r="K357" s="344" t="s">
        <v>12962</v>
      </c>
      <c r="L357" s="344" t="s">
        <v>12963</v>
      </c>
      <c r="M357" s="344" t="s">
        <v>12881</v>
      </c>
      <c r="N357" s="344" t="s">
        <v>12339</v>
      </c>
      <c r="O357" s="348"/>
      <c r="P357" s="348"/>
      <c r="Q357" s="348"/>
      <c r="R357" s="348"/>
      <c r="S357" s="348"/>
      <c r="T357" s="348"/>
      <c r="U357" s="348"/>
      <c r="V357" s="348"/>
      <c r="W357" s="348"/>
      <c r="X357" s="348"/>
      <c r="Y357" s="348"/>
      <c r="Z357" s="348"/>
    </row>
    <row r="358" spans="1:26" s="64" customFormat="1" ht="47.25" customHeight="1" thickBot="1" x14ac:dyDescent="0.3">
      <c r="A358" s="343">
        <v>45460</v>
      </c>
      <c r="B358" s="350" t="s">
        <v>12964</v>
      </c>
      <c r="C358" s="344"/>
      <c r="D358" s="344" t="s">
        <v>12341</v>
      </c>
      <c r="E358" s="344" t="s">
        <v>12341</v>
      </c>
      <c r="F358" s="344"/>
      <c r="G358" s="344"/>
      <c r="H358" s="344"/>
      <c r="I358" s="344"/>
      <c r="J358" s="344"/>
      <c r="K358" s="344" t="s">
        <v>12924</v>
      </c>
      <c r="L358" s="344" t="s">
        <v>12341</v>
      </c>
      <c r="M358" s="344" t="s">
        <v>12881</v>
      </c>
      <c r="N358" s="344" t="s">
        <v>12339</v>
      </c>
      <c r="O358" s="348"/>
      <c r="P358" s="348"/>
      <c r="Q358" s="348"/>
      <c r="R358" s="348"/>
      <c r="S358" s="348"/>
      <c r="T358" s="348"/>
      <c r="U358" s="348"/>
      <c r="V358" s="348"/>
      <c r="W358" s="348"/>
      <c r="X358" s="348"/>
      <c r="Y358" s="348"/>
      <c r="Z358" s="348"/>
    </row>
    <row r="359" spans="1:26" s="64" customFormat="1" ht="47.25" customHeight="1" thickBot="1" x14ac:dyDescent="0.35">
      <c r="A359" s="343">
        <v>45460</v>
      </c>
      <c r="B359" s="345" t="s">
        <v>12965</v>
      </c>
      <c r="C359" s="344"/>
      <c r="D359" s="344" t="s">
        <v>12341</v>
      </c>
      <c r="E359" s="344" t="s">
        <v>12341</v>
      </c>
      <c r="F359" s="344"/>
      <c r="G359" s="344"/>
      <c r="H359" s="344"/>
      <c r="I359" s="344"/>
      <c r="J359" s="344"/>
      <c r="K359" s="344" t="s">
        <v>12966</v>
      </c>
      <c r="L359" s="344" t="s">
        <v>12967</v>
      </c>
      <c r="M359" s="344" t="s">
        <v>12881</v>
      </c>
      <c r="N359" s="344" t="s">
        <v>12339</v>
      </c>
      <c r="O359" s="348"/>
      <c r="P359" s="348"/>
      <c r="Q359" s="348"/>
      <c r="R359" s="348"/>
      <c r="S359" s="348"/>
      <c r="T359" s="348"/>
      <c r="U359" s="348"/>
      <c r="V359" s="348"/>
      <c r="W359" s="348"/>
      <c r="X359" s="348"/>
      <c r="Y359" s="348"/>
      <c r="Z359" s="348"/>
    </row>
    <row r="360" spans="1:26" s="64" customFormat="1" ht="47.25" customHeight="1" thickBot="1" x14ac:dyDescent="0.35">
      <c r="A360" s="343">
        <v>45460</v>
      </c>
      <c r="B360" s="345" t="s">
        <v>12968</v>
      </c>
      <c r="C360" s="344"/>
      <c r="D360" s="344" t="s">
        <v>12341</v>
      </c>
      <c r="E360" s="344" t="s">
        <v>12356</v>
      </c>
      <c r="F360" s="344" t="s">
        <v>12346</v>
      </c>
      <c r="G360" s="347">
        <v>80</v>
      </c>
      <c r="H360" s="347">
        <v>40</v>
      </c>
      <c r="I360" s="347">
        <v>40</v>
      </c>
      <c r="J360" s="344"/>
      <c r="K360" s="344"/>
      <c r="L360" s="344" t="s">
        <v>12341</v>
      </c>
      <c r="M360" s="344" t="s">
        <v>12881</v>
      </c>
      <c r="N360" s="344" t="s">
        <v>12344</v>
      </c>
      <c r="O360" s="348"/>
      <c r="P360" s="348"/>
      <c r="Q360" s="348"/>
      <c r="R360" s="348"/>
      <c r="S360" s="348"/>
      <c r="T360" s="348"/>
      <c r="U360" s="348"/>
      <c r="V360" s="348"/>
      <c r="W360" s="348"/>
      <c r="X360" s="348"/>
      <c r="Y360" s="348"/>
      <c r="Z360" s="348"/>
    </row>
    <row r="361" spans="1:26" s="64" customFormat="1" ht="47.25" customHeight="1" thickBot="1" x14ac:dyDescent="0.35">
      <c r="A361" s="343">
        <v>45460</v>
      </c>
      <c r="B361" s="345" t="s">
        <v>12969</v>
      </c>
      <c r="C361" s="344"/>
      <c r="D361" s="344" t="s">
        <v>12341</v>
      </c>
      <c r="E361" s="344" t="s">
        <v>12356</v>
      </c>
      <c r="F361" s="344" t="s">
        <v>12970</v>
      </c>
      <c r="G361" s="344"/>
      <c r="H361" s="344"/>
      <c r="I361" s="347">
        <v>40</v>
      </c>
      <c r="J361" s="344"/>
      <c r="K361" s="344"/>
      <c r="L361" s="344" t="s">
        <v>12341</v>
      </c>
      <c r="M361" s="344" t="s">
        <v>12881</v>
      </c>
      <c r="N361" s="344" t="s">
        <v>12344</v>
      </c>
      <c r="O361" s="348"/>
      <c r="P361" s="348"/>
      <c r="Q361" s="348"/>
      <c r="R361" s="348"/>
      <c r="S361" s="348"/>
      <c r="T361" s="348"/>
      <c r="U361" s="348"/>
      <c r="V361" s="348"/>
      <c r="W361" s="348"/>
      <c r="X361" s="348"/>
      <c r="Y361" s="348"/>
      <c r="Z361" s="348"/>
    </row>
    <row r="362" spans="1:26" s="64" customFormat="1" ht="47.25" customHeight="1" thickBot="1" x14ac:dyDescent="0.35">
      <c r="A362" s="343">
        <v>45460</v>
      </c>
      <c r="B362" s="345" t="s">
        <v>12965</v>
      </c>
      <c r="C362" s="344"/>
      <c r="D362" s="344" t="s">
        <v>12341</v>
      </c>
      <c r="E362" s="344" t="s">
        <v>12341</v>
      </c>
      <c r="F362" s="344"/>
      <c r="G362" s="344"/>
      <c r="H362" s="344"/>
      <c r="I362" s="344"/>
      <c r="J362" s="344"/>
      <c r="K362" s="344"/>
      <c r="L362" s="344" t="s">
        <v>12971</v>
      </c>
      <c r="M362" s="344" t="s">
        <v>12881</v>
      </c>
      <c r="N362" s="344" t="s">
        <v>12339</v>
      </c>
      <c r="O362" s="348"/>
      <c r="P362" s="348"/>
      <c r="Q362" s="348"/>
      <c r="R362" s="348"/>
      <c r="S362" s="348"/>
      <c r="T362" s="348"/>
      <c r="U362" s="348"/>
      <c r="V362" s="348"/>
      <c r="W362" s="348"/>
      <c r="X362" s="348"/>
      <c r="Y362" s="348"/>
      <c r="Z362" s="348"/>
    </row>
    <row r="363" spans="1:26" s="64" customFormat="1" ht="47.25" customHeight="1" thickBot="1" x14ac:dyDescent="0.35">
      <c r="A363" s="343">
        <v>45461</v>
      </c>
      <c r="B363" s="345" t="s">
        <v>12972</v>
      </c>
      <c r="C363" s="344"/>
      <c r="D363" s="344" t="s">
        <v>12341</v>
      </c>
      <c r="E363" s="344" t="s">
        <v>12341</v>
      </c>
      <c r="F363" s="344"/>
      <c r="G363" s="344"/>
      <c r="H363" s="344"/>
      <c r="I363" s="344"/>
      <c r="J363" s="344"/>
      <c r="K363" s="344" t="s">
        <v>12973</v>
      </c>
      <c r="L363" s="344" t="s">
        <v>12974</v>
      </c>
      <c r="M363" s="344" t="s">
        <v>12881</v>
      </c>
      <c r="N363" s="344" t="s">
        <v>12339</v>
      </c>
      <c r="O363" s="348"/>
      <c r="P363" s="348"/>
      <c r="Q363" s="348"/>
      <c r="R363" s="348"/>
      <c r="S363" s="348"/>
      <c r="T363" s="348"/>
      <c r="U363" s="348"/>
      <c r="V363" s="348"/>
      <c r="W363" s="348"/>
      <c r="X363" s="348"/>
      <c r="Y363" s="348"/>
      <c r="Z363" s="348"/>
    </row>
    <row r="364" spans="1:26" s="64" customFormat="1" ht="47.25" customHeight="1" thickBot="1" x14ac:dyDescent="0.35">
      <c r="A364" s="343">
        <v>45461</v>
      </c>
      <c r="B364" s="345" t="s">
        <v>12975</v>
      </c>
      <c r="C364" s="344"/>
      <c r="D364" s="344" t="s">
        <v>12341</v>
      </c>
      <c r="E364" s="344" t="s">
        <v>12342</v>
      </c>
      <c r="F364" s="344" t="s">
        <v>12346</v>
      </c>
      <c r="G364" s="347">
        <v>195</v>
      </c>
      <c r="H364" s="347">
        <v>121</v>
      </c>
      <c r="I364" s="347">
        <v>74</v>
      </c>
      <c r="J364" s="344"/>
      <c r="K364" s="344"/>
      <c r="L364" s="344" t="s">
        <v>12341</v>
      </c>
      <c r="M364" s="344" t="s">
        <v>12881</v>
      </c>
      <c r="N364" s="344" t="s">
        <v>12344</v>
      </c>
      <c r="O364" s="348"/>
      <c r="P364" s="348"/>
      <c r="Q364" s="348"/>
      <c r="R364" s="348"/>
      <c r="S364" s="348"/>
      <c r="T364" s="348"/>
      <c r="U364" s="348"/>
      <c r="V364" s="348"/>
      <c r="W364" s="348"/>
      <c r="X364" s="348"/>
      <c r="Y364" s="348"/>
      <c r="Z364" s="348"/>
    </row>
    <row r="365" spans="1:26" s="64" customFormat="1" ht="47.25" customHeight="1" thickBot="1" x14ac:dyDescent="0.35">
      <c r="A365" s="343">
        <v>45461</v>
      </c>
      <c r="B365" s="345" t="s">
        <v>12976</v>
      </c>
      <c r="C365" s="344"/>
      <c r="D365" s="344" t="s">
        <v>12341</v>
      </c>
      <c r="E365" s="344" t="s">
        <v>12341</v>
      </c>
      <c r="F365" s="344"/>
      <c r="G365" s="344"/>
      <c r="H365" s="344"/>
      <c r="I365" s="344"/>
      <c r="J365" s="344"/>
      <c r="K365" s="344" t="s">
        <v>12977</v>
      </c>
      <c r="L365" s="344" t="s">
        <v>12978</v>
      </c>
      <c r="M365" s="344" t="s">
        <v>12881</v>
      </c>
      <c r="N365" s="344" t="s">
        <v>12339</v>
      </c>
      <c r="O365" s="348"/>
      <c r="P365" s="348"/>
      <c r="Q365" s="348"/>
      <c r="R365" s="348"/>
      <c r="S365" s="348"/>
      <c r="T365" s="348"/>
      <c r="U365" s="348"/>
      <c r="V365" s="348"/>
      <c r="W365" s="348"/>
      <c r="X365" s="348"/>
      <c r="Y365" s="348"/>
      <c r="Z365" s="348"/>
    </row>
    <row r="366" spans="1:26" s="64" customFormat="1" ht="47.25" customHeight="1" thickBot="1" x14ac:dyDescent="0.35">
      <c r="A366" s="343">
        <v>45461</v>
      </c>
      <c r="B366" s="345" t="s">
        <v>12979</v>
      </c>
      <c r="C366" s="344"/>
      <c r="D366" s="344" t="s">
        <v>12341</v>
      </c>
      <c r="E366" s="344" t="s">
        <v>12342</v>
      </c>
      <c r="F366" s="344" t="s">
        <v>12970</v>
      </c>
      <c r="G366" s="344"/>
      <c r="H366" s="347">
        <v>86</v>
      </c>
      <c r="I366" s="347">
        <v>74</v>
      </c>
      <c r="J366" s="344"/>
      <c r="K366" s="344"/>
      <c r="L366" s="344" t="s">
        <v>12341</v>
      </c>
      <c r="M366" s="344" t="s">
        <v>12881</v>
      </c>
      <c r="N366" s="344" t="s">
        <v>12344</v>
      </c>
      <c r="O366" s="348"/>
      <c r="P366" s="348"/>
      <c r="Q366" s="348"/>
      <c r="R366" s="348"/>
      <c r="S366" s="348"/>
      <c r="T366" s="348"/>
      <c r="U366" s="348"/>
      <c r="V366" s="348"/>
      <c r="W366" s="348"/>
      <c r="X366" s="348"/>
      <c r="Y366" s="348"/>
      <c r="Z366" s="348"/>
    </row>
    <row r="367" spans="1:26" s="64" customFormat="1" ht="47.25" customHeight="1" thickBot="1" x14ac:dyDescent="0.35">
      <c r="A367" s="343">
        <v>45461</v>
      </c>
      <c r="B367" s="345" t="s">
        <v>12980</v>
      </c>
      <c r="C367" s="344"/>
      <c r="D367" s="344" t="s">
        <v>12341</v>
      </c>
      <c r="E367" s="344" t="s">
        <v>12342</v>
      </c>
      <c r="F367" s="344" t="s">
        <v>12346</v>
      </c>
      <c r="G367" s="347">
        <v>160</v>
      </c>
      <c r="H367" s="347">
        <v>86</v>
      </c>
      <c r="I367" s="347">
        <v>74</v>
      </c>
      <c r="J367" s="344"/>
      <c r="K367" s="344"/>
      <c r="L367" s="344" t="s">
        <v>12341</v>
      </c>
      <c r="M367" s="344" t="s">
        <v>12881</v>
      </c>
      <c r="N367" s="344" t="s">
        <v>12344</v>
      </c>
      <c r="O367" s="348"/>
      <c r="P367" s="348"/>
      <c r="Q367" s="348"/>
      <c r="R367" s="348"/>
      <c r="S367" s="348"/>
      <c r="T367" s="348"/>
      <c r="U367" s="348"/>
      <c r="V367" s="348"/>
      <c r="W367" s="348"/>
      <c r="X367" s="348"/>
      <c r="Y367" s="348"/>
      <c r="Z367" s="348"/>
    </row>
    <row r="368" spans="1:26" s="64" customFormat="1" ht="47.25" customHeight="1" thickBot="1" x14ac:dyDescent="0.35">
      <c r="A368" s="343">
        <v>45461</v>
      </c>
      <c r="B368" s="345" t="s">
        <v>12981</v>
      </c>
      <c r="C368" s="344"/>
      <c r="D368" s="344" t="s">
        <v>12341</v>
      </c>
      <c r="E368" s="344" t="s">
        <v>12341</v>
      </c>
      <c r="F368" s="344"/>
      <c r="G368" s="344"/>
      <c r="H368" s="344"/>
      <c r="I368" s="344"/>
      <c r="J368" s="344"/>
      <c r="K368" s="344" t="s">
        <v>12982</v>
      </c>
      <c r="L368" s="344" t="s">
        <v>12983</v>
      </c>
      <c r="M368" s="344" t="s">
        <v>12881</v>
      </c>
      <c r="N368" s="344" t="s">
        <v>12339</v>
      </c>
      <c r="O368" s="348"/>
      <c r="P368" s="348"/>
      <c r="Q368" s="348"/>
      <c r="R368" s="348"/>
      <c r="S368" s="348"/>
      <c r="T368" s="348"/>
      <c r="U368" s="348"/>
      <c r="V368" s="348"/>
      <c r="W368" s="348"/>
      <c r="X368" s="348"/>
      <c r="Y368" s="348"/>
      <c r="Z368" s="348"/>
    </row>
    <row r="369" spans="1:26" s="64" customFormat="1" ht="47.25" customHeight="1" thickBot="1" x14ac:dyDescent="0.35">
      <c r="A369" s="343">
        <v>45461</v>
      </c>
      <c r="B369" s="345" t="s">
        <v>12981</v>
      </c>
      <c r="C369" s="344"/>
      <c r="D369" s="344" t="s">
        <v>12341</v>
      </c>
      <c r="E369" s="344" t="s">
        <v>12341</v>
      </c>
      <c r="F369" s="344"/>
      <c r="G369" s="344"/>
      <c r="H369" s="344"/>
      <c r="I369" s="344"/>
      <c r="J369" s="344"/>
      <c r="K369" s="344"/>
      <c r="L369" s="344" t="s">
        <v>12984</v>
      </c>
      <c r="M369" s="344" t="s">
        <v>12881</v>
      </c>
      <c r="N369" s="344" t="s">
        <v>12339</v>
      </c>
      <c r="O369" s="348"/>
      <c r="P369" s="348"/>
      <c r="Q369" s="348"/>
      <c r="R369" s="348"/>
      <c r="S369" s="348"/>
      <c r="T369" s="348"/>
      <c r="U369" s="348"/>
      <c r="V369" s="348"/>
      <c r="W369" s="348"/>
      <c r="X369" s="348"/>
      <c r="Y369" s="348"/>
      <c r="Z369" s="348"/>
    </row>
    <row r="370" spans="1:26" s="64" customFormat="1" ht="47.25" customHeight="1" thickBot="1" x14ac:dyDescent="0.35">
      <c r="A370" s="343">
        <v>45462</v>
      </c>
      <c r="B370" s="345" t="s">
        <v>12985</v>
      </c>
      <c r="C370" s="344"/>
      <c r="D370" s="344" t="s">
        <v>12341</v>
      </c>
      <c r="E370" s="344" t="s">
        <v>12342</v>
      </c>
      <c r="F370" s="344" t="s">
        <v>12346</v>
      </c>
      <c r="G370" s="347">
        <v>150</v>
      </c>
      <c r="H370" s="347">
        <v>76</v>
      </c>
      <c r="I370" s="347">
        <v>74</v>
      </c>
      <c r="J370" s="344"/>
      <c r="K370" s="344"/>
      <c r="L370" s="344" t="s">
        <v>12341</v>
      </c>
      <c r="M370" s="344" t="s">
        <v>12881</v>
      </c>
      <c r="N370" s="344" t="s">
        <v>12344</v>
      </c>
      <c r="O370" s="348"/>
      <c r="P370" s="348"/>
      <c r="Q370" s="348"/>
      <c r="R370" s="348"/>
      <c r="S370" s="348"/>
      <c r="T370" s="348"/>
      <c r="U370" s="348"/>
      <c r="V370" s="348"/>
      <c r="W370" s="348"/>
      <c r="X370" s="348"/>
      <c r="Y370" s="348"/>
      <c r="Z370" s="348"/>
    </row>
    <row r="371" spans="1:26" s="64" customFormat="1" ht="47.25" customHeight="1" thickBot="1" x14ac:dyDescent="0.35">
      <c r="A371" s="343">
        <v>45462</v>
      </c>
      <c r="B371" s="345" t="s">
        <v>12986</v>
      </c>
      <c r="C371" s="344"/>
      <c r="D371" s="344" t="s">
        <v>12341</v>
      </c>
      <c r="E371" s="344" t="s">
        <v>12342</v>
      </c>
      <c r="F371" s="344" t="s">
        <v>12970</v>
      </c>
      <c r="G371" s="344"/>
      <c r="H371" s="344"/>
      <c r="I371" s="347">
        <v>400</v>
      </c>
      <c r="J371" s="344"/>
      <c r="K371" s="344"/>
      <c r="L371" s="344" t="s">
        <v>12341</v>
      </c>
      <c r="M371" s="344" t="s">
        <v>12881</v>
      </c>
      <c r="N371" s="344" t="s">
        <v>12344</v>
      </c>
      <c r="O371" s="348"/>
      <c r="P371" s="348"/>
      <c r="Q371" s="348"/>
      <c r="R371" s="348"/>
      <c r="S371" s="348"/>
      <c r="T371" s="348"/>
      <c r="U371" s="348"/>
      <c r="V371" s="348"/>
      <c r="W371" s="348"/>
      <c r="X371" s="348"/>
      <c r="Y371" s="348"/>
      <c r="Z371" s="348"/>
    </row>
    <row r="372" spans="1:26" s="64" customFormat="1" ht="47.25" customHeight="1" thickBot="1" x14ac:dyDescent="0.35">
      <c r="A372" s="343">
        <v>45462</v>
      </c>
      <c r="B372" s="345" t="s">
        <v>12987</v>
      </c>
      <c r="C372" s="344"/>
      <c r="D372" s="344" t="s">
        <v>12341</v>
      </c>
      <c r="E372" s="344" t="s">
        <v>12342</v>
      </c>
      <c r="F372" s="344" t="s">
        <v>12346</v>
      </c>
      <c r="G372" s="347">
        <v>150</v>
      </c>
      <c r="H372" s="347">
        <v>76</v>
      </c>
      <c r="I372" s="347">
        <v>74</v>
      </c>
      <c r="J372" s="344"/>
      <c r="K372" s="344"/>
      <c r="L372" s="344" t="s">
        <v>12341</v>
      </c>
      <c r="M372" s="344" t="s">
        <v>12881</v>
      </c>
      <c r="N372" s="344" t="s">
        <v>12344</v>
      </c>
      <c r="O372" s="348"/>
      <c r="P372" s="348"/>
      <c r="Q372" s="348"/>
      <c r="R372" s="348"/>
      <c r="S372" s="348"/>
      <c r="T372" s="348"/>
      <c r="U372" s="348"/>
      <c r="V372" s="348"/>
      <c r="W372" s="348"/>
      <c r="X372" s="348"/>
      <c r="Y372" s="348"/>
      <c r="Z372" s="348"/>
    </row>
    <row r="373" spans="1:26" s="64" customFormat="1" ht="47.25" customHeight="1" thickBot="1" x14ac:dyDescent="0.3">
      <c r="A373" s="343">
        <v>45462</v>
      </c>
      <c r="B373" s="350" t="s">
        <v>12988</v>
      </c>
      <c r="C373" s="344"/>
      <c r="D373" s="344" t="s">
        <v>12341</v>
      </c>
      <c r="E373" s="344" t="s">
        <v>12341</v>
      </c>
      <c r="F373" s="344"/>
      <c r="G373" s="344"/>
      <c r="H373" s="344"/>
      <c r="I373" s="344"/>
      <c r="J373" s="344"/>
      <c r="K373" s="344" t="s">
        <v>12989</v>
      </c>
      <c r="L373" s="344" t="s">
        <v>12341</v>
      </c>
      <c r="M373" s="344" t="s">
        <v>12881</v>
      </c>
      <c r="N373" s="344" t="s">
        <v>12339</v>
      </c>
      <c r="O373" s="348"/>
      <c r="P373" s="348"/>
      <c r="Q373" s="348"/>
      <c r="R373" s="348"/>
      <c r="S373" s="348"/>
      <c r="T373" s="348"/>
      <c r="U373" s="348"/>
      <c r="V373" s="348"/>
      <c r="W373" s="348"/>
      <c r="X373" s="348"/>
      <c r="Y373" s="348"/>
      <c r="Z373" s="348"/>
    </row>
    <row r="374" spans="1:26" s="64" customFormat="1" ht="47.25" customHeight="1" thickBot="1" x14ac:dyDescent="0.35">
      <c r="A374" s="343">
        <v>45462</v>
      </c>
      <c r="B374" s="345" t="s">
        <v>12990</v>
      </c>
      <c r="C374" s="344"/>
      <c r="D374" s="344" t="s">
        <v>12341</v>
      </c>
      <c r="E374" s="344" t="s">
        <v>12356</v>
      </c>
      <c r="F374" s="344" t="s">
        <v>12346</v>
      </c>
      <c r="G374" s="347">
        <v>80</v>
      </c>
      <c r="H374" s="347">
        <v>40</v>
      </c>
      <c r="I374" s="347">
        <v>40</v>
      </c>
      <c r="J374" s="344"/>
      <c r="K374" s="344"/>
      <c r="L374" s="344" t="s">
        <v>12341</v>
      </c>
      <c r="M374" s="344" t="s">
        <v>12881</v>
      </c>
      <c r="N374" s="344" t="s">
        <v>12344</v>
      </c>
      <c r="O374" s="348"/>
      <c r="P374" s="348"/>
      <c r="Q374" s="348"/>
      <c r="R374" s="348"/>
      <c r="S374" s="348"/>
      <c r="T374" s="348"/>
      <c r="U374" s="348"/>
      <c r="V374" s="348"/>
      <c r="W374" s="348"/>
      <c r="X374" s="348"/>
      <c r="Y374" s="348"/>
      <c r="Z374" s="348"/>
    </row>
    <row r="375" spans="1:26" s="64" customFormat="1" ht="47.25" customHeight="1" thickBot="1" x14ac:dyDescent="0.35">
      <c r="A375" s="343">
        <v>45463</v>
      </c>
      <c r="B375" s="345" t="s">
        <v>12991</v>
      </c>
      <c r="C375" s="344"/>
      <c r="D375" s="344" t="s">
        <v>12341</v>
      </c>
      <c r="E375" s="344" t="s">
        <v>12356</v>
      </c>
      <c r="F375" s="344" t="s">
        <v>12346</v>
      </c>
      <c r="G375" s="347">
        <v>80</v>
      </c>
      <c r="H375" s="347">
        <v>40</v>
      </c>
      <c r="I375" s="347">
        <v>40</v>
      </c>
      <c r="J375" s="344"/>
      <c r="K375" s="344"/>
      <c r="L375" s="344" t="s">
        <v>12341</v>
      </c>
      <c r="M375" s="344" t="s">
        <v>12881</v>
      </c>
      <c r="N375" s="344" t="s">
        <v>12344</v>
      </c>
      <c r="O375" s="348"/>
      <c r="P375" s="348"/>
      <c r="Q375" s="348"/>
      <c r="R375" s="348"/>
      <c r="S375" s="348"/>
      <c r="T375" s="348"/>
      <c r="U375" s="348"/>
      <c r="V375" s="348"/>
      <c r="W375" s="348"/>
      <c r="X375" s="348"/>
      <c r="Y375" s="348"/>
      <c r="Z375" s="348"/>
    </row>
    <row r="376" spans="1:26" s="64" customFormat="1" ht="47.25" customHeight="1" thickBot="1" x14ac:dyDescent="0.35">
      <c r="A376" s="343">
        <v>45463</v>
      </c>
      <c r="B376" s="345" t="s">
        <v>12992</v>
      </c>
      <c r="C376" s="344"/>
      <c r="D376" s="344" t="s">
        <v>12341</v>
      </c>
      <c r="E376" s="344" t="s">
        <v>12341</v>
      </c>
      <c r="F376" s="344"/>
      <c r="G376" s="344"/>
      <c r="H376" s="344"/>
      <c r="I376" s="344"/>
      <c r="J376" s="344"/>
      <c r="K376" s="344" t="s">
        <v>12993</v>
      </c>
      <c r="L376" s="344" t="s">
        <v>12994</v>
      </c>
      <c r="M376" s="344" t="s">
        <v>12881</v>
      </c>
      <c r="N376" s="344" t="s">
        <v>12339</v>
      </c>
      <c r="O376" s="348"/>
      <c r="P376" s="348"/>
      <c r="Q376" s="348"/>
      <c r="R376" s="348"/>
      <c r="S376" s="348"/>
      <c r="T376" s="348"/>
      <c r="U376" s="348"/>
      <c r="V376" s="348"/>
      <c r="W376" s="348"/>
      <c r="X376" s="348"/>
      <c r="Y376" s="348"/>
      <c r="Z376" s="348"/>
    </row>
    <row r="377" spans="1:26" s="64" customFormat="1" ht="47.25" customHeight="1" thickBot="1" x14ac:dyDescent="0.35">
      <c r="A377" s="343">
        <v>45463</v>
      </c>
      <c r="B377" s="345" t="s">
        <v>12995</v>
      </c>
      <c r="C377" s="344"/>
      <c r="D377" s="344" t="s">
        <v>12341</v>
      </c>
      <c r="E377" s="344" t="s">
        <v>12341</v>
      </c>
      <c r="F377" s="344"/>
      <c r="G377" s="344"/>
      <c r="H377" s="344"/>
      <c r="I377" s="344"/>
      <c r="J377" s="344"/>
      <c r="K377" s="344" t="s">
        <v>12996</v>
      </c>
      <c r="L377" s="344" t="s">
        <v>12997</v>
      </c>
      <c r="M377" s="344" t="s">
        <v>12881</v>
      </c>
      <c r="N377" s="344" t="s">
        <v>12339</v>
      </c>
      <c r="O377" s="348"/>
      <c r="P377" s="348"/>
      <c r="Q377" s="348"/>
      <c r="R377" s="348"/>
      <c r="S377" s="348"/>
      <c r="T377" s="348"/>
      <c r="U377" s="348"/>
      <c r="V377" s="348"/>
      <c r="W377" s="348"/>
      <c r="X377" s="348"/>
      <c r="Y377" s="348"/>
      <c r="Z377" s="348"/>
    </row>
    <row r="378" spans="1:26" s="64" customFormat="1" ht="47.25" customHeight="1" thickBot="1" x14ac:dyDescent="0.35">
      <c r="A378" s="343">
        <v>45463</v>
      </c>
      <c r="B378" s="345" t="s">
        <v>12998</v>
      </c>
      <c r="C378" s="344"/>
      <c r="D378" s="344" t="s">
        <v>12341</v>
      </c>
      <c r="E378" s="344" t="s">
        <v>12341</v>
      </c>
      <c r="F378" s="344"/>
      <c r="G378" s="344"/>
      <c r="H378" s="344"/>
      <c r="I378" s="344"/>
      <c r="J378" s="344"/>
      <c r="K378" s="344" t="s">
        <v>12999</v>
      </c>
      <c r="L378" s="344" t="s">
        <v>13000</v>
      </c>
      <c r="M378" s="344" t="s">
        <v>12881</v>
      </c>
      <c r="N378" s="344" t="s">
        <v>12339</v>
      </c>
      <c r="O378" s="348"/>
      <c r="P378" s="348"/>
      <c r="Q378" s="348"/>
      <c r="R378" s="348"/>
      <c r="S378" s="348"/>
      <c r="T378" s="348"/>
      <c r="U378" s="348"/>
      <c r="V378" s="348"/>
      <c r="W378" s="348"/>
      <c r="X378" s="348"/>
      <c r="Y378" s="348"/>
      <c r="Z378" s="348"/>
    </row>
    <row r="379" spans="1:26" s="64" customFormat="1" ht="47.25" customHeight="1" thickBot="1" x14ac:dyDescent="0.35">
      <c r="A379" s="343">
        <v>45463</v>
      </c>
      <c r="B379" s="345" t="s">
        <v>13001</v>
      </c>
      <c r="C379" s="344"/>
      <c r="D379" s="344" t="s">
        <v>12341</v>
      </c>
      <c r="E379" s="344" t="s">
        <v>12356</v>
      </c>
      <c r="F379" s="344" t="s">
        <v>12346</v>
      </c>
      <c r="G379" s="347">
        <v>80</v>
      </c>
      <c r="H379" s="347">
        <v>40</v>
      </c>
      <c r="I379" s="347">
        <v>40</v>
      </c>
      <c r="J379" s="344"/>
      <c r="K379" s="344"/>
      <c r="L379" s="344" t="s">
        <v>12341</v>
      </c>
      <c r="M379" s="344" t="s">
        <v>12881</v>
      </c>
      <c r="N379" s="344" t="s">
        <v>12344</v>
      </c>
      <c r="O379" s="348"/>
      <c r="P379" s="348"/>
      <c r="Q379" s="348"/>
      <c r="R379" s="348"/>
      <c r="S379" s="348"/>
      <c r="T379" s="348"/>
      <c r="U379" s="348"/>
      <c r="V379" s="348"/>
      <c r="W379" s="348"/>
      <c r="X379" s="348"/>
      <c r="Y379" s="348"/>
      <c r="Z379" s="348"/>
    </row>
    <row r="380" spans="1:26" s="64" customFormat="1" ht="47.25" customHeight="1" thickBot="1" x14ac:dyDescent="0.35">
      <c r="A380" s="343">
        <v>45463</v>
      </c>
      <c r="B380" s="345" t="s">
        <v>13002</v>
      </c>
      <c r="C380" s="344"/>
      <c r="D380" s="344" t="s">
        <v>12341</v>
      </c>
      <c r="E380" s="344" t="s">
        <v>12341</v>
      </c>
      <c r="F380" s="344"/>
      <c r="G380" s="344"/>
      <c r="H380" s="344"/>
      <c r="I380" s="344"/>
      <c r="J380" s="344"/>
      <c r="K380" s="344" t="s">
        <v>13003</v>
      </c>
      <c r="L380" s="344" t="s">
        <v>13004</v>
      </c>
      <c r="M380" s="344" t="s">
        <v>12881</v>
      </c>
      <c r="N380" s="344" t="s">
        <v>12339</v>
      </c>
      <c r="O380" s="348"/>
      <c r="P380" s="348"/>
      <c r="Q380" s="348"/>
      <c r="R380" s="348"/>
      <c r="S380" s="348"/>
      <c r="T380" s="348"/>
      <c r="U380" s="348"/>
      <c r="V380" s="348"/>
      <c r="W380" s="348"/>
      <c r="X380" s="348"/>
      <c r="Y380" s="348"/>
      <c r="Z380" s="348"/>
    </row>
    <row r="381" spans="1:26" s="64" customFormat="1" ht="47.25" customHeight="1" thickBot="1" x14ac:dyDescent="0.35">
      <c r="A381" s="343">
        <v>45463</v>
      </c>
      <c r="B381" s="345" t="s">
        <v>13005</v>
      </c>
      <c r="C381" s="344"/>
      <c r="D381" s="344" t="s">
        <v>12341</v>
      </c>
      <c r="E381" s="344" t="s">
        <v>12341</v>
      </c>
      <c r="F381" s="344"/>
      <c r="G381" s="344"/>
      <c r="H381" s="344"/>
      <c r="I381" s="344"/>
      <c r="J381" s="344"/>
      <c r="K381" s="344" t="s">
        <v>13006</v>
      </c>
      <c r="L381" s="344" t="s">
        <v>13007</v>
      </c>
      <c r="M381" s="344" t="s">
        <v>12881</v>
      </c>
      <c r="N381" s="344" t="s">
        <v>12339</v>
      </c>
      <c r="O381" s="348"/>
      <c r="P381" s="348"/>
      <c r="Q381" s="348"/>
      <c r="R381" s="348"/>
      <c r="S381" s="348"/>
      <c r="T381" s="348"/>
      <c r="U381" s="348"/>
      <c r="V381" s="348"/>
      <c r="W381" s="348"/>
      <c r="X381" s="348"/>
      <c r="Y381" s="348"/>
      <c r="Z381" s="348"/>
    </row>
    <row r="382" spans="1:26" s="64" customFormat="1" ht="47.25" customHeight="1" thickBot="1" x14ac:dyDescent="0.35">
      <c r="A382" s="343">
        <v>45463</v>
      </c>
      <c r="B382" s="345" t="s">
        <v>13008</v>
      </c>
      <c r="C382" s="344"/>
      <c r="D382" s="344" t="s">
        <v>12341</v>
      </c>
      <c r="E382" s="344" t="s">
        <v>12356</v>
      </c>
      <c r="F382" s="344" t="s">
        <v>12346</v>
      </c>
      <c r="G382" s="347">
        <v>80</v>
      </c>
      <c r="H382" s="347">
        <v>40</v>
      </c>
      <c r="I382" s="347">
        <v>40</v>
      </c>
      <c r="J382" s="344"/>
      <c r="K382" s="344"/>
      <c r="L382" s="344" t="s">
        <v>12341</v>
      </c>
      <c r="M382" s="344" t="s">
        <v>12881</v>
      </c>
      <c r="N382" s="344" t="s">
        <v>12344</v>
      </c>
      <c r="O382" s="348"/>
      <c r="P382" s="348"/>
      <c r="Q382" s="348"/>
      <c r="R382" s="348"/>
      <c r="S382" s="348"/>
      <c r="T382" s="348"/>
      <c r="U382" s="348"/>
      <c r="V382" s="348"/>
      <c r="W382" s="348"/>
      <c r="X382" s="348"/>
      <c r="Y382" s="348"/>
      <c r="Z382" s="348"/>
    </row>
    <row r="383" spans="1:26" s="64" customFormat="1" ht="47.25" customHeight="1" thickBot="1" x14ac:dyDescent="0.35">
      <c r="A383" s="343">
        <v>45463</v>
      </c>
      <c r="B383" s="345" t="s">
        <v>13009</v>
      </c>
      <c r="C383" s="344"/>
      <c r="D383" s="344" t="s">
        <v>12341</v>
      </c>
      <c r="E383" s="344" t="s">
        <v>12341</v>
      </c>
      <c r="F383" s="344"/>
      <c r="G383" s="344"/>
      <c r="H383" s="344"/>
      <c r="I383" s="344"/>
      <c r="J383" s="344"/>
      <c r="K383" s="344" t="s">
        <v>13010</v>
      </c>
      <c r="L383" s="344" t="s">
        <v>13011</v>
      </c>
      <c r="M383" s="344" t="s">
        <v>12881</v>
      </c>
      <c r="N383" s="344" t="s">
        <v>12339</v>
      </c>
      <c r="O383" s="348"/>
      <c r="P383" s="348"/>
      <c r="Q383" s="348"/>
      <c r="R383" s="348"/>
      <c r="S383" s="348"/>
      <c r="T383" s="348"/>
      <c r="U383" s="348"/>
      <c r="V383" s="348"/>
      <c r="W383" s="348"/>
      <c r="X383" s="348"/>
      <c r="Y383" s="348"/>
      <c r="Z383" s="348"/>
    </row>
    <row r="384" spans="1:26" s="64" customFormat="1" ht="47.25" customHeight="1" thickBot="1" x14ac:dyDescent="0.35">
      <c r="A384" s="343">
        <v>45463</v>
      </c>
      <c r="B384" s="345" t="s">
        <v>13012</v>
      </c>
      <c r="C384" s="344"/>
      <c r="D384" s="344" t="s">
        <v>12341</v>
      </c>
      <c r="E384" s="344" t="s">
        <v>12341</v>
      </c>
      <c r="F384" s="344"/>
      <c r="G384" s="344"/>
      <c r="H384" s="344"/>
      <c r="I384" s="344"/>
      <c r="J384" s="344"/>
      <c r="K384" s="344"/>
      <c r="L384" s="344" t="s">
        <v>13013</v>
      </c>
      <c r="M384" s="344" t="s">
        <v>12881</v>
      </c>
      <c r="N384" s="344" t="s">
        <v>12339</v>
      </c>
      <c r="O384" s="348"/>
      <c r="P384" s="348"/>
      <c r="Q384" s="348"/>
      <c r="R384" s="348"/>
      <c r="S384" s="348"/>
      <c r="T384" s="348"/>
      <c r="U384" s="348"/>
      <c r="V384" s="348"/>
      <c r="W384" s="348"/>
      <c r="X384" s="348"/>
      <c r="Y384" s="348"/>
      <c r="Z384" s="348"/>
    </row>
    <row r="385" spans="1:26" s="64" customFormat="1" ht="47.25" customHeight="1" thickBot="1" x14ac:dyDescent="0.35">
      <c r="A385" s="343">
        <v>45463</v>
      </c>
      <c r="B385" s="345" t="s">
        <v>13014</v>
      </c>
      <c r="C385" s="344"/>
      <c r="D385" s="344" t="s">
        <v>12341</v>
      </c>
      <c r="E385" s="344" t="s">
        <v>12356</v>
      </c>
      <c r="F385" s="344" t="s">
        <v>12346</v>
      </c>
      <c r="G385" s="347">
        <v>80</v>
      </c>
      <c r="H385" s="347">
        <v>40</v>
      </c>
      <c r="I385" s="347">
        <v>40</v>
      </c>
      <c r="J385" s="344"/>
      <c r="K385" s="344"/>
      <c r="L385" s="344" t="s">
        <v>12341</v>
      </c>
      <c r="M385" s="344" t="s">
        <v>12881</v>
      </c>
      <c r="N385" s="344" t="s">
        <v>12344</v>
      </c>
      <c r="O385" s="348"/>
      <c r="P385" s="348"/>
      <c r="Q385" s="348"/>
      <c r="R385" s="348"/>
      <c r="S385" s="348"/>
      <c r="T385" s="348"/>
      <c r="U385" s="348"/>
      <c r="V385" s="348"/>
      <c r="W385" s="348"/>
      <c r="X385" s="348"/>
      <c r="Y385" s="348"/>
      <c r="Z385" s="348"/>
    </row>
    <row r="386" spans="1:26" s="64" customFormat="1" ht="47.25" customHeight="1" thickBot="1" x14ac:dyDescent="0.35">
      <c r="A386" s="343">
        <v>45463</v>
      </c>
      <c r="B386" s="345" t="s">
        <v>13012</v>
      </c>
      <c r="C386" s="344"/>
      <c r="D386" s="344" t="s">
        <v>12341</v>
      </c>
      <c r="E386" s="344" t="s">
        <v>12341</v>
      </c>
      <c r="F386" s="344"/>
      <c r="G386" s="344"/>
      <c r="H386" s="344"/>
      <c r="I386" s="344"/>
      <c r="J386" s="344"/>
      <c r="K386" s="344" t="s">
        <v>13015</v>
      </c>
      <c r="L386" s="344" t="s">
        <v>13016</v>
      </c>
      <c r="M386" s="344" t="s">
        <v>12881</v>
      </c>
      <c r="N386" s="344" t="s">
        <v>12339</v>
      </c>
      <c r="O386" s="348"/>
      <c r="P386" s="348"/>
      <c r="Q386" s="348"/>
      <c r="R386" s="348"/>
      <c r="S386" s="348"/>
      <c r="T386" s="348"/>
      <c r="U386" s="348"/>
      <c r="V386" s="348"/>
      <c r="W386" s="348"/>
      <c r="X386" s="348"/>
      <c r="Y386" s="348"/>
      <c r="Z386" s="348"/>
    </row>
    <row r="387" spans="1:26" s="64" customFormat="1" ht="47.25" customHeight="1" thickBot="1" x14ac:dyDescent="0.35">
      <c r="A387" s="343">
        <v>45463</v>
      </c>
      <c r="B387" s="345" t="s">
        <v>13017</v>
      </c>
      <c r="C387" s="344"/>
      <c r="D387" s="344" t="s">
        <v>12341</v>
      </c>
      <c r="E387" s="344" t="s">
        <v>12356</v>
      </c>
      <c r="F387" s="344" t="s">
        <v>12346</v>
      </c>
      <c r="G387" s="347">
        <v>80</v>
      </c>
      <c r="H387" s="347">
        <v>40</v>
      </c>
      <c r="I387" s="347">
        <v>40</v>
      </c>
      <c r="J387" s="344"/>
      <c r="K387" s="344"/>
      <c r="L387" s="344" t="s">
        <v>12341</v>
      </c>
      <c r="M387" s="344" t="s">
        <v>12881</v>
      </c>
      <c r="N387" s="344" t="s">
        <v>12344</v>
      </c>
      <c r="O387" s="348"/>
      <c r="P387" s="348"/>
      <c r="Q387" s="348"/>
      <c r="R387" s="348"/>
      <c r="S387" s="348"/>
      <c r="T387" s="348"/>
      <c r="U387" s="348"/>
      <c r="V387" s="348"/>
      <c r="W387" s="348"/>
      <c r="X387" s="348"/>
      <c r="Y387" s="348"/>
      <c r="Z387" s="348"/>
    </row>
    <row r="388" spans="1:26" s="64" customFormat="1" ht="47.25" customHeight="1" thickBot="1" x14ac:dyDescent="0.35">
      <c r="A388" s="343">
        <v>45463</v>
      </c>
      <c r="B388" s="345" t="s">
        <v>13018</v>
      </c>
      <c r="C388" s="344"/>
      <c r="D388" s="344" t="s">
        <v>12341</v>
      </c>
      <c r="E388" s="344" t="s">
        <v>12356</v>
      </c>
      <c r="F388" s="344" t="s">
        <v>12970</v>
      </c>
      <c r="G388" s="344"/>
      <c r="H388" s="344"/>
      <c r="I388" s="347">
        <v>40</v>
      </c>
      <c r="J388" s="344"/>
      <c r="K388" s="344"/>
      <c r="L388" s="344" t="s">
        <v>12341</v>
      </c>
      <c r="M388" s="344" t="s">
        <v>12881</v>
      </c>
      <c r="N388" s="344" t="s">
        <v>12344</v>
      </c>
      <c r="O388" s="348"/>
      <c r="P388" s="348"/>
      <c r="Q388" s="348"/>
      <c r="R388" s="348"/>
      <c r="S388" s="348"/>
      <c r="T388" s="348"/>
      <c r="U388" s="348"/>
      <c r="V388" s="348"/>
      <c r="W388" s="348"/>
      <c r="X388" s="348"/>
      <c r="Y388" s="348"/>
      <c r="Z388" s="348"/>
    </row>
    <row r="389" spans="1:26" s="64" customFormat="1" ht="47.25" customHeight="1" thickBot="1" x14ac:dyDescent="0.35">
      <c r="A389" s="343">
        <v>45463</v>
      </c>
      <c r="B389" s="345" t="s">
        <v>13019</v>
      </c>
      <c r="C389" s="344"/>
      <c r="D389" s="344" t="s">
        <v>12341</v>
      </c>
      <c r="E389" s="344" t="s">
        <v>12342</v>
      </c>
      <c r="F389" s="344"/>
      <c r="G389" s="347">
        <v>160</v>
      </c>
      <c r="H389" s="347">
        <v>86</v>
      </c>
      <c r="I389" s="347">
        <v>74</v>
      </c>
      <c r="J389" s="344"/>
      <c r="K389" s="344"/>
      <c r="L389" s="344" t="s">
        <v>12341</v>
      </c>
      <c r="M389" s="344" t="s">
        <v>12881</v>
      </c>
      <c r="N389" s="344" t="s">
        <v>12344</v>
      </c>
      <c r="O389" s="348"/>
      <c r="P389" s="348"/>
      <c r="Q389" s="348"/>
      <c r="R389" s="348"/>
      <c r="S389" s="348"/>
      <c r="T389" s="348"/>
      <c r="U389" s="348"/>
      <c r="V389" s="348"/>
      <c r="W389" s="348"/>
      <c r="X389" s="348"/>
      <c r="Y389" s="348"/>
      <c r="Z389" s="348"/>
    </row>
    <row r="390" spans="1:26" s="64" customFormat="1" ht="47.25" customHeight="1" thickBot="1" x14ac:dyDescent="0.35">
      <c r="A390" s="343">
        <v>45463</v>
      </c>
      <c r="B390" s="345" t="s">
        <v>13020</v>
      </c>
      <c r="C390" s="344"/>
      <c r="D390" s="344" t="s">
        <v>12341</v>
      </c>
      <c r="E390" s="344" t="s">
        <v>12356</v>
      </c>
      <c r="F390" s="344" t="s">
        <v>13021</v>
      </c>
      <c r="G390" s="347">
        <v>80</v>
      </c>
      <c r="H390" s="347">
        <v>40</v>
      </c>
      <c r="I390" s="347">
        <v>40</v>
      </c>
      <c r="J390" s="344"/>
      <c r="K390" s="344"/>
      <c r="L390" s="344" t="s">
        <v>12341</v>
      </c>
      <c r="M390" s="344" t="s">
        <v>12881</v>
      </c>
      <c r="N390" s="344" t="s">
        <v>12344</v>
      </c>
      <c r="O390" s="348"/>
      <c r="P390" s="348"/>
      <c r="Q390" s="348"/>
      <c r="R390" s="348"/>
      <c r="S390" s="348"/>
      <c r="T390" s="348"/>
      <c r="U390" s="348"/>
      <c r="V390" s="348"/>
      <c r="W390" s="348"/>
      <c r="X390" s="348"/>
      <c r="Y390" s="348"/>
      <c r="Z390" s="348"/>
    </row>
    <row r="391" spans="1:26" s="64" customFormat="1" ht="47.25" customHeight="1" thickBot="1" x14ac:dyDescent="0.35">
      <c r="A391" s="343">
        <v>45463</v>
      </c>
      <c r="B391" s="345" t="s">
        <v>13022</v>
      </c>
      <c r="C391" s="344"/>
      <c r="D391" s="344" t="s">
        <v>12341</v>
      </c>
      <c r="E391" s="344" t="s">
        <v>12356</v>
      </c>
      <c r="F391" s="344" t="s">
        <v>12346</v>
      </c>
      <c r="G391" s="347">
        <v>80</v>
      </c>
      <c r="H391" s="344"/>
      <c r="I391" s="344"/>
      <c r="J391" s="344"/>
      <c r="K391" s="344"/>
      <c r="L391" s="344" t="s">
        <v>12341</v>
      </c>
      <c r="M391" s="344" t="s">
        <v>12881</v>
      </c>
      <c r="N391" s="344" t="s">
        <v>12344</v>
      </c>
      <c r="O391" s="348"/>
      <c r="P391" s="348"/>
      <c r="Q391" s="348"/>
      <c r="R391" s="348"/>
      <c r="S391" s="348"/>
      <c r="T391" s="348"/>
      <c r="U391" s="348"/>
      <c r="V391" s="348"/>
      <c r="W391" s="348"/>
      <c r="X391" s="348"/>
      <c r="Y391" s="348"/>
      <c r="Z391" s="348"/>
    </row>
    <row r="392" spans="1:26" s="64" customFormat="1" ht="47.25" customHeight="1" thickBot="1" x14ac:dyDescent="0.3">
      <c r="A392" s="343">
        <v>45463</v>
      </c>
      <c r="B392" s="350" t="s">
        <v>13023</v>
      </c>
      <c r="C392" s="344"/>
      <c r="D392" s="344" t="s">
        <v>12341</v>
      </c>
      <c r="E392" s="344" t="s">
        <v>12341</v>
      </c>
      <c r="F392" s="344"/>
      <c r="G392" s="344"/>
      <c r="H392" s="344"/>
      <c r="I392" s="344"/>
      <c r="J392" s="344"/>
      <c r="K392" s="344" t="s">
        <v>13024</v>
      </c>
      <c r="L392" s="344" t="s">
        <v>13025</v>
      </c>
      <c r="M392" s="344" t="s">
        <v>12881</v>
      </c>
      <c r="N392" s="344" t="s">
        <v>12339</v>
      </c>
      <c r="O392" s="348"/>
      <c r="P392" s="348"/>
      <c r="Q392" s="348"/>
      <c r="R392" s="348"/>
      <c r="S392" s="348"/>
      <c r="T392" s="348"/>
      <c r="U392" s="348"/>
      <c r="V392" s="348"/>
      <c r="W392" s="348"/>
      <c r="X392" s="348"/>
      <c r="Y392" s="348"/>
      <c r="Z392" s="348"/>
    </row>
    <row r="393" spans="1:26" s="64" customFormat="1" ht="47.25" customHeight="1" thickBot="1" x14ac:dyDescent="0.35">
      <c r="A393" s="343">
        <v>45463</v>
      </c>
      <c r="B393" s="345" t="s">
        <v>13026</v>
      </c>
      <c r="C393" s="344"/>
      <c r="D393" s="344" t="s">
        <v>12341</v>
      </c>
      <c r="E393" s="344" t="s">
        <v>12394</v>
      </c>
      <c r="F393" s="344" t="s">
        <v>12346</v>
      </c>
      <c r="G393" s="347">
        <v>240</v>
      </c>
      <c r="H393" s="347">
        <v>135</v>
      </c>
      <c r="I393" s="347">
        <v>105</v>
      </c>
      <c r="J393" s="344"/>
      <c r="K393" s="344"/>
      <c r="L393" s="344" t="s">
        <v>12341</v>
      </c>
      <c r="M393" s="344" t="s">
        <v>12881</v>
      </c>
      <c r="N393" s="344" t="s">
        <v>12344</v>
      </c>
      <c r="O393" s="348"/>
      <c r="P393" s="348"/>
      <c r="Q393" s="348"/>
      <c r="R393" s="348"/>
      <c r="S393" s="348"/>
      <c r="T393" s="348"/>
      <c r="U393" s="348"/>
      <c r="V393" s="348"/>
      <c r="W393" s="348"/>
      <c r="X393" s="348"/>
      <c r="Y393" s="348"/>
      <c r="Z393" s="348"/>
    </row>
    <row r="394" spans="1:26" s="64" customFormat="1" ht="47.25" customHeight="1" thickBot="1" x14ac:dyDescent="0.35">
      <c r="A394" s="343">
        <v>45464</v>
      </c>
      <c r="B394" s="345" t="s">
        <v>13027</v>
      </c>
      <c r="C394" s="344"/>
      <c r="D394" s="344" t="s">
        <v>12341</v>
      </c>
      <c r="E394" s="344" t="s">
        <v>12356</v>
      </c>
      <c r="F394" s="344" t="s">
        <v>12346</v>
      </c>
      <c r="G394" s="347">
        <v>80</v>
      </c>
      <c r="H394" s="347">
        <v>40</v>
      </c>
      <c r="I394" s="347">
        <v>40</v>
      </c>
      <c r="J394" s="344"/>
      <c r="K394" s="344"/>
      <c r="L394" s="344" t="s">
        <v>12341</v>
      </c>
      <c r="M394" s="344" t="s">
        <v>12881</v>
      </c>
      <c r="N394" s="344" t="s">
        <v>12344</v>
      </c>
      <c r="O394" s="348"/>
      <c r="P394" s="348"/>
      <c r="Q394" s="348"/>
      <c r="R394" s="348"/>
      <c r="S394" s="348"/>
      <c r="T394" s="348"/>
      <c r="U394" s="348"/>
      <c r="V394" s="348"/>
      <c r="W394" s="348"/>
      <c r="X394" s="348"/>
      <c r="Y394" s="348"/>
      <c r="Z394" s="348"/>
    </row>
    <row r="395" spans="1:26" s="64" customFormat="1" ht="47.25" customHeight="1" thickBot="1" x14ac:dyDescent="0.35">
      <c r="A395" s="343">
        <v>45464</v>
      </c>
      <c r="B395" s="345" t="s">
        <v>13028</v>
      </c>
      <c r="C395" s="344"/>
      <c r="D395" s="344" t="s">
        <v>12341</v>
      </c>
      <c r="E395" s="344" t="s">
        <v>12341</v>
      </c>
      <c r="F395" s="344"/>
      <c r="G395" s="344"/>
      <c r="H395" s="344"/>
      <c r="I395" s="344"/>
      <c r="J395" s="344"/>
      <c r="K395" s="344" t="s">
        <v>13029</v>
      </c>
      <c r="L395" s="344" t="s">
        <v>13030</v>
      </c>
      <c r="M395" s="344" t="s">
        <v>12881</v>
      </c>
      <c r="N395" s="344" t="s">
        <v>12339</v>
      </c>
      <c r="O395" s="348"/>
      <c r="P395" s="348"/>
      <c r="Q395" s="348"/>
      <c r="R395" s="348"/>
      <c r="S395" s="348"/>
      <c r="T395" s="348"/>
      <c r="U395" s="348"/>
      <c r="V395" s="348"/>
      <c r="W395" s="348"/>
      <c r="X395" s="348"/>
      <c r="Y395" s="348"/>
      <c r="Z395" s="348"/>
    </row>
    <row r="396" spans="1:26" s="64" customFormat="1" ht="47.25" customHeight="1" thickBot="1" x14ac:dyDescent="0.35">
      <c r="A396" s="343">
        <v>45464</v>
      </c>
      <c r="B396" s="345" t="s">
        <v>13031</v>
      </c>
      <c r="C396" s="344"/>
      <c r="D396" s="344" t="s">
        <v>12341</v>
      </c>
      <c r="E396" s="344" t="s">
        <v>12341</v>
      </c>
      <c r="F396" s="344"/>
      <c r="G396" s="344"/>
      <c r="H396" s="344"/>
      <c r="I396" s="344"/>
      <c r="J396" s="344"/>
      <c r="K396" s="344" t="s">
        <v>13032</v>
      </c>
      <c r="L396" s="344" t="s">
        <v>13033</v>
      </c>
      <c r="M396" s="344" t="s">
        <v>12881</v>
      </c>
      <c r="N396" s="344" t="s">
        <v>12339</v>
      </c>
      <c r="O396" s="348"/>
      <c r="P396" s="348"/>
      <c r="Q396" s="348"/>
      <c r="R396" s="348"/>
      <c r="S396" s="348"/>
      <c r="T396" s="348"/>
      <c r="U396" s="348"/>
      <c r="V396" s="348"/>
      <c r="W396" s="348"/>
      <c r="X396" s="348"/>
      <c r="Y396" s="348"/>
      <c r="Z396" s="348"/>
    </row>
    <row r="397" spans="1:26" s="64" customFormat="1" ht="47.25" customHeight="1" thickBot="1" x14ac:dyDescent="0.35">
      <c r="A397" s="343">
        <v>45464</v>
      </c>
      <c r="B397" s="345" t="s">
        <v>13031</v>
      </c>
      <c r="C397" s="344"/>
      <c r="D397" s="344" t="s">
        <v>12341</v>
      </c>
      <c r="E397" s="344" t="s">
        <v>12341</v>
      </c>
      <c r="F397" s="344"/>
      <c r="G397" s="344"/>
      <c r="H397" s="344"/>
      <c r="I397" s="344"/>
      <c r="J397" s="344"/>
      <c r="K397" s="344"/>
      <c r="L397" s="344" t="s">
        <v>13034</v>
      </c>
      <c r="M397" s="344" t="s">
        <v>12881</v>
      </c>
      <c r="N397" s="344" t="s">
        <v>12339</v>
      </c>
      <c r="O397" s="348"/>
      <c r="P397" s="348"/>
      <c r="Q397" s="348"/>
      <c r="R397" s="348"/>
      <c r="S397" s="348"/>
      <c r="T397" s="348"/>
      <c r="U397" s="348"/>
      <c r="V397" s="348"/>
      <c r="W397" s="348"/>
      <c r="X397" s="348"/>
      <c r="Y397" s="348"/>
      <c r="Z397" s="348"/>
    </row>
    <row r="398" spans="1:26" s="64" customFormat="1" ht="47.25" customHeight="1" thickBot="1" x14ac:dyDescent="0.35">
      <c r="A398" s="343">
        <v>45464</v>
      </c>
      <c r="B398" s="345" t="s">
        <v>13035</v>
      </c>
      <c r="C398" s="344"/>
      <c r="D398" s="344" t="s">
        <v>12341</v>
      </c>
      <c r="E398" s="344" t="s">
        <v>12341</v>
      </c>
      <c r="F398" s="344"/>
      <c r="G398" s="344"/>
      <c r="H398" s="344"/>
      <c r="I398" s="344"/>
      <c r="J398" s="344"/>
      <c r="K398" s="344" t="s">
        <v>13036</v>
      </c>
      <c r="L398" s="344" t="s">
        <v>13037</v>
      </c>
      <c r="M398" s="344" t="s">
        <v>12881</v>
      </c>
      <c r="N398" s="344" t="s">
        <v>12339</v>
      </c>
      <c r="O398" s="348"/>
      <c r="P398" s="348"/>
      <c r="Q398" s="348"/>
      <c r="R398" s="348"/>
      <c r="S398" s="348"/>
      <c r="T398" s="348"/>
      <c r="U398" s="348"/>
      <c r="V398" s="348"/>
      <c r="W398" s="348"/>
      <c r="X398" s="348"/>
      <c r="Y398" s="348"/>
      <c r="Z398" s="348"/>
    </row>
    <row r="399" spans="1:26" s="64" customFormat="1" ht="47.25" customHeight="1" thickBot="1" x14ac:dyDescent="0.35">
      <c r="A399" s="343">
        <v>45464</v>
      </c>
      <c r="B399" s="345" t="s">
        <v>13038</v>
      </c>
      <c r="C399" s="344"/>
      <c r="D399" s="344" t="s">
        <v>12341</v>
      </c>
      <c r="E399" s="344" t="s">
        <v>12341</v>
      </c>
      <c r="F399" s="344"/>
      <c r="G399" s="344"/>
      <c r="H399" s="344"/>
      <c r="I399" s="344"/>
      <c r="J399" s="344"/>
      <c r="K399" s="344"/>
      <c r="L399" s="344" t="s">
        <v>13039</v>
      </c>
      <c r="M399" s="344" t="s">
        <v>12881</v>
      </c>
      <c r="N399" s="344" t="s">
        <v>12339</v>
      </c>
      <c r="O399" s="348"/>
      <c r="P399" s="348"/>
      <c r="Q399" s="348"/>
      <c r="R399" s="348"/>
      <c r="S399" s="348"/>
      <c r="T399" s="348"/>
      <c r="U399" s="348"/>
      <c r="V399" s="348"/>
      <c r="W399" s="348"/>
      <c r="X399" s="348"/>
      <c r="Y399" s="348"/>
      <c r="Z399" s="348"/>
    </row>
    <row r="400" spans="1:26" s="64" customFormat="1" ht="47.25" customHeight="1" thickBot="1" x14ac:dyDescent="0.35">
      <c r="A400" s="343">
        <v>45464</v>
      </c>
      <c r="B400" s="345" t="s">
        <v>13040</v>
      </c>
      <c r="C400" s="344"/>
      <c r="D400" s="344" t="s">
        <v>12341</v>
      </c>
      <c r="E400" s="344" t="s">
        <v>12341</v>
      </c>
      <c r="F400" s="344"/>
      <c r="G400" s="344"/>
      <c r="H400" s="344"/>
      <c r="I400" s="344"/>
      <c r="J400" s="344"/>
      <c r="K400" s="344" t="s">
        <v>13041</v>
      </c>
      <c r="L400" s="344" t="s">
        <v>13042</v>
      </c>
      <c r="M400" s="344" t="s">
        <v>12881</v>
      </c>
      <c r="N400" s="344" t="s">
        <v>12339</v>
      </c>
      <c r="O400" s="348"/>
      <c r="P400" s="348"/>
      <c r="Q400" s="348"/>
      <c r="R400" s="348"/>
      <c r="S400" s="348"/>
      <c r="T400" s="348"/>
      <c r="U400" s="348"/>
      <c r="V400" s="348"/>
      <c r="W400" s="348"/>
      <c r="X400" s="348"/>
      <c r="Y400" s="348"/>
      <c r="Z400" s="348"/>
    </row>
    <row r="401" spans="1:26" s="64" customFormat="1" ht="47.25" customHeight="1" thickBot="1" x14ac:dyDescent="0.35">
      <c r="A401" s="343">
        <v>45464</v>
      </c>
      <c r="B401" s="345" t="s">
        <v>13043</v>
      </c>
      <c r="C401" s="344"/>
      <c r="D401" s="344" t="s">
        <v>12341</v>
      </c>
      <c r="E401" s="344" t="s">
        <v>12341</v>
      </c>
      <c r="F401" s="344"/>
      <c r="G401" s="344"/>
      <c r="H401" s="344"/>
      <c r="I401" s="344"/>
      <c r="J401" s="344"/>
      <c r="K401" s="344"/>
      <c r="L401" s="344" t="s">
        <v>13044</v>
      </c>
      <c r="M401" s="344" t="s">
        <v>12881</v>
      </c>
      <c r="N401" s="344" t="s">
        <v>12339</v>
      </c>
      <c r="O401" s="348"/>
      <c r="P401" s="348"/>
      <c r="Q401" s="348"/>
      <c r="R401" s="348"/>
      <c r="S401" s="348"/>
      <c r="T401" s="348"/>
      <c r="U401" s="348"/>
      <c r="V401" s="348"/>
      <c r="W401" s="348"/>
      <c r="X401" s="348"/>
      <c r="Y401" s="348"/>
      <c r="Z401" s="348"/>
    </row>
    <row r="402" spans="1:26" s="64" customFormat="1" ht="47.25" customHeight="1" thickBot="1" x14ac:dyDescent="0.35">
      <c r="A402" s="343">
        <v>45464</v>
      </c>
      <c r="B402" s="345" t="s">
        <v>13045</v>
      </c>
      <c r="C402" s="344"/>
      <c r="D402" s="344" t="s">
        <v>12341</v>
      </c>
      <c r="E402" s="344" t="s">
        <v>12341</v>
      </c>
      <c r="F402" s="344"/>
      <c r="G402" s="344"/>
      <c r="H402" s="344"/>
      <c r="I402" s="344"/>
      <c r="J402" s="344"/>
      <c r="K402" s="344" t="s">
        <v>13046</v>
      </c>
      <c r="L402" s="344" t="s">
        <v>13047</v>
      </c>
      <c r="M402" s="344" t="s">
        <v>12881</v>
      </c>
      <c r="N402" s="344" t="s">
        <v>12339</v>
      </c>
      <c r="O402" s="348"/>
      <c r="P402" s="348"/>
      <c r="Q402" s="348"/>
      <c r="R402" s="348"/>
      <c r="S402" s="348"/>
      <c r="T402" s="348"/>
      <c r="U402" s="348"/>
      <c r="V402" s="348"/>
      <c r="W402" s="348"/>
      <c r="X402" s="348"/>
      <c r="Y402" s="348"/>
      <c r="Z402" s="348"/>
    </row>
    <row r="403" spans="1:26" s="64" customFormat="1" ht="47.25" customHeight="1" thickBot="1" x14ac:dyDescent="0.35">
      <c r="A403" s="343">
        <v>45464</v>
      </c>
      <c r="B403" s="345" t="s">
        <v>13048</v>
      </c>
      <c r="C403" s="344"/>
      <c r="D403" s="344" t="s">
        <v>12341</v>
      </c>
      <c r="E403" s="344" t="s">
        <v>12341</v>
      </c>
      <c r="F403" s="344"/>
      <c r="G403" s="344"/>
      <c r="H403" s="344"/>
      <c r="I403" s="344"/>
      <c r="J403" s="344"/>
      <c r="K403" s="344" t="s">
        <v>13049</v>
      </c>
      <c r="L403" s="344" t="s">
        <v>13050</v>
      </c>
      <c r="M403" s="344" t="s">
        <v>12881</v>
      </c>
      <c r="N403" s="344" t="s">
        <v>12339</v>
      </c>
      <c r="O403" s="348"/>
      <c r="P403" s="348"/>
      <c r="Q403" s="348"/>
      <c r="R403" s="348"/>
      <c r="S403" s="348"/>
      <c r="T403" s="348"/>
      <c r="U403" s="348"/>
      <c r="V403" s="348"/>
      <c r="W403" s="348"/>
      <c r="X403" s="348"/>
      <c r="Y403" s="348"/>
      <c r="Z403" s="348"/>
    </row>
    <row r="404" spans="1:26" s="64" customFormat="1" ht="47.25" customHeight="1" thickBot="1" x14ac:dyDescent="0.35">
      <c r="A404" s="343">
        <v>45464</v>
      </c>
      <c r="B404" s="345" t="s">
        <v>13043</v>
      </c>
      <c r="C404" s="344"/>
      <c r="D404" s="344" t="s">
        <v>12341</v>
      </c>
      <c r="E404" s="344" t="s">
        <v>12341</v>
      </c>
      <c r="F404" s="344"/>
      <c r="G404" s="344"/>
      <c r="H404" s="344"/>
      <c r="I404" s="344"/>
      <c r="J404" s="344"/>
      <c r="K404" s="344" t="s">
        <v>13051</v>
      </c>
      <c r="L404" s="344" t="s">
        <v>13052</v>
      </c>
      <c r="M404" s="344" t="s">
        <v>12881</v>
      </c>
      <c r="N404" s="344" t="s">
        <v>12339</v>
      </c>
      <c r="O404" s="348"/>
      <c r="P404" s="348"/>
      <c r="Q404" s="348"/>
      <c r="R404" s="348"/>
      <c r="S404" s="348"/>
      <c r="T404" s="348"/>
      <c r="U404" s="348"/>
      <c r="V404" s="348"/>
      <c r="W404" s="348"/>
      <c r="X404" s="348"/>
      <c r="Y404" s="348"/>
      <c r="Z404" s="348"/>
    </row>
    <row r="405" spans="1:26" s="64" customFormat="1" ht="47.25" customHeight="1" thickBot="1" x14ac:dyDescent="0.35">
      <c r="A405" s="343">
        <v>45464</v>
      </c>
      <c r="B405" s="345" t="s">
        <v>13053</v>
      </c>
      <c r="C405" s="344"/>
      <c r="D405" s="344" t="s">
        <v>12341</v>
      </c>
      <c r="E405" s="344" t="s">
        <v>13054</v>
      </c>
      <c r="F405" s="344" t="s">
        <v>12334</v>
      </c>
      <c r="G405" s="344"/>
      <c r="H405" s="344"/>
      <c r="I405" s="347">
        <v>40</v>
      </c>
      <c r="J405" s="344"/>
      <c r="K405" s="344"/>
      <c r="L405" s="344" t="s">
        <v>12341</v>
      </c>
      <c r="M405" s="344" t="s">
        <v>12881</v>
      </c>
      <c r="N405" s="344" t="s">
        <v>12344</v>
      </c>
      <c r="O405" s="348"/>
      <c r="P405" s="348"/>
      <c r="Q405" s="348"/>
      <c r="R405" s="348"/>
      <c r="S405" s="348"/>
      <c r="T405" s="348"/>
      <c r="U405" s="348"/>
      <c r="V405" s="348"/>
      <c r="W405" s="348"/>
      <c r="X405" s="348"/>
      <c r="Y405" s="348"/>
      <c r="Z405" s="348"/>
    </row>
    <row r="406" spans="1:26" s="64" customFormat="1" ht="47.25" customHeight="1" thickBot="1" x14ac:dyDescent="0.35">
      <c r="A406" s="343">
        <v>45464</v>
      </c>
      <c r="B406" s="345" t="s">
        <v>13055</v>
      </c>
      <c r="C406" s="344"/>
      <c r="D406" s="344" t="s">
        <v>12341</v>
      </c>
      <c r="E406" s="344" t="s">
        <v>12341</v>
      </c>
      <c r="F406" s="344"/>
      <c r="G406" s="344"/>
      <c r="H406" s="344"/>
      <c r="I406" s="344"/>
      <c r="J406" s="344"/>
      <c r="K406" s="344" t="s">
        <v>13056</v>
      </c>
      <c r="L406" s="344" t="s">
        <v>13057</v>
      </c>
      <c r="M406" s="344" t="s">
        <v>12881</v>
      </c>
      <c r="N406" s="344" t="s">
        <v>12339</v>
      </c>
      <c r="O406" s="348"/>
      <c r="P406" s="348"/>
      <c r="Q406" s="348"/>
      <c r="R406" s="348"/>
      <c r="S406" s="348"/>
      <c r="T406" s="348"/>
      <c r="U406" s="348"/>
      <c r="V406" s="348"/>
      <c r="W406" s="348"/>
      <c r="X406" s="348"/>
      <c r="Y406" s="348"/>
      <c r="Z406" s="348"/>
    </row>
    <row r="407" spans="1:26" s="64" customFormat="1" ht="47.25" customHeight="1" thickBot="1" x14ac:dyDescent="0.35">
      <c r="A407" s="343">
        <v>45464</v>
      </c>
      <c r="B407" s="345" t="s">
        <v>13035</v>
      </c>
      <c r="C407" s="344"/>
      <c r="D407" s="344" t="s">
        <v>12341</v>
      </c>
      <c r="E407" s="344" t="s">
        <v>12341</v>
      </c>
      <c r="F407" s="344"/>
      <c r="G407" s="344"/>
      <c r="H407" s="344"/>
      <c r="I407" s="344"/>
      <c r="J407" s="344"/>
      <c r="K407" s="344"/>
      <c r="L407" s="344" t="s">
        <v>13058</v>
      </c>
      <c r="M407" s="344" t="s">
        <v>12881</v>
      </c>
      <c r="N407" s="344" t="s">
        <v>12339</v>
      </c>
      <c r="O407" s="348"/>
      <c r="P407" s="348"/>
      <c r="Q407" s="348"/>
      <c r="R407" s="348"/>
      <c r="S407" s="348"/>
      <c r="T407" s="348"/>
      <c r="U407" s="348"/>
      <c r="V407" s="348"/>
      <c r="W407" s="348"/>
      <c r="X407" s="348"/>
      <c r="Y407" s="348"/>
      <c r="Z407" s="348"/>
    </row>
    <row r="408" spans="1:26" s="64" customFormat="1" ht="47.25" customHeight="1" thickBot="1" x14ac:dyDescent="0.35">
      <c r="A408" s="343">
        <v>45464</v>
      </c>
      <c r="B408" s="345" t="s">
        <v>13059</v>
      </c>
      <c r="C408" s="344"/>
      <c r="D408" s="344" t="s">
        <v>12341</v>
      </c>
      <c r="E408" s="344" t="s">
        <v>12342</v>
      </c>
      <c r="F408" s="344" t="s">
        <v>12346</v>
      </c>
      <c r="G408" s="347">
        <v>160</v>
      </c>
      <c r="H408" s="347">
        <v>86</v>
      </c>
      <c r="I408" s="347">
        <v>74</v>
      </c>
      <c r="J408" s="344"/>
      <c r="K408" s="344"/>
      <c r="L408" s="344" t="s">
        <v>12341</v>
      </c>
      <c r="M408" s="344" t="s">
        <v>12881</v>
      </c>
      <c r="N408" s="344" t="s">
        <v>12344</v>
      </c>
      <c r="O408" s="348"/>
      <c r="P408" s="348"/>
      <c r="Q408" s="348"/>
      <c r="R408" s="348"/>
      <c r="S408" s="348"/>
      <c r="T408" s="348"/>
      <c r="U408" s="348"/>
      <c r="V408" s="348"/>
      <c r="W408" s="348"/>
      <c r="X408" s="348"/>
      <c r="Y408" s="348"/>
      <c r="Z408" s="348"/>
    </row>
    <row r="409" spans="1:26" s="64" customFormat="1" ht="47.25" customHeight="1" thickBot="1" x14ac:dyDescent="0.35">
      <c r="A409" s="343">
        <v>45464</v>
      </c>
      <c r="B409" s="345" t="s">
        <v>13060</v>
      </c>
      <c r="C409" s="344"/>
      <c r="D409" s="344" t="s">
        <v>12341</v>
      </c>
      <c r="E409" s="344" t="s">
        <v>12341</v>
      </c>
      <c r="F409" s="344"/>
      <c r="G409" s="344"/>
      <c r="H409" s="344"/>
      <c r="I409" s="344"/>
      <c r="J409" s="344"/>
      <c r="K409" s="344" t="s">
        <v>13061</v>
      </c>
      <c r="L409" s="344" t="s">
        <v>13062</v>
      </c>
      <c r="M409" s="344" t="s">
        <v>12881</v>
      </c>
      <c r="N409" s="344" t="s">
        <v>12339</v>
      </c>
      <c r="O409" s="348"/>
      <c r="P409" s="348"/>
      <c r="Q409" s="348"/>
      <c r="R409" s="348"/>
      <c r="S409" s="348"/>
      <c r="T409" s="348"/>
      <c r="U409" s="348"/>
      <c r="V409" s="348"/>
      <c r="W409" s="348"/>
      <c r="X409" s="348"/>
      <c r="Y409" s="348"/>
      <c r="Z409" s="348"/>
    </row>
    <row r="410" spans="1:26" s="64" customFormat="1" ht="47.25" customHeight="1" thickBot="1" x14ac:dyDescent="0.35">
      <c r="A410" s="343">
        <v>45464</v>
      </c>
      <c r="B410" s="345" t="s">
        <v>13063</v>
      </c>
      <c r="C410" s="344"/>
      <c r="D410" s="344" t="s">
        <v>12341</v>
      </c>
      <c r="E410" s="344" t="s">
        <v>12356</v>
      </c>
      <c r="F410" s="344" t="s">
        <v>12346</v>
      </c>
      <c r="G410" s="347">
        <v>80</v>
      </c>
      <c r="H410" s="347">
        <v>40</v>
      </c>
      <c r="I410" s="347">
        <v>40</v>
      </c>
      <c r="J410" s="344"/>
      <c r="K410" s="344"/>
      <c r="L410" s="344" t="s">
        <v>12341</v>
      </c>
      <c r="M410" s="344" t="s">
        <v>12881</v>
      </c>
      <c r="N410" s="344" t="s">
        <v>12344</v>
      </c>
      <c r="O410" s="348"/>
      <c r="P410" s="348"/>
      <c r="Q410" s="348"/>
      <c r="R410" s="348"/>
      <c r="S410" s="348"/>
      <c r="T410" s="348"/>
      <c r="U410" s="348"/>
      <c r="V410" s="348"/>
      <c r="W410" s="348"/>
      <c r="X410" s="348"/>
      <c r="Y410" s="348"/>
      <c r="Z410" s="348"/>
    </row>
    <row r="411" spans="1:26" s="64" customFormat="1" ht="47.25" customHeight="1" thickBot="1" x14ac:dyDescent="0.35">
      <c r="A411" s="343">
        <v>45464</v>
      </c>
      <c r="B411" s="345" t="s">
        <v>13064</v>
      </c>
      <c r="C411" s="344"/>
      <c r="D411" s="344" t="s">
        <v>12341</v>
      </c>
      <c r="E411" s="344" t="s">
        <v>12356</v>
      </c>
      <c r="F411" s="344" t="s">
        <v>12346</v>
      </c>
      <c r="G411" s="347">
        <v>80</v>
      </c>
      <c r="H411" s="347">
        <v>40</v>
      </c>
      <c r="I411" s="347">
        <v>40</v>
      </c>
      <c r="J411" s="344"/>
      <c r="K411" s="344"/>
      <c r="L411" s="344" t="s">
        <v>12341</v>
      </c>
      <c r="M411" s="344" t="s">
        <v>12881</v>
      </c>
      <c r="N411" s="344" t="s">
        <v>12344</v>
      </c>
      <c r="O411" s="348"/>
      <c r="P411" s="348"/>
      <c r="Q411" s="348"/>
      <c r="R411" s="348"/>
      <c r="S411" s="348"/>
      <c r="T411" s="348"/>
      <c r="U411" s="348"/>
      <c r="V411" s="348"/>
      <c r="W411" s="348"/>
      <c r="X411" s="348"/>
      <c r="Y411" s="348"/>
      <c r="Z411" s="348"/>
    </row>
    <row r="412" spans="1:26" s="64" customFormat="1" ht="47.25" customHeight="1" thickBot="1" x14ac:dyDescent="0.35">
      <c r="A412" s="343">
        <v>45464</v>
      </c>
      <c r="B412" s="345" t="s">
        <v>13038</v>
      </c>
      <c r="C412" s="344"/>
      <c r="D412" s="344" t="s">
        <v>12341</v>
      </c>
      <c r="E412" s="344" t="s">
        <v>12341</v>
      </c>
      <c r="F412" s="344"/>
      <c r="G412" s="344"/>
      <c r="H412" s="344"/>
      <c r="I412" s="344"/>
      <c r="J412" s="344"/>
      <c r="K412" s="344" t="s">
        <v>13065</v>
      </c>
      <c r="L412" s="344" t="s">
        <v>13066</v>
      </c>
      <c r="M412" s="344" t="s">
        <v>12881</v>
      </c>
      <c r="N412" s="344" t="s">
        <v>12339</v>
      </c>
      <c r="O412" s="348"/>
      <c r="P412" s="348"/>
      <c r="Q412" s="348"/>
      <c r="R412" s="348"/>
      <c r="S412" s="348"/>
      <c r="T412" s="348"/>
      <c r="U412" s="348"/>
      <c r="V412" s="348"/>
      <c r="W412" s="348"/>
      <c r="X412" s="348"/>
      <c r="Y412" s="348"/>
      <c r="Z412" s="348"/>
    </row>
    <row r="413" spans="1:26" s="64" customFormat="1" ht="47.25" customHeight="1" thickBot="1" x14ac:dyDescent="0.35">
      <c r="A413" s="343">
        <v>45465</v>
      </c>
      <c r="B413" s="345" t="s">
        <v>13067</v>
      </c>
      <c r="C413" s="344"/>
      <c r="D413" s="344" t="s">
        <v>12341</v>
      </c>
      <c r="E413" s="344" t="s">
        <v>12356</v>
      </c>
      <c r="F413" s="344" t="s">
        <v>12346</v>
      </c>
      <c r="G413" s="347">
        <v>80</v>
      </c>
      <c r="H413" s="347">
        <v>40</v>
      </c>
      <c r="I413" s="347">
        <v>40</v>
      </c>
      <c r="J413" s="344" t="s">
        <v>13068</v>
      </c>
      <c r="K413" s="344"/>
      <c r="L413" s="344" t="s">
        <v>12341</v>
      </c>
      <c r="M413" s="344" t="s">
        <v>12881</v>
      </c>
      <c r="N413" s="344" t="s">
        <v>12344</v>
      </c>
      <c r="O413" s="348"/>
      <c r="P413" s="348"/>
      <c r="Q413" s="348"/>
      <c r="R413" s="348"/>
      <c r="S413" s="348"/>
      <c r="T413" s="348"/>
      <c r="U413" s="348"/>
      <c r="V413" s="348"/>
      <c r="W413" s="348"/>
      <c r="X413" s="348"/>
      <c r="Y413" s="348"/>
      <c r="Z413" s="348"/>
    </row>
    <row r="414" spans="1:26" s="64" customFormat="1" ht="47.25" customHeight="1" thickBot="1" x14ac:dyDescent="0.35">
      <c r="A414" s="343">
        <v>45465</v>
      </c>
      <c r="B414" s="345" t="s">
        <v>13069</v>
      </c>
      <c r="C414" s="344"/>
      <c r="D414" s="344" t="s">
        <v>12341</v>
      </c>
      <c r="E414" s="344" t="s">
        <v>12341</v>
      </c>
      <c r="F414" s="344"/>
      <c r="G414" s="344"/>
      <c r="H414" s="344"/>
      <c r="I414" s="344"/>
      <c r="J414" s="344"/>
      <c r="K414" s="344" t="s">
        <v>13070</v>
      </c>
      <c r="L414" s="344" t="s">
        <v>13071</v>
      </c>
      <c r="M414" s="344" t="s">
        <v>12881</v>
      </c>
      <c r="N414" s="344" t="s">
        <v>12339</v>
      </c>
      <c r="O414" s="348"/>
      <c r="P414" s="348"/>
      <c r="Q414" s="348"/>
      <c r="R414" s="348"/>
      <c r="S414" s="348"/>
      <c r="T414" s="348"/>
      <c r="U414" s="348"/>
      <c r="V414" s="348"/>
      <c r="W414" s="348"/>
      <c r="X414" s="348"/>
      <c r="Y414" s="348"/>
      <c r="Z414" s="348"/>
    </row>
    <row r="415" spans="1:26" s="64" customFormat="1" ht="47.25" customHeight="1" thickBot="1" x14ac:dyDescent="0.35">
      <c r="A415" s="343">
        <v>45465</v>
      </c>
      <c r="B415" s="345" t="s">
        <v>13072</v>
      </c>
      <c r="C415" s="344"/>
      <c r="D415" s="344" t="s">
        <v>12341</v>
      </c>
      <c r="E415" s="344" t="s">
        <v>12341</v>
      </c>
      <c r="F415" s="344"/>
      <c r="G415" s="344"/>
      <c r="H415" s="344"/>
      <c r="I415" s="344"/>
      <c r="J415" s="344"/>
      <c r="K415" s="344" t="s">
        <v>13073</v>
      </c>
      <c r="L415" s="344" t="s">
        <v>13074</v>
      </c>
      <c r="M415" s="344" t="s">
        <v>12881</v>
      </c>
      <c r="N415" s="344" t="s">
        <v>12339</v>
      </c>
      <c r="O415" s="348"/>
      <c r="P415" s="348"/>
      <c r="Q415" s="348"/>
      <c r="R415" s="348"/>
      <c r="S415" s="348"/>
      <c r="T415" s="348"/>
      <c r="U415" s="348"/>
      <c r="V415" s="348"/>
      <c r="W415" s="348"/>
      <c r="X415" s="348"/>
      <c r="Y415" s="348"/>
      <c r="Z415" s="348"/>
    </row>
    <row r="416" spans="1:26" s="64" customFormat="1" ht="47.25" customHeight="1" thickBot="1" x14ac:dyDescent="0.35">
      <c r="A416" s="343">
        <v>45465</v>
      </c>
      <c r="B416" s="345" t="s">
        <v>12378</v>
      </c>
      <c r="C416" s="344"/>
      <c r="D416" s="344" t="s">
        <v>12341</v>
      </c>
      <c r="E416" s="344" t="s">
        <v>12356</v>
      </c>
      <c r="F416" s="344" t="s">
        <v>12346</v>
      </c>
      <c r="G416" s="347">
        <v>80</v>
      </c>
      <c r="H416" s="347">
        <v>40</v>
      </c>
      <c r="I416" s="347">
        <v>40</v>
      </c>
      <c r="J416" s="344" t="s">
        <v>13075</v>
      </c>
      <c r="K416" s="344"/>
      <c r="L416" s="344" t="s">
        <v>12341</v>
      </c>
      <c r="M416" s="344" t="s">
        <v>12881</v>
      </c>
      <c r="N416" s="344" t="s">
        <v>12344</v>
      </c>
      <c r="O416" s="348"/>
      <c r="P416" s="348"/>
      <c r="Q416" s="348"/>
      <c r="R416" s="348"/>
      <c r="S416" s="348"/>
      <c r="T416" s="348"/>
      <c r="U416" s="348"/>
      <c r="V416" s="348"/>
      <c r="W416" s="348"/>
      <c r="X416" s="348"/>
      <c r="Y416" s="348"/>
      <c r="Z416" s="348"/>
    </row>
    <row r="417" spans="1:26" s="64" customFormat="1" ht="47.25" customHeight="1" thickBot="1" x14ac:dyDescent="0.35">
      <c r="A417" s="343">
        <v>45465</v>
      </c>
      <c r="B417" s="345" t="s">
        <v>13076</v>
      </c>
      <c r="C417" s="344"/>
      <c r="D417" s="344" t="s">
        <v>12341</v>
      </c>
      <c r="E417" s="344" t="s">
        <v>13054</v>
      </c>
      <c r="F417" s="344" t="s">
        <v>12346</v>
      </c>
      <c r="G417" s="347">
        <v>80</v>
      </c>
      <c r="H417" s="347">
        <v>40</v>
      </c>
      <c r="I417" s="347">
        <v>40</v>
      </c>
      <c r="J417" s="344" t="s">
        <v>13077</v>
      </c>
      <c r="K417" s="344"/>
      <c r="L417" s="344" t="s">
        <v>12341</v>
      </c>
      <c r="M417" s="344" t="s">
        <v>12881</v>
      </c>
      <c r="N417" s="344" t="s">
        <v>12344</v>
      </c>
      <c r="O417" s="348"/>
      <c r="P417" s="348"/>
      <c r="Q417" s="348"/>
      <c r="R417" s="348"/>
      <c r="S417" s="348"/>
      <c r="T417" s="348"/>
      <c r="U417" s="348"/>
      <c r="V417" s="348"/>
      <c r="W417" s="348"/>
      <c r="X417" s="348"/>
      <c r="Y417" s="348"/>
      <c r="Z417" s="348"/>
    </row>
    <row r="418" spans="1:26" s="64" customFormat="1" ht="47.25" customHeight="1" thickBot="1" x14ac:dyDescent="0.35">
      <c r="A418" s="343">
        <v>45465</v>
      </c>
      <c r="B418" s="345" t="s">
        <v>13078</v>
      </c>
      <c r="C418" s="344"/>
      <c r="D418" s="344" t="s">
        <v>12341</v>
      </c>
      <c r="E418" s="344" t="s">
        <v>12341</v>
      </c>
      <c r="F418" s="344"/>
      <c r="G418" s="344"/>
      <c r="H418" s="344"/>
      <c r="I418" s="344"/>
      <c r="J418" s="344"/>
      <c r="K418" s="344" t="s">
        <v>13079</v>
      </c>
      <c r="L418" s="344" t="s">
        <v>13080</v>
      </c>
      <c r="M418" s="344" t="s">
        <v>12881</v>
      </c>
      <c r="N418" s="344" t="s">
        <v>12339</v>
      </c>
      <c r="O418" s="348"/>
      <c r="P418" s="348"/>
      <c r="Q418" s="348"/>
      <c r="R418" s="348"/>
      <c r="S418" s="348"/>
      <c r="T418" s="348"/>
      <c r="U418" s="348"/>
      <c r="V418" s="348"/>
      <c r="W418" s="348"/>
      <c r="X418" s="348"/>
      <c r="Y418" s="348"/>
      <c r="Z418" s="348"/>
    </row>
    <row r="419" spans="1:26" s="64" customFormat="1" ht="47.25" customHeight="1" thickBot="1" x14ac:dyDescent="0.35">
      <c r="A419" s="343">
        <v>45465</v>
      </c>
      <c r="B419" s="345" t="s">
        <v>13081</v>
      </c>
      <c r="C419" s="344"/>
      <c r="D419" s="344" t="s">
        <v>12341</v>
      </c>
      <c r="E419" s="344" t="s">
        <v>13082</v>
      </c>
      <c r="F419" s="344" t="s">
        <v>13083</v>
      </c>
      <c r="G419" s="347">
        <v>0</v>
      </c>
      <c r="H419" s="347">
        <v>0</v>
      </c>
      <c r="I419" s="347">
        <v>0</v>
      </c>
      <c r="J419" s="344"/>
      <c r="K419" s="344"/>
      <c r="L419" s="344" t="s">
        <v>12341</v>
      </c>
      <c r="M419" s="344" t="s">
        <v>12881</v>
      </c>
      <c r="N419" s="344" t="s">
        <v>12339</v>
      </c>
      <c r="O419" s="348"/>
      <c r="P419" s="348"/>
      <c r="Q419" s="348"/>
      <c r="R419" s="348"/>
      <c r="S419" s="348"/>
      <c r="T419" s="348"/>
      <c r="U419" s="348"/>
      <c r="V419" s="348"/>
      <c r="W419" s="348"/>
      <c r="X419" s="348"/>
      <c r="Y419" s="348"/>
      <c r="Z419" s="348"/>
    </row>
    <row r="420" spans="1:26" s="64" customFormat="1" ht="47.25" customHeight="1" thickBot="1" x14ac:dyDescent="0.35">
      <c r="A420" s="343">
        <v>45465</v>
      </c>
      <c r="B420" s="345" t="s">
        <v>13084</v>
      </c>
      <c r="C420" s="344"/>
      <c r="D420" s="344" t="s">
        <v>12341</v>
      </c>
      <c r="E420" s="344" t="s">
        <v>12356</v>
      </c>
      <c r="F420" s="344" t="s">
        <v>12346</v>
      </c>
      <c r="G420" s="347">
        <v>80</v>
      </c>
      <c r="H420" s="347">
        <v>40</v>
      </c>
      <c r="I420" s="347">
        <v>40</v>
      </c>
      <c r="J420" s="344" t="s">
        <v>13085</v>
      </c>
      <c r="K420" s="344"/>
      <c r="L420" s="344" t="s">
        <v>12341</v>
      </c>
      <c r="M420" s="344" t="s">
        <v>12881</v>
      </c>
      <c r="N420" s="344" t="s">
        <v>12344</v>
      </c>
      <c r="O420" s="348"/>
      <c r="P420" s="348"/>
      <c r="Q420" s="348"/>
      <c r="R420" s="348"/>
      <c r="S420" s="348"/>
      <c r="T420" s="348"/>
      <c r="U420" s="348"/>
      <c r="V420" s="348"/>
      <c r="W420" s="348"/>
      <c r="X420" s="348"/>
      <c r="Y420" s="348"/>
      <c r="Z420" s="348"/>
    </row>
    <row r="421" spans="1:26" s="64" customFormat="1" ht="47.25" customHeight="1" thickBot="1" x14ac:dyDescent="0.35">
      <c r="A421" s="343">
        <v>45465</v>
      </c>
      <c r="B421" s="345" t="s">
        <v>13086</v>
      </c>
      <c r="C421" s="344"/>
      <c r="D421" s="344" t="s">
        <v>12341</v>
      </c>
      <c r="E421" s="344" t="s">
        <v>12341</v>
      </c>
      <c r="F421" s="344"/>
      <c r="G421" s="344"/>
      <c r="H421" s="344"/>
      <c r="I421" s="344"/>
      <c r="J421" s="344"/>
      <c r="K421" s="344" t="s">
        <v>13087</v>
      </c>
      <c r="L421" s="344" t="s">
        <v>13088</v>
      </c>
      <c r="M421" s="344" t="s">
        <v>12881</v>
      </c>
      <c r="N421" s="344" t="s">
        <v>12339</v>
      </c>
      <c r="O421" s="348"/>
      <c r="P421" s="348"/>
      <c r="Q421" s="348"/>
      <c r="R421" s="348"/>
      <c r="S421" s="348"/>
      <c r="T421" s="348"/>
      <c r="U421" s="348"/>
      <c r="V421" s="348"/>
      <c r="W421" s="348"/>
      <c r="X421" s="348"/>
      <c r="Y421" s="348"/>
      <c r="Z421" s="348"/>
    </row>
    <row r="422" spans="1:26" s="64" customFormat="1" ht="47.25" customHeight="1" thickBot="1" x14ac:dyDescent="0.35">
      <c r="A422" s="343">
        <v>45465</v>
      </c>
      <c r="B422" s="345" t="s">
        <v>13089</v>
      </c>
      <c r="C422" s="344"/>
      <c r="D422" s="344" t="s">
        <v>12341</v>
      </c>
      <c r="E422" s="344" t="s">
        <v>12341</v>
      </c>
      <c r="F422" s="344"/>
      <c r="G422" s="344"/>
      <c r="H422" s="344"/>
      <c r="I422" s="344"/>
      <c r="J422" s="344"/>
      <c r="K422" s="344" t="s">
        <v>13090</v>
      </c>
      <c r="L422" s="344" t="s">
        <v>13091</v>
      </c>
      <c r="M422" s="344" t="s">
        <v>12881</v>
      </c>
      <c r="N422" s="344" t="s">
        <v>12339</v>
      </c>
      <c r="O422" s="348"/>
      <c r="P422" s="348"/>
      <c r="Q422" s="348"/>
      <c r="R422" s="348"/>
      <c r="S422" s="348"/>
      <c r="T422" s="348"/>
      <c r="U422" s="348"/>
      <c r="V422" s="348"/>
      <c r="W422" s="348"/>
      <c r="X422" s="348"/>
      <c r="Y422" s="348"/>
      <c r="Z422" s="348"/>
    </row>
    <row r="423" spans="1:26" s="64" customFormat="1" ht="47.25" customHeight="1" thickBot="1" x14ac:dyDescent="0.35">
      <c r="A423" s="343">
        <v>45465</v>
      </c>
      <c r="B423" s="345" t="s">
        <v>13092</v>
      </c>
      <c r="C423" s="344"/>
      <c r="D423" s="344" t="s">
        <v>12341</v>
      </c>
      <c r="E423" s="344" t="s">
        <v>12356</v>
      </c>
      <c r="F423" s="344" t="s">
        <v>12346</v>
      </c>
      <c r="G423" s="347">
        <v>80</v>
      </c>
      <c r="H423" s="347">
        <v>40</v>
      </c>
      <c r="I423" s="347">
        <v>40</v>
      </c>
      <c r="J423" s="344"/>
      <c r="K423" s="344"/>
      <c r="L423" s="344" t="s">
        <v>12341</v>
      </c>
      <c r="M423" s="344" t="s">
        <v>12881</v>
      </c>
      <c r="N423" s="344" t="s">
        <v>12344</v>
      </c>
      <c r="O423" s="348"/>
      <c r="P423" s="348"/>
      <c r="Q423" s="348"/>
      <c r="R423" s="348"/>
      <c r="S423" s="348"/>
      <c r="T423" s="348"/>
      <c r="U423" s="348"/>
      <c r="V423" s="348"/>
      <c r="W423" s="348"/>
      <c r="X423" s="348"/>
      <c r="Y423" s="348"/>
      <c r="Z423" s="348"/>
    </row>
    <row r="424" spans="1:26" s="64" customFormat="1" ht="47.25" customHeight="1" thickBot="1" x14ac:dyDescent="0.35">
      <c r="A424" s="343">
        <v>45465</v>
      </c>
      <c r="B424" s="345" t="s">
        <v>13093</v>
      </c>
      <c r="C424" s="344"/>
      <c r="D424" s="344" t="s">
        <v>12341</v>
      </c>
      <c r="E424" s="344" t="s">
        <v>12341</v>
      </c>
      <c r="F424" s="344"/>
      <c r="G424" s="344"/>
      <c r="H424" s="344"/>
      <c r="I424" s="344"/>
      <c r="J424" s="344"/>
      <c r="K424" s="344" t="s">
        <v>13094</v>
      </c>
      <c r="L424" s="344" t="s">
        <v>13095</v>
      </c>
      <c r="M424" s="344" t="s">
        <v>12881</v>
      </c>
      <c r="N424" s="344" t="s">
        <v>12339</v>
      </c>
      <c r="O424" s="348"/>
      <c r="P424" s="348"/>
      <c r="Q424" s="348"/>
      <c r="R424" s="348"/>
      <c r="S424" s="348"/>
      <c r="T424" s="348"/>
      <c r="U424" s="348"/>
      <c r="V424" s="348"/>
      <c r="W424" s="348"/>
      <c r="X424" s="348"/>
      <c r="Y424" s="348"/>
      <c r="Z424" s="348"/>
    </row>
    <row r="425" spans="1:26" s="64" customFormat="1" ht="47.25" customHeight="1" thickBot="1" x14ac:dyDescent="0.35">
      <c r="A425" s="343">
        <v>45467</v>
      </c>
      <c r="B425" s="345" t="s">
        <v>13096</v>
      </c>
      <c r="C425" s="344"/>
      <c r="D425" s="344" t="s">
        <v>12341</v>
      </c>
      <c r="E425" s="344" t="s">
        <v>12342</v>
      </c>
      <c r="F425" s="344" t="s">
        <v>12346</v>
      </c>
      <c r="G425" s="347">
        <v>160</v>
      </c>
      <c r="H425" s="347">
        <v>86</v>
      </c>
      <c r="I425" s="347">
        <v>74</v>
      </c>
      <c r="J425" s="344" t="s">
        <v>13097</v>
      </c>
      <c r="K425" s="344"/>
      <c r="L425" s="344" t="s">
        <v>12341</v>
      </c>
      <c r="M425" s="344" t="s">
        <v>12881</v>
      </c>
      <c r="N425" s="344" t="s">
        <v>12344</v>
      </c>
      <c r="O425" s="348"/>
      <c r="P425" s="348"/>
      <c r="Q425" s="348"/>
      <c r="R425" s="348"/>
      <c r="S425" s="348"/>
      <c r="T425" s="348"/>
      <c r="U425" s="348"/>
      <c r="V425" s="348"/>
      <c r="W425" s="348"/>
      <c r="X425" s="348"/>
      <c r="Y425" s="348"/>
      <c r="Z425" s="348"/>
    </row>
    <row r="426" spans="1:26" s="64" customFormat="1" ht="47.25" customHeight="1" thickBot="1" x14ac:dyDescent="0.35">
      <c r="A426" s="343">
        <v>45467</v>
      </c>
      <c r="B426" s="345" t="s">
        <v>13098</v>
      </c>
      <c r="C426" s="344"/>
      <c r="D426" s="344" t="s">
        <v>12341</v>
      </c>
      <c r="E426" s="344" t="s">
        <v>12341</v>
      </c>
      <c r="F426" s="344"/>
      <c r="G426" s="344"/>
      <c r="H426" s="344"/>
      <c r="I426" s="344"/>
      <c r="J426" s="344"/>
      <c r="K426" s="344" t="s">
        <v>13099</v>
      </c>
      <c r="L426" s="344" t="s">
        <v>13100</v>
      </c>
      <c r="M426" s="344" t="s">
        <v>12881</v>
      </c>
      <c r="N426" s="344" t="s">
        <v>12339</v>
      </c>
      <c r="O426" s="348"/>
      <c r="P426" s="348"/>
      <c r="Q426" s="348"/>
      <c r="R426" s="348"/>
      <c r="S426" s="348"/>
      <c r="T426" s="348"/>
      <c r="U426" s="348"/>
      <c r="V426" s="348"/>
      <c r="W426" s="348"/>
      <c r="X426" s="348"/>
      <c r="Y426" s="348"/>
      <c r="Z426" s="348"/>
    </row>
    <row r="427" spans="1:26" s="64" customFormat="1" ht="47.25" customHeight="1" thickBot="1" x14ac:dyDescent="0.35">
      <c r="A427" s="343">
        <v>45467</v>
      </c>
      <c r="B427" s="345" t="s">
        <v>13101</v>
      </c>
      <c r="C427" s="344"/>
      <c r="D427" s="344" t="s">
        <v>12341</v>
      </c>
      <c r="E427" s="344" t="s">
        <v>12341</v>
      </c>
      <c r="F427" s="344"/>
      <c r="G427" s="344"/>
      <c r="H427" s="344"/>
      <c r="I427" s="344"/>
      <c r="J427" s="344"/>
      <c r="K427" s="344" t="s">
        <v>13102</v>
      </c>
      <c r="L427" s="344" t="s">
        <v>13103</v>
      </c>
      <c r="M427" s="344" t="s">
        <v>12881</v>
      </c>
      <c r="N427" s="344" t="s">
        <v>12339</v>
      </c>
      <c r="O427" s="348"/>
      <c r="P427" s="348"/>
      <c r="Q427" s="348"/>
      <c r="R427" s="348"/>
      <c r="S427" s="348"/>
      <c r="T427" s="348"/>
      <c r="U427" s="348"/>
      <c r="V427" s="348"/>
      <c r="W427" s="348"/>
      <c r="X427" s="348"/>
      <c r="Y427" s="348"/>
      <c r="Z427" s="348"/>
    </row>
    <row r="428" spans="1:26" s="64" customFormat="1" ht="47.25" customHeight="1" thickBot="1" x14ac:dyDescent="0.35">
      <c r="A428" s="343">
        <v>45467</v>
      </c>
      <c r="B428" s="345" t="s">
        <v>13104</v>
      </c>
      <c r="C428" s="344"/>
      <c r="D428" s="344" t="s">
        <v>12341</v>
      </c>
      <c r="E428" s="344" t="s">
        <v>12356</v>
      </c>
      <c r="F428" s="344" t="s">
        <v>12346</v>
      </c>
      <c r="G428" s="347">
        <v>80</v>
      </c>
      <c r="H428" s="347">
        <v>40</v>
      </c>
      <c r="I428" s="347">
        <v>40</v>
      </c>
      <c r="J428" s="344"/>
      <c r="K428" s="344"/>
      <c r="L428" s="344" t="s">
        <v>12341</v>
      </c>
      <c r="M428" s="344" t="s">
        <v>12881</v>
      </c>
      <c r="N428" s="344" t="s">
        <v>12344</v>
      </c>
      <c r="O428" s="348"/>
      <c r="P428" s="348"/>
      <c r="Q428" s="348"/>
      <c r="R428" s="348"/>
      <c r="S428" s="348"/>
      <c r="T428" s="348"/>
      <c r="U428" s="348"/>
      <c r="V428" s="348"/>
      <c r="W428" s="348"/>
      <c r="X428" s="348"/>
      <c r="Y428" s="348"/>
      <c r="Z428" s="348"/>
    </row>
    <row r="429" spans="1:26" s="64" customFormat="1" ht="47.25" customHeight="1" thickBot="1" x14ac:dyDescent="0.35">
      <c r="A429" s="343">
        <v>45467</v>
      </c>
      <c r="B429" s="345" t="s">
        <v>13105</v>
      </c>
      <c r="C429" s="344"/>
      <c r="D429" s="344" t="s">
        <v>12341</v>
      </c>
      <c r="E429" s="344" t="s">
        <v>12341</v>
      </c>
      <c r="F429" s="344"/>
      <c r="G429" s="344"/>
      <c r="H429" s="344"/>
      <c r="I429" s="344"/>
      <c r="J429" s="344"/>
      <c r="K429" s="344" t="s">
        <v>13106</v>
      </c>
      <c r="L429" s="344" t="s">
        <v>13107</v>
      </c>
      <c r="M429" s="344" t="s">
        <v>12881</v>
      </c>
      <c r="N429" s="344" t="s">
        <v>12339</v>
      </c>
      <c r="O429" s="348"/>
      <c r="P429" s="348"/>
      <c r="Q429" s="348"/>
      <c r="R429" s="348"/>
      <c r="S429" s="348"/>
      <c r="T429" s="348"/>
      <c r="U429" s="348"/>
      <c r="V429" s="348"/>
      <c r="W429" s="348"/>
      <c r="X429" s="348"/>
      <c r="Y429" s="348"/>
      <c r="Z429" s="348"/>
    </row>
    <row r="430" spans="1:26" s="64" customFormat="1" ht="47.25" customHeight="1" thickBot="1" x14ac:dyDescent="0.35">
      <c r="A430" s="343">
        <v>45467</v>
      </c>
      <c r="B430" s="345" t="s">
        <v>13108</v>
      </c>
      <c r="C430" s="344"/>
      <c r="D430" s="344" t="s">
        <v>12341</v>
      </c>
      <c r="E430" s="344" t="s">
        <v>12341</v>
      </c>
      <c r="F430" s="344"/>
      <c r="G430" s="344"/>
      <c r="H430" s="344"/>
      <c r="I430" s="344"/>
      <c r="J430" s="344"/>
      <c r="K430" s="344" t="s">
        <v>13109</v>
      </c>
      <c r="L430" s="344" t="s">
        <v>12341</v>
      </c>
      <c r="M430" s="344" t="s">
        <v>12881</v>
      </c>
      <c r="N430" s="344" t="s">
        <v>12339</v>
      </c>
      <c r="O430" s="348"/>
      <c r="P430" s="348"/>
      <c r="Q430" s="348"/>
      <c r="R430" s="348"/>
      <c r="S430" s="348"/>
      <c r="T430" s="348"/>
      <c r="U430" s="348"/>
      <c r="V430" s="348"/>
      <c r="W430" s="348"/>
      <c r="X430" s="348"/>
      <c r="Y430" s="348"/>
      <c r="Z430" s="348"/>
    </row>
    <row r="431" spans="1:26" s="64" customFormat="1" ht="47.25" customHeight="1" thickBot="1" x14ac:dyDescent="0.35">
      <c r="A431" s="343">
        <v>45467</v>
      </c>
      <c r="B431" s="345" t="s">
        <v>13110</v>
      </c>
      <c r="C431" s="344"/>
      <c r="D431" s="344" t="s">
        <v>12341</v>
      </c>
      <c r="E431" s="344" t="s">
        <v>12341</v>
      </c>
      <c r="F431" s="344"/>
      <c r="G431" s="344"/>
      <c r="H431" s="344"/>
      <c r="I431" s="344"/>
      <c r="J431" s="344"/>
      <c r="K431" s="344" t="s">
        <v>13111</v>
      </c>
      <c r="L431" s="344" t="s">
        <v>13112</v>
      </c>
      <c r="M431" s="344" t="s">
        <v>12881</v>
      </c>
      <c r="N431" s="344" t="s">
        <v>12339</v>
      </c>
      <c r="O431" s="348"/>
      <c r="P431" s="348"/>
      <c r="Q431" s="348"/>
      <c r="R431" s="348"/>
      <c r="S431" s="348"/>
      <c r="T431" s="348"/>
      <c r="U431" s="348"/>
      <c r="V431" s="348"/>
      <c r="W431" s="348"/>
      <c r="X431" s="348"/>
      <c r="Y431" s="348"/>
      <c r="Z431" s="348"/>
    </row>
    <row r="432" spans="1:26" s="64" customFormat="1" ht="47.25" customHeight="1" thickBot="1" x14ac:dyDescent="0.35">
      <c r="A432" s="343">
        <v>45467</v>
      </c>
      <c r="B432" s="345" t="s">
        <v>13113</v>
      </c>
      <c r="C432" s="344"/>
      <c r="D432" s="344" t="s">
        <v>12341</v>
      </c>
      <c r="E432" s="344" t="s">
        <v>12341</v>
      </c>
      <c r="F432" s="344"/>
      <c r="G432" s="344"/>
      <c r="H432" s="344"/>
      <c r="I432" s="344"/>
      <c r="J432" s="344"/>
      <c r="K432" s="344" t="s">
        <v>13114</v>
      </c>
      <c r="L432" s="344" t="s">
        <v>13115</v>
      </c>
      <c r="M432" s="344" t="s">
        <v>12881</v>
      </c>
      <c r="N432" s="344" t="s">
        <v>12339</v>
      </c>
      <c r="O432" s="348"/>
      <c r="P432" s="348"/>
      <c r="Q432" s="348"/>
      <c r="R432" s="348"/>
      <c r="S432" s="348"/>
      <c r="T432" s="348"/>
      <c r="U432" s="348"/>
      <c r="V432" s="348"/>
      <c r="W432" s="348"/>
      <c r="X432" s="348"/>
      <c r="Y432" s="348"/>
      <c r="Z432" s="348"/>
    </row>
    <row r="433" spans="1:26" s="64" customFormat="1" ht="47.25" customHeight="1" thickBot="1" x14ac:dyDescent="0.35">
      <c r="A433" s="343">
        <v>45467</v>
      </c>
      <c r="B433" s="345" t="s">
        <v>12347</v>
      </c>
      <c r="C433" s="344"/>
      <c r="D433" s="344" t="s">
        <v>12341</v>
      </c>
      <c r="E433" s="344" t="s">
        <v>12342</v>
      </c>
      <c r="F433" s="344" t="s">
        <v>12346</v>
      </c>
      <c r="G433" s="347">
        <v>160</v>
      </c>
      <c r="H433" s="347">
        <v>86</v>
      </c>
      <c r="I433" s="347">
        <v>74</v>
      </c>
      <c r="J433" s="344" t="s">
        <v>13116</v>
      </c>
      <c r="K433" s="344"/>
      <c r="L433" s="344" t="s">
        <v>12341</v>
      </c>
      <c r="M433" s="344" t="s">
        <v>12881</v>
      </c>
      <c r="N433" s="344" t="s">
        <v>12344</v>
      </c>
      <c r="O433" s="348"/>
      <c r="P433" s="348"/>
      <c r="Q433" s="348"/>
      <c r="R433" s="348"/>
      <c r="S433" s="348"/>
      <c r="T433" s="348"/>
      <c r="U433" s="348"/>
      <c r="V433" s="348"/>
      <c r="W433" s="348"/>
      <c r="X433" s="348"/>
      <c r="Y433" s="348"/>
      <c r="Z433" s="348"/>
    </row>
    <row r="434" spans="1:26" s="64" customFormat="1" ht="47.25" customHeight="1" thickBot="1" x14ac:dyDescent="0.35">
      <c r="A434" s="343">
        <v>45467</v>
      </c>
      <c r="B434" s="345" t="s">
        <v>13117</v>
      </c>
      <c r="C434" s="344"/>
      <c r="D434" s="344" t="s">
        <v>12341</v>
      </c>
      <c r="E434" s="344" t="s">
        <v>12356</v>
      </c>
      <c r="F434" s="344" t="s">
        <v>12346</v>
      </c>
      <c r="G434" s="347">
        <v>80</v>
      </c>
      <c r="H434" s="347">
        <v>40</v>
      </c>
      <c r="I434" s="347">
        <v>40</v>
      </c>
      <c r="J434" s="344"/>
      <c r="K434" s="344"/>
      <c r="L434" s="344" t="s">
        <v>12341</v>
      </c>
      <c r="M434" s="344" t="s">
        <v>12881</v>
      </c>
      <c r="N434" s="344" t="s">
        <v>12344</v>
      </c>
      <c r="O434" s="348"/>
      <c r="P434" s="348"/>
      <c r="Q434" s="348"/>
      <c r="R434" s="348"/>
      <c r="S434" s="348"/>
      <c r="T434" s="348"/>
      <c r="U434" s="348"/>
      <c r="V434" s="348"/>
      <c r="W434" s="348"/>
      <c r="X434" s="348"/>
      <c r="Y434" s="348"/>
      <c r="Z434" s="348"/>
    </row>
    <row r="435" spans="1:26" s="64" customFormat="1" ht="47.25" customHeight="1" thickBot="1" x14ac:dyDescent="0.35">
      <c r="A435" s="343">
        <v>45467</v>
      </c>
      <c r="B435" s="345" t="s">
        <v>13118</v>
      </c>
      <c r="C435" s="344"/>
      <c r="D435" s="344" t="s">
        <v>12341</v>
      </c>
      <c r="E435" s="344" t="s">
        <v>13119</v>
      </c>
      <c r="F435" s="344" t="s">
        <v>12346</v>
      </c>
      <c r="G435" s="347">
        <v>100</v>
      </c>
      <c r="H435" s="347">
        <v>60</v>
      </c>
      <c r="I435" s="347">
        <v>40</v>
      </c>
      <c r="J435" s="344"/>
      <c r="K435" s="344"/>
      <c r="L435" s="344" t="s">
        <v>12341</v>
      </c>
      <c r="M435" s="344" t="s">
        <v>12881</v>
      </c>
      <c r="N435" s="344" t="s">
        <v>12344</v>
      </c>
      <c r="O435" s="348"/>
      <c r="P435" s="348"/>
      <c r="Q435" s="348"/>
      <c r="R435" s="348"/>
      <c r="S435" s="348"/>
      <c r="T435" s="348"/>
      <c r="U435" s="348"/>
      <c r="V435" s="348"/>
      <c r="W435" s="348"/>
      <c r="X435" s="348"/>
      <c r="Y435" s="348"/>
      <c r="Z435" s="348"/>
    </row>
    <row r="436" spans="1:26" s="64" customFormat="1" ht="47.25" customHeight="1" thickBot="1" x14ac:dyDescent="0.35">
      <c r="A436" s="343">
        <v>45467</v>
      </c>
      <c r="B436" s="345" t="s">
        <v>13120</v>
      </c>
      <c r="C436" s="344"/>
      <c r="D436" s="344" t="s">
        <v>12341</v>
      </c>
      <c r="E436" s="344" t="s">
        <v>12341</v>
      </c>
      <c r="F436" s="344"/>
      <c r="G436" s="344"/>
      <c r="H436" s="344"/>
      <c r="I436" s="344"/>
      <c r="J436" s="344"/>
      <c r="K436" s="344" t="s">
        <v>13121</v>
      </c>
      <c r="L436" s="344" t="s">
        <v>13122</v>
      </c>
      <c r="M436" s="344" t="s">
        <v>12881</v>
      </c>
      <c r="N436" s="344" t="s">
        <v>12339</v>
      </c>
      <c r="O436" s="348"/>
      <c r="P436" s="348"/>
      <c r="Q436" s="348"/>
      <c r="R436" s="348"/>
      <c r="S436" s="348"/>
      <c r="T436" s="348"/>
      <c r="U436" s="348"/>
      <c r="V436" s="348"/>
      <c r="W436" s="348"/>
      <c r="X436" s="348"/>
      <c r="Y436" s="348"/>
      <c r="Z436" s="348"/>
    </row>
    <row r="437" spans="1:26" s="64" customFormat="1" ht="47.25" customHeight="1" thickBot="1" x14ac:dyDescent="0.35">
      <c r="A437" s="343">
        <v>45468</v>
      </c>
      <c r="B437" s="345" t="s">
        <v>13123</v>
      </c>
      <c r="C437" s="344"/>
      <c r="D437" s="344" t="s">
        <v>12341</v>
      </c>
      <c r="E437" s="344" t="s">
        <v>12341</v>
      </c>
      <c r="F437" s="344"/>
      <c r="G437" s="344"/>
      <c r="H437" s="344"/>
      <c r="I437" s="344"/>
      <c r="J437" s="344"/>
      <c r="K437" s="344" t="s">
        <v>13124</v>
      </c>
      <c r="L437" s="344" t="s">
        <v>13125</v>
      </c>
      <c r="M437" s="344" t="s">
        <v>12881</v>
      </c>
      <c r="N437" s="344" t="s">
        <v>12339</v>
      </c>
      <c r="O437" s="348"/>
      <c r="P437" s="348"/>
      <c r="Q437" s="348"/>
      <c r="R437" s="348"/>
      <c r="S437" s="348"/>
      <c r="T437" s="348"/>
      <c r="U437" s="348"/>
      <c r="V437" s="348"/>
      <c r="W437" s="348"/>
      <c r="X437" s="348"/>
      <c r="Y437" s="348"/>
      <c r="Z437" s="348"/>
    </row>
    <row r="438" spans="1:26" s="64" customFormat="1" ht="47.25" customHeight="1" thickBot="1" x14ac:dyDescent="0.35">
      <c r="A438" s="343">
        <v>45468</v>
      </c>
      <c r="B438" s="345" t="s">
        <v>13126</v>
      </c>
      <c r="C438" s="344"/>
      <c r="D438" s="344" t="s">
        <v>12341</v>
      </c>
      <c r="E438" s="344" t="s">
        <v>12341</v>
      </c>
      <c r="F438" s="344"/>
      <c r="G438" s="344"/>
      <c r="H438" s="344"/>
      <c r="I438" s="344"/>
      <c r="J438" s="344"/>
      <c r="K438" s="344" t="s">
        <v>13127</v>
      </c>
      <c r="L438" s="344" t="s">
        <v>13128</v>
      </c>
      <c r="M438" s="344" t="s">
        <v>12881</v>
      </c>
      <c r="N438" s="344" t="s">
        <v>12339</v>
      </c>
      <c r="O438" s="348"/>
      <c r="P438" s="348"/>
      <c r="Q438" s="348"/>
      <c r="R438" s="348"/>
      <c r="S438" s="348"/>
      <c r="T438" s="348"/>
      <c r="U438" s="348"/>
      <c r="V438" s="348"/>
      <c r="W438" s="348"/>
      <c r="X438" s="348"/>
      <c r="Y438" s="348"/>
      <c r="Z438" s="348"/>
    </row>
    <row r="439" spans="1:26" s="64" customFormat="1" ht="47.25" customHeight="1" thickBot="1" x14ac:dyDescent="0.35">
      <c r="A439" s="343">
        <v>45468</v>
      </c>
      <c r="B439" s="345" t="s">
        <v>13129</v>
      </c>
      <c r="C439" s="344"/>
      <c r="D439" s="344" t="s">
        <v>12341</v>
      </c>
      <c r="E439" s="344" t="s">
        <v>12341</v>
      </c>
      <c r="F439" s="344"/>
      <c r="G439" s="344"/>
      <c r="H439" s="344"/>
      <c r="I439" s="344"/>
      <c r="J439" s="344"/>
      <c r="K439" s="344" t="s">
        <v>13130</v>
      </c>
      <c r="L439" s="344" t="s">
        <v>13131</v>
      </c>
      <c r="M439" s="344" t="s">
        <v>12881</v>
      </c>
      <c r="N439" s="344" t="s">
        <v>12339</v>
      </c>
      <c r="O439" s="348"/>
      <c r="P439" s="348"/>
      <c r="Q439" s="348"/>
      <c r="R439" s="348"/>
      <c r="S439" s="348"/>
      <c r="T439" s="348"/>
      <c r="U439" s="348"/>
      <c r="V439" s="348"/>
      <c r="W439" s="348"/>
      <c r="X439" s="348"/>
      <c r="Y439" s="348"/>
      <c r="Z439" s="348"/>
    </row>
    <row r="440" spans="1:26" s="64" customFormat="1" ht="47.25" customHeight="1" thickBot="1" x14ac:dyDescent="0.35">
      <c r="A440" s="343">
        <v>45468</v>
      </c>
      <c r="B440" s="345" t="s">
        <v>13132</v>
      </c>
      <c r="C440" s="344"/>
      <c r="D440" s="344" t="s">
        <v>12341</v>
      </c>
      <c r="E440" s="344" t="s">
        <v>12356</v>
      </c>
      <c r="F440" s="344" t="s">
        <v>12360</v>
      </c>
      <c r="G440" s="344"/>
      <c r="H440" s="344"/>
      <c r="I440" s="344"/>
      <c r="J440" s="344" t="s">
        <v>13133</v>
      </c>
      <c r="K440" s="344"/>
      <c r="L440" s="344" t="s">
        <v>12341</v>
      </c>
      <c r="M440" s="344" t="s">
        <v>12881</v>
      </c>
      <c r="N440" s="344" t="s">
        <v>12344</v>
      </c>
      <c r="O440" s="348"/>
      <c r="P440" s="348"/>
      <c r="Q440" s="348"/>
      <c r="R440" s="348"/>
      <c r="S440" s="348"/>
      <c r="T440" s="348"/>
      <c r="U440" s="348"/>
      <c r="V440" s="348"/>
      <c r="W440" s="348"/>
      <c r="X440" s="348"/>
      <c r="Y440" s="348"/>
      <c r="Z440" s="348"/>
    </row>
    <row r="441" spans="1:26" s="64" customFormat="1" ht="47.25" customHeight="1" thickBot="1" x14ac:dyDescent="0.35">
      <c r="A441" s="343">
        <v>45468</v>
      </c>
      <c r="B441" s="345" t="s">
        <v>13134</v>
      </c>
      <c r="C441" s="344"/>
      <c r="D441" s="344" t="s">
        <v>12341</v>
      </c>
      <c r="E441" s="344" t="s">
        <v>12342</v>
      </c>
      <c r="F441" s="344" t="s">
        <v>12346</v>
      </c>
      <c r="G441" s="347">
        <v>160</v>
      </c>
      <c r="H441" s="347">
        <v>86</v>
      </c>
      <c r="I441" s="347">
        <v>74</v>
      </c>
      <c r="J441" s="344"/>
      <c r="K441" s="344"/>
      <c r="L441" s="344" t="s">
        <v>12341</v>
      </c>
      <c r="M441" s="344" t="s">
        <v>12881</v>
      </c>
      <c r="N441" s="344" t="s">
        <v>12344</v>
      </c>
      <c r="O441" s="348"/>
      <c r="P441" s="348"/>
      <c r="Q441" s="348"/>
      <c r="R441" s="348"/>
      <c r="S441" s="348"/>
      <c r="T441" s="348"/>
      <c r="U441" s="348"/>
      <c r="V441" s="348"/>
      <c r="W441" s="348"/>
      <c r="X441" s="348"/>
      <c r="Y441" s="348"/>
      <c r="Z441" s="348"/>
    </row>
    <row r="442" spans="1:26" s="64" customFormat="1" ht="47.25" customHeight="1" thickBot="1" x14ac:dyDescent="0.35">
      <c r="A442" s="343">
        <v>45468</v>
      </c>
      <c r="B442" s="345" t="s">
        <v>13135</v>
      </c>
      <c r="C442" s="344"/>
      <c r="D442" s="344" t="s">
        <v>12341</v>
      </c>
      <c r="E442" s="344" t="s">
        <v>12341</v>
      </c>
      <c r="F442" s="344"/>
      <c r="G442" s="344"/>
      <c r="H442" s="344"/>
      <c r="I442" s="344"/>
      <c r="J442" s="344"/>
      <c r="K442" s="344" t="s">
        <v>13136</v>
      </c>
      <c r="L442" s="344" t="s">
        <v>12341</v>
      </c>
      <c r="M442" s="344" t="s">
        <v>12881</v>
      </c>
      <c r="N442" s="344" t="s">
        <v>12339</v>
      </c>
      <c r="O442" s="348"/>
      <c r="P442" s="348"/>
      <c r="Q442" s="348"/>
      <c r="R442" s="348"/>
      <c r="S442" s="348"/>
      <c r="T442" s="348"/>
      <c r="U442" s="348"/>
      <c r="V442" s="348"/>
      <c r="W442" s="348"/>
      <c r="X442" s="348"/>
      <c r="Y442" s="348"/>
      <c r="Z442" s="348"/>
    </row>
    <row r="443" spans="1:26" s="64" customFormat="1" ht="47.25" customHeight="1" thickBot="1" x14ac:dyDescent="0.35">
      <c r="A443" s="343">
        <v>45468</v>
      </c>
      <c r="B443" s="345" t="s">
        <v>13137</v>
      </c>
      <c r="C443" s="344"/>
      <c r="D443" s="344" t="s">
        <v>12341</v>
      </c>
      <c r="E443" s="344" t="s">
        <v>12356</v>
      </c>
      <c r="F443" s="344" t="s">
        <v>12346</v>
      </c>
      <c r="G443" s="347">
        <v>80</v>
      </c>
      <c r="H443" s="347">
        <v>40</v>
      </c>
      <c r="I443" s="347">
        <v>40</v>
      </c>
      <c r="J443" s="344" t="s">
        <v>13138</v>
      </c>
      <c r="K443" s="344"/>
      <c r="L443" s="344" t="s">
        <v>12341</v>
      </c>
      <c r="M443" s="344" t="s">
        <v>12881</v>
      </c>
      <c r="N443" s="344" t="s">
        <v>12344</v>
      </c>
      <c r="O443" s="348"/>
      <c r="P443" s="348"/>
      <c r="Q443" s="348"/>
      <c r="R443" s="348"/>
      <c r="S443" s="348"/>
      <c r="T443" s="348"/>
      <c r="U443" s="348"/>
      <c r="V443" s="348"/>
      <c r="W443" s="348"/>
      <c r="X443" s="348"/>
      <c r="Y443" s="348"/>
      <c r="Z443" s="348"/>
    </row>
    <row r="444" spans="1:26" s="64" customFormat="1" ht="47.25" customHeight="1" thickBot="1" x14ac:dyDescent="0.35">
      <c r="A444" s="343">
        <v>45469</v>
      </c>
      <c r="B444" s="345" t="s">
        <v>13139</v>
      </c>
      <c r="C444" s="344"/>
      <c r="D444" s="344" t="s">
        <v>12341</v>
      </c>
      <c r="E444" s="344" t="s">
        <v>12341</v>
      </c>
      <c r="F444" s="344"/>
      <c r="G444" s="344"/>
      <c r="H444" s="344"/>
      <c r="I444" s="344"/>
      <c r="J444" s="344"/>
      <c r="K444" s="344" t="s">
        <v>13140</v>
      </c>
      <c r="L444" s="344" t="s">
        <v>13141</v>
      </c>
      <c r="M444" s="344" t="s">
        <v>12881</v>
      </c>
      <c r="N444" s="344" t="s">
        <v>12339</v>
      </c>
      <c r="O444" s="348"/>
      <c r="P444" s="348"/>
      <c r="Q444" s="348"/>
      <c r="R444" s="348"/>
      <c r="S444" s="348"/>
      <c r="T444" s="348"/>
      <c r="U444" s="348"/>
      <c r="V444" s="348"/>
      <c r="W444" s="348"/>
      <c r="X444" s="348"/>
      <c r="Y444" s="348"/>
      <c r="Z444" s="348"/>
    </row>
    <row r="445" spans="1:26" s="64" customFormat="1" ht="47.25" customHeight="1" thickBot="1" x14ac:dyDescent="0.35">
      <c r="A445" s="343">
        <v>45469</v>
      </c>
      <c r="B445" s="345" t="s">
        <v>13142</v>
      </c>
      <c r="C445" s="344"/>
      <c r="D445" s="344" t="s">
        <v>12341</v>
      </c>
      <c r="E445" s="344" t="s">
        <v>13143</v>
      </c>
      <c r="F445" s="344" t="s">
        <v>12360</v>
      </c>
      <c r="G445" s="344"/>
      <c r="H445" s="344"/>
      <c r="I445" s="347">
        <v>390</v>
      </c>
      <c r="J445" s="344" t="s">
        <v>13144</v>
      </c>
      <c r="K445" s="344"/>
      <c r="L445" s="344" t="s">
        <v>12341</v>
      </c>
      <c r="M445" s="344" t="s">
        <v>12881</v>
      </c>
      <c r="N445" s="344" t="s">
        <v>12344</v>
      </c>
      <c r="O445" s="348"/>
      <c r="P445" s="348"/>
      <c r="Q445" s="348"/>
      <c r="R445" s="348"/>
      <c r="S445" s="348"/>
      <c r="T445" s="348"/>
      <c r="U445" s="348"/>
      <c r="V445" s="348"/>
      <c r="W445" s="348"/>
      <c r="X445" s="348"/>
      <c r="Y445" s="348"/>
      <c r="Z445" s="348"/>
    </row>
    <row r="446" spans="1:26" s="64" customFormat="1" ht="47.25" customHeight="1" thickBot="1" x14ac:dyDescent="0.35">
      <c r="A446" s="343">
        <v>45469</v>
      </c>
      <c r="B446" s="345" t="s">
        <v>13145</v>
      </c>
      <c r="C446" s="344"/>
      <c r="D446" s="344" t="s">
        <v>12341</v>
      </c>
      <c r="E446" s="344" t="s">
        <v>12356</v>
      </c>
      <c r="F446" s="344" t="s">
        <v>12346</v>
      </c>
      <c r="G446" s="347">
        <v>80</v>
      </c>
      <c r="H446" s="347">
        <v>40</v>
      </c>
      <c r="I446" s="347">
        <v>40</v>
      </c>
      <c r="J446" s="344"/>
      <c r="K446" s="344"/>
      <c r="L446" s="344" t="s">
        <v>12341</v>
      </c>
      <c r="M446" s="344" t="s">
        <v>12881</v>
      </c>
      <c r="N446" s="344" t="s">
        <v>12344</v>
      </c>
      <c r="O446" s="348"/>
      <c r="P446" s="348"/>
      <c r="Q446" s="348"/>
      <c r="R446" s="348"/>
      <c r="S446" s="348"/>
      <c r="T446" s="348"/>
      <c r="U446" s="348"/>
      <c r="V446" s="348"/>
      <c r="W446" s="348"/>
      <c r="X446" s="348"/>
      <c r="Y446" s="348"/>
      <c r="Z446" s="348"/>
    </row>
    <row r="447" spans="1:26" s="64" customFormat="1" ht="47.25" customHeight="1" thickBot="1" x14ac:dyDescent="0.35">
      <c r="A447" s="343">
        <v>45469</v>
      </c>
      <c r="B447" s="345" t="s">
        <v>13146</v>
      </c>
      <c r="C447" s="344"/>
      <c r="D447" s="344" t="s">
        <v>12341</v>
      </c>
      <c r="E447" s="344" t="s">
        <v>12341</v>
      </c>
      <c r="F447" s="344"/>
      <c r="G447" s="344"/>
      <c r="H447" s="344"/>
      <c r="I447" s="344"/>
      <c r="J447" s="344"/>
      <c r="K447" s="344" t="s">
        <v>13147</v>
      </c>
      <c r="L447" s="344" t="s">
        <v>13148</v>
      </c>
      <c r="M447" s="344" t="s">
        <v>12881</v>
      </c>
      <c r="N447" s="344" t="s">
        <v>12339</v>
      </c>
      <c r="O447" s="348"/>
      <c r="P447" s="348"/>
      <c r="Q447" s="348"/>
      <c r="R447" s="348"/>
      <c r="S447" s="348"/>
      <c r="T447" s="348"/>
      <c r="U447" s="348"/>
      <c r="V447" s="348"/>
      <c r="W447" s="348"/>
      <c r="X447" s="348"/>
      <c r="Y447" s="348"/>
      <c r="Z447" s="348"/>
    </row>
    <row r="448" spans="1:26" s="64" customFormat="1" ht="47.25" customHeight="1" thickBot="1" x14ac:dyDescent="0.35">
      <c r="A448" s="343">
        <v>45469</v>
      </c>
      <c r="B448" s="345" t="s">
        <v>13149</v>
      </c>
      <c r="C448" s="344"/>
      <c r="D448" s="344" t="s">
        <v>12341</v>
      </c>
      <c r="E448" s="344" t="s">
        <v>2992</v>
      </c>
      <c r="F448" s="344" t="s">
        <v>12360</v>
      </c>
      <c r="G448" s="344"/>
      <c r="H448" s="344"/>
      <c r="I448" s="347">
        <v>35</v>
      </c>
      <c r="J448" s="344" t="s">
        <v>13150</v>
      </c>
      <c r="K448" s="344"/>
      <c r="L448" s="344" t="s">
        <v>12341</v>
      </c>
      <c r="M448" s="344" t="s">
        <v>12881</v>
      </c>
      <c r="N448" s="344" t="s">
        <v>12339</v>
      </c>
      <c r="O448" s="348"/>
      <c r="P448" s="348"/>
      <c r="Q448" s="348"/>
      <c r="R448" s="348"/>
      <c r="S448" s="348"/>
      <c r="T448" s="348"/>
      <c r="U448" s="348"/>
      <c r="V448" s="348"/>
      <c r="W448" s="348"/>
      <c r="X448" s="348"/>
      <c r="Y448" s="348"/>
      <c r="Z448" s="348"/>
    </row>
    <row r="449" spans="1:26" s="64" customFormat="1" ht="47.25" customHeight="1" thickBot="1" x14ac:dyDescent="0.35">
      <c r="A449" s="343">
        <v>45469</v>
      </c>
      <c r="B449" s="345" t="s">
        <v>13151</v>
      </c>
      <c r="C449" s="344"/>
      <c r="D449" s="344" t="s">
        <v>12341</v>
      </c>
      <c r="E449" s="344" t="s">
        <v>12356</v>
      </c>
      <c r="F449" s="344" t="s">
        <v>12346</v>
      </c>
      <c r="G449" s="347">
        <v>80</v>
      </c>
      <c r="H449" s="347">
        <v>40</v>
      </c>
      <c r="I449" s="347">
        <v>40</v>
      </c>
      <c r="J449" s="344"/>
      <c r="K449" s="344"/>
      <c r="L449" s="344" t="s">
        <v>12341</v>
      </c>
      <c r="M449" s="344" t="s">
        <v>12881</v>
      </c>
      <c r="N449" s="344" t="s">
        <v>12344</v>
      </c>
      <c r="O449" s="348"/>
      <c r="P449" s="348"/>
      <c r="Q449" s="348"/>
      <c r="R449" s="348"/>
      <c r="S449" s="348"/>
      <c r="T449" s="348"/>
      <c r="U449" s="348"/>
      <c r="V449" s="348"/>
      <c r="W449" s="348"/>
      <c r="X449" s="348"/>
      <c r="Y449" s="348"/>
      <c r="Z449" s="348"/>
    </row>
    <row r="450" spans="1:26" s="64" customFormat="1" ht="47.25" customHeight="1" thickBot="1" x14ac:dyDescent="0.35">
      <c r="A450" s="343">
        <v>45469</v>
      </c>
      <c r="B450" s="345" t="s">
        <v>13152</v>
      </c>
      <c r="C450" s="344"/>
      <c r="D450" s="344" t="s">
        <v>12341</v>
      </c>
      <c r="E450" s="344" t="s">
        <v>13153</v>
      </c>
      <c r="F450" s="344" t="s">
        <v>12346</v>
      </c>
      <c r="G450" s="347">
        <v>120</v>
      </c>
      <c r="H450" s="344"/>
      <c r="I450" s="347">
        <v>50</v>
      </c>
      <c r="J450" s="344"/>
      <c r="K450" s="344"/>
      <c r="L450" s="344" t="s">
        <v>12341</v>
      </c>
      <c r="M450" s="344" t="s">
        <v>12881</v>
      </c>
      <c r="N450" s="344" t="s">
        <v>12344</v>
      </c>
      <c r="O450" s="348"/>
      <c r="P450" s="348"/>
      <c r="Q450" s="348"/>
      <c r="R450" s="348"/>
      <c r="S450" s="348"/>
      <c r="T450" s="348"/>
      <c r="U450" s="348"/>
      <c r="V450" s="348"/>
      <c r="W450" s="348"/>
      <c r="X450" s="348"/>
      <c r="Y450" s="348"/>
      <c r="Z450" s="348"/>
    </row>
    <row r="451" spans="1:26" s="64" customFormat="1" ht="47.25" customHeight="1" thickBot="1" x14ac:dyDescent="0.35">
      <c r="A451" s="343">
        <v>45469</v>
      </c>
      <c r="B451" s="345" t="s">
        <v>13154</v>
      </c>
      <c r="C451" s="344"/>
      <c r="D451" s="344" t="s">
        <v>12341</v>
      </c>
      <c r="E451" s="344" t="s">
        <v>13155</v>
      </c>
      <c r="F451" s="344" t="s">
        <v>12346</v>
      </c>
      <c r="G451" s="347">
        <v>235</v>
      </c>
      <c r="H451" s="347">
        <v>120</v>
      </c>
      <c r="I451" s="347">
        <v>115</v>
      </c>
      <c r="J451" s="344"/>
      <c r="K451" s="344"/>
      <c r="L451" s="344" t="s">
        <v>12341</v>
      </c>
      <c r="M451" s="344" t="s">
        <v>12881</v>
      </c>
      <c r="N451" s="344" t="s">
        <v>12344</v>
      </c>
      <c r="O451" s="348"/>
      <c r="P451" s="348"/>
      <c r="Q451" s="348"/>
      <c r="R451" s="348"/>
      <c r="S451" s="348"/>
      <c r="T451" s="348"/>
      <c r="U451" s="348"/>
      <c r="V451" s="348"/>
      <c r="W451" s="348"/>
      <c r="X451" s="348"/>
      <c r="Y451" s="348"/>
      <c r="Z451" s="348"/>
    </row>
    <row r="452" spans="1:26" s="64" customFormat="1" ht="47.25" customHeight="1" thickBot="1" x14ac:dyDescent="0.35">
      <c r="A452" s="343">
        <v>45470</v>
      </c>
      <c r="B452" s="345" t="s">
        <v>13156</v>
      </c>
      <c r="C452" s="344"/>
      <c r="D452" s="344" t="s">
        <v>12341</v>
      </c>
      <c r="E452" s="344" t="s">
        <v>12341</v>
      </c>
      <c r="F452" s="344"/>
      <c r="G452" s="344"/>
      <c r="H452" s="344"/>
      <c r="I452" s="344"/>
      <c r="J452" s="344"/>
      <c r="K452" s="344" t="s">
        <v>13157</v>
      </c>
      <c r="L452" s="344" t="s">
        <v>13158</v>
      </c>
      <c r="M452" s="344" t="s">
        <v>12881</v>
      </c>
      <c r="N452" s="344" t="s">
        <v>12339</v>
      </c>
      <c r="O452" s="348"/>
      <c r="P452" s="348"/>
      <c r="Q452" s="348"/>
      <c r="R452" s="348"/>
      <c r="S452" s="348"/>
      <c r="T452" s="348"/>
      <c r="U452" s="348"/>
      <c r="V452" s="348"/>
      <c r="W452" s="348"/>
      <c r="X452" s="348"/>
      <c r="Y452" s="348"/>
      <c r="Z452" s="348"/>
    </row>
    <row r="453" spans="1:26" s="64" customFormat="1" ht="47.25" customHeight="1" thickBot="1" x14ac:dyDescent="0.35">
      <c r="A453" s="343">
        <v>45470</v>
      </c>
      <c r="B453" s="345" t="s">
        <v>13159</v>
      </c>
      <c r="C453" s="344"/>
      <c r="D453" s="344" t="s">
        <v>12341</v>
      </c>
      <c r="E453" s="344" t="s">
        <v>12341</v>
      </c>
      <c r="F453" s="344"/>
      <c r="G453" s="344"/>
      <c r="H453" s="344"/>
      <c r="I453" s="344"/>
      <c r="J453" s="344"/>
      <c r="K453" s="344" t="s">
        <v>13160</v>
      </c>
      <c r="L453" s="344" t="s">
        <v>13161</v>
      </c>
      <c r="M453" s="344" t="s">
        <v>12881</v>
      </c>
      <c r="N453" s="344" t="s">
        <v>12339</v>
      </c>
      <c r="O453" s="348"/>
      <c r="P453" s="348"/>
      <c r="Q453" s="348"/>
      <c r="R453" s="348"/>
      <c r="S453" s="348"/>
      <c r="T453" s="348"/>
      <c r="U453" s="348"/>
      <c r="V453" s="348"/>
      <c r="W453" s="348"/>
      <c r="X453" s="348"/>
      <c r="Y453" s="348"/>
      <c r="Z453" s="348"/>
    </row>
    <row r="454" spans="1:26" s="64" customFormat="1" ht="47.25" customHeight="1" thickBot="1" x14ac:dyDescent="0.35">
      <c r="A454" s="343">
        <v>45470</v>
      </c>
      <c r="B454" s="345" t="s">
        <v>13162</v>
      </c>
      <c r="C454" s="344"/>
      <c r="D454" s="344" t="s">
        <v>12341</v>
      </c>
      <c r="E454" s="344" t="s">
        <v>12341</v>
      </c>
      <c r="F454" s="344"/>
      <c r="G454" s="344"/>
      <c r="H454" s="344"/>
      <c r="I454" s="344"/>
      <c r="J454" s="344"/>
      <c r="K454" s="344" t="s">
        <v>13163</v>
      </c>
      <c r="L454" s="344" t="s">
        <v>13164</v>
      </c>
      <c r="M454" s="344" t="s">
        <v>12881</v>
      </c>
      <c r="N454" s="344" t="s">
        <v>12339</v>
      </c>
      <c r="O454" s="348"/>
      <c r="P454" s="348"/>
      <c r="Q454" s="348"/>
      <c r="R454" s="348"/>
      <c r="S454" s="348"/>
      <c r="T454" s="348"/>
      <c r="U454" s="348"/>
      <c r="V454" s="348"/>
      <c r="W454" s="348"/>
      <c r="X454" s="348"/>
      <c r="Y454" s="348"/>
      <c r="Z454" s="348"/>
    </row>
    <row r="455" spans="1:26" s="64" customFormat="1" ht="47.25" customHeight="1" thickBot="1" x14ac:dyDescent="0.35">
      <c r="A455" s="343">
        <v>45470</v>
      </c>
      <c r="B455" s="345" t="s">
        <v>13165</v>
      </c>
      <c r="C455" s="344"/>
      <c r="D455" s="344" t="s">
        <v>12341</v>
      </c>
      <c r="E455" s="344" t="s">
        <v>12341</v>
      </c>
      <c r="F455" s="344"/>
      <c r="G455" s="344"/>
      <c r="H455" s="344"/>
      <c r="I455" s="344"/>
      <c r="J455" s="344"/>
      <c r="K455" s="344" t="s">
        <v>13166</v>
      </c>
      <c r="L455" s="344" t="s">
        <v>13167</v>
      </c>
      <c r="M455" s="344" t="s">
        <v>12881</v>
      </c>
      <c r="N455" s="344" t="s">
        <v>12339</v>
      </c>
      <c r="O455" s="348"/>
      <c r="P455" s="348"/>
      <c r="Q455" s="348"/>
      <c r="R455" s="348"/>
      <c r="S455" s="348"/>
      <c r="T455" s="348"/>
      <c r="U455" s="348"/>
      <c r="V455" s="348"/>
      <c r="W455" s="348"/>
      <c r="X455" s="348"/>
      <c r="Y455" s="348"/>
      <c r="Z455" s="348"/>
    </row>
    <row r="456" spans="1:26" s="64" customFormat="1" ht="47.25" customHeight="1" thickBot="1" x14ac:dyDescent="0.35">
      <c r="A456" s="343">
        <v>45470</v>
      </c>
      <c r="B456" s="345" t="s">
        <v>13168</v>
      </c>
      <c r="C456" s="344"/>
      <c r="D456" s="344" t="s">
        <v>12341</v>
      </c>
      <c r="E456" s="344" t="s">
        <v>12341</v>
      </c>
      <c r="F456" s="344"/>
      <c r="G456" s="344"/>
      <c r="H456" s="344"/>
      <c r="I456" s="344"/>
      <c r="J456" s="344"/>
      <c r="K456" s="344" t="s">
        <v>13169</v>
      </c>
      <c r="L456" s="344" t="s">
        <v>13170</v>
      </c>
      <c r="M456" s="344" t="s">
        <v>12881</v>
      </c>
      <c r="N456" s="344" t="s">
        <v>12339</v>
      </c>
      <c r="O456" s="348"/>
      <c r="P456" s="348"/>
      <c r="Q456" s="348"/>
      <c r="R456" s="348"/>
      <c r="S456" s="348"/>
      <c r="T456" s="348"/>
      <c r="U456" s="348"/>
      <c r="V456" s="348"/>
      <c r="W456" s="348"/>
      <c r="X456" s="348"/>
      <c r="Y456" s="348"/>
      <c r="Z456" s="348"/>
    </row>
    <row r="457" spans="1:26" s="64" customFormat="1" ht="47.25" customHeight="1" thickBot="1" x14ac:dyDescent="0.35">
      <c r="A457" s="343">
        <v>45470</v>
      </c>
      <c r="B457" s="345" t="s">
        <v>13171</v>
      </c>
      <c r="C457" s="344"/>
      <c r="D457" s="344" t="s">
        <v>12341</v>
      </c>
      <c r="E457" s="344" t="s">
        <v>12341</v>
      </c>
      <c r="F457" s="344"/>
      <c r="G457" s="344"/>
      <c r="H457" s="344"/>
      <c r="I457" s="344"/>
      <c r="J457" s="344"/>
      <c r="K457" s="344" t="s">
        <v>13172</v>
      </c>
      <c r="L457" s="344" t="s">
        <v>12341</v>
      </c>
      <c r="M457" s="344" t="s">
        <v>12881</v>
      </c>
      <c r="N457" s="344" t="s">
        <v>12339</v>
      </c>
      <c r="O457" s="348"/>
      <c r="P457" s="348"/>
      <c r="Q457" s="348"/>
      <c r="R457" s="348"/>
      <c r="S457" s="348"/>
      <c r="T457" s="348"/>
      <c r="U457" s="348"/>
      <c r="V457" s="348"/>
      <c r="W457" s="348"/>
      <c r="X457" s="348"/>
      <c r="Y457" s="348"/>
      <c r="Z457" s="348"/>
    </row>
    <row r="458" spans="1:26" s="64" customFormat="1" ht="47.25" customHeight="1" thickBot="1" x14ac:dyDescent="0.35">
      <c r="A458" s="343">
        <v>45471</v>
      </c>
      <c r="B458" s="345" t="s">
        <v>13173</v>
      </c>
      <c r="C458" s="344"/>
      <c r="D458" s="344" t="s">
        <v>12341</v>
      </c>
      <c r="E458" s="344" t="s">
        <v>12341</v>
      </c>
      <c r="F458" s="344"/>
      <c r="G458" s="344"/>
      <c r="H458" s="344"/>
      <c r="I458" s="344"/>
      <c r="J458" s="344" t="s">
        <v>13174</v>
      </c>
      <c r="K458" s="344"/>
      <c r="L458" s="344" t="s">
        <v>12341</v>
      </c>
      <c r="M458" s="344" t="s">
        <v>12881</v>
      </c>
      <c r="N458" s="344" t="s">
        <v>12339</v>
      </c>
      <c r="O458" s="348"/>
      <c r="P458" s="348"/>
      <c r="Q458" s="348"/>
      <c r="R458" s="348"/>
      <c r="S458" s="348"/>
      <c r="T458" s="348"/>
      <c r="U458" s="348"/>
      <c r="V458" s="348"/>
      <c r="W458" s="348"/>
      <c r="X458" s="348"/>
      <c r="Y458" s="348"/>
      <c r="Z458" s="348"/>
    </row>
    <row r="459" spans="1:26" s="64" customFormat="1" ht="47.25" customHeight="1" thickBot="1" x14ac:dyDescent="0.35">
      <c r="A459" s="343">
        <v>45471</v>
      </c>
      <c r="B459" s="345" t="s">
        <v>13175</v>
      </c>
      <c r="C459" s="344"/>
      <c r="D459" s="344" t="s">
        <v>12341</v>
      </c>
      <c r="E459" s="344" t="s">
        <v>12341</v>
      </c>
      <c r="F459" s="344"/>
      <c r="G459" s="344"/>
      <c r="H459" s="344"/>
      <c r="I459" s="344"/>
      <c r="J459" s="344"/>
      <c r="K459" s="344" t="s">
        <v>13176</v>
      </c>
      <c r="L459" s="344" t="s">
        <v>12341</v>
      </c>
      <c r="M459" s="344" t="s">
        <v>12881</v>
      </c>
      <c r="N459" s="344" t="s">
        <v>12339</v>
      </c>
      <c r="O459" s="348"/>
      <c r="P459" s="348"/>
      <c r="Q459" s="348"/>
      <c r="R459" s="348"/>
      <c r="S459" s="348"/>
      <c r="T459" s="348"/>
      <c r="U459" s="348"/>
      <c r="V459" s="348"/>
      <c r="W459" s="348"/>
      <c r="X459" s="348"/>
      <c r="Y459" s="348"/>
      <c r="Z459" s="348"/>
    </row>
    <row r="460" spans="1:26" s="64" customFormat="1" ht="47.25" customHeight="1" thickBot="1" x14ac:dyDescent="0.35">
      <c r="A460" s="343">
        <v>45471</v>
      </c>
      <c r="B460" s="345" t="s">
        <v>13177</v>
      </c>
      <c r="C460" s="344"/>
      <c r="D460" s="344" t="s">
        <v>12341</v>
      </c>
      <c r="E460" s="344" t="s">
        <v>12394</v>
      </c>
      <c r="F460" s="344" t="s">
        <v>12360</v>
      </c>
      <c r="G460" s="344"/>
      <c r="H460" s="344"/>
      <c r="I460" s="347">
        <v>105</v>
      </c>
      <c r="J460" s="344"/>
      <c r="K460" s="344"/>
      <c r="L460" s="344" t="s">
        <v>12341</v>
      </c>
      <c r="M460" s="344" t="s">
        <v>12881</v>
      </c>
      <c r="N460" s="344" t="s">
        <v>12344</v>
      </c>
      <c r="O460" s="348"/>
      <c r="P460" s="348"/>
      <c r="Q460" s="348"/>
      <c r="R460" s="348"/>
      <c r="S460" s="348"/>
      <c r="T460" s="348"/>
      <c r="U460" s="348"/>
      <c r="V460" s="348"/>
      <c r="W460" s="348"/>
      <c r="X460" s="348"/>
      <c r="Y460" s="348"/>
      <c r="Z460" s="348"/>
    </row>
    <row r="461" spans="1:26" s="64" customFormat="1" ht="47.25" customHeight="1" thickBot="1" x14ac:dyDescent="0.35">
      <c r="A461" s="343">
        <v>45471</v>
      </c>
      <c r="B461" s="345" t="s">
        <v>13178</v>
      </c>
      <c r="C461" s="344"/>
      <c r="D461" s="344" t="s">
        <v>12341</v>
      </c>
      <c r="E461" s="344" t="s">
        <v>12341</v>
      </c>
      <c r="F461" s="344"/>
      <c r="G461" s="344"/>
      <c r="H461" s="344"/>
      <c r="I461" s="344"/>
      <c r="J461" s="344"/>
      <c r="K461" s="344" t="s">
        <v>13179</v>
      </c>
      <c r="L461" s="344" t="s">
        <v>13180</v>
      </c>
      <c r="M461" s="344" t="s">
        <v>12881</v>
      </c>
      <c r="N461" s="344" t="s">
        <v>12339</v>
      </c>
      <c r="O461" s="348"/>
      <c r="P461" s="348"/>
      <c r="Q461" s="348"/>
      <c r="R461" s="348"/>
      <c r="S461" s="348"/>
      <c r="T461" s="348"/>
      <c r="U461" s="348"/>
      <c r="V461" s="348"/>
      <c r="W461" s="348"/>
      <c r="X461" s="348"/>
      <c r="Y461" s="348"/>
      <c r="Z461" s="348"/>
    </row>
    <row r="462" spans="1:26" s="64" customFormat="1" ht="47.25" customHeight="1" thickBot="1" x14ac:dyDescent="0.35">
      <c r="A462" s="343">
        <v>45471</v>
      </c>
      <c r="B462" s="345" t="s">
        <v>13181</v>
      </c>
      <c r="C462" s="344"/>
      <c r="D462" s="344" t="s">
        <v>12341</v>
      </c>
      <c r="E462" s="344" t="s">
        <v>12341</v>
      </c>
      <c r="F462" s="344"/>
      <c r="G462" s="344"/>
      <c r="H462" s="344"/>
      <c r="I462" s="344"/>
      <c r="J462" s="344"/>
      <c r="K462" s="344" t="s">
        <v>13182</v>
      </c>
      <c r="L462" s="344" t="s">
        <v>12341</v>
      </c>
      <c r="M462" s="344" t="s">
        <v>12881</v>
      </c>
      <c r="N462" s="344" t="s">
        <v>12339</v>
      </c>
      <c r="O462" s="348"/>
      <c r="P462" s="348"/>
      <c r="Q462" s="348"/>
      <c r="R462" s="348"/>
      <c r="S462" s="348"/>
      <c r="T462" s="348"/>
      <c r="U462" s="348"/>
      <c r="V462" s="348"/>
      <c r="W462" s="348"/>
      <c r="X462" s="348"/>
      <c r="Y462" s="348"/>
      <c r="Z462" s="348"/>
    </row>
    <row r="463" spans="1:26" s="64" customFormat="1" ht="47.25" customHeight="1" thickBot="1" x14ac:dyDescent="0.35">
      <c r="A463" s="343">
        <v>45471</v>
      </c>
      <c r="B463" s="345" t="s">
        <v>13183</v>
      </c>
      <c r="C463" s="344"/>
      <c r="D463" s="344" t="s">
        <v>12341</v>
      </c>
      <c r="E463" s="344" t="s">
        <v>12341</v>
      </c>
      <c r="F463" s="344"/>
      <c r="G463" s="344"/>
      <c r="H463" s="344"/>
      <c r="I463" s="344"/>
      <c r="J463" s="344"/>
      <c r="K463" s="344" t="s">
        <v>13184</v>
      </c>
      <c r="L463" s="344" t="s">
        <v>13185</v>
      </c>
      <c r="M463" s="344" t="s">
        <v>12881</v>
      </c>
      <c r="N463" s="344" t="s">
        <v>12339</v>
      </c>
      <c r="O463" s="348"/>
      <c r="P463" s="348"/>
      <c r="Q463" s="348"/>
      <c r="R463" s="348"/>
      <c r="S463" s="348"/>
      <c r="T463" s="348"/>
      <c r="U463" s="348"/>
      <c r="V463" s="348"/>
      <c r="W463" s="348"/>
      <c r="X463" s="348"/>
      <c r="Y463" s="348"/>
      <c r="Z463" s="348"/>
    </row>
    <row r="464" spans="1:26" s="64" customFormat="1" ht="47.25" customHeight="1" thickBot="1" x14ac:dyDescent="0.35">
      <c r="A464" s="343">
        <v>45471</v>
      </c>
      <c r="B464" s="345" t="s">
        <v>13186</v>
      </c>
      <c r="C464" s="344"/>
      <c r="D464" s="344" t="s">
        <v>12341</v>
      </c>
      <c r="E464" s="344" t="s">
        <v>12341</v>
      </c>
      <c r="F464" s="344"/>
      <c r="G464" s="344"/>
      <c r="H464" s="344"/>
      <c r="I464" s="344"/>
      <c r="J464" s="344"/>
      <c r="K464" s="344" t="s">
        <v>13187</v>
      </c>
      <c r="L464" s="344" t="s">
        <v>12341</v>
      </c>
      <c r="M464" s="344" t="s">
        <v>12881</v>
      </c>
      <c r="N464" s="344" t="s">
        <v>12339</v>
      </c>
      <c r="O464" s="348"/>
      <c r="P464" s="348"/>
      <c r="Q464" s="348"/>
      <c r="R464" s="348"/>
      <c r="S464" s="348"/>
      <c r="T464" s="348"/>
      <c r="U464" s="348"/>
      <c r="V464" s="348"/>
      <c r="W464" s="348"/>
      <c r="X464" s="348"/>
      <c r="Y464" s="348"/>
      <c r="Z464" s="348"/>
    </row>
    <row r="465" spans="1:26" s="64" customFormat="1" ht="47.25" customHeight="1" thickBot="1" x14ac:dyDescent="0.35">
      <c r="A465" s="343">
        <v>45471</v>
      </c>
      <c r="B465" s="345" t="s">
        <v>13188</v>
      </c>
      <c r="C465" s="344"/>
      <c r="D465" s="344" t="s">
        <v>12341</v>
      </c>
      <c r="E465" s="344" t="s">
        <v>12394</v>
      </c>
      <c r="F465" s="344" t="s">
        <v>12346</v>
      </c>
      <c r="G465" s="347">
        <v>160</v>
      </c>
      <c r="H465" s="347">
        <v>86</v>
      </c>
      <c r="I465" s="347">
        <v>74</v>
      </c>
      <c r="J465" s="344"/>
      <c r="K465" s="344"/>
      <c r="L465" s="344" t="s">
        <v>12341</v>
      </c>
      <c r="M465" s="344" t="s">
        <v>12881</v>
      </c>
      <c r="N465" s="344" t="s">
        <v>12344</v>
      </c>
      <c r="O465" s="348"/>
      <c r="P465" s="348"/>
      <c r="Q465" s="348"/>
      <c r="R465" s="348"/>
      <c r="S465" s="348"/>
      <c r="T465" s="348"/>
      <c r="U465" s="348"/>
      <c r="V465" s="348"/>
      <c r="W465" s="348"/>
      <c r="X465" s="348"/>
      <c r="Y465" s="348"/>
      <c r="Z465" s="348"/>
    </row>
    <row r="466" spans="1:26" s="64" customFormat="1" ht="47.25" customHeight="1" thickBot="1" x14ac:dyDescent="0.35">
      <c r="A466" s="343">
        <v>45471</v>
      </c>
      <c r="B466" s="345" t="s">
        <v>13189</v>
      </c>
      <c r="C466" s="344"/>
      <c r="D466" s="344" t="s">
        <v>12341</v>
      </c>
      <c r="E466" s="344" t="s">
        <v>12341</v>
      </c>
      <c r="F466" s="344"/>
      <c r="G466" s="344"/>
      <c r="H466" s="344"/>
      <c r="I466" s="344"/>
      <c r="J466" s="344"/>
      <c r="K466" s="344" t="s">
        <v>13190</v>
      </c>
      <c r="L466" s="344" t="s">
        <v>13191</v>
      </c>
      <c r="M466" s="344" t="s">
        <v>12881</v>
      </c>
      <c r="N466" s="344" t="s">
        <v>12339</v>
      </c>
      <c r="O466" s="348"/>
      <c r="P466" s="348"/>
      <c r="Q466" s="348"/>
      <c r="R466" s="348"/>
      <c r="S466" s="348"/>
      <c r="T466" s="348"/>
      <c r="U466" s="348"/>
      <c r="V466" s="348"/>
      <c r="W466" s="348"/>
      <c r="X466" s="348"/>
      <c r="Y466" s="348"/>
      <c r="Z466" s="348"/>
    </row>
    <row r="467" spans="1:26" s="64" customFormat="1" ht="47.25" customHeight="1" thickBot="1" x14ac:dyDescent="0.35">
      <c r="A467" s="343">
        <v>45471</v>
      </c>
      <c r="B467" s="345" t="s">
        <v>13192</v>
      </c>
      <c r="C467" s="344"/>
      <c r="D467" s="344" t="s">
        <v>12341</v>
      </c>
      <c r="E467" s="344" t="s">
        <v>12341</v>
      </c>
      <c r="F467" s="344"/>
      <c r="G467" s="344"/>
      <c r="H467" s="344"/>
      <c r="I467" s="344"/>
      <c r="J467" s="344"/>
      <c r="K467" s="344" t="s">
        <v>13193</v>
      </c>
      <c r="L467" s="344" t="s">
        <v>13194</v>
      </c>
      <c r="M467" s="344" t="s">
        <v>12881</v>
      </c>
      <c r="N467" s="344" t="s">
        <v>12339</v>
      </c>
      <c r="O467" s="348"/>
      <c r="P467" s="348"/>
      <c r="Q467" s="348"/>
      <c r="R467" s="348"/>
      <c r="S467" s="348"/>
      <c r="T467" s="348"/>
      <c r="U467" s="348"/>
      <c r="V467" s="348"/>
      <c r="W467" s="348"/>
      <c r="X467" s="348"/>
      <c r="Y467" s="348"/>
      <c r="Z467" s="348"/>
    </row>
    <row r="468" spans="1:26" s="64" customFormat="1" ht="47.25" customHeight="1" thickBot="1" x14ac:dyDescent="0.35">
      <c r="A468" s="343">
        <v>45471</v>
      </c>
      <c r="B468" s="345" t="s">
        <v>13195</v>
      </c>
      <c r="C468" s="344"/>
      <c r="D468" s="344" t="s">
        <v>12341</v>
      </c>
      <c r="E468" s="344" t="s">
        <v>12356</v>
      </c>
      <c r="F468" s="344" t="s">
        <v>12360</v>
      </c>
      <c r="G468" s="344"/>
      <c r="H468" s="344"/>
      <c r="I468" s="347">
        <v>40</v>
      </c>
      <c r="J468" s="344" t="s">
        <v>13196</v>
      </c>
      <c r="K468" s="344"/>
      <c r="L468" s="344" t="s">
        <v>12341</v>
      </c>
      <c r="M468" s="344" t="s">
        <v>12881</v>
      </c>
      <c r="N468" s="344" t="s">
        <v>12344</v>
      </c>
      <c r="O468" s="348"/>
      <c r="P468" s="348"/>
      <c r="Q468" s="348"/>
      <c r="R468" s="348"/>
      <c r="S468" s="348"/>
      <c r="T468" s="348"/>
      <c r="U468" s="348"/>
      <c r="V468" s="348"/>
      <c r="W468" s="348"/>
      <c r="X468" s="348"/>
      <c r="Y468" s="348"/>
      <c r="Z468" s="348"/>
    </row>
    <row r="469" spans="1:26" s="64" customFormat="1" ht="47.25" customHeight="1" thickBot="1" x14ac:dyDescent="0.35">
      <c r="A469" s="343">
        <v>45471</v>
      </c>
      <c r="B469" s="345" t="s">
        <v>13197</v>
      </c>
      <c r="C469" s="344"/>
      <c r="D469" s="344" t="s">
        <v>12341</v>
      </c>
      <c r="E469" s="344" t="s">
        <v>12685</v>
      </c>
      <c r="F469" s="344" t="s">
        <v>12346</v>
      </c>
      <c r="G469" s="347">
        <v>40</v>
      </c>
      <c r="H469" s="344"/>
      <c r="I469" s="347">
        <v>35</v>
      </c>
      <c r="J469" s="344" t="s">
        <v>13198</v>
      </c>
      <c r="K469" s="344"/>
      <c r="L469" s="344" t="s">
        <v>12341</v>
      </c>
      <c r="M469" s="344" t="s">
        <v>12881</v>
      </c>
      <c r="N469" s="344" t="s">
        <v>12339</v>
      </c>
      <c r="O469" s="348"/>
      <c r="P469" s="348"/>
      <c r="Q469" s="348"/>
      <c r="R469" s="348"/>
      <c r="S469" s="348"/>
      <c r="T469" s="348"/>
      <c r="U469" s="348"/>
      <c r="V469" s="348"/>
      <c r="W469" s="348"/>
      <c r="X469" s="348"/>
      <c r="Y469" s="348"/>
      <c r="Z469" s="348"/>
    </row>
    <row r="470" spans="1:26" s="64" customFormat="1" ht="47.25" customHeight="1" thickBot="1" x14ac:dyDescent="0.35">
      <c r="A470" s="343">
        <v>45471</v>
      </c>
      <c r="B470" s="345" t="s">
        <v>13199</v>
      </c>
      <c r="C470" s="344"/>
      <c r="D470" s="344" t="s">
        <v>12341</v>
      </c>
      <c r="E470" s="344" t="s">
        <v>12356</v>
      </c>
      <c r="F470" s="344" t="s">
        <v>12346</v>
      </c>
      <c r="G470" s="347">
        <v>80</v>
      </c>
      <c r="H470" s="347">
        <v>40</v>
      </c>
      <c r="I470" s="347">
        <v>40</v>
      </c>
      <c r="J470" s="344"/>
      <c r="K470" s="344"/>
      <c r="L470" s="344" t="s">
        <v>12341</v>
      </c>
      <c r="M470" s="344" t="s">
        <v>12881</v>
      </c>
      <c r="N470" s="344" t="s">
        <v>12344</v>
      </c>
      <c r="O470" s="348"/>
      <c r="P470" s="348"/>
      <c r="Q470" s="348"/>
      <c r="R470" s="348"/>
      <c r="S470" s="348"/>
      <c r="T470" s="348"/>
      <c r="U470" s="348"/>
      <c r="V470" s="348"/>
      <c r="W470" s="348"/>
      <c r="X470" s="348"/>
      <c r="Y470" s="348"/>
      <c r="Z470" s="348"/>
    </row>
    <row r="471" spans="1:26" s="64" customFormat="1" ht="47.25" customHeight="1" thickBot="1" x14ac:dyDescent="0.35">
      <c r="A471" s="343">
        <v>45472</v>
      </c>
      <c r="B471" s="345" t="s">
        <v>13200</v>
      </c>
      <c r="C471" s="344"/>
      <c r="D471" s="344" t="s">
        <v>12341</v>
      </c>
      <c r="E471" s="344" t="s">
        <v>12341</v>
      </c>
      <c r="F471" s="344"/>
      <c r="G471" s="344"/>
      <c r="H471" s="344"/>
      <c r="I471" s="344"/>
      <c r="J471" s="344"/>
      <c r="K471" s="344" t="s">
        <v>13201</v>
      </c>
      <c r="L471" s="344" t="s">
        <v>13202</v>
      </c>
      <c r="M471" s="344" t="s">
        <v>12881</v>
      </c>
      <c r="N471" s="344" t="s">
        <v>12339</v>
      </c>
      <c r="O471" s="348"/>
      <c r="P471" s="348"/>
      <c r="Q471" s="348"/>
      <c r="R471" s="348"/>
      <c r="S471" s="348"/>
      <c r="T471" s="348"/>
      <c r="U471" s="348"/>
      <c r="V471" s="348"/>
      <c r="W471" s="348"/>
      <c r="X471" s="348"/>
      <c r="Y471" s="348"/>
      <c r="Z471" s="348"/>
    </row>
    <row r="472" spans="1:26" s="64" customFormat="1" ht="47.25" customHeight="1" thickBot="1" x14ac:dyDescent="0.35">
      <c r="A472" s="343">
        <v>45473</v>
      </c>
      <c r="B472" s="345" t="s">
        <v>13203</v>
      </c>
      <c r="C472" s="344"/>
      <c r="D472" s="344" t="s">
        <v>12341</v>
      </c>
      <c r="E472" s="344" t="s">
        <v>13204</v>
      </c>
      <c r="F472" s="344" t="s">
        <v>12360</v>
      </c>
      <c r="G472" s="344"/>
      <c r="H472" s="344"/>
      <c r="I472" s="347">
        <v>160</v>
      </c>
      <c r="J472" s="344" t="s">
        <v>13205</v>
      </c>
      <c r="K472" s="344"/>
      <c r="L472" s="344" t="s">
        <v>12341</v>
      </c>
      <c r="M472" s="344" t="s">
        <v>12881</v>
      </c>
      <c r="N472" s="344" t="s">
        <v>12344</v>
      </c>
      <c r="O472" s="348"/>
      <c r="P472" s="348"/>
      <c r="Q472" s="348"/>
      <c r="R472" s="348"/>
      <c r="S472" s="348"/>
      <c r="T472" s="348"/>
      <c r="U472" s="348"/>
      <c r="V472" s="348"/>
      <c r="W472" s="348"/>
      <c r="X472" s="348"/>
      <c r="Y472" s="348"/>
      <c r="Z472" s="348"/>
    </row>
    <row r="473" spans="1:26" s="64" customFormat="1" ht="47.25" customHeight="1" thickBot="1" x14ac:dyDescent="0.35">
      <c r="A473" s="343">
        <v>45473</v>
      </c>
      <c r="B473" s="345" t="s">
        <v>13206</v>
      </c>
      <c r="C473" s="344"/>
      <c r="D473" s="344" t="s">
        <v>12341</v>
      </c>
      <c r="E473" s="344" t="s">
        <v>12356</v>
      </c>
      <c r="F473" s="344" t="s">
        <v>12346</v>
      </c>
      <c r="G473" s="347">
        <v>80</v>
      </c>
      <c r="H473" s="344"/>
      <c r="I473" s="347">
        <v>50</v>
      </c>
      <c r="J473" s="344" t="s">
        <v>13207</v>
      </c>
      <c r="K473" s="344"/>
      <c r="L473" s="344" t="s">
        <v>12341</v>
      </c>
      <c r="M473" s="344" t="s">
        <v>12881</v>
      </c>
      <c r="N473" s="344" t="s">
        <v>12344</v>
      </c>
      <c r="O473" s="348"/>
      <c r="P473" s="348"/>
      <c r="Q473" s="348"/>
      <c r="R473" s="348"/>
      <c r="S473" s="348"/>
      <c r="T473" s="348"/>
      <c r="U473" s="348"/>
      <c r="V473" s="348"/>
      <c r="W473" s="348"/>
      <c r="X473" s="348"/>
      <c r="Y473" s="348"/>
      <c r="Z473" s="348"/>
    </row>
    <row r="474" spans="1:26" s="64" customFormat="1" ht="47.25" customHeight="1" thickBot="1" x14ac:dyDescent="0.35">
      <c r="A474" s="343">
        <v>45473</v>
      </c>
      <c r="B474" s="345" t="s">
        <v>13208</v>
      </c>
      <c r="C474" s="344"/>
      <c r="D474" s="344" t="s">
        <v>12341</v>
      </c>
      <c r="E474" s="344" t="s">
        <v>12341</v>
      </c>
      <c r="F474" s="344"/>
      <c r="G474" s="344"/>
      <c r="H474" s="344"/>
      <c r="I474" s="344"/>
      <c r="J474" s="344"/>
      <c r="K474" s="344" t="s">
        <v>13209</v>
      </c>
      <c r="L474" s="344" t="s">
        <v>12341</v>
      </c>
      <c r="M474" s="344" t="s">
        <v>12881</v>
      </c>
      <c r="N474" s="344" t="s">
        <v>12339</v>
      </c>
      <c r="O474" s="348"/>
      <c r="P474" s="348"/>
      <c r="Q474" s="348"/>
      <c r="R474" s="348"/>
      <c r="S474" s="348"/>
      <c r="T474" s="348"/>
      <c r="U474" s="348"/>
      <c r="V474" s="348"/>
      <c r="W474" s="348"/>
      <c r="X474" s="348"/>
      <c r="Y474" s="348"/>
      <c r="Z474" s="348"/>
    </row>
    <row r="475" spans="1:26" s="64" customFormat="1" ht="47.25" customHeight="1" thickBot="1" x14ac:dyDescent="0.35">
      <c r="A475" s="343">
        <v>45474</v>
      </c>
      <c r="B475" s="345" t="s">
        <v>13210</v>
      </c>
      <c r="C475" s="344"/>
      <c r="D475" s="344" t="s">
        <v>12341</v>
      </c>
      <c r="E475" s="344" t="s">
        <v>12341</v>
      </c>
      <c r="F475" s="344"/>
      <c r="G475" s="344"/>
      <c r="H475" s="344"/>
      <c r="I475" s="344"/>
      <c r="J475" s="344"/>
      <c r="K475" s="344" t="s">
        <v>13211</v>
      </c>
      <c r="L475" s="344" t="s">
        <v>13212</v>
      </c>
      <c r="M475" s="344" t="s">
        <v>13213</v>
      </c>
      <c r="N475" s="344" t="s">
        <v>12339</v>
      </c>
      <c r="O475" s="348"/>
      <c r="P475" s="348"/>
      <c r="Q475" s="348"/>
      <c r="R475" s="348"/>
      <c r="S475" s="348"/>
      <c r="T475" s="348"/>
      <c r="U475" s="348"/>
      <c r="V475" s="348"/>
      <c r="W475" s="348"/>
      <c r="X475" s="348"/>
      <c r="Y475" s="348"/>
      <c r="Z475" s="348"/>
    </row>
    <row r="476" spans="1:26" s="64" customFormat="1" ht="47.25" customHeight="1" thickBot="1" x14ac:dyDescent="0.35">
      <c r="A476" s="343">
        <v>45474</v>
      </c>
      <c r="B476" s="345" t="s">
        <v>13214</v>
      </c>
      <c r="C476" s="344"/>
      <c r="D476" s="344" t="s">
        <v>12341</v>
      </c>
      <c r="E476" s="344" t="s">
        <v>12341</v>
      </c>
      <c r="F476" s="344"/>
      <c r="G476" s="344"/>
      <c r="H476" s="344"/>
      <c r="I476" s="344"/>
      <c r="J476" s="344"/>
      <c r="K476" s="344" t="s">
        <v>13215</v>
      </c>
      <c r="L476" s="344" t="s">
        <v>12341</v>
      </c>
      <c r="M476" s="344" t="s">
        <v>13213</v>
      </c>
      <c r="N476" s="344" t="s">
        <v>12339</v>
      </c>
      <c r="O476" s="348"/>
      <c r="P476" s="348"/>
      <c r="Q476" s="348"/>
      <c r="R476" s="348"/>
      <c r="S476" s="348"/>
      <c r="T476" s="348"/>
      <c r="U476" s="348"/>
      <c r="V476" s="348"/>
      <c r="W476" s="348"/>
      <c r="X476" s="348"/>
      <c r="Y476" s="348"/>
      <c r="Z476" s="348"/>
    </row>
    <row r="477" spans="1:26" s="64" customFormat="1" ht="47.25" customHeight="1" thickBot="1" x14ac:dyDescent="0.35">
      <c r="A477" s="343">
        <v>45474</v>
      </c>
      <c r="B477" s="345" t="s">
        <v>13216</v>
      </c>
      <c r="C477" s="344"/>
      <c r="D477" s="344" t="s">
        <v>12341</v>
      </c>
      <c r="E477" s="344" t="s">
        <v>12341</v>
      </c>
      <c r="F477" s="344"/>
      <c r="G477" s="344"/>
      <c r="H477" s="344"/>
      <c r="I477" s="344"/>
      <c r="J477" s="344"/>
      <c r="K477" s="344"/>
      <c r="L477" s="344" t="s">
        <v>13217</v>
      </c>
      <c r="M477" s="344" t="s">
        <v>13213</v>
      </c>
      <c r="N477" s="344" t="s">
        <v>12339</v>
      </c>
      <c r="O477" s="348"/>
      <c r="P477" s="348"/>
      <c r="Q477" s="348"/>
      <c r="R477" s="348"/>
      <c r="S477" s="348"/>
      <c r="T477" s="348"/>
      <c r="U477" s="348"/>
      <c r="V477" s="348"/>
      <c r="W477" s="348"/>
      <c r="X477" s="348"/>
      <c r="Y477" s="348"/>
      <c r="Z477" s="348"/>
    </row>
    <row r="478" spans="1:26" s="64" customFormat="1" ht="47.25" customHeight="1" thickBot="1" x14ac:dyDescent="0.35">
      <c r="A478" s="343">
        <v>45474</v>
      </c>
      <c r="B478" s="345" t="s">
        <v>13218</v>
      </c>
      <c r="C478" s="344"/>
      <c r="D478" s="344" t="s">
        <v>12341</v>
      </c>
      <c r="E478" s="344" t="s">
        <v>12341</v>
      </c>
      <c r="F478" s="344"/>
      <c r="G478" s="344"/>
      <c r="H478" s="344"/>
      <c r="I478" s="344"/>
      <c r="J478" s="344"/>
      <c r="K478" s="344" t="s">
        <v>13219</v>
      </c>
      <c r="L478" s="344" t="s">
        <v>12341</v>
      </c>
      <c r="M478" s="344" t="s">
        <v>13213</v>
      </c>
      <c r="N478" s="344" t="s">
        <v>12339</v>
      </c>
      <c r="O478" s="348"/>
      <c r="P478" s="348"/>
      <c r="Q478" s="348"/>
      <c r="R478" s="348"/>
      <c r="S478" s="348"/>
      <c r="T478" s="348"/>
      <c r="U478" s="348"/>
      <c r="V478" s="348"/>
      <c r="W478" s="348"/>
      <c r="X478" s="348"/>
      <c r="Y478" s="348"/>
      <c r="Z478" s="348"/>
    </row>
    <row r="479" spans="1:26" s="64" customFormat="1" ht="47.25" customHeight="1" thickBot="1" x14ac:dyDescent="0.35">
      <c r="A479" s="343">
        <v>45474</v>
      </c>
      <c r="B479" s="345" t="s">
        <v>13220</v>
      </c>
      <c r="C479" s="344"/>
      <c r="D479" s="344" t="s">
        <v>12341</v>
      </c>
      <c r="E479" s="344" t="s">
        <v>12341</v>
      </c>
      <c r="F479" s="344"/>
      <c r="G479" s="344"/>
      <c r="H479" s="344"/>
      <c r="I479" s="344"/>
      <c r="J479" s="344"/>
      <c r="K479" s="344" t="s">
        <v>13221</v>
      </c>
      <c r="L479" s="344" t="s">
        <v>13222</v>
      </c>
      <c r="M479" s="344" t="s">
        <v>13213</v>
      </c>
      <c r="N479" s="344" t="s">
        <v>12339</v>
      </c>
      <c r="O479" s="348"/>
      <c r="P479" s="348"/>
      <c r="Q479" s="348"/>
      <c r="R479" s="348"/>
      <c r="S479" s="348"/>
      <c r="T479" s="348"/>
      <c r="U479" s="348"/>
      <c r="V479" s="348"/>
      <c r="W479" s="348"/>
      <c r="X479" s="348"/>
      <c r="Y479" s="348"/>
      <c r="Z479" s="348"/>
    </row>
    <row r="480" spans="1:26" s="64" customFormat="1" ht="47.25" customHeight="1" thickBot="1" x14ac:dyDescent="0.35">
      <c r="A480" s="343">
        <v>45474</v>
      </c>
      <c r="B480" s="345" t="s">
        <v>13216</v>
      </c>
      <c r="C480" s="344"/>
      <c r="D480" s="344" t="s">
        <v>12341</v>
      </c>
      <c r="E480" s="344" t="s">
        <v>12341</v>
      </c>
      <c r="F480" s="344"/>
      <c r="G480" s="344"/>
      <c r="H480" s="344"/>
      <c r="I480" s="344"/>
      <c r="J480" s="344"/>
      <c r="K480" s="344" t="s">
        <v>13223</v>
      </c>
      <c r="L480" s="344" t="s">
        <v>13224</v>
      </c>
      <c r="M480" s="344" t="s">
        <v>13213</v>
      </c>
      <c r="N480" s="344" t="s">
        <v>12339</v>
      </c>
      <c r="O480" s="348"/>
      <c r="P480" s="348"/>
      <c r="Q480" s="348"/>
      <c r="R480" s="348"/>
      <c r="S480" s="348"/>
      <c r="T480" s="348"/>
      <c r="U480" s="348"/>
      <c r="V480" s="348"/>
      <c r="W480" s="348"/>
      <c r="X480" s="348"/>
      <c r="Y480" s="348"/>
      <c r="Z480" s="348"/>
    </row>
    <row r="481" spans="1:26" s="64" customFormat="1" ht="47.25" customHeight="1" thickBot="1" x14ac:dyDescent="0.35">
      <c r="A481" s="343">
        <v>45474</v>
      </c>
      <c r="B481" s="345" t="s">
        <v>13225</v>
      </c>
      <c r="C481" s="344"/>
      <c r="D481" s="344" t="s">
        <v>12341</v>
      </c>
      <c r="E481" s="344" t="s">
        <v>12341</v>
      </c>
      <c r="F481" s="344"/>
      <c r="G481" s="344"/>
      <c r="H481" s="344"/>
      <c r="I481" s="344"/>
      <c r="J481" s="344"/>
      <c r="K481" s="344"/>
      <c r="L481" s="344" t="s">
        <v>13226</v>
      </c>
      <c r="M481" s="344" t="s">
        <v>13213</v>
      </c>
      <c r="N481" s="344" t="s">
        <v>12339</v>
      </c>
      <c r="O481" s="348"/>
      <c r="P481" s="348"/>
      <c r="Q481" s="348"/>
      <c r="R481" s="348"/>
      <c r="S481" s="348"/>
      <c r="T481" s="348"/>
      <c r="U481" s="348"/>
      <c r="V481" s="348"/>
      <c r="W481" s="348"/>
      <c r="X481" s="348"/>
      <c r="Y481" s="348"/>
      <c r="Z481" s="348"/>
    </row>
    <row r="482" spans="1:26" s="64" customFormat="1" ht="47.25" customHeight="1" thickBot="1" x14ac:dyDescent="0.35">
      <c r="A482" s="343">
        <v>45474</v>
      </c>
      <c r="B482" s="345" t="s">
        <v>13220</v>
      </c>
      <c r="C482" s="344"/>
      <c r="D482" s="344" t="s">
        <v>12341</v>
      </c>
      <c r="E482" s="344" t="s">
        <v>12341</v>
      </c>
      <c r="F482" s="344"/>
      <c r="G482" s="344"/>
      <c r="H482" s="344"/>
      <c r="I482" s="344"/>
      <c r="J482" s="344"/>
      <c r="K482" s="344"/>
      <c r="L482" s="344" t="s">
        <v>13227</v>
      </c>
      <c r="M482" s="344" t="s">
        <v>13213</v>
      </c>
      <c r="N482" s="344" t="s">
        <v>12339</v>
      </c>
      <c r="O482" s="348"/>
      <c r="P482" s="348"/>
      <c r="Q482" s="348"/>
      <c r="R482" s="348"/>
      <c r="S482" s="348"/>
      <c r="T482" s="348"/>
      <c r="U482" s="348"/>
      <c r="V482" s="348"/>
      <c r="W482" s="348"/>
      <c r="X482" s="348"/>
      <c r="Y482" s="348"/>
      <c r="Z482" s="348"/>
    </row>
    <row r="483" spans="1:26" s="64" customFormat="1" ht="47.25" customHeight="1" thickBot="1" x14ac:dyDescent="0.35">
      <c r="A483" s="343">
        <v>45474</v>
      </c>
      <c r="B483" s="345" t="s">
        <v>13228</v>
      </c>
      <c r="C483" s="344"/>
      <c r="D483" s="344" t="s">
        <v>12341</v>
      </c>
      <c r="E483" s="344" t="s">
        <v>12341</v>
      </c>
      <c r="F483" s="344"/>
      <c r="G483" s="344"/>
      <c r="H483" s="344"/>
      <c r="I483" s="344"/>
      <c r="J483" s="344"/>
      <c r="K483" s="344" t="s">
        <v>13229</v>
      </c>
      <c r="L483" s="344" t="s">
        <v>12341</v>
      </c>
      <c r="M483" s="344" t="s">
        <v>13213</v>
      </c>
      <c r="N483" s="344" t="s">
        <v>12339</v>
      </c>
      <c r="O483" s="348"/>
      <c r="P483" s="348"/>
      <c r="Q483" s="348"/>
      <c r="R483" s="348"/>
      <c r="S483" s="348"/>
      <c r="T483" s="348"/>
      <c r="U483" s="348"/>
      <c r="V483" s="348"/>
      <c r="W483" s="348"/>
      <c r="X483" s="348"/>
      <c r="Y483" s="348"/>
      <c r="Z483" s="348"/>
    </row>
    <row r="484" spans="1:26" s="64" customFormat="1" ht="47.25" customHeight="1" thickBot="1" x14ac:dyDescent="0.35">
      <c r="A484" s="343">
        <v>45474</v>
      </c>
      <c r="B484" s="345" t="s">
        <v>13230</v>
      </c>
      <c r="C484" s="344"/>
      <c r="D484" s="344" t="s">
        <v>12341</v>
      </c>
      <c r="E484" s="344" t="s">
        <v>12341</v>
      </c>
      <c r="F484" s="344"/>
      <c r="G484" s="344"/>
      <c r="H484" s="344"/>
      <c r="I484" s="344"/>
      <c r="J484" s="344"/>
      <c r="K484" s="344" t="s">
        <v>12924</v>
      </c>
      <c r="L484" s="344" t="s">
        <v>12341</v>
      </c>
      <c r="M484" s="344" t="s">
        <v>13213</v>
      </c>
      <c r="N484" s="344" t="s">
        <v>12339</v>
      </c>
      <c r="O484" s="348"/>
      <c r="P484" s="348"/>
      <c r="Q484" s="348"/>
      <c r="R484" s="348"/>
      <c r="S484" s="348"/>
      <c r="T484" s="348"/>
      <c r="U484" s="348"/>
      <c r="V484" s="348"/>
      <c r="W484" s="348"/>
      <c r="X484" s="348"/>
      <c r="Y484" s="348"/>
      <c r="Z484" s="348"/>
    </row>
    <row r="485" spans="1:26" s="64" customFormat="1" ht="47.25" customHeight="1" thickBot="1" x14ac:dyDescent="0.35">
      <c r="A485" s="343">
        <v>45474</v>
      </c>
      <c r="B485" s="345" t="s">
        <v>13230</v>
      </c>
      <c r="C485" s="344"/>
      <c r="D485" s="344" t="s">
        <v>12341</v>
      </c>
      <c r="E485" s="344" t="s">
        <v>12341</v>
      </c>
      <c r="F485" s="344"/>
      <c r="G485" s="344"/>
      <c r="H485" s="344"/>
      <c r="I485" s="344"/>
      <c r="J485" s="344"/>
      <c r="K485" s="344"/>
      <c r="L485" s="344" t="s">
        <v>12341</v>
      </c>
      <c r="M485" s="344" t="s">
        <v>13213</v>
      </c>
      <c r="N485" s="344" t="s">
        <v>12339</v>
      </c>
      <c r="O485" s="348"/>
      <c r="P485" s="348"/>
      <c r="Q485" s="348"/>
      <c r="R485" s="348"/>
      <c r="S485" s="348"/>
      <c r="T485" s="348"/>
      <c r="U485" s="348"/>
      <c r="V485" s="348"/>
      <c r="W485" s="348"/>
      <c r="X485" s="348"/>
      <c r="Y485" s="348"/>
      <c r="Z485" s="348"/>
    </row>
    <row r="486" spans="1:26" s="64" customFormat="1" ht="47.25" customHeight="1" thickBot="1" x14ac:dyDescent="0.35">
      <c r="A486" s="343">
        <v>45474</v>
      </c>
      <c r="B486" s="345" t="s">
        <v>13231</v>
      </c>
      <c r="C486" s="344"/>
      <c r="D486" s="344" t="s">
        <v>12341</v>
      </c>
      <c r="E486" s="344" t="s">
        <v>12341</v>
      </c>
      <c r="F486" s="344"/>
      <c r="G486" s="344"/>
      <c r="H486" s="344"/>
      <c r="I486" s="344"/>
      <c r="J486" s="344"/>
      <c r="K486" s="344" t="s">
        <v>13232</v>
      </c>
      <c r="L486" s="344" t="s">
        <v>13233</v>
      </c>
      <c r="M486" s="344" t="s">
        <v>13213</v>
      </c>
      <c r="N486" s="344" t="s">
        <v>12339</v>
      </c>
      <c r="O486" s="348"/>
      <c r="P486" s="348"/>
      <c r="Q486" s="348"/>
      <c r="R486" s="348"/>
      <c r="S486" s="348"/>
      <c r="T486" s="348"/>
      <c r="U486" s="348"/>
      <c r="V486" s="348"/>
      <c r="W486" s="348"/>
      <c r="X486" s="348"/>
      <c r="Y486" s="348"/>
      <c r="Z486" s="348"/>
    </row>
    <row r="487" spans="1:26" s="64" customFormat="1" ht="47.25" customHeight="1" thickBot="1" x14ac:dyDescent="0.35">
      <c r="A487" s="343">
        <v>45474</v>
      </c>
      <c r="B487" s="345" t="s">
        <v>13225</v>
      </c>
      <c r="C487" s="344"/>
      <c r="D487" s="344" t="s">
        <v>12341</v>
      </c>
      <c r="E487" s="344" t="s">
        <v>12341</v>
      </c>
      <c r="F487" s="344"/>
      <c r="G487" s="344"/>
      <c r="H487" s="344"/>
      <c r="I487" s="344"/>
      <c r="J487" s="344"/>
      <c r="K487" s="344" t="s">
        <v>13234</v>
      </c>
      <c r="L487" s="344" t="s">
        <v>13235</v>
      </c>
      <c r="M487" s="344" t="s">
        <v>13213</v>
      </c>
      <c r="N487" s="344" t="s">
        <v>12339</v>
      </c>
      <c r="O487" s="348"/>
      <c r="P487" s="348"/>
      <c r="Q487" s="348"/>
      <c r="R487" s="348"/>
      <c r="S487" s="348"/>
      <c r="T487" s="348"/>
      <c r="U487" s="348"/>
      <c r="V487" s="348"/>
      <c r="W487" s="348"/>
      <c r="X487" s="348"/>
      <c r="Y487" s="348"/>
      <c r="Z487" s="348"/>
    </row>
    <row r="488" spans="1:26" s="64" customFormat="1" ht="47.25" customHeight="1" thickBot="1" x14ac:dyDescent="0.35">
      <c r="A488" s="343">
        <v>45475</v>
      </c>
      <c r="B488" s="345" t="s">
        <v>13236</v>
      </c>
      <c r="C488" s="344"/>
      <c r="D488" s="344" t="s">
        <v>12341</v>
      </c>
      <c r="E488" s="344" t="s">
        <v>12341</v>
      </c>
      <c r="F488" s="344"/>
      <c r="G488" s="344"/>
      <c r="H488" s="344"/>
      <c r="I488" s="344"/>
      <c r="J488" s="344"/>
      <c r="K488" s="344" t="s">
        <v>13237</v>
      </c>
      <c r="L488" s="344" t="s">
        <v>13238</v>
      </c>
      <c r="M488" s="344" t="s">
        <v>13213</v>
      </c>
      <c r="N488" s="344" t="s">
        <v>12339</v>
      </c>
      <c r="O488" s="348"/>
      <c r="P488" s="348"/>
      <c r="Q488" s="348"/>
      <c r="R488" s="348"/>
      <c r="S488" s="348"/>
      <c r="T488" s="348"/>
      <c r="U488" s="348"/>
      <c r="V488" s="348"/>
      <c r="W488" s="348"/>
      <c r="X488" s="348"/>
      <c r="Y488" s="348"/>
      <c r="Z488" s="348"/>
    </row>
    <row r="489" spans="1:26" s="64" customFormat="1" ht="47.25" customHeight="1" thickBot="1" x14ac:dyDescent="0.35">
      <c r="A489" s="343">
        <v>45475</v>
      </c>
      <c r="B489" s="345" t="s">
        <v>13239</v>
      </c>
      <c r="C489" s="344"/>
      <c r="D489" s="344" t="s">
        <v>12341</v>
      </c>
      <c r="E489" s="344" t="s">
        <v>12341</v>
      </c>
      <c r="F489" s="344"/>
      <c r="G489" s="344"/>
      <c r="H489" s="344"/>
      <c r="I489" s="344"/>
      <c r="J489" s="344"/>
      <c r="K489" s="344" t="s">
        <v>13240</v>
      </c>
      <c r="L489" s="344" t="s">
        <v>13241</v>
      </c>
      <c r="M489" s="344" t="s">
        <v>13213</v>
      </c>
      <c r="N489" s="344" t="s">
        <v>12339</v>
      </c>
      <c r="O489" s="348"/>
      <c r="P489" s="348"/>
      <c r="Q489" s="348"/>
      <c r="R489" s="348"/>
      <c r="S489" s="348"/>
      <c r="T489" s="348"/>
      <c r="U489" s="348"/>
      <c r="V489" s="348"/>
      <c r="W489" s="348"/>
      <c r="X489" s="348"/>
      <c r="Y489" s="348"/>
      <c r="Z489" s="348"/>
    </row>
    <row r="490" spans="1:26" s="64" customFormat="1" ht="47.25" customHeight="1" thickBot="1" x14ac:dyDescent="0.35">
      <c r="A490" s="343">
        <v>45475</v>
      </c>
      <c r="B490" s="345" t="s">
        <v>13242</v>
      </c>
      <c r="C490" s="344"/>
      <c r="D490" s="344" t="s">
        <v>12341</v>
      </c>
      <c r="E490" s="344" t="s">
        <v>12341</v>
      </c>
      <c r="F490" s="344"/>
      <c r="G490" s="344"/>
      <c r="H490" s="344"/>
      <c r="I490" s="344"/>
      <c r="J490" s="344"/>
      <c r="K490" s="344" t="s">
        <v>13243</v>
      </c>
      <c r="L490" s="344" t="s">
        <v>13244</v>
      </c>
      <c r="M490" s="344" t="s">
        <v>13213</v>
      </c>
      <c r="N490" s="344" t="s">
        <v>12339</v>
      </c>
      <c r="O490" s="348"/>
      <c r="P490" s="348"/>
      <c r="Q490" s="348"/>
      <c r="R490" s="348"/>
      <c r="S490" s="348"/>
      <c r="T490" s="348"/>
      <c r="U490" s="348"/>
      <c r="V490" s="348"/>
      <c r="W490" s="348"/>
      <c r="X490" s="348"/>
      <c r="Y490" s="348"/>
      <c r="Z490" s="348"/>
    </row>
    <row r="491" spans="1:26" s="64" customFormat="1" ht="47.25" customHeight="1" thickBot="1" x14ac:dyDescent="0.35">
      <c r="A491" s="343">
        <v>45475</v>
      </c>
      <c r="B491" s="345" t="s">
        <v>13245</v>
      </c>
      <c r="C491" s="344"/>
      <c r="D491" s="344" t="s">
        <v>12341</v>
      </c>
      <c r="E491" s="344" t="s">
        <v>12341</v>
      </c>
      <c r="F491" s="344"/>
      <c r="G491" s="344"/>
      <c r="H491" s="344"/>
      <c r="I491" s="344"/>
      <c r="J491" s="344"/>
      <c r="K491" s="344" t="s">
        <v>13246</v>
      </c>
      <c r="L491" s="344" t="s">
        <v>13247</v>
      </c>
      <c r="M491" s="344" t="s">
        <v>13213</v>
      </c>
      <c r="N491" s="344" t="s">
        <v>12339</v>
      </c>
      <c r="O491" s="348"/>
      <c r="P491" s="348"/>
      <c r="Q491" s="348"/>
      <c r="R491" s="348"/>
      <c r="S491" s="348"/>
      <c r="T491" s="348"/>
      <c r="U491" s="348"/>
      <c r="V491" s="348"/>
      <c r="W491" s="348"/>
      <c r="X491" s="348"/>
      <c r="Y491" s="348"/>
      <c r="Z491" s="348"/>
    </row>
    <row r="492" spans="1:26" s="64" customFormat="1" ht="47.25" customHeight="1" thickBot="1" x14ac:dyDescent="0.35">
      <c r="A492" s="343">
        <v>45475</v>
      </c>
      <c r="B492" s="345" t="s">
        <v>13245</v>
      </c>
      <c r="C492" s="344"/>
      <c r="D492" s="344" t="s">
        <v>12341</v>
      </c>
      <c r="E492" s="344" t="s">
        <v>12341</v>
      </c>
      <c r="F492" s="344"/>
      <c r="G492" s="344"/>
      <c r="H492" s="344"/>
      <c r="I492" s="344"/>
      <c r="J492" s="344"/>
      <c r="K492" s="344"/>
      <c r="L492" s="344" t="s">
        <v>13248</v>
      </c>
      <c r="M492" s="344" t="s">
        <v>13213</v>
      </c>
      <c r="N492" s="344" t="s">
        <v>12339</v>
      </c>
      <c r="O492" s="348"/>
      <c r="P492" s="348"/>
      <c r="Q492" s="348"/>
      <c r="R492" s="348"/>
      <c r="S492" s="348"/>
      <c r="T492" s="348"/>
      <c r="U492" s="348"/>
      <c r="V492" s="348"/>
      <c r="W492" s="348"/>
      <c r="X492" s="348"/>
      <c r="Y492" s="348"/>
      <c r="Z492" s="348"/>
    </row>
    <row r="493" spans="1:26" s="64" customFormat="1" ht="47.25" customHeight="1" thickBot="1" x14ac:dyDescent="0.35">
      <c r="A493" s="343">
        <v>45475</v>
      </c>
      <c r="B493" s="345" t="s">
        <v>13249</v>
      </c>
      <c r="C493" s="344"/>
      <c r="D493" s="344" t="s">
        <v>12341</v>
      </c>
      <c r="E493" s="344" t="s">
        <v>12341</v>
      </c>
      <c r="F493" s="344"/>
      <c r="G493" s="344"/>
      <c r="H493" s="344"/>
      <c r="I493" s="344"/>
      <c r="J493" s="344"/>
      <c r="K493" s="344" t="s">
        <v>13250</v>
      </c>
      <c r="L493" s="344" t="s">
        <v>13251</v>
      </c>
      <c r="M493" s="344" t="s">
        <v>13213</v>
      </c>
      <c r="N493" s="344" t="s">
        <v>12339</v>
      </c>
      <c r="O493" s="348"/>
      <c r="P493" s="348"/>
      <c r="Q493" s="348"/>
      <c r="R493" s="348"/>
      <c r="S493" s="348"/>
      <c r="T493" s="348"/>
      <c r="U493" s="348"/>
      <c r="V493" s="348"/>
      <c r="W493" s="348"/>
      <c r="X493" s="348"/>
      <c r="Y493" s="348"/>
      <c r="Z493" s="348"/>
    </row>
    <row r="494" spans="1:26" s="64" customFormat="1" ht="47.25" customHeight="1" thickBot="1" x14ac:dyDescent="0.35">
      <c r="A494" s="343">
        <v>45475</v>
      </c>
      <c r="B494" s="345" t="s">
        <v>13249</v>
      </c>
      <c r="C494" s="344"/>
      <c r="D494" s="344" t="s">
        <v>12341</v>
      </c>
      <c r="E494" s="344" t="s">
        <v>12341</v>
      </c>
      <c r="F494" s="344"/>
      <c r="G494" s="344"/>
      <c r="H494" s="344"/>
      <c r="I494" s="344"/>
      <c r="J494" s="344"/>
      <c r="K494" s="344"/>
      <c r="L494" s="344" t="s">
        <v>13252</v>
      </c>
      <c r="M494" s="344" t="s">
        <v>13213</v>
      </c>
      <c r="N494" s="344" t="s">
        <v>12339</v>
      </c>
      <c r="O494" s="348"/>
      <c r="P494" s="348"/>
      <c r="Q494" s="348"/>
      <c r="R494" s="348"/>
      <c r="S494" s="348"/>
      <c r="T494" s="348"/>
      <c r="U494" s="348"/>
      <c r="V494" s="348"/>
      <c r="W494" s="348"/>
      <c r="X494" s="348"/>
      <c r="Y494" s="348"/>
      <c r="Z494" s="348"/>
    </row>
    <row r="495" spans="1:26" s="64" customFormat="1" ht="47.25" customHeight="1" thickBot="1" x14ac:dyDescent="0.35">
      <c r="A495" s="343">
        <v>45475</v>
      </c>
      <c r="B495" s="345" t="s">
        <v>13253</v>
      </c>
      <c r="C495" s="344"/>
      <c r="D495" s="344" t="s">
        <v>12341</v>
      </c>
      <c r="E495" s="344" t="s">
        <v>12341</v>
      </c>
      <c r="F495" s="344"/>
      <c r="G495" s="344"/>
      <c r="H495" s="344"/>
      <c r="I495" s="344"/>
      <c r="J495" s="344"/>
      <c r="K495" s="344"/>
      <c r="L495" s="344" t="s">
        <v>13254</v>
      </c>
      <c r="M495" s="344" t="s">
        <v>13213</v>
      </c>
      <c r="N495" s="344" t="s">
        <v>12339</v>
      </c>
      <c r="O495" s="348"/>
      <c r="P495" s="348"/>
      <c r="Q495" s="348"/>
      <c r="R495" s="348"/>
      <c r="S495" s="348"/>
      <c r="T495" s="348"/>
      <c r="U495" s="348"/>
      <c r="V495" s="348"/>
      <c r="W495" s="348"/>
      <c r="X495" s="348"/>
      <c r="Y495" s="348"/>
      <c r="Z495" s="348"/>
    </row>
    <row r="496" spans="1:26" s="64" customFormat="1" ht="47.25" customHeight="1" thickBot="1" x14ac:dyDescent="0.35">
      <c r="A496" s="343">
        <v>45475</v>
      </c>
      <c r="B496" s="345" t="s">
        <v>13253</v>
      </c>
      <c r="C496" s="344"/>
      <c r="D496" s="344" t="s">
        <v>12341</v>
      </c>
      <c r="E496" s="344" t="s">
        <v>12341</v>
      </c>
      <c r="F496" s="344"/>
      <c r="G496" s="344"/>
      <c r="H496" s="344"/>
      <c r="I496" s="344"/>
      <c r="J496" s="344"/>
      <c r="K496" s="344" t="s">
        <v>13255</v>
      </c>
      <c r="L496" s="344" t="s">
        <v>13256</v>
      </c>
      <c r="M496" s="344" t="s">
        <v>13213</v>
      </c>
      <c r="N496" s="344" t="s">
        <v>12339</v>
      </c>
      <c r="O496" s="348"/>
      <c r="P496" s="348"/>
      <c r="Q496" s="348"/>
      <c r="R496" s="348"/>
      <c r="S496" s="348"/>
      <c r="T496" s="348"/>
      <c r="U496" s="348"/>
      <c r="V496" s="348"/>
      <c r="W496" s="348"/>
      <c r="X496" s="348"/>
      <c r="Y496" s="348"/>
      <c r="Z496" s="348"/>
    </row>
    <row r="497" spans="1:26" s="64" customFormat="1" ht="47.25" customHeight="1" thickBot="1" x14ac:dyDescent="0.35">
      <c r="A497" s="343">
        <v>45475</v>
      </c>
      <c r="B497" s="345" t="s">
        <v>13257</v>
      </c>
      <c r="C497" s="344"/>
      <c r="D497" s="344" t="s">
        <v>12341</v>
      </c>
      <c r="E497" s="344" t="s">
        <v>12341</v>
      </c>
      <c r="F497" s="344"/>
      <c r="G497" s="344"/>
      <c r="H497" s="344"/>
      <c r="I497" s="344"/>
      <c r="J497" s="344"/>
      <c r="K497" s="344" t="s">
        <v>13258</v>
      </c>
      <c r="L497" s="344" t="s">
        <v>13259</v>
      </c>
      <c r="M497" s="344" t="s">
        <v>13213</v>
      </c>
      <c r="N497" s="344" t="s">
        <v>12339</v>
      </c>
      <c r="O497" s="348"/>
      <c r="P497" s="348"/>
      <c r="Q497" s="348"/>
      <c r="R497" s="348"/>
      <c r="S497" s="348"/>
      <c r="T497" s="348"/>
      <c r="U497" s="348"/>
      <c r="V497" s="348"/>
      <c r="W497" s="348"/>
      <c r="X497" s="348"/>
      <c r="Y497" s="348"/>
      <c r="Z497" s="348"/>
    </row>
    <row r="498" spans="1:26" s="64" customFormat="1" ht="47.25" customHeight="1" thickBot="1" x14ac:dyDescent="0.35">
      <c r="A498" s="343">
        <v>45475</v>
      </c>
      <c r="B498" s="345" t="s">
        <v>13260</v>
      </c>
      <c r="C498" s="344"/>
      <c r="D498" s="344" t="s">
        <v>12341</v>
      </c>
      <c r="E498" s="344" t="s">
        <v>12341</v>
      </c>
      <c r="F498" s="344"/>
      <c r="G498" s="344"/>
      <c r="H498" s="344"/>
      <c r="I498" s="344"/>
      <c r="J498" s="344"/>
      <c r="K498" s="344" t="s">
        <v>13261</v>
      </c>
      <c r="L498" s="344" t="s">
        <v>13262</v>
      </c>
      <c r="M498" s="344" t="s">
        <v>13213</v>
      </c>
      <c r="N498" s="344" t="s">
        <v>12339</v>
      </c>
      <c r="O498" s="348"/>
      <c r="P498" s="348"/>
      <c r="Q498" s="348"/>
      <c r="R498" s="348"/>
      <c r="S498" s="348"/>
      <c r="T498" s="348"/>
      <c r="U498" s="348"/>
      <c r="V498" s="348"/>
      <c r="W498" s="348"/>
      <c r="X498" s="348"/>
      <c r="Y498" s="348"/>
      <c r="Z498" s="348"/>
    </row>
    <row r="499" spans="1:26" s="64" customFormat="1" ht="47.25" customHeight="1" thickBot="1" x14ac:dyDescent="0.35">
      <c r="A499" s="343">
        <v>45475</v>
      </c>
      <c r="B499" s="345" t="s">
        <v>13236</v>
      </c>
      <c r="C499" s="344"/>
      <c r="D499" s="344" t="s">
        <v>12341</v>
      </c>
      <c r="E499" s="344" t="s">
        <v>12341</v>
      </c>
      <c r="F499" s="344"/>
      <c r="G499" s="344"/>
      <c r="H499" s="344"/>
      <c r="I499" s="344"/>
      <c r="J499" s="344"/>
      <c r="K499" s="344"/>
      <c r="L499" s="344" t="s">
        <v>13263</v>
      </c>
      <c r="M499" s="344" t="s">
        <v>13213</v>
      </c>
      <c r="N499" s="344" t="s">
        <v>12339</v>
      </c>
      <c r="O499" s="348"/>
      <c r="P499" s="348"/>
      <c r="Q499" s="348"/>
      <c r="R499" s="348"/>
      <c r="S499" s="348"/>
      <c r="T499" s="348"/>
      <c r="U499" s="348"/>
      <c r="V499" s="348"/>
      <c r="W499" s="348"/>
      <c r="X499" s="348"/>
      <c r="Y499" s="348"/>
      <c r="Z499" s="348"/>
    </row>
    <row r="500" spans="1:26" s="64" customFormat="1" ht="47.25" customHeight="1" thickBot="1" x14ac:dyDescent="0.35">
      <c r="A500" s="343">
        <v>45476</v>
      </c>
      <c r="B500" s="345" t="s">
        <v>13264</v>
      </c>
      <c r="C500" s="344"/>
      <c r="D500" s="344" t="s">
        <v>12341</v>
      </c>
      <c r="E500" s="344" t="s">
        <v>12341</v>
      </c>
      <c r="F500" s="344"/>
      <c r="G500" s="344"/>
      <c r="H500" s="344"/>
      <c r="I500" s="344"/>
      <c r="J500" s="344"/>
      <c r="K500" s="344" t="s">
        <v>13265</v>
      </c>
      <c r="L500" s="344" t="s">
        <v>13266</v>
      </c>
      <c r="M500" s="344" t="s">
        <v>13213</v>
      </c>
      <c r="N500" s="344" t="s">
        <v>12339</v>
      </c>
      <c r="O500" s="348"/>
      <c r="P500" s="348"/>
      <c r="Q500" s="348"/>
      <c r="R500" s="348"/>
      <c r="S500" s="348"/>
      <c r="T500" s="348"/>
      <c r="U500" s="348"/>
      <c r="V500" s="348"/>
      <c r="W500" s="348"/>
      <c r="X500" s="348"/>
      <c r="Y500" s="348"/>
      <c r="Z500" s="348"/>
    </row>
    <row r="501" spans="1:26" s="64" customFormat="1" ht="47.25" customHeight="1" thickBot="1" x14ac:dyDescent="0.35">
      <c r="A501" s="343">
        <v>45476</v>
      </c>
      <c r="B501" s="345" t="s">
        <v>13264</v>
      </c>
      <c r="C501" s="344"/>
      <c r="D501" s="344" t="s">
        <v>12341</v>
      </c>
      <c r="E501" s="344" t="s">
        <v>12341</v>
      </c>
      <c r="F501" s="344"/>
      <c r="G501" s="344"/>
      <c r="H501" s="344"/>
      <c r="I501" s="344"/>
      <c r="J501" s="344"/>
      <c r="K501" s="344"/>
      <c r="L501" s="344" t="s">
        <v>13267</v>
      </c>
      <c r="M501" s="344" t="s">
        <v>13213</v>
      </c>
      <c r="N501" s="344" t="s">
        <v>12339</v>
      </c>
      <c r="O501" s="348"/>
      <c r="P501" s="348"/>
      <c r="Q501" s="348"/>
      <c r="R501" s="348"/>
      <c r="S501" s="348"/>
      <c r="T501" s="348"/>
      <c r="U501" s="348"/>
      <c r="V501" s="348"/>
      <c r="W501" s="348"/>
      <c r="X501" s="348"/>
      <c r="Y501" s="348"/>
      <c r="Z501" s="348"/>
    </row>
    <row r="502" spans="1:26" s="64" customFormat="1" ht="47.25" customHeight="1" thickBot="1" x14ac:dyDescent="0.35">
      <c r="A502" s="343">
        <v>45476</v>
      </c>
      <c r="B502" s="345" t="s">
        <v>13268</v>
      </c>
      <c r="C502" s="344"/>
      <c r="D502" s="344" t="s">
        <v>12341</v>
      </c>
      <c r="E502" s="344" t="s">
        <v>12341</v>
      </c>
      <c r="F502" s="344"/>
      <c r="G502" s="344"/>
      <c r="H502" s="344"/>
      <c r="I502" s="344"/>
      <c r="J502" s="344"/>
      <c r="K502" s="344" t="s">
        <v>13269</v>
      </c>
      <c r="L502" s="344" t="s">
        <v>13270</v>
      </c>
      <c r="M502" s="344" t="s">
        <v>13213</v>
      </c>
      <c r="N502" s="344" t="s">
        <v>12339</v>
      </c>
      <c r="O502" s="348"/>
      <c r="P502" s="348"/>
      <c r="Q502" s="348"/>
      <c r="R502" s="348"/>
      <c r="S502" s="348"/>
      <c r="T502" s="348"/>
      <c r="U502" s="348"/>
      <c r="V502" s="348"/>
      <c r="W502" s="348"/>
      <c r="X502" s="348"/>
      <c r="Y502" s="348"/>
      <c r="Z502" s="348"/>
    </row>
    <row r="503" spans="1:26" s="64" customFormat="1" ht="47.25" customHeight="1" thickBot="1" x14ac:dyDescent="0.35">
      <c r="A503" s="343">
        <v>45476</v>
      </c>
      <c r="B503" s="345" t="s">
        <v>13268</v>
      </c>
      <c r="C503" s="344"/>
      <c r="D503" s="344" t="s">
        <v>12341</v>
      </c>
      <c r="E503" s="344" t="s">
        <v>12341</v>
      </c>
      <c r="F503" s="344"/>
      <c r="G503" s="344"/>
      <c r="H503" s="344"/>
      <c r="I503" s="344"/>
      <c r="J503" s="344"/>
      <c r="K503" s="344"/>
      <c r="L503" s="344" t="s">
        <v>13271</v>
      </c>
      <c r="M503" s="344" t="s">
        <v>13213</v>
      </c>
      <c r="N503" s="344" t="s">
        <v>12339</v>
      </c>
      <c r="O503" s="348"/>
      <c r="P503" s="348"/>
      <c r="Q503" s="348"/>
      <c r="R503" s="348"/>
      <c r="S503" s="348"/>
      <c r="T503" s="348"/>
      <c r="U503" s="348"/>
      <c r="V503" s="348"/>
      <c r="W503" s="348"/>
      <c r="X503" s="348"/>
      <c r="Y503" s="348"/>
      <c r="Z503" s="348"/>
    </row>
    <row r="504" spans="1:26" s="64" customFormat="1" ht="47.25" customHeight="1" thickBot="1" x14ac:dyDescent="0.35">
      <c r="A504" s="343">
        <v>45476</v>
      </c>
      <c r="B504" s="345" t="s">
        <v>13272</v>
      </c>
      <c r="C504" s="344"/>
      <c r="D504" s="344" t="s">
        <v>12341</v>
      </c>
      <c r="E504" s="344" t="s">
        <v>12341</v>
      </c>
      <c r="F504" s="344"/>
      <c r="G504" s="344"/>
      <c r="H504" s="344"/>
      <c r="I504" s="344"/>
      <c r="J504" s="344"/>
      <c r="K504" s="344"/>
      <c r="L504" s="344" t="s">
        <v>13273</v>
      </c>
      <c r="M504" s="344" t="s">
        <v>13213</v>
      </c>
      <c r="N504" s="344" t="s">
        <v>12339</v>
      </c>
      <c r="O504" s="348"/>
      <c r="P504" s="348"/>
      <c r="Q504" s="348"/>
      <c r="R504" s="348"/>
      <c r="S504" s="348"/>
      <c r="T504" s="348"/>
      <c r="U504" s="348"/>
      <c r="V504" s="348"/>
      <c r="W504" s="348"/>
      <c r="X504" s="348"/>
      <c r="Y504" s="348"/>
      <c r="Z504" s="348"/>
    </row>
    <row r="505" spans="1:26" s="64" customFormat="1" ht="47.25" customHeight="1" thickBot="1" x14ac:dyDescent="0.35">
      <c r="A505" s="343">
        <v>45476</v>
      </c>
      <c r="B505" s="345" t="s">
        <v>13272</v>
      </c>
      <c r="C505" s="344"/>
      <c r="D505" s="344" t="s">
        <v>12341</v>
      </c>
      <c r="E505" s="344" t="s">
        <v>12341</v>
      </c>
      <c r="F505" s="344"/>
      <c r="G505" s="344"/>
      <c r="H505" s="344"/>
      <c r="I505" s="344"/>
      <c r="J505" s="344"/>
      <c r="K505" s="344" t="s">
        <v>13274</v>
      </c>
      <c r="L505" s="344" t="s">
        <v>13275</v>
      </c>
      <c r="M505" s="344" t="s">
        <v>13213</v>
      </c>
      <c r="N505" s="344" t="s">
        <v>12339</v>
      </c>
      <c r="O505" s="348"/>
      <c r="P505" s="348"/>
      <c r="Q505" s="348"/>
      <c r="R505" s="348"/>
      <c r="S505" s="348"/>
      <c r="T505" s="348"/>
      <c r="U505" s="348"/>
      <c r="V505" s="348"/>
      <c r="W505" s="348"/>
      <c r="X505" s="348"/>
      <c r="Y505" s="348"/>
      <c r="Z505" s="348"/>
    </row>
    <row r="506" spans="1:26" s="64" customFormat="1" ht="47.25" customHeight="1" thickBot="1" x14ac:dyDescent="0.35">
      <c r="A506" s="343">
        <v>45476</v>
      </c>
      <c r="B506" s="345" t="s">
        <v>13276</v>
      </c>
      <c r="C506" s="344"/>
      <c r="D506" s="344" t="s">
        <v>12341</v>
      </c>
      <c r="E506" s="344" t="s">
        <v>12341</v>
      </c>
      <c r="F506" s="344"/>
      <c r="G506" s="344"/>
      <c r="H506" s="344"/>
      <c r="I506" s="344"/>
      <c r="J506" s="344"/>
      <c r="K506" s="344"/>
      <c r="L506" s="344" t="s">
        <v>13277</v>
      </c>
      <c r="M506" s="344" t="s">
        <v>13213</v>
      </c>
      <c r="N506" s="344" t="s">
        <v>12339</v>
      </c>
      <c r="O506" s="348"/>
      <c r="P506" s="348"/>
      <c r="Q506" s="348"/>
      <c r="R506" s="348"/>
      <c r="S506" s="348"/>
      <c r="T506" s="348"/>
      <c r="U506" s="348"/>
      <c r="V506" s="348"/>
      <c r="W506" s="348"/>
      <c r="X506" s="348"/>
      <c r="Y506" s="348"/>
      <c r="Z506" s="348"/>
    </row>
    <row r="507" spans="1:26" s="64" customFormat="1" ht="47.25" customHeight="1" thickBot="1" x14ac:dyDescent="0.35">
      <c r="A507" s="343">
        <v>45476</v>
      </c>
      <c r="B507" s="345" t="s">
        <v>13278</v>
      </c>
      <c r="C507" s="344"/>
      <c r="D507" s="344" t="s">
        <v>12341</v>
      </c>
      <c r="E507" s="344" t="s">
        <v>12341</v>
      </c>
      <c r="F507" s="344"/>
      <c r="G507" s="344"/>
      <c r="H507" s="344"/>
      <c r="I507" s="344"/>
      <c r="J507" s="344"/>
      <c r="K507" s="344"/>
      <c r="L507" s="344" t="s">
        <v>13279</v>
      </c>
      <c r="M507" s="344" t="s">
        <v>13213</v>
      </c>
      <c r="N507" s="344" t="s">
        <v>12339</v>
      </c>
      <c r="O507" s="348"/>
      <c r="P507" s="348"/>
      <c r="Q507" s="348"/>
      <c r="R507" s="348"/>
      <c r="S507" s="348"/>
      <c r="T507" s="348"/>
      <c r="U507" s="348"/>
      <c r="V507" s="348"/>
      <c r="W507" s="348"/>
      <c r="X507" s="348"/>
      <c r="Y507" s="348"/>
      <c r="Z507" s="348"/>
    </row>
    <row r="508" spans="1:26" s="64" customFormat="1" ht="47.25" customHeight="1" thickBot="1" x14ac:dyDescent="0.35">
      <c r="A508" s="343">
        <v>45476</v>
      </c>
      <c r="B508" s="345" t="s">
        <v>13276</v>
      </c>
      <c r="C508" s="344"/>
      <c r="D508" s="344" t="s">
        <v>12341</v>
      </c>
      <c r="E508" s="344" t="s">
        <v>12341</v>
      </c>
      <c r="F508" s="344"/>
      <c r="G508" s="344"/>
      <c r="H508" s="344"/>
      <c r="I508" s="344"/>
      <c r="J508" s="344"/>
      <c r="K508" s="344" t="s">
        <v>13280</v>
      </c>
      <c r="L508" s="344" t="s">
        <v>13281</v>
      </c>
      <c r="M508" s="344" t="s">
        <v>13213</v>
      </c>
      <c r="N508" s="344" t="s">
        <v>12339</v>
      </c>
      <c r="O508" s="348"/>
      <c r="P508" s="348"/>
      <c r="Q508" s="348"/>
      <c r="R508" s="348"/>
      <c r="S508" s="348"/>
      <c r="T508" s="348"/>
      <c r="U508" s="348"/>
      <c r="V508" s="348"/>
      <c r="W508" s="348"/>
      <c r="X508" s="348"/>
      <c r="Y508" s="348"/>
      <c r="Z508" s="348"/>
    </row>
    <row r="509" spans="1:26" s="64" customFormat="1" ht="47.25" customHeight="1" thickBot="1" x14ac:dyDescent="0.35">
      <c r="A509" s="343">
        <v>45476</v>
      </c>
      <c r="B509" s="345" t="s">
        <v>13282</v>
      </c>
      <c r="C509" s="344"/>
      <c r="D509" s="344" t="s">
        <v>12341</v>
      </c>
      <c r="E509" s="344" t="s">
        <v>12341</v>
      </c>
      <c r="F509" s="344"/>
      <c r="G509" s="344"/>
      <c r="H509" s="344"/>
      <c r="I509" s="344"/>
      <c r="J509" s="344"/>
      <c r="K509" s="344" t="s">
        <v>13283</v>
      </c>
      <c r="L509" s="344" t="s">
        <v>13071</v>
      </c>
      <c r="M509" s="344" t="s">
        <v>13213</v>
      </c>
      <c r="N509" s="344" t="s">
        <v>12339</v>
      </c>
      <c r="O509" s="348"/>
      <c r="P509" s="348"/>
      <c r="Q509" s="348"/>
      <c r="R509" s="348"/>
      <c r="S509" s="348"/>
      <c r="T509" s="348"/>
      <c r="U509" s="348"/>
      <c r="V509" s="348"/>
      <c r="W509" s="348"/>
      <c r="X509" s="348"/>
      <c r="Y509" s="348"/>
      <c r="Z509" s="348"/>
    </row>
    <row r="510" spans="1:26" s="64" customFormat="1" ht="47.25" customHeight="1" thickBot="1" x14ac:dyDescent="0.35">
      <c r="A510" s="343">
        <v>45476</v>
      </c>
      <c r="B510" s="345" t="s">
        <v>13278</v>
      </c>
      <c r="C510" s="344"/>
      <c r="D510" s="344" t="s">
        <v>12341</v>
      </c>
      <c r="E510" s="344" t="s">
        <v>12341</v>
      </c>
      <c r="F510" s="344"/>
      <c r="G510" s="344"/>
      <c r="H510" s="344"/>
      <c r="I510" s="344"/>
      <c r="J510" s="344"/>
      <c r="K510" s="344" t="s">
        <v>13284</v>
      </c>
      <c r="L510" s="344" t="s">
        <v>13285</v>
      </c>
      <c r="M510" s="344" t="s">
        <v>13213</v>
      </c>
      <c r="N510" s="344" t="s">
        <v>12339</v>
      </c>
      <c r="O510" s="348"/>
      <c r="P510" s="348"/>
      <c r="Q510" s="348"/>
      <c r="R510" s="348"/>
      <c r="S510" s="348"/>
      <c r="T510" s="348"/>
      <c r="U510" s="348"/>
      <c r="V510" s="348"/>
      <c r="W510" s="348"/>
      <c r="X510" s="348"/>
      <c r="Y510" s="348"/>
      <c r="Z510" s="348"/>
    </row>
    <row r="511" spans="1:26" s="64" customFormat="1" ht="47.25" customHeight="1" thickBot="1" x14ac:dyDescent="0.35">
      <c r="A511" s="343">
        <v>45477</v>
      </c>
      <c r="B511" s="345" t="s">
        <v>12398</v>
      </c>
      <c r="C511" s="344"/>
      <c r="D511" s="344" t="s">
        <v>12341</v>
      </c>
      <c r="E511" s="344" t="s">
        <v>12341</v>
      </c>
      <c r="F511" s="344"/>
      <c r="G511" s="344"/>
      <c r="H511" s="344"/>
      <c r="I511" s="344"/>
      <c r="J511" s="344"/>
      <c r="K511" s="344" t="s">
        <v>13286</v>
      </c>
      <c r="L511" s="344" t="s">
        <v>13287</v>
      </c>
      <c r="M511" s="344" t="s">
        <v>13213</v>
      </c>
      <c r="N511" s="344" t="s">
        <v>12339</v>
      </c>
      <c r="O511" s="348"/>
      <c r="P511" s="348"/>
      <c r="Q511" s="348"/>
      <c r="R511" s="348"/>
      <c r="S511" s="348"/>
      <c r="T511" s="348"/>
      <c r="U511" s="348"/>
      <c r="V511" s="348"/>
      <c r="W511" s="348"/>
      <c r="X511" s="348"/>
      <c r="Y511" s="348"/>
      <c r="Z511" s="348"/>
    </row>
    <row r="512" spans="1:26" s="64" customFormat="1" ht="47.25" customHeight="1" thickBot="1" x14ac:dyDescent="0.35">
      <c r="A512" s="343">
        <v>45477</v>
      </c>
      <c r="B512" s="345" t="s">
        <v>13288</v>
      </c>
      <c r="C512" s="344"/>
      <c r="D512" s="344" t="s">
        <v>12341</v>
      </c>
      <c r="E512" s="344" t="s">
        <v>12341</v>
      </c>
      <c r="F512" s="344"/>
      <c r="G512" s="344"/>
      <c r="H512" s="344"/>
      <c r="I512" s="344"/>
      <c r="J512" s="344"/>
      <c r="K512" s="344" t="s">
        <v>13289</v>
      </c>
      <c r="L512" s="344" t="s">
        <v>12341</v>
      </c>
      <c r="M512" s="344" t="s">
        <v>13213</v>
      </c>
      <c r="N512" s="344" t="s">
        <v>12339</v>
      </c>
      <c r="O512" s="348"/>
      <c r="P512" s="348"/>
      <c r="Q512" s="348"/>
      <c r="R512" s="348"/>
      <c r="S512" s="348"/>
      <c r="T512" s="348"/>
      <c r="U512" s="348"/>
      <c r="V512" s="348"/>
      <c r="W512" s="348"/>
      <c r="X512" s="348"/>
      <c r="Y512" s="348"/>
      <c r="Z512" s="348"/>
    </row>
    <row r="513" spans="1:26" s="64" customFormat="1" ht="47.25" customHeight="1" thickBot="1" x14ac:dyDescent="0.35">
      <c r="A513" s="343">
        <v>45477</v>
      </c>
      <c r="B513" s="345" t="s">
        <v>13290</v>
      </c>
      <c r="C513" s="344"/>
      <c r="D513" s="344" t="s">
        <v>12341</v>
      </c>
      <c r="E513" s="344" t="s">
        <v>12341</v>
      </c>
      <c r="F513" s="344"/>
      <c r="G513" s="344"/>
      <c r="H513" s="344"/>
      <c r="I513" s="344"/>
      <c r="J513" s="344"/>
      <c r="K513" s="344" t="s">
        <v>13291</v>
      </c>
      <c r="L513" s="344" t="s">
        <v>13292</v>
      </c>
      <c r="M513" s="344" t="s">
        <v>13213</v>
      </c>
      <c r="N513" s="344" t="s">
        <v>12339</v>
      </c>
      <c r="O513" s="348"/>
      <c r="P513" s="348"/>
      <c r="Q513" s="348"/>
      <c r="R513" s="348"/>
      <c r="S513" s="348"/>
      <c r="T513" s="348"/>
      <c r="U513" s="348"/>
      <c r="V513" s="348"/>
      <c r="W513" s="348"/>
      <c r="X513" s="348"/>
      <c r="Y513" s="348"/>
      <c r="Z513" s="348"/>
    </row>
    <row r="514" spans="1:26" s="64" customFormat="1" ht="47.25" customHeight="1" thickBot="1" x14ac:dyDescent="0.35">
      <c r="A514" s="343">
        <v>45477</v>
      </c>
      <c r="B514" s="345" t="s">
        <v>13293</v>
      </c>
      <c r="C514" s="344"/>
      <c r="D514" s="344" t="s">
        <v>12341</v>
      </c>
      <c r="E514" s="344" t="s">
        <v>12341</v>
      </c>
      <c r="F514" s="344"/>
      <c r="G514" s="344"/>
      <c r="H514" s="344"/>
      <c r="I514" s="344"/>
      <c r="J514" s="344"/>
      <c r="K514" s="344" t="s">
        <v>13294</v>
      </c>
      <c r="L514" s="344" t="s">
        <v>13295</v>
      </c>
      <c r="M514" s="344" t="s">
        <v>13213</v>
      </c>
      <c r="N514" s="344" t="s">
        <v>12339</v>
      </c>
      <c r="O514" s="348"/>
      <c r="P514" s="348"/>
      <c r="Q514" s="348"/>
      <c r="R514" s="348"/>
      <c r="S514" s="348"/>
      <c r="T514" s="348"/>
      <c r="U514" s="348"/>
      <c r="V514" s="348"/>
      <c r="W514" s="348"/>
      <c r="X514" s="348"/>
      <c r="Y514" s="348"/>
      <c r="Z514" s="348"/>
    </row>
    <row r="515" spans="1:26" s="64" customFormat="1" ht="47.25" customHeight="1" thickBot="1" x14ac:dyDescent="0.35">
      <c r="A515" s="343">
        <v>45477</v>
      </c>
      <c r="B515" s="345" t="s">
        <v>13296</v>
      </c>
      <c r="C515" s="344"/>
      <c r="D515" s="344" t="s">
        <v>12341</v>
      </c>
      <c r="E515" s="344" t="s">
        <v>12341</v>
      </c>
      <c r="F515" s="344"/>
      <c r="G515" s="344"/>
      <c r="H515" s="344"/>
      <c r="I515" s="344"/>
      <c r="J515" s="344"/>
      <c r="K515" s="344" t="s">
        <v>13297</v>
      </c>
      <c r="L515" s="344" t="s">
        <v>13298</v>
      </c>
      <c r="M515" s="344" t="s">
        <v>13213</v>
      </c>
      <c r="N515" s="344" t="s">
        <v>12339</v>
      </c>
      <c r="O515" s="348"/>
      <c r="P515" s="348"/>
      <c r="Q515" s="348"/>
      <c r="R515" s="348"/>
      <c r="S515" s="348"/>
      <c r="T515" s="348"/>
      <c r="U515" s="348"/>
      <c r="V515" s="348"/>
      <c r="W515" s="348"/>
      <c r="X515" s="348"/>
      <c r="Y515" s="348"/>
      <c r="Z515" s="348"/>
    </row>
    <row r="516" spans="1:26" s="64" customFormat="1" ht="47.25" customHeight="1" thickBot="1" x14ac:dyDescent="0.35">
      <c r="A516" s="343">
        <v>45477</v>
      </c>
      <c r="B516" s="345" t="s">
        <v>12390</v>
      </c>
      <c r="C516" s="344"/>
      <c r="D516" s="344" t="s">
        <v>12341</v>
      </c>
      <c r="E516" s="344" t="s">
        <v>12341</v>
      </c>
      <c r="F516" s="344"/>
      <c r="G516" s="344"/>
      <c r="H516" s="344"/>
      <c r="I516" s="344"/>
      <c r="J516" s="344"/>
      <c r="K516" s="344" t="s">
        <v>13299</v>
      </c>
      <c r="L516" s="344" t="s">
        <v>13300</v>
      </c>
      <c r="M516" s="344" t="s">
        <v>13213</v>
      </c>
      <c r="N516" s="344" t="s">
        <v>12339</v>
      </c>
      <c r="O516" s="348"/>
      <c r="P516" s="348"/>
      <c r="Q516" s="348"/>
      <c r="R516" s="348"/>
      <c r="S516" s="348"/>
      <c r="T516" s="348"/>
      <c r="U516" s="348"/>
      <c r="V516" s="348"/>
      <c r="W516" s="348"/>
      <c r="X516" s="348"/>
      <c r="Y516" s="348"/>
      <c r="Z516" s="348"/>
    </row>
    <row r="517" spans="1:26" s="64" customFormat="1" ht="47.25" customHeight="1" thickBot="1" x14ac:dyDescent="0.35">
      <c r="A517" s="343">
        <v>45478</v>
      </c>
      <c r="B517" s="345" t="s">
        <v>13301</v>
      </c>
      <c r="C517" s="344"/>
      <c r="D517" s="344" t="s">
        <v>12341</v>
      </c>
      <c r="E517" s="344" t="s">
        <v>12341</v>
      </c>
      <c r="F517" s="344"/>
      <c r="G517" s="344"/>
      <c r="H517" s="344"/>
      <c r="I517" s="344"/>
      <c r="J517" s="344"/>
      <c r="K517" s="344" t="s">
        <v>13302</v>
      </c>
      <c r="L517" s="344" t="s">
        <v>13303</v>
      </c>
      <c r="M517" s="344" t="s">
        <v>13213</v>
      </c>
      <c r="N517" s="344" t="s">
        <v>12339</v>
      </c>
      <c r="O517" s="348"/>
      <c r="P517" s="348"/>
      <c r="Q517" s="348"/>
      <c r="R517" s="348"/>
      <c r="S517" s="348"/>
      <c r="T517" s="348"/>
      <c r="U517" s="348"/>
      <c r="V517" s="348"/>
      <c r="W517" s="348"/>
      <c r="X517" s="348"/>
      <c r="Y517" s="348"/>
      <c r="Z517" s="348"/>
    </row>
    <row r="518" spans="1:26" s="64" customFormat="1" ht="47.25" customHeight="1" thickBot="1" x14ac:dyDescent="0.35">
      <c r="A518" s="343">
        <v>45478</v>
      </c>
      <c r="B518" s="345" t="s">
        <v>13304</v>
      </c>
      <c r="C518" s="344"/>
      <c r="D518" s="344" t="s">
        <v>12341</v>
      </c>
      <c r="E518" s="344" t="s">
        <v>12341</v>
      </c>
      <c r="F518" s="344"/>
      <c r="G518" s="344"/>
      <c r="H518" s="344"/>
      <c r="I518" s="344"/>
      <c r="J518" s="344"/>
      <c r="K518" s="344" t="s">
        <v>13305</v>
      </c>
      <c r="L518" s="344" t="s">
        <v>12341</v>
      </c>
      <c r="M518" s="344" t="s">
        <v>13213</v>
      </c>
      <c r="N518" s="344" t="s">
        <v>12339</v>
      </c>
      <c r="O518" s="348"/>
      <c r="P518" s="348"/>
      <c r="Q518" s="348"/>
      <c r="R518" s="348"/>
      <c r="S518" s="348"/>
      <c r="T518" s="348"/>
      <c r="U518" s="348"/>
      <c r="V518" s="348"/>
      <c r="W518" s="348"/>
      <c r="X518" s="348"/>
      <c r="Y518" s="348"/>
      <c r="Z518" s="348"/>
    </row>
    <row r="519" spans="1:26" s="64" customFormat="1" ht="47.25" customHeight="1" thickBot="1" x14ac:dyDescent="0.35">
      <c r="A519" s="343">
        <v>45478</v>
      </c>
      <c r="B519" s="345" t="s">
        <v>13306</v>
      </c>
      <c r="C519" s="344"/>
      <c r="D519" s="344" t="s">
        <v>12341</v>
      </c>
      <c r="E519" s="344" t="s">
        <v>12341</v>
      </c>
      <c r="F519" s="344"/>
      <c r="G519" s="344"/>
      <c r="H519" s="344"/>
      <c r="I519" s="344"/>
      <c r="J519" s="344"/>
      <c r="K519" s="344" t="s">
        <v>13307</v>
      </c>
      <c r="L519" s="344" t="s">
        <v>12341</v>
      </c>
      <c r="M519" s="344" t="s">
        <v>13213</v>
      </c>
      <c r="N519" s="344" t="s">
        <v>12339</v>
      </c>
      <c r="O519" s="348"/>
      <c r="P519" s="348"/>
      <c r="Q519" s="348"/>
      <c r="R519" s="348"/>
      <c r="S519" s="348"/>
      <c r="T519" s="348"/>
      <c r="U519" s="348"/>
      <c r="V519" s="348"/>
      <c r="W519" s="348"/>
      <c r="X519" s="348"/>
      <c r="Y519" s="348"/>
      <c r="Z519" s="348"/>
    </row>
    <row r="520" spans="1:26" s="64" customFormat="1" ht="47.25" customHeight="1" thickBot="1" x14ac:dyDescent="0.35">
      <c r="A520" s="343">
        <v>45478</v>
      </c>
      <c r="B520" s="345" t="s">
        <v>13308</v>
      </c>
      <c r="C520" s="344"/>
      <c r="D520" s="344" t="s">
        <v>12341</v>
      </c>
      <c r="E520" s="344" t="s">
        <v>12341</v>
      </c>
      <c r="F520" s="344"/>
      <c r="G520" s="344"/>
      <c r="H520" s="344"/>
      <c r="I520" s="344"/>
      <c r="J520" s="344"/>
      <c r="K520" s="344" t="s">
        <v>13309</v>
      </c>
      <c r="L520" s="344" t="s">
        <v>12341</v>
      </c>
      <c r="M520" s="344" t="s">
        <v>13213</v>
      </c>
      <c r="N520" s="344" t="s">
        <v>12339</v>
      </c>
      <c r="O520" s="348"/>
      <c r="P520" s="348"/>
      <c r="Q520" s="348"/>
      <c r="R520" s="348"/>
      <c r="S520" s="348"/>
      <c r="T520" s="348"/>
      <c r="U520" s="348"/>
      <c r="V520" s="348"/>
      <c r="W520" s="348"/>
      <c r="X520" s="348"/>
      <c r="Y520" s="348"/>
      <c r="Z520" s="348"/>
    </row>
    <row r="521" spans="1:26" s="64" customFormat="1" ht="47.25" customHeight="1" thickBot="1" x14ac:dyDescent="0.35">
      <c r="A521" s="343">
        <v>45478</v>
      </c>
      <c r="B521" s="345" t="s">
        <v>13310</v>
      </c>
      <c r="C521" s="344"/>
      <c r="D521" s="344" t="s">
        <v>12341</v>
      </c>
      <c r="E521" s="344" t="s">
        <v>12341</v>
      </c>
      <c r="F521" s="344"/>
      <c r="G521" s="344"/>
      <c r="H521" s="344"/>
      <c r="I521" s="344"/>
      <c r="J521" s="344"/>
      <c r="K521" s="344" t="s">
        <v>13311</v>
      </c>
      <c r="L521" s="344" t="s">
        <v>12341</v>
      </c>
      <c r="M521" s="344" t="s">
        <v>13213</v>
      </c>
      <c r="N521" s="344" t="s">
        <v>12339</v>
      </c>
      <c r="O521" s="348"/>
      <c r="P521" s="348"/>
      <c r="Q521" s="348"/>
      <c r="R521" s="348"/>
      <c r="S521" s="348"/>
      <c r="T521" s="348"/>
      <c r="U521" s="348"/>
      <c r="V521" s="348"/>
      <c r="W521" s="348"/>
      <c r="X521" s="348"/>
      <c r="Y521" s="348"/>
      <c r="Z521" s="348"/>
    </row>
    <row r="522" spans="1:26" s="64" customFormat="1" ht="47.25" customHeight="1" thickBot="1" x14ac:dyDescent="0.35">
      <c r="A522" s="343">
        <v>45478</v>
      </c>
      <c r="B522" s="345" t="s">
        <v>13312</v>
      </c>
      <c r="C522" s="344"/>
      <c r="D522" s="344" t="s">
        <v>12341</v>
      </c>
      <c r="E522" s="344" t="s">
        <v>12341</v>
      </c>
      <c r="F522" s="344"/>
      <c r="G522" s="344"/>
      <c r="H522" s="344"/>
      <c r="I522" s="344"/>
      <c r="J522" s="344"/>
      <c r="K522" s="344" t="s">
        <v>13313</v>
      </c>
      <c r="L522" s="344" t="s">
        <v>12341</v>
      </c>
      <c r="M522" s="344" t="s">
        <v>13213</v>
      </c>
      <c r="N522" s="344" t="s">
        <v>12339</v>
      </c>
      <c r="O522" s="348"/>
      <c r="P522" s="348"/>
      <c r="Q522" s="348"/>
      <c r="R522" s="348"/>
      <c r="S522" s="348"/>
      <c r="T522" s="348"/>
      <c r="U522" s="348"/>
      <c r="V522" s="348"/>
      <c r="W522" s="348"/>
      <c r="X522" s="348"/>
      <c r="Y522" s="348"/>
      <c r="Z522" s="348"/>
    </row>
    <row r="523" spans="1:26" s="64" customFormat="1" ht="47.25" customHeight="1" thickBot="1" x14ac:dyDescent="0.35">
      <c r="A523" s="343">
        <v>45478</v>
      </c>
      <c r="B523" s="345" t="s">
        <v>13314</v>
      </c>
      <c r="C523" s="344"/>
      <c r="D523" s="344" t="s">
        <v>12341</v>
      </c>
      <c r="E523" s="344" t="s">
        <v>12341</v>
      </c>
      <c r="F523" s="344"/>
      <c r="G523" s="344"/>
      <c r="H523" s="344"/>
      <c r="I523" s="344"/>
      <c r="J523" s="344"/>
      <c r="K523" s="344" t="s">
        <v>13315</v>
      </c>
      <c r="L523" s="344" t="s">
        <v>12341</v>
      </c>
      <c r="M523" s="344" t="s">
        <v>13213</v>
      </c>
      <c r="N523" s="344" t="s">
        <v>12339</v>
      </c>
      <c r="O523" s="348"/>
      <c r="P523" s="348"/>
      <c r="Q523" s="348"/>
      <c r="R523" s="348"/>
      <c r="S523" s="348"/>
      <c r="T523" s="348"/>
      <c r="U523" s="348"/>
      <c r="V523" s="348"/>
      <c r="W523" s="348"/>
      <c r="X523" s="348"/>
      <c r="Y523" s="348"/>
      <c r="Z523" s="348"/>
    </row>
    <row r="524" spans="1:26" s="64" customFormat="1" ht="47.25" customHeight="1" thickBot="1" x14ac:dyDescent="0.35">
      <c r="A524" s="343">
        <v>45478</v>
      </c>
      <c r="B524" s="345" t="s">
        <v>13316</v>
      </c>
      <c r="C524" s="344"/>
      <c r="D524" s="344" t="s">
        <v>12341</v>
      </c>
      <c r="E524" s="344" t="s">
        <v>12341</v>
      </c>
      <c r="F524" s="344"/>
      <c r="G524" s="344"/>
      <c r="H524" s="344"/>
      <c r="I524" s="344"/>
      <c r="J524" s="344"/>
      <c r="K524" s="344" t="s">
        <v>13317</v>
      </c>
      <c r="L524" s="344" t="s">
        <v>12341</v>
      </c>
      <c r="M524" s="344" t="s">
        <v>13213</v>
      </c>
      <c r="N524" s="344" t="s">
        <v>12339</v>
      </c>
      <c r="O524" s="348"/>
      <c r="P524" s="348"/>
      <c r="Q524" s="348"/>
      <c r="R524" s="348"/>
      <c r="S524" s="348"/>
      <c r="T524" s="348"/>
      <c r="U524" s="348"/>
      <c r="V524" s="348"/>
      <c r="W524" s="348"/>
      <c r="X524" s="348"/>
      <c r="Y524" s="348"/>
      <c r="Z524" s="348"/>
    </row>
    <row r="525" spans="1:26" s="64" customFormat="1" ht="47.25" customHeight="1" thickBot="1" x14ac:dyDescent="0.35">
      <c r="A525" s="343">
        <v>45479</v>
      </c>
      <c r="B525" s="345" t="s">
        <v>13318</v>
      </c>
      <c r="C525" s="344"/>
      <c r="D525" s="344" t="s">
        <v>12341</v>
      </c>
      <c r="E525" s="344" t="s">
        <v>12356</v>
      </c>
      <c r="F525" s="344" t="s">
        <v>12346</v>
      </c>
      <c r="G525" s="347">
        <v>80</v>
      </c>
      <c r="H525" s="347">
        <v>40</v>
      </c>
      <c r="I525" s="347">
        <v>40</v>
      </c>
      <c r="J525" s="344" t="s">
        <v>13319</v>
      </c>
      <c r="K525" s="344"/>
      <c r="L525" s="344" t="s">
        <v>12341</v>
      </c>
      <c r="M525" s="344" t="s">
        <v>13213</v>
      </c>
      <c r="N525" s="344" t="s">
        <v>12344</v>
      </c>
      <c r="O525" s="348"/>
      <c r="P525" s="348"/>
      <c r="Q525" s="348"/>
      <c r="R525" s="348"/>
      <c r="S525" s="348"/>
      <c r="T525" s="348"/>
      <c r="U525" s="348"/>
      <c r="V525" s="348"/>
      <c r="W525" s="348"/>
      <c r="X525" s="348"/>
      <c r="Y525" s="348"/>
      <c r="Z525" s="348"/>
    </row>
    <row r="526" spans="1:26" s="64" customFormat="1" ht="47.25" customHeight="1" thickBot="1" x14ac:dyDescent="0.35">
      <c r="A526" s="343">
        <v>45481</v>
      </c>
      <c r="B526" s="345" t="s">
        <v>13320</v>
      </c>
      <c r="C526" s="344"/>
      <c r="D526" s="344" t="s">
        <v>12341</v>
      </c>
      <c r="E526" s="344" t="s">
        <v>12341</v>
      </c>
      <c r="F526" s="344"/>
      <c r="G526" s="344"/>
      <c r="H526" s="344"/>
      <c r="I526" s="344"/>
      <c r="J526" s="344"/>
      <c r="K526" s="344" t="s">
        <v>13321</v>
      </c>
      <c r="L526" s="344" t="s">
        <v>13322</v>
      </c>
      <c r="M526" s="344" t="s">
        <v>13213</v>
      </c>
      <c r="N526" s="344" t="s">
        <v>12339</v>
      </c>
      <c r="O526" s="348"/>
      <c r="P526" s="348"/>
      <c r="Q526" s="348"/>
      <c r="R526" s="348"/>
      <c r="S526" s="348"/>
      <c r="T526" s="348"/>
      <c r="U526" s="348"/>
      <c r="V526" s="348"/>
      <c r="W526" s="348"/>
      <c r="X526" s="348"/>
      <c r="Y526" s="348"/>
      <c r="Z526" s="348"/>
    </row>
    <row r="527" spans="1:26" s="64" customFormat="1" ht="47.25" customHeight="1" thickBot="1" x14ac:dyDescent="0.35">
      <c r="A527" s="343">
        <v>45481</v>
      </c>
      <c r="B527" s="345" t="s">
        <v>13323</v>
      </c>
      <c r="C527" s="344"/>
      <c r="D527" s="344" t="s">
        <v>12341</v>
      </c>
      <c r="E527" s="344" t="s">
        <v>12341</v>
      </c>
      <c r="F527" s="344"/>
      <c r="G527" s="344"/>
      <c r="H527" s="344"/>
      <c r="I527" s="344"/>
      <c r="J527" s="344"/>
      <c r="K527" s="344" t="s">
        <v>13324</v>
      </c>
      <c r="L527" s="344" t="s">
        <v>13325</v>
      </c>
      <c r="M527" s="344" t="s">
        <v>13213</v>
      </c>
      <c r="N527" s="344" t="s">
        <v>12339</v>
      </c>
      <c r="O527" s="348"/>
      <c r="P527" s="348"/>
      <c r="Q527" s="348"/>
      <c r="R527" s="348"/>
      <c r="S527" s="348"/>
      <c r="T527" s="348"/>
      <c r="U527" s="348"/>
      <c r="V527" s="348"/>
      <c r="W527" s="348"/>
      <c r="X527" s="348"/>
      <c r="Y527" s="348"/>
      <c r="Z527" s="348"/>
    </row>
    <row r="528" spans="1:26" s="64" customFormat="1" ht="47.25" customHeight="1" thickBot="1" x14ac:dyDescent="0.35">
      <c r="A528" s="343">
        <v>45481</v>
      </c>
      <c r="B528" s="345" t="s">
        <v>13326</v>
      </c>
      <c r="C528" s="344"/>
      <c r="D528" s="344" t="s">
        <v>12341</v>
      </c>
      <c r="E528" s="344" t="s">
        <v>12341</v>
      </c>
      <c r="F528" s="344"/>
      <c r="G528" s="344"/>
      <c r="H528" s="344"/>
      <c r="I528" s="344"/>
      <c r="J528" s="344"/>
      <c r="K528" s="344"/>
      <c r="L528" s="344" t="s">
        <v>13327</v>
      </c>
      <c r="M528" s="344" t="s">
        <v>13213</v>
      </c>
      <c r="N528" s="344" t="s">
        <v>12339</v>
      </c>
      <c r="O528" s="348"/>
      <c r="P528" s="348"/>
      <c r="Q528" s="348"/>
      <c r="R528" s="348"/>
      <c r="S528" s="348"/>
      <c r="T528" s="348"/>
      <c r="U528" s="348"/>
      <c r="V528" s="348"/>
      <c r="W528" s="348"/>
      <c r="X528" s="348"/>
      <c r="Y528" s="348"/>
      <c r="Z528" s="348"/>
    </row>
    <row r="529" spans="1:26" s="64" customFormat="1" ht="47.25" customHeight="1" thickBot="1" x14ac:dyDescent="0.35">
      <c r="A529" s="343">
        <v>45481</v>
      </c>
      <c r="B529" s="345" t="s">
        <v>13326</v>
      </c>
      <c r="C529" s="344"/>
      <c r="D529" s="344" t="s">
        <v>12341</v>
      </c>
      <c r="E529" s="344" t="s">
        <v>12341</v>
      </c>
      <c r="F529" s="344"/>
      <c r="G529" s="344"/>
      <c r="H529" s="344"/>
      <c r="I529" s="344"/>
      <c r="J529" s="344"/>
      <c r="K529" s="344" t="s">
        <v>13328</v>
      </c>
      <c r="L529" s="344" t="s">
        <v>13329</v>
      </c>
      <c r="M529" s="344" t="s">
        <v>13213</v>
      </c>
      <c r="N529" s="344" t="s">
        <v>12339</v>
      </c>
      <c r="O529" s="348"/>
      <c r="P529" s="348"/>
      <c r="Q529" s="348"/>
      <c r="R529" s="348"/>
      <c r="S529" s="348"/>
      <c r="T529" s="348"/>
      <c r="U529" s="348"/>
      <c r="V529" s="348"/>
      <c r="W529" s="348"/>
      <c r="X529" s="348"/>
      <c r="Y529" s="348"/>
      <c r="Z529" s="348"/>
    </row>
    <row r="530" spans="1:26" s="64" customFormat="1" ht="47.25" customHeight="1" thickBot="1" x14ac:dyDescent="0.35">
      <c r="A530" s="343">
        <v>45481</v>
      </c>
      <c r="B530" s="345" t="s">
        <v>13330</v>
      </c>
      <c r="C530" s="344"/>
      <c r="D530" s="344" t="s">
        <v>12341</v>
      </c>
      <c r="E530" s="344" t="s">
        <v>12341</v>
      </c>
      <c r="F530" s="344"/>
      <c r="G530" s="344"/>
      <c r="H530" s="344"/>
      <c r="I530" s="344"/>
      <c r="J530" s="344"/>
      <c r="K530" s="344" t="s">
        <v>13331</v>
      </c>
      <c r="L530" s="344" t="s">
        <v>12341</v>
      </c>
      <c r="M530" s="344" t="s">
        <v>13213</v>
      </c>
      <c r="N530" s="344" t="s">
        <v>12339</v>
      </c>
      <c r="O530" s="348"/>
      <c r="P530" s="348"/>
      <c r="Q530" s="348"/>
      <c r="R530" s="348"/>
      <c r="S530" s="348"/>
      <c r="T530" s="348"/>
      <c r="U530" s="348"/>
      <c r="V530" s="348"/>
      <c r="W530" s="348"/>
      <c r="X530" s="348"/>
      <c r="Y530" s="348"/>
      <c r="Z530" s="348"/>
    </row>
    <row r="531" spans="1:26" s="64" customFormat="1" ht="47.25" customHeight="1" thickBot="1" x14ac:dyDescent="0.35">
      <c r="A531" s="343">
        <v>45481</v>
      </c>
      <c r="B531" s="345" t="s">
        <v>13332</v>
      </c>
      <c r="C531" s="344"/>
      <c r="D531" s="344" t="s">
        <v>12341</v>
      </c>
      <c r="E531" s="344" t="s">
        <v>12341</v>
      </c>
      <c r="F531" s="344"/>
      <c r="G531" s="344"/>
      <c r="H531" s="344"/>
      <c r="I531" s="344"/>
      <c r="J531" s="344"/>
      <c r="K531" s="344" t="s">
        <v>13333</v>
      </c>
      <c r="L531" s="344" t="s">
        <v>13334</v>
      </c>
      <c r="M531" s="344" t="s">
        <v>13213</v>
      </c>
      <c r="N531" s="344" t="s">
        <v>12339</v>
      </c>
      <c r="O531" s="348"/>
      <c r="P531" s="348"/>
      <c r="Q531" s="348"/>
      <c r="R531" s="348"/>
      <c r="S531" s="348"/>
      <c r="T531" s="348"/>
      <c r="U531" s="348"/>
      <c r="V531" s="348"/>
      <c r="W531" s="348"/>
      <c r="X531" s="348"/>
      <c r="Y531" s="348"/>
      <c r="Z531" s="348"/>
    </row>
    <row r="532" spans="1:26" s="64" customFormat="1" ht="47.25" customHeight="1" thickBot="1" x14ac:dyDescent="0.35">
      <c r="A532" s="343">
        <v>45481</v>
      </c>
      <c r="B532" s="345" t="s">
        <v>13335</v>
      </c>
      <c r="C532" s="344"/>
      <c r="D532" s="344" t="s">
        <v>12341</v>
      </c>
      <c r="E532" s="344" t="s">
        <v>12341</v>
      </c>
      <c r="F532" s="344"/>
      <c r="G532" s="344"/>
      <c r="H532" s="344"/>
      <c r="I532" s="344"/>
      <c r="J532" s="344"/>
      <c r="K532" s="344" t="s">
        <v>13336</v>
      </c>
      <c r="L532" s="344" t="s">
        <v>13337</v>
      </c>
      <c r="M532" s="344" t="s">
        <v>13213</v>
      </c>
      <c r="N532" s="344" t="s">
        <v>12339</v>
      </c>
      <c r="O532" s="348"/>
      <c r="P532" s="348"/>
      <c r="Q532" s="348"/>
      <c r="R532" s="348"/>
      <c r="S532" s="348"/>
      <c r="T532" s="348"/>
      <c r="U532" s="348"/>
      <c r="V532" s="348"/>
      <c r="W532" s="348"/>
      <c r="X532" s="348"/>
      <c r="Y532" s="348"/>
      <c r="Z532" s="348"/>
    </row>
    <row r="533" spans="1:26" s="64" customFormat="1" ht="47.25" customHeight="1" thickBot="1" x14ac:dyDescent="0.35">
      <c r="A533" s="343">
        <v>45482</v>
      </c>
      <c r="B533" s="345" t="s">
        <v>12344</v>
      </c>
      <c r="C533" s="344"/>
      <c r="D533" s="344" t="s">
        <v>12341</v>
      </c>
      <c r="E533" s="344" t="s">
        <v>12341</v>
      </c>
      <c r="F533" s="344"/>
      <c r="G533" s="344"/>
      <c r="H533" s="344"/>
      <c r="I533" s="344"/>
      <c r="J533" s="344"/>
      <c r="K533" s="344" t="s">
        <v>13338</v>
      </c>
      <c r="L533" s="344" t="s">
        <v>13339</v>
      </c>
      <c r="M533" s="344" t="s">
        <v>13213</v>
      </c>
      <c r="N533" s="344" t="s">
        <v>12339</v>
      </c>
      <c r="O533" s="348"/>
      <c r="P533" s="348"/>
      <c r="Q533" s="348"/>
      <c r="R533" s="348"/>
      <c r="S533" s="348"/>
      <c r="T533" s="348"/>
      <c r="U533" s="348"/>
      <c r="V533" s="348"/>
      <c r="W533" s="348"/>
      <c r="X533" s="348"/>
      <c r="Y533" s="348"/>
      <c r="Z533" s="348"/>
    </row>
    <row r="534" spans="1:26" s="64" customFormat="1" ht="47.25" customHeight="1" thickBot="1" x14ac:dyDescent="0.35">
      <c r="A534" s="343">
        <v>45483</v>
      </c>
      <c r="B534" s="345" t="s">
        <v>13340</v>
      </c>
      <c r="C534" s="344"/>
      <c r="D534" s="344" t="s">
        <v>12341</v>
      </c>
      <c r="E534" s="344" t="s">
        <v>12341</v>
      </c>
      <c r="F534" s="344"/>
      <c r="G534" s="344"/>
      <c r="H534" s="344"/>
      <c r="I534" s="344"/>
      <c r="J534" s="344"/>
      <c r="K534" s="344" t="s">
        <v>13341</v>
      </c>
      <c r="L534" s="344" t="s">
        <v>13342</v>
      </c>
      <c r="M534" s="344" t="s">
        <v>13213</v>
      </c>
      <c r="N534" s="344" t="s">
        <v>12339</v>
      </c>
      <c r="O534" s="348"/>
      <c r="P534" s="348"/>
      <c r="Q534" s="348"/>
      <c r="R534" s="348"/>
      <c r="S534" s="348"/>
      <c r="T534" s="348"/>
      <c r="U534" s="348"/>
      <c r="V534" s="348"/>
      <c r="W534" s="348"/>
      <c r="X534" s="348"/>
      <c r="Y534" s="348"/>
      <c r="Z534" s="348"/>
    </row>
    <row r="535" spans="1:26" s="64" customFormat="1" ht="47.25" customHeight="1" thickBot="1" x14ac:dyDescent="0.35">
      <c r="A535" s="343">
        <v>45483</v>
      </c>
      <c r="B535" s="345" t="s">
        <v>13343</v>
      </c>
      <c r="C535" s="344"/>
      <c r="D535" s="344" t="s">
        <v>12341</v>
      </c>
      <c r="E535" s="344" t="s">
        <v>12341</v>
      </c>
      <c r="F535" s="344"/>
      <c r="G535" s="344"/>
      <c r="H535" s="344"/>
      <c r="I535" s="344"/>
      <c r="J535" s="344"/>
      <c r="K535" s="344" t="s">
        <v>13344</v>
      </c>
      <c r="L535" s="344" t="s">
        <v>13345</v>
      </c>
      <c r="M535" s="344" t="s">
        <v>13213</v>
      </c>
      <c r="N535" s="344" t="s">
        <v>12339</v>
      </c>
      <c r="O535" s="348"/>
      <c r="P535" s="348"/>
      <c r="Q535" s="348"/>
      <c r="R535" s="348"/>
      <c r="S535" s="348"/>
      <c r="T535" s="348"/>
      <c r="U535" s="348"/>
      <c r="V535" s="348"/>
      <c r="W535" s="348"/>
      <c r="X535" s="348"/>
      <c r="Y535" s="348"/>
      <c r="Z535" s="348"/>
    </row>
    <row r="536" spans="1:26" s="64" customFormat="1" ht="47.25" customHeight="1" thickBot="1" x14ac:dyDescent="0.35">
      <c r="A536" s="343">
        <v>45483</v>
      </c>
      <c r="B536" s="345" t="s">
        <v>13346</v>
      </c>
      <c r="C536" s="344"/>
      <c r="D536" s="344" t="s">
        <v>12341</v>
      </c>
      <c r="E536" s="344" t="s">
        <v>12341</v>
      </c>
      <c r="F536" s="344"/>
      <c r="G536" s="344"/>
      <c r="H536" s="344"/>
      <c r="I536" s="344"/>
      <c r="J536" s="344"/>
      <c r="K536" s="344" t="s">
        <v>13347</v>
      </c>
      <c r="L536" s="344" t="s">
        <v>13348</v>
      </c>
      <c r="M536" s="344" t="s">
        <v>13213</v>
      </c>
      <c r="N536" s="344" t="s">
        <v>12339</v>
      </c>
      <c r="O536" s="348"/>
      <c r="P536" s="348"/>
      <c r="Q536" s="348"/>
      <c r="R536" s="348"/>
      <c r="S536" s="348"/>
      <c r="T536" s="348"/>
      <c r="U536" s="348"/>
      <c r="V536" s="348"/>
      <c r="W536" s="348"/>
      <c r="X536" s="348"/>
      <c r="Y536" s="348"/>
      <c r="Z536" s="348"/>
    </row>
    <row r="537" spans="1:26" s="64" customFormat="1" ht="47.25" customHeight="1" thickBot="1" x14ac:dyDescent="0.35">
      <c r="A537" s="343">
        <v>45483</v>
      </c>
      <c r="B537" s="345" t="s">
        <v>13349</v>
      </c>
      <c r="C537" s="344"/>
      <c r="D537" s="344" t="s">
        <v>12341</v>
      </c>
      <c r="E537" s="344" t="s">
        <v>12341</v>
      </c>
      <c r="F537" s="344"/>
      <c r="G537" s="344"/>
      <c r="H537" s="344"/>
      <c r="I537" s="344"/>
      <c r="J537" s="344"/>
      <c r="K537" s="344" t="s">
        <v>13350</v>
      </c>
      <c r="L537" s="344" t="s">
        <v>13351</v>
      </c>
      <c r="M537" s="344" t="s">
        <v>13213</v>
      </c>
      <c r="N537" s="344" t="s">
        <v>12339</v>
      </c>
      <c r="O537" s="348"/>
      <c r="P537" s="348"/>
      <c r="Q537" s="348"/>
      <c r="R537" s="348"/>
      <c r="S537" s="348"/>
      <c r="T537" s="348"/>
      <c r="U537" s="348"/>
      <c r="V537" s="348"/>
      <c r="W537" s="348"/>
      <c r="X537" s="348"/>
      <c r="Y537" s="348"/>
      <c r="Z537" s="348"/>
    </row>
    <row r="538" spans="1:26" s="64" customFormat="1" ht="47.25" customHeight="1" thickBot="1" x14ac:dyDescent="0.35">
      <c r="A538" s="343">
        <v>45483</v>
      </c>
      <c r="B538" s="345" t="s">
        <v>13349</v>
      </c>
      <c r="C538" s="344"/>
      <c r="D538" s="344" t="s">
        <v>12341</v>
      </c>
      <c r="E538" s="344" t="s">
        <v>12341</v>
      </c>
      <c r="F538" s="344"/>
      <c r="G538" s="344"/>
      <c r="H538" s="344"/>
      <c r="I538" s="344"/>
      <c r="J538" s="344"/>
      <c r="K538" s="344"/>
      <c r="L538" s="344" t="s">
        <v>13352</v>
      </c>
      <c r="M538" s="344" t="s">
        <v>13213</v>
      </c>
      <c r="N538" s="344" t="s">
        <v>12339</v>
      </c>
      <c r="O538" s="348"/>
      <c r="P538" s="348"/>
      <c r="Q538" s="348"/>
      <c r="R538" s="348"/>
      <c r="S538" s="348"/>
      <c r="T538" s="348"/>
      <c r="U538" s="348"/>
      <c r="V538" s="348"/>
      <c r="W538" s="348"/>
      <c r="X538" s="348"/>
      <c r="Y538" s="348"/>
      <c r="Z538" s="348"/>
    </row>
    <row r="539" spans="1:26" s="64" customFormat="1" ht="47.25" customHeight="1" thickBot="1" x14ac:dyDescent="0.35">
      <c r="A539" s="343">
        <v>45483</v>
      </c>
      <c r="B539" s="345" t="s">
        <v>13353</v>
      </c>
      <c r="C539" s="344"/>
      <c r="D539" s="344" t="s">
        <v>12341</v>
      </c>
      <c r="E539" s="344" t="s">
        <v>12341</v>
      </c>
      <c r="F539" s="344"/>
      <c r="G539" s="344"/>
      <c r="H539" s="344"/>
      <c r="I539" s="344"/>
      <c r="J539" s="344"/>
      <c r="K539" s="344" t="s">
        <v>13354</v>
      </c>
      <c r="L539" s="344" t="s">
        <v>13355</v>
      </c>
      <c r="M539" s="344" t="s">
        <v>13213</v>
      </c>
      <c r="N539" s="344" t="s">
        <v>12339</v>
      </c>
      <c r="O539" s="348"/>
      <c r="P539" s="348"/>
      <c r="Q539" s="348"/>
      <c r="R539" s="348"/>
      <c r="S539" s="348"/>
      <c r="T539" s="348"/>
      <c r="U539" s="348"/>
      <c r="V539" s="348"/>
      <c r="W539" s="348"/>
      <c r="X539" s="348"/>
      <c r="Y539" s="348"/>
      <c r="Z539" s="348"/>
    </row>
    <row r="540" spans="1:26" s="64" customFormat="1" ht="47.25" customHeight="1" thickBot="1" x14ac:dyDescent="0.35">
      <c r="A540" s="343">
        <v>45483</v>
      </c>
      <c r="B540" s="345" t="s">
        <v>13340</v>
      </c>
      <c r="C540" s="344"/>
      <c r="D540" s="344" t="s">
        <v>12341</v>
      </c>
      <c r="E540" s="344" t="s">
        <v>12341</v>
      </c>
      <c r="F540" s="344"/>
      <c r="G540" s="344"/>
      <c r="H540" s="344"/>
      <c r="I540" s="344"/>
      <c r="J540" s="344"/>
      <c r="K540" s="344"/>
      <c r="L540" s="344" t="s">
        <v>13292</v>
      </c>
      <c r="M540" s="344" t="s">
        <v>13213</v>
      </c>
      <c r="N540" s="344" t="s">
        <v>12339</v>
      </c>
      <c r="O540" s="348"/>
      <c r="P540" s="348"/>
      <c r="Q540" s="348"/>
      <c r="R540" s="348"/>
      <c r="S540" s="348"/>
      <c r="T540" s="348"/>
      <c r="U540" s="348"/>
      <c r="V540" s="348"/>
      <c r="W540" s="348"/>
      <c r="X540" s="348"/>
      <c r="Y540" s="348"/>
      <c r="Z540" s="348"/>
    </row>
    <row r="541" spans="1:26" s="64" customFormat="1" ht="47.25" customHeight="1" thickBot="1" x14ac:dyDescent="0.35">
      <c r="A541" s="343">
        <v>45483</v>
      </c>
      <c r="B541" s="345" t="s">
        <v>13356</v>
      </c>
      <c r="C541" s="344"/>
      <c r="D541" s="344" t="s">
        <v>12341</v>
      </c>
      <c r="E541" s="344" t="s">
        <v>12341</v>
      </c>
      <c r="F541" s="344"/>
      <c r="G541" s="344"/>
      <c r="H541" s="344"/>
      <c r="I541" s="344"/>
      <c r="J541" s="344"/>
      <c r="K541" s="344"/>
      <c r="L541" s="344" t="s">
        <v>12341</v>
      </c>
      <c r="M541" s="344" t="s">
        <v>13213</v>
      </c>
      <c r="N541" s="344" t="s">
        <v>12339</v>
      </c>
      <c r="O541" s="348"/>
      <c r="P541" s="348"/>
      <c r="Q541" s="348"/>
      <c r="R541" s="348"/>
      <c r="S541" s="348"/>
      <c r="T541" s="348"/>
      <c r="U541" s="348"/>
      <c r="V541" s="348"/>
      <c r="W541" s="348"/>
      <c r="X541" s="348"/>
      <c r="Y541" s="348"/>
      <c r="Z541" s="348"/>
    </row>
    <row r="542" spans="1:26" s="64" customFormat="1" ht="47.25" customHeight="1" thickBot="1" x14ac:dyDescent="0.35">
      <c r="A542" s="343">
        <v>45483</v>
      </c>
      <c r="B542" s="345" t="s">
        <v>13357</v>
      </c>
      <c r="C542" s="344"/>
      <c r="D542" s="344" t="s">
        <v>12341</v>
      </c>
      <c r="E542" s="344" t="s">
        <v>12341</v>
      </c>
      <c r="F542" s="344"/>
      <c r="G542" s="344"/>
      <c r="H542" s="344"/>
      <c r="I542" s="344"/>
      <c r="J542" s="344"/>
      <c r="K542" s="344"/>
      <c r="L542" s="344" t="s">
        <v>13358</v>
      </c>
      <c r="M542" s="344" t="s">
        <v>13213</v>
      </c>
      <c r="N542" s="344" t="s">
        <v>12339</v>
      </c>
      <c r="O542" s="348"/>
      <c r="P542" s="348"/>
      <c r="Q542" s="348"/>
      <c r="R542" s="348"/>
      <c r="S542" s="348"/>
      <c r="T542" s="348"/>
      <c r="U542" s="348"/>
      <c r="V542" s="348"/>
      <c r="W542" s="348"/>
      <c r="X542" s="348"/>
      <c r="Y542" s="348"/>
      <c r="Z542" s="348"/>
    </row>
    <row r="543" spans="1:26" s="64" customFormat="1" ht="47.25" customHeight="1" thickBot="1" x14ac:dyDescent="0.35">
      <c r="A543" s="343">
        <v>45483</v>
      </c>
      <c r="B543" s="345" t="s">
        <v>13359</v>
      </c>
      <c r="C543" s="344"/>
      <c r="D543" s="344" t="s">
        <v>12341</v>
      </c>
      <c r="E543" s="344" t="s">
        <v>12341</v>
      </c>
      <c r="F543" s="344"/>
      <c r="G543" s="344"/>
      <c r="H543" s="344"/>
      <c r="I543" s="344"/>
      <c r="J543" s="344"/>
      <c r="K543" s="344" t="s">
        <v>13360</v>
      </c>
      <c r="L543" s="344" t="s">
        <v>13361</v>
      </c>
      <c r="M543" s="344" t="s">
        <v>13213</v>
      </c>
      <c r="N543" s="344" t="s">
        <v>12339</v>
      </c>
      <c r="O543" s="348"/>
      <c r="P543" s="348"/>
      <c r="Q543" s="348"/>
      <c r="R543" s="348"/>
      <c r="S543" s="348"/>
      <c r="T543" s="348"/>
      <c r="U543" s="348"/>
      <c r="V543" s="348"/>
      <c r="W543" s="348"/>
      <c r="X543" s="348"/>
      <c r="Y543" s="348"/>
      <c r="Z543" s="348"/>
    </row>
    <row r="544" spans="1:26" s="64" customFormat="1" ht="47.25" customHeight="1" thickBot="1" x14ac:dyDescent="0.35">
      <c r="A544" s="343">
        <v>45483</v>
      </c>
      <c r="B544" s="345" t="s">
        <v>13357</v>
      </c>
      <c r="C544" s="344"/>
      <c r="D544" s="344" t="s">
        <v>12341</v>
      </c>
      <c r="E544" s="344" t="s">
        <v>12341</v>
      </c>
      <c r="F544" s="344"/>
      <c r="G544" s="344"/>
      <c r="H544" s="344"/>
      <c r="I544" s="344"/>
      <c r="J544" s="344"/>
      <c r="K544" s="344" t="s">
        <v>13362</v>
      </c>
      <c r="L544" s="344" t="s">
        <v>13363</v>
      </c>
      <c r="M544" s="344" t="s">
        <v>13213</v>
      </c>
      <c r="N544" s="344" t="s">
        <v>12339</v>
      </c>
      <c r="O544" s="348"/>
      <c r="P544" s="348"/>
      <c r="Q544" s="348"/>
      <c r="R544" s="348"/>
      <c r="S544" s="348"/>
      <c r="T544" s="348"/>
      <c r="U544" s="348"/>
      <c r="V544" s="348"/>
      <c r="W544" s="348"/>
      <c r="X544" s="348"/>
      <c r="Y544" s="348"/>
      <c r="Z544" s="348"/>
    </row>
    <row r="545" spans="1:26" s="64" customFormat="1" ht="47.25" customHeight="1" thickBot="1" x14ac:dyDescent="0.35">
      <c r="A545" s="343">
        <v>45483</v>
      </c>
      <c r="B545" s="345" t="s">
        <v>13364</v>
      </c>
      <c r="C545" s="344"/>
      <c r="D545" s="344" t="s">
        <v>12341</v>
      </c>
      <c r="E545" s="344" t="s">
        <v>12341</v>
      </c>
      <c r="F545" s="344"/>
      <c r="G545" s="344"/>
      <c r="H545" s="344"/>
      <c r="I545" s="344"/>
      <c r="J545" s="344"/>
      <c r="K545" s="344"/>
      <c r="L545" s="344" t="s">
        <v>12341</v>
      </c>
      <c r="M545" s="344" t="s">
        <v>13213</v>
      </c>
      <c r="N545" s="344" t="s">
        <v>12339</v>
      </c>
      <c r="O545" s="348"/>
      <c r="P545" s="348"/>
      <c r="Q545" s="348"/>
      <c r="R545" s="348"/>
      <c r="S545" s="348"/>
      <c r="T545" s="348"/>
      <c r="U545" s="348"/>
      <c r="V545" s="348"/>
      <c r="W545" s="348"/>
      <c r="X545" s="348"/>
      <c r="Y545" s="348"/>
      <c r="Z545" s="348"/>
    </row>
    <row r="546" spans="1:26" s="64" customFormat="1" ht="47.25" customHeight="1" thickBot="1" x14ac:dyDescent="0.35">
      <c r="A546" s="343">
        <v>45484</v>
      </c>
      <c r="B546" s="345" t="s">
        <v>13365</v>
      </c>
      <c r="C546" s="344"/>
      <c r="D546" s="344" t="s">
        <v>12341</v>
      </c>
      <c r="E546" s="344" t="s">
        <v>12341</v>
      </c>
      <c r="F546" s="344"/>
      <c r="G546" s="344"/>
      <c r="H546" s="344"/>
      <c r="I546" s="344"/>
      <c r="J546" s="344"/>
      <c r="K546" s="344"/>
      <c r="L546" s="344" t="s">
        <v>12341</v>
      </c>
      <c r="M546" s="344" t="s">
        <v>13213</v>
      </c>
      <c r="N546" s="344" t="s">
        <v>12339</v>
      </c>
      <c r="O546" s="348"/>
      <c r="P546" s="348"/>
      <c r="Q546" s="348"/>
      <c r="R546" s="348"/>
      <c r="S546" s="348"/>
      <c r="T546" s="348"/>
      <c r="U546" s="348"/>
      <c r="V546" s="348"/>
      <c r="W546" s="348"/>
      <c r="X546" s="348"/>
      <c r="Y546" s="348"/>
      <c r="Z546" s="348"/>
    </row>
    <row r="547" spans="1:26" s="64" customFormat="1" ht="47.25" customHeight="1" thickBot="1" x14ac:dyDescent="0.35">
      <c r="A547" s="343">
        <v>45484</v>
      </c>
      <c r="B547" s="345" t="s">
        <v>13366</v>
      </c>
      <c r="C547" s="344"/>
      <c r="D547" s="344" t="s">
        <v>12341</v>
      </c>
      <c r="E547" s="344" t="s">
        <v>12341</v>
      </c>
      <c r="F547" s="344"/>
      <c r="G547" s="344"/>
      <c r="H547" s="344"/>
      <c r="I547" s="344"/>
      <c r="J547" s="344"/>
      <c r="K547" s="344" t="s">
        <v>13367</v>
      </c>
      <c r="L547" s="344" t="s">
        <v>13100</v>
      </c>
      <c r="M547" s="344" t="s">
        <v>13213</v>
      </c>
      <c r="N547" s="344" t="s">
        <v>12339</v>
      </c>
      <c r="O547" s="348"/>
      <c r="P547" s="348"/>
      <c r="Q547" s="348"/>
      <c r="R547" s="348"/>
      <c r="S547" s="348"/>
      <c r="T547" s="348"/>
      <c r="U547" s="348"/>
      <c r="V547" s="348"/>
      <c r="W547" s="348"/>
      <c r="X547" s="348"/>
      <c r="Y547" s="348"/>
      <c r="Z547" s="348"/>
    </row>
    <row r="548" spans="1:26" s="64" customFormat="1" ht="47.25" customHeight="1" thickBot="1" x14ac:dyDescent="0.35">
      <c r="A548" s="343">
        <v>45484</v>
      </c>
      <c r="B548" s="345" t="s">
        <v>13365</v>
      </c>
      <c r="C548" s="344"/>
      <c r="D548" s="344" t="s">
        <v>12341</v>
      </c>
      <c r="E548" s="344" t="s">
        <v>12341</v>
      </c>
      <c r="F548" s="344"/>
      <c r="G548" s="344"/>
      <c r="H548" s="344"/>
      <c r="I548" s="344"/>
      <c r="J548" s="344"/>
      <c r="K548" s="344" t="s">
        <v>13368</v>
      </c>
      <c r="L548" s="344" t="s">
        <v>12341</v>
      </c>
      <c r="M548" s="344" t="s">
        <v>13213</v>
      </c>
      <c r="N548" s="344" t="s">
        <v>12339</v>
      </c>
      <c r="O548" s="348"/>
      <c r="P548" s="348"/>
      <c r="Q548" s="348"/>
      <c r="R548" s="348"/>
      <c r="S548" s="348"/>
      <c r="T548" s="348"/>
      <c r="U548" s="348"/>
      <c r="V548" s="348"/>
      <c r="W548" s="348"/>
      <c r="X548" s="348"/>
      <c r="Y548" s="348"/>
      <c r="Z548" s="348"/>
    </row>
    <row r="549" spans="1:26" s="64" customFormat="1" ht="47.25" customHeight="1" thickBot="1" x14ac:dyDescent="0.35">
      <c r="A549" s="343">
        <v>45484</v>
      </c>
      <c r="B549" s="345" t="s">
        <v>13369</v>
      </c>
      <c r="C549" s="344"/>
      <c r="D549" s="344" t="s">
        <v>12341</v>
      </c>
      <c r="E549" s="344" t="s">
        <v>12341</v>
      </c>
      <c r="F549" s="344"/>
      <c r="G549" s="344"/>
      <c r="H549" s="344"/>
      <c r="I549" s="344"/>
      <c r="J549" s="344"/>
      <c r="K549" s="344" t="s">
        <v>13370</v>
      </c>
      <c r="L549" s="344" t="s">
        <v>13371</v>
      </c>
      <c r="M549" s="344" t="s">
        <v>13213</v>
      </c>
      <c r="N549" s="344" t="s">
        <v>12339</v>
      </c>
      <c r="O549" s="348"/>
      <c r="P549" s="348"/>
      <c r="Q549" s="348"/>
      <c r="R549" s="348"/>
      <c r="S549" s="348"/>
      <c r="T549" s="348"/>
      <c r="U549" s="348"/>
      <c r="V549" s="348"/>
      <c r="W549" s="348"/>
      <c r="X549" s="348"/>
      <c r="Y549" s="348"/>
      <c r="Z549" s="348"/>
    </row>
    <row r="550" spans="1:26" s="64" customFormat="1" ht="47.25" customHeight="1" thickBot="1" x14ac:dyDescent="0.35">
      <c r="A550" s="343">
        <v>45484</v>
      </c>
      <c r="B550" s="345" t="s">
        <v>13369</v>
      </c>
      <c r="C550" s="344"/>
      <c r="D550" s="344" t="s">
        <v>12341</v>
      </c>
      <c r="E550" s="344" t="s">
        <v>12341</v>
      </c>
      <c r="F550" s="344"/>
      <c r="G550" s="344"/>
      <c r="H550" s="344"/>
      <c r="I550" s="344"/>
      <c r="J550" s="344"/>
      <c r="K550" s="344"/>
      <c r="L550" s="344" t="s">
        <v>13372</v>
      </c>
      <c r="M550" s="344" t="s">
        <v>13213</v>
      </c>
      <c r="N550" s="344" t="s">
        <v>12339</v>
      </c>
      <c r="O550" s="348"/>
      <c r="P550" s="348"/>
      <c r="Q550" s="348"/>
      <c r="R550" s="348"/>
      <c r="S550" s="348"/>
      <c r="T550" s="348"/>
      <c r="U550" s="348"/>
      <c r="V550" s="348"/>
      <c r="W550" s="348"/>
      <c r="X550" s="348"/>
      <c r="Y550" s="348"/>
      <c r="Z550" s="348"/>
    </row>
    <row r="551" spans="1:26" s="64" customFormat="1" ht="47.25" customHeight="1" thickBot="1" x14ac:dyDescent="0.35">
      <c r="A551" s="343">
        <v>45484</v>
      </c>
      <c r="B551" s="345" t="s">
        <v>2992</v>
      </c>
      <c r="C551" s="344"/>
      <c r="D551" s="344" t="s">
        <v>12341</v>
      </c>
      <c r="E551" s="344" t="s">
        <v>12341</v>
      </c>
      <c r="F551" s="344"/>
      <c r="G551" s="344"/>
      <c r="H551" s="344"/>
      <c r="I551" s="344"/>
      <c r="J551" s="344"/>
      <c r="K551" s="344" t="s">
        <v>13373</v>
      </c>
      <c r="L551" s="344" t="s">
        <v>13374</v>
      </c>
      <c r="M551" s="344" t="s">
        <v>13213</v>
      </c>
      <c r="N551" s="344" t="s">
        <v>12339</v>
      </c>
      <c r="O551" s="348"/>
      <c r="P551" s="348"/>
      <c r="Q551" s="348"/>
      <c r="R551" s="348"/>
      <c r="S551" s="348"/>
      <c r="T551" s="348"/>
      <c r="U551" s="348"/>
      <c r="V551" s="348"/>
      <c r="W551" s="348"/>
      <c r="X551" s="348"/>
      <c r="Y551" s="348"/>
      <c r="Z551" s="348"/>
    </row>
    <row r="552" spans="1:26" s="64" customFormat="1" ht="47.25" customHeight="1" thickBot="1" x14ac:dyDescent="0.3">
      <c r="A552" s="343">
        <v>45484</v>
      </c>
      <c r="B552" s="350" t="s">
        <v>13375</v>
      </c>
      <c r="C552" s="344"/>
      <c r="D552" s="344" t="s">
        <v>12341</v>
      </c>
      <c r="E552" s="344" t="s">
        <v>12341</v>
      </c>
      <c r="F552" s="344"/>
      <c r="G552" s="344"/>
      <c r="H552" s="344"/>
      <c r="I552" s="344"/>
      <c r="J552" s="344"/>
      <c r="K552" s="344" t="s">
        <v>13376</v>
      </c>
      <c r="L552" s="344" t="s">
        <v>13377</v>
      </c>
      <c r="M552" s="344" t="s">
        <v>13213</v>
      </c>
      <c r="N552" s="344" t="s">
        <v>12339</v>
      </c>
      <c r="O552" s="348"/>
      <c r="P552" s="348"/>
      <c r="Q552" s="348"/>
      <c r="R552" s="348"/>
      <c r="S552" s="348"/>
      <c r="T552" s="348"/>
      <c r="U552" s="348"/>
      <c r="V552" s="348"/>
      <c r="W552" s="348"/>
      <c r="X552" s="348"/>
      <c r="Y552" s="348"/>
      <c r="Z552" s="348"/>
    </row>
    <row r="553" spans="1:26" s="64" customFormat="1" ht="47.25" customHeight="1" thickBot="1" x14ac:dyDescent="0.35">
      <c r="A553" s="343">
        <v>45484</v>
      </c>
      <c r="B553" s="345" t="s">
        <v>13378</v>
      </c>
      <c r="C553" s="344"/>
      <c r="D553" s="344" t="s">
        <v>12341</v>
      </c>
      <c r="E553" s="344" t="s">
        <v>12341</v>
      </c>
      <c r="F553" s="344"/>
      <c r="G553" s="344"/>
      <c r="H553" s="344"/>
      <c r="I553" s="344"/>
      <c r="J553" s="344"/>
      <c r="K553" s="344" t="s">
        <v>13379</v>
      </c>
      <c r="L553" s="344" t="s">
        <v>12341</v>
      </c>
      <c r="M553" s="344" t="s">
        <v>13213</v>
      </c>
      <c r="N553" s="344" t="s">
        <v>12339</v>
      </c>
      <c r="O553" s="348"/>
      <c r="P553" s="348"/>
      <c r="Q553" s="348"/>
      <c r="R553" s="348"/>
      <c r="S553" s="348"/>
      <c r="T553" s="348"/>
      <c r="U553" s="348"/>
      <c r="V553" s="348"/>
      <c r="W553" s="348"/>
      <c r="X553" s="348"/>
      <c r="Y553" s="348"/>
      <c r="Z553" s="348"/>
    </row>
    <row r="554" spans="1:26" s="64" customFormat="1" ht="47.25" customHeight="1" thickBot="1" x14ac:dyDescent="0.35">
      <c r="A554" s="343">
        <v>45484</v>
      </c>
      <c r="B554" s="345" t="s">
        <v>13380</v>
      </c>
      <c r="C554" s="344"/>
      <c r="D554" s="344" t="s">
        <v>12341</v>
      </c>
      <c r="E554" s="344" t="s">
        <v>12341</v>
      </c>
      <c r="F554" s="344"/>
      <c r="G554" s="344"/>
      <c r="H554" s="344"/>
      <c r="I554" s="344"/>
      <c r="J554" s="344"/>
      <c r="K554" s="344" t="s">
        <v>13381</v>
      </c>
      <c r="L554" s="344" t="s">
        <v>13372</v>
      </c>
      <c r="M554" s="344" t="s">
        <v>13213</v>
      </c>
      <c r="N554" s="344" t="s">
        <v>12339</v>
      </c>
      <c r="O554" s="348"/>
      <c r="P554" s="348"/>
      <c r="Q554" s="348"/>
      <c r="R554" s="348"/>
      <c r="S554" s="348"/>
      <c r="T554" s="348"/>
      <c r="U554" s="348"/>
      <c r="V554" s="348"/>
      <c r="W554" s="348"/>
      <c r="X554" s="348"/>
      <c r="Y554" s="348"/>
      <c r="Z554" s="348"/>
    </row>
    <row r="555" spans="1:26" s="64" customFormat="1" ht="47.25" customHeight="1" thickBot="1" x14ac:dyDescent="0.35">
      <c r="A555" s="343">
        <v>45484</v>
      </c>
      <c r="B555" s="345" t="s">
        <v>2992</v>
      </c>
      <c r="C555" s="344"/>
      <c r="D555" s="344" t="s">
        <v>12341</v>
      </c>
      <c r="E555" s="344" t="s">
        <v>12341</v>
      </c>
      <c r="F555" s="344"/>
      <c r="G555" s="344"/>
      <c r="H555" s="344"/>
      <c r="I555" s="344"/>
      <c r="J555" s="344"/>
      <c r="K555" s="344"/>
      <c r="L555" s="344" t="s">
        <v>13382</v>
      </c>
      <c r="M555" s="344" t="s">
        <v>13213</v>
      </c>
      <c r="N555" s="344" t="s">
        <v>12339</v>
      </c>
      <c r="O555" s="348"/>
      <c r="P555" s="348"/>
      <c r="Q555" s="348"/>
      <c r="R555" s="348"/>
      <c r="S555" s="348"/>
      <c r="T555" s="348"/>
      <c r="U555" s="348"/>
      <c r="V555" s="348"/>
      <c r="W555" s="348"/>
      <c r="X555" s="348"/>
      <c r="Y555" s="348"/>
      <c r="Z555" s="348"/>
    </row>
    <row r="556" spans="1:26" s="64" customFormat="1" ht="47.25" customHeight="1" thickBot="1" x14ac:dyDescent="0.35">
      <c r="A556" s="343">
        <v>45485</v>
      </c>
      <c r="B556" s="345" t="s">
        <v>13383</v>
      </c>
      <c r="C556" s="344"/>
      <c r="D556" s="344" t="s">
        <v>12341</v>
      </c>
      <c r="E556" s="344" t="s">
        <v>12341</v>
      </c>
      <c r="F556" s="344"/>
      <c r="G556" s="344"/>
      <c r="H556" s="344"/>
      <c r="I556" s="344"/>
      <c r="J556" s="344"/>
      <c r="K556" s="344"/>
      <c r="L556" s="344" t="s">
        <v>13361</v>
      </c>
      <c r="M556" s="344" t="s">
        <v>13213</v>
      </c>
      <c r="N556" s="344" t="s">
        <v>12339</v>
      </c>
      <c r="O556" s="348"/>
      <c r="P556" s="348"/>
      <c r="Q556" s="348"/>
      <c r="R556" s="348"/>
      <c r="S556" s="348"/>
      <c r="T556" s="348"/>
      <c r="U556" s="348"/>
      <c r="V556" s="348"/>
      <c r="W556" s="348"/>
      <c r="X556" s="348"/>
      <c r="Y556" s="348"/>
      <c r="Z556" s="348"/>
    </row>
    <row r="557" spans="1:26" s="64" customFormat="1" ht="47.25" customHeight="1" thickBot="1" x14ac:dyDescent="0.35">
      <c r="A557" s="343">
        <v>45485</v>
      </c>
      <c r="B557" s="345" t="s">
        <v>13384</v>
      </c>
      <c r="C557" s="344"/>
      <c r="D557" s="344" t="s">
        <v>12341</v>
      </c>
      <c r="E557" s="344" t="s">
        <v>12341</v>
      </c>
      <c r="F557" s="344"/>
      <c r="G557" s="344"/>
      <c r="H557" s="344"/>
      <c r="I557" s="344"/>
      <c r="J557" s="344"/>
      <c r="K557" s="344" t="s">
        <v>13385</v>
      </c>
      <c r="L557" s="344" t="s">
        <v>13386</v>
      </c>
      <c r="M557" s="344" t="s">
        <v>13213</v>
      </c>
      <c r="N557" s="344" t="s">
        <v>12339</v>
      </c>
      <c r="O557" s="348"/>
      <c r="P557" s="348"/>
      <c r="Q557" s="348"/>
      <c r="R557" s="348"/>
      <c r="S557" s="348"/>
      <c r="T557" s="348"/>
      <c r="U557" s="348"/>
      <c r="V557" s="348"/>
      <c r="W557" s="348"/>
      <c r="X557" s="348"/>
      <c r="Y557" s="348"/>
      <c r="Z557" s="348"/>
    </row>
    <row r="558" spans="1:26" s="64" customFormat="1" ht="47.25" customHeight="1" thickBot="1" x14ac:dyDescent="0.35">
      <c r="A558" s="343">
        <v>45485</v>
      </c>
      <c r="B558" s="345" t="s">
        <v>13384</v>
      </c>
      <c r="C558" s="344"/>
      <c r="D558" s="344" t="s">
        <v>12341</v>
      </c>
      <c r="E558" s="344" t="s">
        <v>12341</v>
      </c>
      <c r="F558" s="344"/>
      <c r="G558" s="344"/>
      <c r="H558" s="344"/>
      <c r="I558" s="344"/>
      <c r="J558" s="344"/>
      <c r="K558" s="344"/>
      <c r="L558" s="344" t="s">
        <v>13387</v>
      </c>
      <c r="M558" s="344" t="s">
        <v>13213</v>
      </c>
      <c r="N558" s="344" t="s">
        <v>12339</v>
      </c>
      <c r="O558" s="348"/>
      <c r="P558" s="348"/>
      <c r="Q558" s="348"/>
      <c r="R558" s="348"/>
      <c r="S558" s="348"/>
      <c r="T558" s="348"/>
      <c r="U558" s="348"/>
      <c r="V558" s="348"/>
      <c r="W558" s="348"/>
      <c r="X558" s="348"/>
      <c r="Y558" s="348"/>
      <c r="Z558" s="348"/>
    </row>
    <row r="559" spans="1:26" s="64" customFormat="1" ht="47.25" customHeight="1" thickBot="1" x14ac:dyDescent="0.35">
      <c r="A559" s="343">
        <v>45485</v>
      </c>
      <c r="B559" s="345" t="s">
        <v>13388</v>
      </c>
      <c r="C559" s="344"/>
      <c r="D559" s="344" t="s">
        <v>12341</v>
      </c>
      <c r="E559" s="344" t="s">
        <v>12341</v>
      </c>
      <c r="F559" s="344"/>
      <c r="G559" s="344"/>
      <c r="H559" s="344"/>
      <c r="I559" s="344"/>
      <c r="J559" s="344"/>
      <c r="K559" s="344"/>
      <c r="L559" s="344" t="s">
        <v>13389</v>
      </c>
      <c r="M559" s="344" t="s">
        <v>13213</v>
      </c>
      <c r="N559" s="344" t="s">
        <v>12339</v>
      </c>
      <c r="O559" s="348"/>
      <c r="P559" s="348"/>
      <c r="Q559" s="348"/>
      <c r="R559" s="348"/>
      <c r="S559" s="348"/>
      <c r="T559" s="348"/>
      <c r="U559" s="348"/>
      <c r="V559" s="348"/>
      <c r="W559" s="348"/>
      <c r="X559" s="348"/>
      <c r="Y559" s="348"/>
      <c r="Z559" s="348"/>
    </row>
    <row r="560" spans="1:26" s="64" customFormat="1" ht="47.25" customHeight="1" thickBot="1" x14ac:dyDescent="0.35">
      <c r="A560" s="343">
        <v>45485</v>
      </c>
      <c r="B560" s="345" t="s">
        <v>13388</v>
      </c>
      <c r="C560" s="344"/>
      <c r="D560" s="344" t="s">
        <v>12341</v>
      </c>
      <c r="E560" s="344" t="s">
        <v>12341</v>
      </c>
      <c r="F560" s="344"/>
      <c r="G560" s="344"/>
      <c r="H560" s="344"/>
      <c r="I560" s="344"/>
      <c r="J560" s="344"/>
      <c r="K560" s="344" t="s">
        <v>13390</v>
      </c>
      <c r="L560" s="344" t="s">
        <v>13391</v>
      </c>
      <c r="M560" s="344" t="s">
        <v>13213</v>
      </c>
      <c r="N560" s="344" t="s">
        <v>12339</v>
      </c>
      <c r="O560" s="348"/>
      <c r="P560" s="348"/>
      <c r="Q560" s="348"/>
      <c r="R560" s="348"/>
      <c r="S560" s="348"/>
      <c r="T560" s="348"/>
      <c r="U560" s="348"/>
      <c r="V560" s="348"/>
      <c r="W560" s="348"/>
      <c r="X560" s="348"/>
      <c r="Y560" s="348"/>
      <c r="Z560" s="348"/>
    </row>
    <row r="561" spans="1:26" s="64" customFormat="1" ht="47.25" customHeight="1" thickBot="1" x14ac:dyDescent="0.35">
      <c r="A561" s="343">
        <v>45485</v>
      </c>
      <c r="B561" s="345" t="s">
        <v>13383</v>
      </c>
      <c r="C561" s="344"/>
      <c r="D561" s="344" t="s">
        <v>12341</v>
      </c>
      <c r="E561" s="344" t="s">
        <v>12341</v>
      </c>
      <c r="F561" s="344"/>
      <c r="G561" s="344"/>
      <c r="H561" s="344"/>
      <c r="I561" s="344"/>
      <c r="J561" s="344"/>
      <c r="K561" s="344" t="s">
        <v>13392</v>
      </c>
      <c r="L561" s="344" t="s">
        <v>13393</v>
      </c>
      <c r="M561" s="344" t="s">
        <v>13213</v>
      </c>
      <c r="N561" s="344" t="s">
        <v>12339</v>
      </c>
      <c r="O561" s="348"/>
      <c r="P561" s="348"/>
      <c r="Q561" s="348"/>
      <c r="R561" s="348"/>
      <c r="S561" s="348"/>
      <c r="T561" s="348"/>
      <c r="U561" s="348"/>
      <c r="V561" s="348"/>
      <c r="W561" s="348"/>
      <c r="X561" s="348"/>
      <c r="Y561" s="348"/>
      <c r="Z561" s="348"/>
    </row>
    <row r="562" spans="1:26" s="64" customFormat="1" ht="47.25" customHeight="1" thickBot="1" x14ac:dyDescent="0.35">
      <c r="A562" s="343">
        <v>45485</v>
      </c>
      <c r="B562" s="345" t="s">
        <v>13394</v>
      </c>
      <c r="C562" s="344"/>
      <c r="D562" s="344" t="s">
        <v>12341</v>
      </c>
      <c r="E562" s="344" t="s">
        <v>12341</v>
      </c>
      <c r="F562" s="344"/>
      <c r="G562" s="344"/>
      <c r="H562" s="344"/>
      <c r="I562" s="344"/>
      <c r="J562" s="344"/>
      <c r="K562" s="344" t="s">
        <v>13395</v>
      </c>
      <c r="L562" s="344" t="s">
        <v>13396</v>
      </c>
      <c r="M562" s="344" t="s">
        <v>13213</v>
      </c>
      <c r="N562" s="344" t="s">
        <v>12339</v>
      </c>
      <c r="O562" s="348"/>
      <c r="P562" s="348"/>
      <c r="Q562" s="348"/>
      <c r="R562" s="348"/>
      <c r="S562" s="348"/>
      <c r="T562" s="348"/>
      <c r="U562" s="348"/>
      <c r="V562" s="348"/>
      <c r="W562" s="348"/>
      <c r="X562" s="348"/>
      <c r="Y562" s="348"/>
      <c r="Z562" s="348"/>
    </row>
    <row r="563" spans="1:26" s="64" customFormat="1" ht="47.25" customHeight="1" thickBot="1" x14ac:dyDescent="0.35">
      <c r="A563" s="343">
        <v>45485</v>
      </c>
      <c r="B563" s="345" t="s">
        <v>13397</v>
      </c>
      <c r="C563" s="344"/>
      <c r="D563" s="344" t="s">
        <v>12341</v>
      </c>
      <c r="E563" s="344" t="s">
        <v>12341</v>
      </c>
      <c r="F563" s="344"/>
      <c r="G563" s="344"/>
      <c r="H563" s="344"/>
      <c r="I563" s="344"/>
      <c r="J563" s="344"/>
      <c r="K563" s="344" t="s">
        <v>13398</v>
      </c>
      <c r="L563" s="344" t="s">
        <v>13399</v>
      </c>
      <c r="M563" s="344" t="s">
        <v>13213</v>
      </c>
      <c r="N563" s="344" t="s">
        <v>12339</v>
      </c>
      <c r="O563" s="348"/>
      <c r="P563" s="348"/>
      <c r="Q563" s="348"/>
      <c r="R563" s="348"/>
      <c r="S563" s="348"/>
      <c r="T563" s="348"/>
      <c r="U563" s="348"/>
      <c r="V563" s="348"/>
      <c r="W563" s="348"/>
      <c r="X563" s="348"/>
      <c r="Y563" s="348"/>
      <c r="Z563" s="348"/>
    </row>
    <row r="564" spans="1:26" s="64" customFormat="1" ht="47.25" customHeight="1" thickBot="1" x14ac:dyDescent="0.35">
      <c r="A564" s="343">
        <v>45485</v>
      </c>
      <c r="B564" s="345" t="s">
        <v>13400</v>
      </c>
      <c r="C564" s="344"/>
      <c r="D564" s="344" t="s">
        <v>12341</v>
      </c>
      <c r="E564" s="344" t="s">
        <v>12341</v>
      </c>
      <c r="F564" s="344"/>
      <c r="G564" s="344"/>
      <c r="H564" s="344"/>
      <c r="I564" s="344"/>
      <c r="J564" s="344"/>
      <c r="K564" s="344" t="s">
        <v>13401</v>
      </c>
      <c r="L564" s="344" t="s">
        <v>13194</v>
      </c>
      <c r="M564" s="344" t="s">
        <v>13213</v>
      </c>
      <c r="N564" s="344" t="s">
        <v>12339</v>
      </c>
      <c r="O564" s="348"/>
      <c r="P564" s="348"/>
      <c r="Q564" s="348"/>
      <c r="R564" s="348"/>
      <c r="S564" s="348"/>
      <c r="T564" s="348"/>
      <c r="U564" s="348"/>
      <c r="V564" s="348"/>
      <c r="W564" s="348"/>
      <c r="X564" s="348"/>
      <c r="Y564" s="348"/>
      <c r="Z564" s="348"/>
    </row>
    <row r="565" spans="1:26" s="64" customFormat="1" ht="47.25" customHeight="1" thickBot="1" x14ac:dyDescent="0.35">
      <c r="A565" s="343">
        <v>45485</v>
      </c>
      <c r="B565" s="345" t="s">
        <v>13402</v>
      </c>
      <c r="C565" s="344"/>
      <c r="D565" s="344" t="s">
        <v>12341</v>
      </c>
      <c r="E565" s="344" t="s">
        <v>12341</v>
      </c>
      <c r="F565" s="344"/>
      <c r="G565" s="344"/>
      <c r="H565" s="344"/>
      <c r="I565" s="344"/>
      <c r="J565" s="344"/>
      <c r="K565" s="344" t="s">
        <v>13403</v>
      </c>
      <c r="L565" s="344" t="s">
        <v>13404</v>
      </c>
      <c r="M565" s="344" t="s">
        <v>13213</v>
      </c>
      <c r="N565" s="344" t="s">
        <v>12339</v>
      </c>
      <c r="O565" s="348"/>
      <c r="P565" s="348"/>
      <c r="Q565" s="348"/>
      <c r="R565" s="348"/>
      <c r="S565" s="348"/>
      <c r="T565" s="348"/>
      <c r="U565" s="348"/>
      <c r="V565" s="348"/>
      <c r="W565" s="348"/>
      <c r="X565" s="348"/>
      <c r="Y565" s="348"/>
      <c r="Z565" s="348"/>
    </row>
    <row r="566" spans="1:26" s="64" customFormat="1" ht="47.25" customHeight="1" thickBot="1" x14ac:dyDescent="0.35">
      <c r="A566" s="343">
        <v>45485</v>
      </c>
      <c r="B566" s="345" t="s">
        <v>13405</v>
      </c>
      <c r="C566" s="344"/>
      <c r="D566" s="344" t="s">
        <v>12341</v>
      </c>
      <c r="E566" s="344" t="s">
        <v>12341</v>
      </c>
      <c r="F566" s="344"/>
      <c r="G566" s="344"/>
      <c r="H566" s="344"/>
      <c r="I566" s="344"/>
      <c r="J566" s="344"/>
      <c r="K566" s="344" t="s">
        <v>13406</v>
      </c>
      <c r="L566" s="344" t="s">
        <v>13407</v>
      </c>
      <c r="M566" s="344" t="s">
        <v>13213</v>
      </c>
      <c r="N566" s="344" t="s">
        <v>12339</v>
      </c>
      <c r="O566" s="348"/>
      <c r="P566" s="348"/>
      <c r="Q566" s="348"/>
      <c r="R566" s="348"/>
      <c r="S566" s="348"/>
      <c r="T566" s="348"/>
      <c r="U566" s="348"/>
      <c r="V566" s="348"/>
      <c r="W566" s="348"/>
      <c r="X566" s="348"/>
      <c r="Y566" s="348"/>
      <c r="Z566" s="348"/>
    </row>
    <row r="567" spans="1:26" s="64" customFormat="1" ht="47.25" customHeight="1" thickBot="1" x14ac:dyDescent="0.35">
      <c r="A567" s="343">
        <v>45485</v>
      </c>
      <c r="B567" s="345" t="s">
        <v>13408</v>
      </c>
      <c r="C567" s="344"/>
      <c r="D567" s="344" t="s">
        <v>12341</v>
      </c>
      <c r="E567" s="344" t="s">
        <v>12341</v>
      </c>
      <c r="F567" s="344"/>
      <c r="G567" s="344"/>
      <c r="H567" s="344"/>
      <c r="I567" s="344"/>
      <c r="J567" s="344"/>
      <c r="K567" s="344" t="s">
        <v>13409</v>
      </c>
      <c r="L567" s="344" t="s">
        <v>13410</v>
      </c>
      <c r="M567" s="344" t="s">
        <v>13213</v>
      </c>
      <c r="N567" s="344" t="s">
        <v>12339</v>
      </c>
      <c r="O567" s="348"/>
      <c r="P567" s="348"/>
      <c r="Q567" s="348"/>
      <c r="R567" s="348"/>
      <c r="S567" s="348"/>
      <c r="T567" s="348"/>
      <c r="U567" s="348"/>
      <c r="V567" s="348"/>
      <c r="W567" s="348"/>
      <c r="X567" s="348"/>
      <c r="Y567" s="348"/>
      <c r="Z567" s="348"/>
    </row>
    <row r="568" spans="1:26" s="64" customFormat="1" ht="47.25" customHeight="1" thickBot="1" x14ac:dyDescent="0.35">
      <c r="A568" s="343">
        <v>45485</v>
      </c>
      <c r="B568" s="345" t="s">
        <v>13402</v>
      </c>
      <c r="C568" s="344"/>
      <c r="D568" s="344" t="s">
        <v>12341</v>
      </c>
      <c r="E568" s="344" t="s">
        <v>12341</v>
      </c>
      <c r="F568" s="344"/>
      <c r="G568" s="344"/>
      <c r="H568" s="344"/>
      <c r="I568" s="344"/>
      <c r="J568" s="344"/>
      <c r="K568" s="344"/>
      <c r="L568" s="344" t="s">
        <v>13411</v>
      </c>
      <c r="M568" s="344" t="s">
        <v>13213</v>
      </c>
      <c r="N568" s="344" t="s">
        <v>12339</v>
      </c>
      <c r="O568" s="348"/>
      <c r="P568" s="348"/>
      <c r="Q568" s="348"/>
      <c r="R568" s="348"/>
      <c r="S568" s="348"/>
      <c r="T568" s="348"/>
      <c r="U568" s="348"/>
      <c r="V568" s="348"/>
      <c r="W568" s="348"/>
      <c r="X568" s="348"/>
      <c r="Y568" s="348"/>
      <c r="Z568" s="348"/>
    </row>
    <row r="569" spans="1:26" s="64" customFormat="1" ht="47.25" customHeight="1" thickBot="1" x14ac:dyDescent="0.35">
      <c r="A569" s="343">
        <v>45486</v>
      </c>
      <c r="B569" s="345" t="s">
        <v>13412</v>
      </c>
      <c r="C569" s="344"/>
      <c r="D569" s="344" t="s">
        <v>12341</v>
      </c>
      <c r="E569" s="344" t="s">
        <v>13413</v>
      </c>
      <c r="F569" s="344" t="s">
        <v>12346</v>
      </c>
      <c r="G569" s="347">
        <v>130</v>
      </c>
      <c r="H569" s="347">
        <v>60</v>
      </c>
      <c r="I569" s="347">
        <v>70</v>
      </c>
      <c r="J569" s="344"/>
      <c r="K569" s="344"/>
      <c r="L569" s="344" t="s">
        <v>12341</v>
      </c>
      <c r="M569" s="344" t="s">
        <v>13213</v>
      </c>
      <c r="N569" s="344" t="s">
        <v>12344</v>
      </c>
      <c r="O569" s="348"/>
      <c r="P569" s="348"/>
      <c r="Q569" s="348"/>
      <c r="R569" s="348"/>
      <c r="S569" s="348"/>
      <c r="T569" s="348"/>
      <c r="U569" s="348"/>
      <c r="V569" s="348"/>
      <c r="W569" s="348"/>
      <c r="X569" s="348"/>
      <c r="Y569" s="348"/>
      <c r="Z569" s="348"/>
    </row>
    <row r="570" spans="1:26" s="64" customFormat="1" ht="47.25" customHeight="1" thickBot="1" x14ac:dyDescent="0.35">
      <c r="A570" s="343">
        <v>45486</v>
      </c>
      <c r="B570" s="345" t="s">
        <v>13414</v>
      </c>
      <c r="C570" s="344"/>
      <c r="D570" s="344" t="s">
        <v>12341</v>
      </c>
      <c r="E570" s="344" t="s">
        <v>12341</v>
      </c>
      <c r="F570" s="344"/>
      <c r="G570" s="344"/>
      <c r="H570" s="344"/>
      <c r="I570" s="344"/>
      <c r="J570" s="344"/>
      <c r="K570" s="344" t="s">
        <v>13415</v>
      </c>
      <c r="L570" s="344" t="s">
        <v>13416</v>
      </c>
      <c r="M570" s="344" t="s">
        <v>13213</v>
      </c>
      <c r="N570" s="344" t="s">
        <v>12339</v>
      </c>
      <c r="O570" s="348"/>
      <c r="P570" s="348"/>
      <c r="Q570" s="348"/>
      <c r="R570" s="348"/>
      <c r="S570" s="348"/>
      <c r="T570" s="348"/>
      <c r="U570" s="348"/>
      <c r="V570" s="348"/>
      <c r="W570" s="348"/>
      <c r="X570" s="348"/>
      <c r="Y570" s="348"/>
      <c r="Z570" s="348"/>
    </row>
    <row r="571" spans="1:26" s="64" customFormat="1" ht="47.25" customHeight="1" thickBot="1" x14ac:dyDescent="0.35">
      <c r="A571" s="343">
        <v>45488</v>
      </c>
      <c r="B571" s="345" t="s">
        <v>13417</v>
      </c>
      <c r="C571" s="344"/>
      <c r="D571" s="344" t="s">
        <v>12341</v>
      </c>
      <c r="E571" s="344" t="s">
        <v>12341</v>
      </c>
      <c r="F571" s="344"/>
      <c r="G571" s="344"/>
      <c r="H571" s="344"/>
      <c r="I571" s="344"/>
      <c r="J571" s="344"/>
      <c r="K571" s="344"/>
      <c r="L571" s="344" t="s">
        <v>13418</v>
      </c>
      <c r="M571" s="344" t="s">
        <v>13213</v>
      </c>
      <c r="N571" s="344" t="s">
        <v>12339</v>
      </c>
      <c r="O571" s="348"/>
      <c r="P571" s="348"/>
      <c r="Q571" s="348"/>
      <c r="R571" s="348"/>
      <c r="S571" s="348"/>
      <c r="T571" s="348"/>
      <c r="U571" s="348"/>
      <c r="V571" s="348"/>
      <c r="W571" s="348"/>
      <c r="X571" s="348"/>
      <c r="Y571" s="348"/>
      <c r="Z571" s="348"/>
    </row>
    <row r="572" spans="1:26" s="64" customFormat="1" ht="47.25" customHeight="1" thickBot="1" x14ac:dyDescent="0.35">
      <c r="A572" s="343">
        <v>45488</v>
      </c>
      <c r="B572" s="345" t="s">
        <v>13419</v>
      </c>
      <c r="C572" s="344"/>
      <c r="D572" s="344" t="s">
        <v>12341</v>
      </c>
      <c r="E572" s="344" t="s">
        <v>12341</v>
      </c>
      <c r="F572" s="344"/>
      <c r="G572" s="344"/>
      <c r="H572" s="344"/>
      <c r="I572" s="344"/>
      <c r="J572" s="344"/>
      <c r="K572" s="344" t="s">
        <v>13420</v>
      </c>
      <c r="L572" s="344" t="s">
        <v>13372</v>
      </c>
      <c r="M572" s="344" t="s">
        <v>13213</v>
      </c>
      <c r="N572" s="344" t="s">
        <v>12339</v>
      </c>
      <c r="O572" s="348"/>
      <c r="P572" s="348"/>
      <c r="Q572" s="348"/>
      <c r="R572" s="348"/>
      <c r="S572" s="348"/>
      <c r="T572" s="348"/>
      <c r="U572" s="348"/>
      <c r="V572" s="348"/>
      <c r="W572" s="348"/>
      <c r="X572" s="348"/>
      <c r="Y572" s="348"/>
      <c r="Z572" s="348"/>
    </row>
    <row r="573" spans="1:26" s="64" customFormat="1" ht="47.25" customHeight="1" thickBot="1" x14ac:dyDescent="0.35">
      <c r="A573" s="343">
        <v>45488</v>
      </c>
      <c r="B573" s="345" t="s">
        <v>13421</v>
      </c>
      <c r="C573" s="344"/>
      <c r="D573" s="344" t="s">
        <v>12341</v>
      </c>
      <c r="E573" s="344" t="s">
        <v>12342</v>
      </c>
      <c r="F573" s="344" t="s">
        <v>12346</v>
      </c>
      <c r="G573" s="347">
        <v>160</v>
      </c>
      <c r="H573" s="347">
        <v>86</v>
      </c>
      <c r="I573" s="347">
        <v>74</v>
      </c>
      <c r="J573" s="344"/>
      <c r="K573" s="344"/>
      <c r="L573" s="344" t="s">
        <v>12341</v>
      </c>
      <c r="M573" s="344" t="s">
        <v>13213</v>
      </c>
      <c r="N573" s="344" t="s">
        <v>12344</v>
      </c>
      <c r="O573" s="348"/>
      <c r="P573" s="348"/>
      <c r="Q573" s="348"/>
      <c r="R573" s="348"/>
      <c r="S573" s="348"/>
      <c r="T573" s="348"/>
      <c r="U573" s="348"/>
      <c r="V573" s="348"/>
      <c r="W573" s="348"/>
      <c r="X573" s="348"/>
      <c r="Y573" s="348"/>
      <c r="Z573" s="348"/>
    </row>
    <row r="574" spans="1:26" s="64" customFormat="1" ht="47.25" customHeight="1" thickBot="1" x14ac:dyDescent="0.35">
      <c r="A574" s="343">
        <v>45488</v>
      </c>
      <c r="B574" s="345" t="s">
        <v>13417</v>
      </c>
      <c r="C574" s="344"/>
      <c r="D574" s="344" t="s">
        <v>12341</v>
      </c>
      <c r="E574" s="344" t="s">
        <v>12341</v>
      </c>
      <c r="F574" s="344"/>
      <c r="G574" s="344"/>
      <c r="H574" s="344"/>
      <c r="I574" s="344"/>
      <c r="J574" s="344"/>
      <c r="K574" s="344" t="s">
        <v>13422</v>
      </c>
      <c r="L574" s="344" t="s">
        <v>13423</v>
      </c>
      <c r="M574" s="344" t="s">
        <v>13213</v>
      </c>
      <c r="N574" s="344" t="s">
        <v>12339</v>
      </c>
      <c r="O574" s="348"/>
      <c r="P574" s="348"/>
      <c r="Q574" s="348"/>
      <c r="R574" s="348"/>
      <c r="S574" s="348"/>
      <c r="T574" s="348"/>
      <c r="U574" s="348"/>
      <c r="V574" s="348"/>
      <c r="W574" s="348"/>
      <c r="X574" s="348"/>
      <c r="Y574" s="348"/>
      <c r="Z574" s="348"/>
    </row>
    <row r="575" spans="1:26" s="64" customFormat="1" ht="47.25" customHeight="1" thickBot="1" x14ac:dyDescent="0.35">
      <c r="A575" s="343">
        <v>45488</v>
      </c>
      <c r="B575" s="345" t="s">
        <v>13424</v>
      </c>
      <c r="C575" s="344"/>
      <c r="D575" s="344" t="s">
        <v>12341</v>
      </c>
      <c r="E575" s="344" t="s">
        <v>12341</v>
      </c>
      <c r="F575" s="344"/>
      <c r="G575" s="344"/>
      <c r="H575" s="344"/>
      <c r="I575" s="344"/>
      <c r="J575" s="344"/>
      <c r="K575" s="344" t="s">
        <v>13425</v>
      </c>
      <c r="L575" s="344" t="s">
        <v>13426</v>
      </c>
      <c r="M575" s="344" t="s">
        <v>13213</v>
      </c>
      <c r="N575" s="344" t="s">
        <v>12339</v>
      </c>
      <c r="O575" s="348"/>
      <c r="P575" s="348"/>
      <c r="Q575" s="348"/>
      <c r="R575" s="348"/>
      <c r="S575" s="348"/>
      <c r="T575" s="348"/>
      <c r="U575" s="348"/>
      <c r="V575" s="348"/>
      <c r="W575" s="348"/>
      <c r="X575" s="348"/>
      <c r="Y575" s="348"/>
      <c r="Z575" s="348"/>
    </row>
    <row r="576" spans="1:26" s="64" customFormat="1" ht="47.25" customHeight="1" thickBot="1" x14ac:dyDescent="0.35">
      <c r="A576" s="343">
        <v>45488</v>
      </c>
      <c r="B576" s="345" t="s">
        <v>13427</v>
      </c>
      <c r="C576" s="344"/>
      <c r="D576" s="344" t="s">
        <v>12341</v>
      </c>
      <c r="E576" s="344" t="s">
        <v>12356</v>
      </c>
      <c r="F576" s="344" t="s">
        <v>12346</v>
      </c>
      <c r="G576" s="347">
        <v>80</v>
      </c>
      <c r="H576" s="347">
        <v>40</v>
      </c>
      <c r="I576" s="347">
        <v>40</v>
      </c>
      <c r="J576" s="344"/>
      <c r="K576" s="344"/>
      <c r="L576" s="344" t="s">
        <v>12341</v>
      </c>
      <c r="M576" s="344" t="s">
        <v>13213</v>
      </c>
      <c r="N576" s="344" t="s">
        <v>12344</v>
      </c>
      <c r="O576" s="348"/>
      <c r="P576" s="348"/>
      <c r="Q576" s="348"/>
      <c r="R576" s="348"/>
      <c r="S576" s="348"/>
      <c r="T576" s="348"/>
      <c r="U576" s="348"/>
      <c r="V576" s="348"/>
      <c r="W576" s="348"/>
      <c r="X576" s="348"/>
      <c r="Y576" s="348"/>
      <c r="Z576" s="348"/>
    </row>
    <row r="577" spans="1:26" s="64" customFormat="1" ht="47.25" customHeight="1" thickBot="1" x14ac:dyDescent="0.35">
      <c r="A577" s="343">
        <v>45488</v>
      </c>
      <c r="B577" s="345" t="s">
        <v>13428</v>
      </c>
      <c r="C577" s="344"/>
      <c r="D577" s="344" t="s">
        <v>12341</v>
      </c>
      <c r="E577" s="344" t="s">
        <v>12341</v>
      </c>
      <c r="F577" s="344"/>
      <c r="G577" s="344"/>
      <c r="H577" s="344"/>
      <c r="I577" s="344"/>
      <c r="J577" s="344"/>
      <c r="K577" s="344" t="s">
        <v>13429</v>
      </c>
      <c r="L577" s="344" t="s">
        <v>13430</v>
      </c>
      <c r="M577" s="344" t="s">
        <v>13213</v>
      </c>
      <c r="N577" s="344" t="s">
        <v>12339</v>
      </c>
      <c r="O577" s="348"/>
      <c r="P577" s="348"/>
      <c r="Q577" s="348"/>
      <c r="R577" s="348"/>
      <c r="S577" s="348"/>
      <c r="T577" s="348"/>
      <c r="U577" s="348"/>
      <c r="V577" s="348"/>
      <c r="W577" s="348"/>
      <c r="X577" s="348"/>
      <c r="Y577" s="348"/>
      <c r="Z577" s="348"/>
    </row>
    <row r="578" spans="1:26" s="64" customFormat="1" ht="47.25" customHeight="1" thickBot="1" x14ac:dyDescent="0.3">
      <c r="A578" s="343">
        <v>45488</v>
      </c>
      <c r="B578" s="350" t="s">
        <v>13431</v>
      </c>
      <c r="C578" s="344"/>
      <c r="D578" s="344" t="s">
        <v>12341</v>
      </c>
      <c r="E578" s="344" t="s">
        <v>12341</v>
      </c>
      <c r="F578" s="344"/>
      <c r="G578" s="344"/>
      <c r="H578" s="344"/>
      <c r="I578" s="344"/>
      <c r="J578" s="344"/>
      <c r="K578" s="344" t="s">
        <v>13432</v>
      </c>
      <c r="L578" s="344" t="s">
        <v>13433</v>
      </c>
      <c r="M578" s="344" t="s">
        <v>13213</v>
      </c>
      <c r="N578" s="344" t="s">
        <v>12339</v>
      </c>
      <c r="O578" s="348"/>
      <c r="P578" s="348"/>
      <c r="Q578" s="348"/>
      <c r="R578" s="348"/>
      <c r="S578" s="348"/>
      <c r="T578" s="348"/>
      <c r="U578" s="348"/>
      <c r="V578" s="348"/>
      <c r="W578" s="348"/>
      <c r="X578" s="348"/>
      <c r="Y578" s="348"/>
      <c r="Z578" s="348"/>
    </row>
    <row r="579" spans="1:26" s="64" customFormat="1" ht="47.25" customHeight="1" thickBot="1" x14ac:dyDescent="0.35">
      <c r="A579" s="343">
        <v>45488</v>
      </c>
      <c r="B579" s="345" t="s">
        <v>13434</v>
      </c>
      <c r="C579" s="344"/>
      <c r="D579" s="344" t="s">
        <v>12341</v>
      </c>
      <c r="E579" s="344" t="s">
        <v>12341</v>
      </c>
      <c r="F579" s="344"/>
      <c r="G579" s="344"/>
      <c r="H579" s="344"/>
      <c r="I579" s="344"/>
      <c r="J579" s="344"/>
      <c r="K579" s="344" t="s">
        <v>13435</v>
      </c>
      <c r="L579" s="344" t="s">
        <v>13436</v>
      </c>
      <c r="M579" s="344" t="s">
        <v>13213</v>
      </c>
      <c r="N579" s="344" t="s">
        <v>12339</v>
      </c>
      <c r="O579" s="348"/>
      <c r="P579" s="348"/>
      <c r="Q579" s="348"/>
      <c r="R579" s="348"/>
      <c r="S579" s="348"/>
      <c r="T579" s="348"/>
      <c r="U579" s="348"/>
      <c r="V579" s="348"/>
      <c r="W579" s="348"/>
      <c r="X579" s="348"/>
      <c r="Y579" s="348"/>
      <c r="Z579" s="348"/>
    </row>
    <row r="580" spans="1:26" s="64" customFormat="1" ht="47.25" customHeight="1" thickBot="1" x14ac:dyDescent="0.35">
      <c r="A580" s="343">
        <v>45488</v>
      </c>
      <c r="B580" s="345" t="s">
        <v>13437</v>
      </c>
      <c r="C580" s="344"/>
      <c r="D580" s="344" t="s">
        <v>12341</v>
      </c>
      <c r="E580" s="344" t="s">
        <v>12593</v>
      </c>
      <c r="F580" s="344" t="s">
        <v>12346</v>
      </c>
      <c r="G580" s="347">
        <v>160</v>
      </c>
      <c r="H580" s="347">
        <v>86</v>
      </c>
      <c r="I580" s="347">
        <v>74</v>
      </c>
      <c r="J580" s="344"/>
      <c r="K580" s="344"/>
      <c r="L580" s="344" t="s">
        <v>12341</v>
      </c>
      <c r="M580" s="344" t="s">
        <v>13213</v>
      </c>
      <c r="N580" s="344" t="s">
        <v>12339</v>
      </c>
      <c r="O580" s="348"/>
      <c r="P580" s="348"/>
      <c r="Q580" s="348"/>
      <c r="R580" s="348"/>
      <c r="S580" s="348"/>
      <c r="T580" s="348"/>
      <c r="U580" s="348"/>
      <c r="V580" s="348"/>
      <c r="W580" s="348"/>
      <c r="X580" s="348"/>
      <c r="Y580" s="348"/>
      <c r="Z580" s="348"/>
    </row>
    <row r="581" spans="1:26" s="64" customFormat="1" ht="47.25" customHeight="1" thickBot="1" x14ac:dyDescent="0.35">
      <c r="A581" s="343">
        <v>45488</v>
      </c>
      <c r="B581" s="345" t="s">
        <v>13438</v>
      </c>
      <c r="C581" s="344"/>
      <c r="D581" s="344" t="s">
        <v>12341</v>
      </c>
      <c r="E581" s="344" t="s">
        <v>12341</v>
      </c>
      <c r="F581" s="344"/>
      <c r="G581" s="344"/>
      <c r="H581" s="344"/>
      <c r="I581" s="344"/>
      <c r="J581" s="344"/>
      <c r="K581" s="344" t="s">
        <v>13439</v>
      </c>
      <c r="L581" s="344" t="s">
        <v>13440</v>
      </c>
      <c r="M581" s="344" t="s">
        <v>13213</v>
      </c>
      <c r="N581" s="344" t="s">
        <v>12339</v>
      </c>
      <c r="O581" s="348"/>
      <c r="P581" s="348"/>
      <c r="Q581" s="348"/>
      <c r="R581" s="348"/>
      <c r="S581" s="348"/>
      <c r="T581" s="348"/>
      <c r="U581" s="348"/>
      <c r="V581" s="348"/>
      <c r="W581" s="348"/>
      <c r="X581" s="348"/>
      <c r="Y581" s="348"/>
      <c r="Z581" s="348"/>
    </row>
    <row r="582" spans="1:26" s="64" customFormat="1" ht="47.25" customHeight="1" thickBot="1" x14ac:dyDescent="0.35">
      <c r="A582" s="343">
        <v>45488</v>
      </c>
      <c r="B582" s="345" t="s">
        <v>13441</v>
      </c>
      <c r="C582" s="344"/>
      <c r="D582" s="344" t="s">
        <v>12341</v>
      </c>
      <c r="E582" s="344" t="s">
        <v>13442</v>
      </c>
      <c r="F582" s="344" t="s">
        <v>12360</v>
      </c>
      <c r="G582" s="344"/>
      <c r="H582" s="344"/>
      <c r="I582" s="347">
        <v>70</v>
      </c>
      <c r="J582" s="344" t="s">
        <v>13443</v>
      </c>
      <c r="K582" s="344"/>
      <c r="L582" s="344" t="s">
        <v>12341</v>
      </c>
      <c r="M582" s="344" t="s">
        <v>13213</v>
      </c>
      <c r="N582" s="344" t="s">
        <v>12339</v>
      </c>
      <c r="O582" s="348"/>
      <c r="P582" s="348"/>
      <c r="Q582" s="348"/>
      <c r="R582" s="348"/>
      <c r="S582" s="348"/>
      <c r="T582" s="348"/>
      <c r="U582" s="348"/>
      <c r="V582" s="348"/>
      <c r="W582" s="348"/>
      <c r="X582" s="348"/>
      <c r="Y582" s="348"/>
      <c r="Z582" s="348"/>
    </row>
    <row r="583" spans="1:26" s="64" customFormat="1" ht="47.25" customHeight="1" thickBot="1" x14ac:dyDescent="0.35">
      <c r="A583" s="343">
        <v>45488</v>
      </c>
      <c r="B583" s="345" t="s">
        <v>13444</v>
      </c>
      <c r="C583" s="344"/>
      <c r="D583" s="344" t="s">
        <v>12341</v>
      </c>
      <c r="E583" s="344" t="s">
        <v>12356</v>
      </c>
      <c r="F583" s="344" t="s">
        <v>12346</v>
      </c>
      <c r="G583" s="347">
        <v>80</v>
      </c>
      <c r="H583" s="347">
        <v>40</v>
      </c>
      <c r="I583" s="347">
        <v>40</v>
      </c>
      <c r="J583" s="344" t="s">
        <v>13445</v>
      </c>
      <c r="K583" s="344"/>
      <c r="L583" s="344" t="s">
        <v>12341</v>
      </c>
      <c r="M583" s="344" t="s">
        <v>13213</v>
      </c>
      <c r="N583" s="344" t="s">
        <v>12344</v>
      </c>
      <c r="O583" s="348"/>
      <c r="P583" s="348"/>
      <c r="Q583" s="348"/>
      <c r="R583" s="348"/>
      <c r="S583" s="348"/>
      <c r="T583" s="348"/>
      <c r="U583" s="348"/>
      <c r="V583" s="348"/>
      <c r="W583" s="348"/>
      <c r="X583" s="348"/>
      <c r="Y583" s="348"/>
      <c r="Z583" s="348"/>
    </row>
    <row r="584" spans="1:26" s="64" customFormat="1" ht="47.25" customHeight="1" thickBot="1" x14ac:dyDescent="0.35">
      <c r="A584" s="343">
        <v>45488</v>
      </c>
      <c r="B584" s="345" t="s">
        <v>13446</v>
      </c>
      <c r="C584" s="344"/>
      <c r="D584" s="344" t="s">
        <v>12341</v>
      </c>
      <c r="E584" s="344" t="s">
        <v>13447</v>
      </c>
      <c r="F584" s="344" t="s">
        <v>12503</v>
      </c>
      <c r="G584" s="344"/>
      <c r="H584" s="344"/>
      <c r="I584" s="344"/>
      <c r="J584" s="344"/>
      <c r="K584" s="344"/>
      <c r="L584" s="344" t="s">
        <v>12341</v>
      </c>
      <c r="M584" s="344" t="s">
        <v>13213</v>
      </c>
      <c r="N584" s="344" t="s">
        <v>12339</v>
      </c>
      <c r="O584" s="348"/>
      <c r="P584" s="348"/>
      <c r="Q584" s="348"/>
      <c r="R584" s="348"/>
      <c r="S584" s="348"/>
      <c r="T584" s="348"/>
      <c r="U584" s="348"/>
      <c r="V584" s="348"/>
      <c r="W584" s="348"/>
      <c r="X584" s="348"/>
      <c r="Y584" s="348"/>
      <c r="Z584" s="348"/>
    </row>
    <row r="585" spans="1:26" s="64" customFormat="1" ht="47.25" customHeight="1" thickBot="1" x14ac:dyDescent="0.35">
      <c r="A585" s="343">
        <v>45488</v>
      </c>
      <c r="B585" s="345" t="s">
        <v>13448</v>
      </c>
      <c r="C585" s="344"/>
      <c r="D585" s="344" t="s">
        <v>12341</v>
      </c>
      <c r="E585" s="344" t="s">
        <v>12341</v>
      </c>
      <c r="F585" s="344"/>
      <c r="G585" s="344"/>
      <c r="H585" s="344"/>
      <c r="I585" s="344"/>
      <c r="J585" s="344"/>
      <c r="K585" s="344" t="s">
        <v>13449</v>
      </c>
      <c r="L585" s="344" t="s">
        <v>12504</v>
      </c>
      <c r="M585" s="344" t="s">
        <v>13213</v>
      </c>
      <c r="N585" s="344" t="s">
        <v>12339</v>
      </c>
      <c r="O585" s="348"/>
      <c r="P585" s="348"/>
      <c r="Q585" s="348"/>
      <c r="R585" s="348"/>
      <c r="S585" s="348"/>
      <c r="T585" s="348"/>
      <c r="U585" s="348"/>
      <c r="V585" s="348"/>
      <c r="W585" s="348"/>
      <c r="X585" s="348"/>
      <c r="Y585" s="348"/>
      <c r="Z585" s="348"/>
    </row>
    <row r="586" spans="1:26" s="64" customFormat="1" ht="47.25" customHeight="1" thickBot="1" x14ac:dyDescent="0.35">
      <c r="A586" s="343">
        <v>45488</v>
      </c>
      <c r="B586" s="345" t="s">
        <v>13450</v>
      </c>
      <c r="C586" s="344"/>
      <c r="D586" s="344" t="s">
        <v>12341</v>
      </c>
      <c r="E586" s="344" t="s">
        <v>12341</v>
      </c>
      <c r="F586" s="344"/>
      <c r="G586" s="344"/>
      <c r="H586" s="344"/>
      <c r="I586" s="344"/>
      <c r="J586" s="344"/>
      <c r="K586" s="344" t="s">
        <v>13451</v>
      </c>
      <c r="L586" s="344" t="s">
        <v>13452</v>
      </c>
      <c r="M586" s="344" t="s">
        <v>13213</v>
      </c>
      <c r="N586" s="344" t="s">
        <v>12339</v>
      </c>
      <c r="O586" s="348"/>
      <c r="P586" s="348"/>
      <c r="Q586" s="348"/>
      <c r="R586" s="348"/>
      <c r="S586" s="348"/>
      <c r="T586" s="348"/>
      <c r="U586" s="348"/>
      <c r="V586" s="348"/>
      <c r="W586" s="348"/>
      <c r="X586" s="348"/>
      <c r="Y586" s="348"/>
      <c r="Z586" s="348"/>
    </row>
    <row r="587" spans="1:26" s="64" customFormat="1" ht="47.25" customHeight="1" thickBot="1" x14ac:dyDescent="0.35">
      <c r="A587" s="343">
        <v>45488</v>
      </c>
      <c r="B587" s="345" t="s">
        <v>13453</v>
      </c>
      <c r="C587" s="344"/>
      <c r="D587" s="344" t="s">
        <v>12341</v>
      </c>
      <c r="E587" s="344" t="s">
        <v>13454</v>
      </c>
      <c r="F587" s="344" t="s">
        <v>12346</v>
      </c>
      <c r="G587" s="347">
        <v>150</v>
      </c>
      <c r="H587" s="344"/>
      <c r="I587" s="347">
        <v>70</v>
      </c>
      <c r="J587" s="344"/>
      <c r="K587" s="344"/>
      <c r="L587" s="344" t="s">
        <v>12341</v>
      </c>
      <c r="M587" s="344" t="s">
        <v>13213</v>
      </c>
      <c r="N587" s="344" t="s">
        <v>12344</v>
      </c>
      <c r="O587" s="348"/>
      <c r="P587" s="348"/>
      <c r="Q587" s="348"/>
      <c r="R587" s="348"/>
      <c r="S587" s="348"/>
      <c r="T587" s="348"/>
      <c r="U587" s="348"/>
      <c r="V587" s="348"/>
      <c r="W587" s="348"/>
      <c r="X587" s="348"/>
      <c r="Y587" s="348"/>
      <c r="Z587" s="348"/>
    </row>
    <row r="588" spans="1:26" s="64" customFormat="1" ht="47.25" customHeight="1" thickBot="1" x14ac:dyDescent="0.35">
      <c r="A588" s="343">
        <v>45489</v>
      </c>
      <c r="B588" s="345" t="s">
        <v>13455</v>
      </c>
      <c r="C588" s="344"/>
      <c r="D588" s="344" t="s">
        <v>12341</v>
      </c>
      <c r="E588" s="344" t="s">
        <v>12356</v>
      </c>
      <c r="F588" s="344" t="s">
        <v>12346</v>
      </c>
      <c r="G588" s="347">
        <v>80</v>
      </c>
      <c r="H588" s="347">
        <v>40</v>
      </c>
      <c r="I588" s="347">
        <v>40</v>
      </c>
      <c r="J588" s="344"/>
      <c r="K588" s="344"/>
      <c r="L588" s="344" t="s">
        <v>12341</v>
      </c>
      <c r="M588" s="344" t="s">
        <v>13213</v>
      </c>
      <c r="N588" s="344" t="s">
        <v>12344</v>
      </c>
      <c r="O588" s="348"/>
      <c r="P588" s="348"/>
      <c r="Q588" s="348"/>
      <c r="R588" s="348"/>
      <c r="S588" s="348"/>
      <c r="T588" s="348"/>
      <c r="U588" s="348"/>
      <c r="V588" s="348"/>
      <c r="W588" s="348"/>
      <c r="X588" s="348"/>
      <c r="Y588" s="348"/>
      <c r="Z588" s="348"/>
    </row>
    <row r="589" spans="1:26" s="64" customFormat="1" ht="47.25" customHeight="1" thickBot="1" x14ac:dyDescent="0.35">
      <c r="A589" s="343">
        <v>45489</v>
      </c>
      <c r="B589" s="345" t="s">
        <v>13456</v>
      </c>
      <c r="C589" s="344"/>
      <c r="D589" s="344" t="s">
        <v>12341</v>
      </c>
      <c r="E589" s="344" t="s">
        <v>13457</v>
      </c>
      <c r="F589" s="344" t="s">
        <v>12360</v>
      </c>
      <c r="G589" s="347">
        <v>0</v>
      </c>
      <c r="H589" s="347">
        <v>0</v>
      </c>
      <c r="I589" s="347">
        <v>205</v>
      </c>
      <c r="J589" s="344"/>
      <c r="K589" s="344"/>
      <c r="L589" s="344" t="s">
        <v>12341</v>
      </c>
      <c r="M589" s="344" t="s">
        <v>13213</v>
      </c>
      <c r="N589" s="344" t="s">
        <v>12344</v>
      </c>
      <c r="O589" s="348"/>
      <c r="P589" s="348"/>
      <c r="Q589" s="348"/>
      <c r="R589" s="348"/>
      <c r="S589" s="348"/>
      <c r="T589" s="348"/>
      <c r="U589" s="348"/>
      <c r="V589" s="348"/>
      <c r="W589" s="348"/>
      <c r="X589" s="348"/>
      <c r="Y589" s="348"/>
      <c r="Z589" s="348"/>
    </row>
    <row r="590" spans="1:26" s="64" customFormat="1" ht="47.25" customHeight="1" thickBot="1" x14ac:dyDescent="0.35">
      <c r="A590" s="343">
        <v>45489</v>
      </c>
      <c r="B590" s="345" t="s">
        <v>13458</v>
      </c>
      <c r="C590" s="344"/>
      <c r="D590" s="344" t="s">
        <v>12341</v>
      </c>
      <c r="E590" s="344" t="s">
        <v>12341</v>
      </c>
      <c r="F590" s="344"/>
      <c r="G590" s="344"/>
      <c r="H590" s="344"/>
      <c r="I590" s="344"/>
      <c r="J590" s="344"/>
      <c r="K590" s="344" t="s">
        <v>13459</v>
      </c>
      <c r="L590" s="344" t="s">
        <v>13460</v>
      </c>
      <c r="M590" s="344" t="s">
        <v>13213</v>
      </c>
      <c r="N590" s="344" t="s">
        <v>12339</v>
      </c>
      <c r="O590" s="348"/>
      <c r="P590" s="348"/>
      <c r="Q590" s="348"/>
      <c r="R590" s="348"/>
      <c r="S590" s="348"/>
      <c r="T590" s="348"/>
      <c r="U590" s="348"/>
      <c r="V590" s="348"/>
      <c r="W590" s="348"/>
      <c r="X590" s="348"/>
      <c r="Y590" s="348"/>
      <c r="Z590" s="348"/>
    </row>
    <row r="591" spans="1:26" s="64" customFormat="1" ht="47.25" customHeight="1" thickBot="1" x14ac:dyDescent="0.35">
      <c r="A591" s="343">
        <v>45489</v>
      </c>
      <c r="B591" s="345" t="s">
        <v>13461</v>
      </c>
      <c r="C591" s="344"/>
      <c r="D591" s="344" t="s">
        <v>12341</v>
      </c>
      <c r="E591" s="344" t="s">
        <v>12341</v>
      </c>
      <c r="F591" s="344"/>
      <c r="G591" s="344"/>
      <c r="H591" s="344"/>
      <c r="I591" s="344"/>
      <c r="J591" s="344"/>
      <c r="K591" s="344" t="s">
        <v>13462</v>
      </c>
      <c r="L591" s="344" t="s">
        <v>13372</v>
      </c>
      <c r="M591" s="344" t="s">
        <v>13213</v>
      </c>
      <c r="N591" s="344" t="s">
        <v>12339</v>
      </c>
      <c r="O591" s="348"/>
      <c r="P591" s="348"/>
      <c r="Q591" s="348"/>
      <c r="R591" s="348"/>
      <c r="S591" s="348"/>
      <c r="T591" s="348"/>
      <c r="U591" s="348"/>
      <c r="V591" s="348"/>
      <c r="W591" s="348"/>
      <c r="X591" s="348"/>
      <c r="Y591" s="348"/>
      <c r="Z591" s="348"/>
    </row>
    <row r="592" spans="1:26" s="64" customFormat="1" ht="47.25" customHeight="1" thickBot="1" x14ac:dyDescent="0.35">
      <c r="A592" s="343">
        <v>45489</v>
      </c>
      <c r="B592" s="345" t="s">
        <v>13463</v>
      </c>
      <c r="C592" s="344"/>
      <c r="D592" s="344" t="s">
        <v>12341</v>
      </c>
      <c r="E592" s="344" t="s">
        <v>12341</v>
      </c>
      <c r="F592" s="344"/>
      <c r="G592" s="344"/>
      <c r="H592" s="344"/>
      <c r="I592" s="344"/>
      <c r="J592" s="344"/>
      <c r="K592" s="344" t="s">
        <v>13464</v>
      </c>
      <c r="L592" s="344" t="s">
        <v>13465</v>
      </c>
      <c r="M592" s="344" t="s">
        <v>13213</v>
      </c>
      <c r="N592" s="344" t="s">
        <v>12339</v>
      </c>
      <c r="O592" s="348"/>
      <c r="P592" s="348"/>
      <c r="Q592" s="348"/>
      <c r="R592" s="348"/>
      <c r="S592" s="348"/>
      <c r="T592" s="348"/>
      <c r="U592" s="348"/>
      <c r="V592" s="348"/>
      <c r="W592" s="348"/>
      <c r="X592" s="348"/>
      <c r="Y592" s="348"/>
      <c r="Z592" s="348"/>
    </row>
    <row r="593" spans="1:26" s="64" customFormat="1" ht="47.25" customHeight="1" thickBot="1" x14ac:dyDescent="0.35">
      <c r="A593" s="343">
        <v>45490</v>
      </c>
      <c r="B593" s="345" t="s">
        <v>13466</v>
      </c>
      <c r="C593" s="344"/>
      <c r="D593" s="344" t="s">
        <v>12341</v>
      </c>
      <c r="E593" s="344" t="s">
        <v>12341</v>
      </c>
      <c r="F593" s="344"/>
      <c r="G593" s="344"/>
      <c r="H593" s="344"/>
      <c r="I593" s="344"/>
      <c r="J593" s="344"/>
      <c r="K593" s="344"/>
      <c r="L593" s="344" t="s">
        <v>13467</v>
      </c>
      <c r="M593" s="344" t="s">
        <v>13213</v>
      </c>
      <c r="N593" s="344" t="s">
        <v>12339</v>
      </c>
      <c r="O593" s="348"/>
      <c r="P593" s="348"/>
      <c r="Q593" s="348"/>
      <c r="R593" s="348"/>
      <c r="S593" s="348"/>
      <c r="T593" s="348"/>
      <c r="U593" s="348"/>
      <c r="V593" s="348"/>
      <c r="W593" s="348"/>
      <c r="X593" s="348"/>
      <c r="Y593" s="348"/>
      <c r="Z593" s="348"/>
    </row>
    <row r="594" spans="1:26" s="64" customFormat="1" ht="47.25" customHeight="1" thickBot="1" x14ac:dyDescent="0.35">
      <c r="A594" s="343">
        <v>45490</v>
      </c>
      <c r="B594" s="345" t="s">
        <v>13468</v>
      </c>
      <c r="C594" s="344"/>
      <c r="D594" s="344" t="s">
        <v>12341</v>
      </c>
      <c r="E594" s="344" t="s">
        <v>12341</v>
      </c>
      <c r="F594" s="344"/>
      <c r="G594" s="344"/>
      <c r="H594" s="344"/>
      <c r="I594" s="344"/>
      <c r="J594" s="344"/>
      <c r="K594" s="344" t="s">
        <v>13469</v>
      </c>
      <c r="L594" s="344" t="s">
        <v>13470</v>
      </c>
      <c r="M594" s="344" t="s">
        <v>13213</v>
      </c>
      <c r="N594" s="344" t="s">
        <v>12339</v>
      </c>
      <c r="O594" s="348"/>
      <c r="P594" s="348"/>
      <c r="Q594" s="348"/>
      <c r="R594" s="348"/>
      <c r="S594" s="348"/>
      <c r="T594" s="348"/>
      <c r="U594" s="348"/>
      <c r="V594" s="348"/>
      <c r="W594" s="348"/>
      <c r="X594" s="348"/>
      <c r="Y594" s="348"/>
      <c r="Z594" s="348"/>
    </row>
    <row r="595" spans="1:26" s="64" customFormat="1" ht="47.25" customHeight="1" thickBot="1" x14ac:dyDescent="0.35">
      <c r="A595" s="343">
        <v>45490</v>
      </c>
      <c r="B595" s="345" t="s">
        <v>13471</v>
      </c>
      <c r="C595" s="344"/>
      <c r="D595" s="344" t="s">
        <v>12341</v>
      </c>
      <c r="E595" s="344" t="s">
        <v>12341</v>
      </c>
      <c r="F595" s="344"/>
      <c r="G595" s="344"/>
      <c r="H595" s="344"/>
      <c r="I595" s="344"/>
      <c r="J595" s="344"/>
      <c r="K595" s="344" t="s">
        <v>13472</v>
      </c>
      <c r="L595" s="344" t="s">
        <v>13473</v>
      </c>
      <c r="M595" s="344" t="s">
        <v>13213</v>
      </c>
      <c r="N595" s="344" t="s">
        <v>12339</v>
      </c>
      <c r="O595" s="348"/>
      <c r="P595" s="348"/>
      <c r="Q595" s="348"/>
      <c r="R595" s="348"/>
      <c r="S595" s="348"/>
      <c r="T595" s="348"/>
      <c r="U595" s="348"/>
      <c r="V595" s="348"/>
      <c r="W595" s="348"/>
      <c r="X595" s="348"/>
      <c r="Y595" s="348"/>
      <c r="Z595" s="348"/>
    </row>
    <row r="596" spans="1:26" s="64" customFormat="1" ht="47.25" customHeight="1" thickBot="1" x14ac:dyDescent="0.35">
      <c r="A596" s="343">
        <v>45490</v>
      </c>
      <c r="B596" s="345" t="s">
        <v>13474</v>
      </c>
      <c r="C596" s="344"/>
      <c r="D596" s="344" t="s">
        <v>12341</v>
      </c>
      <c r="E596" s="344" t="s">
        <v>13475</v>
      </c>
      <c r="F596" s="344" t="s">
        <v>12346</v>
      </c>
      <c r="G596" s="347">
        <v>100</v>
      </c>
      <c r="H596" s="344"/>
      <c r="I596" s="347">
        <v>70</v>
      </c>
      <c r="J596" s="344"/>
      <c r="K596" s="344" t="s">
        <v>13476</v>
      </c>
      <c r="L596" s="344" t="s">
        <v>13477</v>
      </c>
      <c r="M596" s="344" t="s">
        <v>13213</v>
      </c>
      <c r="N596" s="344" t="s">
        <v>12339</v>
      </c>
      <c r="O596" s="348"/>
      <c r="P596" s="348"/>
      <c r="Q596" s="348"/>
      <c r="R596" s="348"/>
      <c r="S596" s="348"/>
      <c r="T596" s="348"/>
      <c r="U596" s="348"/>
      <c r="V596" s="348"/>
      <c r="W596" s="348"/>
      <c r="X596" s="348"/>
      <c r="Y596" s="348"/>
      <c r="Z596" s="348"/>
    </row>
    <row r="597" spans="1:26" s="64" customFormat="1" ht="47.25" customHeight="1" thickBot="1" x14ac:dyDescent="0.35">
      <c r="A597" s="343">
        <v>45490</v>
      </c>
      <c r="B597" s="345" t="s">
        <v>13478</v>
      </c>
      <c r="C597" s="344"/>
      <c r="D597" s="344" t="s">
        <v>12341</v>
      </c>
      <c r="E597" s="344" t="s">
        <v>12341</v>
      </c>
      <c r="F597" s="344"/>
      <c r="G597" s="344"/>
      <c r="H597" s="344"/>
      <c r="I597" s="344"/>
      <c r="J597" s="344"/>
      <c r="K597" s="344" t="s">
        <v>13479</v>
      </c>
      <c r="L597" s="344" t="s">
        <v>13480</v>
      </c>
      <c r="M597" s="344" t="s">
        <v>13213</v>
      </c>
      <c r="N597" s="344" t="s">
        <v>12339</v>
      </c>
      <c r="O597" s="348"/>
      <c r="P597" s="348"/>
      <c r="Q597" s="348"/>
      <c r="R597" s="348"/>
      <c r="S597" s="348"/>
      <c r="T597" s="348"/>
      <c r="U597" s="348"/>
      <c r="V597" s="348"/>
      <c r="W597" s="348"/>
      <c r="X597" s="348"/>
      <c r="Y597" s="348"/>
      <c r="Z597" s="348"/>
    </row>
    <row r="598" spans="1:26" s="64" customFormat="1" ht="47.25" customHeight="1" thickBot="1" x14ac:dyDescent="0.35">
      <c r="A598" s="343">
        <v>45490</v>
      </c>
      <c r="B598" s="345" t="s">
        <v>13481</v>
      </c>
      <c r="C598" s="344"/>
      <c r="D598" s="344" t="s">
        <v>12341</v>
      </c>
      <c r="E598" s="344" t="s">
        <v>12341</v>
      </c>
      <c r="F598" s="344"/>
      <c r="G598" s="344"/>
      <c r="H598" s="344"/>
      <c r="I598" s="344"/>
      <c r="J598" s="344"/>
      <c r="K598" s="344" t="s">
        <v>13482</v>
      </c>
      <c r="L598" s="344" t="s">
        <v>13483</v>
      </c>
      <c r="M598" s="344" t="s">
        <v>13213</v>
      </c>
      <c r="N598" s="344" t="s">
        <v>12339</v>
      </c>
      <c r="O598" s="348"/>
      <c r="P598" s="348"/>
      <c r="Q598" s="348"/>
      <c r="R598" s="348"/>
      <c r="S598" s="348"/>
      <c r="T598" s="348"/>
      <c r="U598" s="348"/>
      <c r="V598" s="348"/>
      <c r="W598" s="348"/>
      <c r="X598" s="348"/>
      <c r="Y598" s="348"/>
      <c r="Z598" s="348"/>
    </row>
    <row r="599" spans="1:26" s="64" customFormat="1" ht="47.25" customHeight="1" thickBot="1" x14ac:dyDescent="0.35">
      <c r="A599" s="343">
        <v>45490</v>
      </c>
      <c r="B599" s="345" t="s">
        <v>13484</v>
      </c>
      <c r="C599" s="344"/>
      <c r="D599" s="344" t="s">
        <v>12341</v>
      </c>
      <c r="E599" s="344" t="s">
        <v>12356</v>
      </c>
      <c r="F599" s="344" t="s">
        <v>12346</v>
      </c>
      <c r="G599" s="347">
        <v>80</v>
      </c>
      <c r="H599" s="347">
        <v>40</v>
      </c>
      <c r="I599" s="347">
        <v>40</v>
      </c>
      <c r="J599" s="344" t="s">
        <v>13485</v>
      </c>
      <c r="K599" s="344"/>
      <c r="L599" s="344" t="s">
        <v>12341</v>
      </c>
      <c r="M599" s="344" t="s">
        <v>13213</v>
      </c>
      <c r="N599" s="344" t="s">
        <v>12344</v>
      </c>
      <c r="O599" s="348"/>
      <c r="P599" s="348"/>
      <c r="Q599" s="348"/>
      <c r="R599" s="348"/>
      <c r="S599" s="348"/>
      <c r="T599" s="348"/>
      <c r="U599" s="348"/>
      <c r="V599" s="348"/>
      <c r="W599" s="348"/>
      <c r="X599" s="348"/>
      <c r="Y599" s="348"/>
      <c r="Z599" s="348"/>
    </row>
    <row r="600" spans="1:26" s="64" customFormat="1" ht="47.25" customHeight="1" thickBot="1" x14ac:dyDescent="0.35">
      <c r="A600" s="343">
        <v>45490</v>
      </c>
      <c r="B600" s="345" t="s">
        <v>13466</v>
      </c>
      <c r="C600" s="344"/>
      <c r="D600" s="344" t="s">
        <v>12341</v>
      </c>
      <c r="E600" s="344" t="s">
        <v>13486</v>
      </c>
      <c r="F600" s="344" t="s">
        <v>12346</v>
      </c>
      <c r="G600" s="347">
        <v>160</v>
      </c>
      <c r="H600" s="347">
        <v>86</v>
      </c>
      <c r="I600" s="347">
        <v>74</v>
      </c>
      <c r="J600" s="344"/>
      <c r="K600" s="344" t="s">
        <v>13487</v>
      </c>
      <c r="L600" s="344" t="s">
        <v>13488</v>
      </c>
      <c r="M600" s="344" t="s">
        <v>13213</v>
      </c>
      <c r="N600" s="344" t="s">
        <v>12344</v>
      </c>
      <c r="O600" s="348"/>
      <c r="P600" s="348"/>
      <c r="Q600" s="348"/>
      <c r="R600" s="348"/>
      <c r="S600" s="348"/>
      <c r="T600" s="348"/>
      <c r="U600" s="348"/>
      <c r="V600" s="348"/>
      <c r="W600" s="348"/>
      <c r="X600" s="348"/>
      <c r="Y600" s="348"/>
      <c r="Z600" s="348"/>
    </row>
    <row r="601" spans="1:26" s="64" customFormat="1" ht="47.25" customHeight="1" thickBot="1" x14ac:dyDescent="0.35">
      <c r="A601" s="343">
        <v>45490</v>
      </c>
      <c r="B601" s="345" t="s">
        <v>13489</v>
      </c>
      <c r="C601" s="344"/>
      <c r="D601" s="344" t="s">
        <v>12341</v>
      </c>
      <c r="E601" s="344" t="s">
        <v>12351</v>
      </c>
      <c r="F601" s="344" t="s">
        <v>12360</v>
      </c>
      <c r="G601" s="347">
        <v>0</v>
      </c>
      <c r="H601" s="347">
        <v>0</v>
      </c>
      <c r="I601" s="347">
        <v>140</v>
      </c>
      <c r="J601" s="344" t="s">
        <v>13490</v>
      </c>
      <c r="K601" s="344"/>
      <c r="L601" s="344" t="s">
        <v>12341</v>
      </c>
      <c r="M601" s="344" t="s">
        <v>13213</v>
      </c>
      <c r="N601" s="344" t="s">
        <v>12344</v>
      </c>
      <c r="O601" s="348"/>
      <c r="P601" s="348"/>
      <c r="Q601" s="348"/>
      <c r="R601" s="348"/>
      <c r="S601" s="348"/>
      <c r="T601" s="348"/>
      <c r="U601" s="348"/>
      <c r="V601" s="348"/>
      <c r="W601" s="348"/>
      <c r="X601" s="348"/>
      <c r="Y601" s="348"/>
      <c r="Z601" s="348"/>
    </row>
    <row r="602" spans="1:26" s="64" customFormat="1" ht="47.25" customHeight="1" thickBot="1" x14ac:dyDescent="0.35">
      <c r="A602" s="343">
        <v>45490</v>
      </c>
      <c r="B602" s="345" t="s">
        <v>13491</v>
      </c>
      <c r="C602" s="344"/>
      <c r="D602" s="344" t="s">
        <v>12341</v>
      </c>
      <c r="E602" s="344" t="s">
        <v>12356</v>
      </c>
      <c r="F602" s="344" t="s">
        <v>12346</v>
      </c>
      <c r="G602" s="347">
        <v>80</v>
      </c>
      <c r="H602" s="347">
        <v>40</v>
      </c>
      <c r="I602" s="347">
        <v>40</v>
      </c>
      <c r="J602" s="344"/>
      <c r="K602" s="344"/>
      <c r="L602" s="344" t="s">
        <v>12341</v>
      </c>
      <c r="M602" s="344" t="s">
        <v>13213</v>
      </c>
      <c r="N602" s="344" t="s">
        <v>12344</v>
      </c>
      <c r="O602" s="348"/>
      <c r="P602" s="348"/>
      <c r="Q602" s="348"/>
      <c r="R602" s="348"/>
      <c r="S602" s="348"/>
      <c r="T602" s="348"/>
      <c r="U602" s="348"/>
      <c r="V602" s="348"/>
      <c r="W602" s="348"/>
      <c r="X602" s="348"/>
      <c r="Y602" s="348"/>
      <c r="Z602" s="348"/>
    </row>
    <row r="603" spans="1:26" s="64" customFormat="1" ht="47.25" customHeight="1" thickBot="1" x14ac:dyDescent="0.35">
      <c r="A603" s="343">
        <v>45490</v>
      </c>
      <c r="B603" s="345" t="s">
        <v>13492</v>
      </c>
      <c r="C603" s="344"/>
      <c r="D603" s="344" t="s">
        <v>12341</v>
      </c>
      <c r="E603" s="344" t="s">
        <v>12356</v>
      </c>
      <c r="F603" s="344" t="s">
        <v>12346</v>
      </c>
      <c r="G603" s="347">
        <v>80</v>
      </c>
      <c r="H603" s="347">
        <v>40</v>
      </c>
      <c r="I603" s="347">
        <v>40</v>
      </c>
      <c r="J603" s="344" t="s">
        <v>13493</v>
      </c>
      <c r="K603" s="344"/>
      <c r="L603" s="344" t="s">
        <v>12341</v>
      </c>
      <c r="M603" s="344" t="s">
        <v>13213</v>
      </c>
      <c r="N603" s="344" t="s">
        <v>12344</v>
      </c>
      <c r="O603" s="348"/>
      <c r="P603" s="348"/>
      <c r="Q603" s="348"/>
      <c r="R603" s="348"/>
      <c r="S603" s="348"/>
      <c r="T603" s="348"/>
      <c r="U603" s="348"/>
      <c r="V603" s="348"/>
      <c r="W603" s="348"/>
      <c r="X603" s="348"/>
      <c r="Y603" s="348"/>
      <c r="Z603" s="348"/>
    </row>
    <row r="604" spans="1:26" s="64" customFormat="1" ht="47.25" customHeight="1" thickBot="1" x14ac:dyDescent="0.35">
      <c r="A604" s="343">
        <v>45490</v>
      </c>
      <c r="B604" s="345" t="s">
        <v>13494</v>
      </c>
      <c r="C604" s="344"/>
      <c r="D604" s="344" t="s">
        <v>12341</v>
      </c>
      <c r="E604" s="344" t="s">
        <v>12341</v>
      </c>
      <c r="F604" s="344"/>
      <c r="G604" s="344"/>
      <c r="H604" s="344"/>
      <c r="I604" s="344"/>
      <c r="J604" s="344"/>
      <c r="K604" s="344" t="s">
        <v>13495</v>
      </c>
      <c r="L604" s="344" t="s">
        <v>13496</v>
      </c>
      <c r="M604" s="344" t="s">
        <v>13213</v>
      </c>
      <c r="N604" s="344" t="s">
        <v>12339</v>
      </c>
      <c r="O604" s="348"/>
      <c r="P604" s="348"/>
      <c r="Q604" s="348"/>
      <c r="R604" s="348"/>
      <c r="S604" s="348"/>
      <c r="T604" s="348"/>
      <c r="U604" s="348"/>
      <c r="V604" s="348"/>
      <c r="W604" s="348"/>
      <c r="X604" s="348"/>
      <c r="Y604" s="348"/>
      <c r="Z604" s="348"/>
    </row>
    <row r="605" spans="1:26" s="64" customFormat="1" ht="47.25" customHeight="1" thickBot="1" x14ac:dyDescent="0.35">
      <c r="A605" s="343">
        <v>45490</v>
      </c>
      <c r="B605" s="345" t="s">
        <v>13497</v>
      </c>
      <c r="C605" s="344"/>
      <c r="D605" s="344" t="s">
        <v>12341</v>
      </c>
      <c r="E605" s="344" t="s">
        <v>12341</v>
      </c>
      <c r="F605" s="344"/>
      <c r="G605" s="344"/>
      <c r="H605" s="344"/>
      <c r="I605" s="344"/>
      <c r="J605" s="344"/>
      <c r="K605" s="344" t="s">
        <v>13498</v>
      </c>
      <c r="L605" s="344" t="s">
        <v>13499</v>
      </c>
      <c r="M605" s="344" t="s">
        <v>13213</v>
      </c>
      <c r="N605" s="344" t="s">
        <v>12339</v>
      </c>
      <c r="O605" s="348"/>
      <c r="P605" s="348"/>
      <c r="Q605" s="348"/>
      <c r="R605" s="348"/>
      <c r="S605" s="348"/>
      <c r="T605" s="348"/>
      <c r="U605" s="348"/>
      <c r="V605" s="348"/>
      <c r="W605" s="348"/>
      <c r="X605" s="348"/>
      <c r="Y605" s="348"/>
      <c r="Z605" s="348"/>
    </row>
    <row r="606" spans="1:26" s="64" customFormat="1" ht="47.25" customHeight="1" thickBot="1" x14ac:dyDescent="0.35">
      <c r="A606" s="343">
        <v>45490</v>
      </c>
      <c r="B606" s="345" t="s">
        <v>13500</v>
      </c>
      <c r="C606" s="344"/>
      <c r="D606" s="344" t="s">
        <v>12341</v>
      </c>
      <c r="E606" s="344" t="s">
        <v>12356</v>
      </c>
      <c r="F606" s="344" t="s">
        <v>12346</v>
      </c>
      <c r="G606" s="347">
        <v>80</v>
      </c>
      <c r="H606" s="347">
        <v>40</v>
      </c>
      <c r="I606" s="347">
        <v>40</v>
      </c>
      <c r="J606" s="344"/>
      <c r="K606" s="344"/>
      <c r="L606" s="344" t="s">
        <v>12341</v>
      </c>
      <c r="M606" s="344" t="s">
        <v>13213</v>
      </c>
      <c r="N606" s="344" t="s">
        <v>12344</v>
      </c>
      <c r="O606" s="348"/>
      <c r="P606" s="348"/>
      <c r="Q606" s="348"/>
      <c r="R606" s="348"/>
      <c r="S606" s="348"/>
      <c r="T606" s="348"/>
      <c r="U606" s="348"/>
      <c r="V606" s="348"/>
      <c r="W606" s="348"/>
      <c r="X606" s="348"/>
      <c r="Y606" s="348"/>
      <c r="Z606" s="348"/>
    </row>
    <row r="607" spans="1:26" s="64" customFormat="1" ht="47.25" customHeight="1" thickBot="1" x14ac:dyDescent="0.35">
      <c r="A607" s="343">
        <v>45491</v>
      </c>
      <c r="B607" s="345" t="s">
        <v>13500</v>
      </c>
      <c r="C607" s="344"/>
      <c r="D607" s="344" t="s">
        <v>12341</v>
      </c>
      <c r="E607" s="344" t="s">
        <v>13501</v>
      </c>
      <c r="F607" s="344" t="s">
        <v>12346</v>
      </c>
      <c r="G607" s="347">
        <v>100</v>
      </c>
      <c r="H607" s="344"/>
      <c r="I607" s="347">
        <v>35</v>
      </c>
      <c r="J607" s="344" t="s">
        <v>13502</v>
      </c>
      <c r="K607" s="344"/>
      <c r="L607" s="344" t="s">
        <v>12341</v>
      </c>
      <c r="M607" s="344" t="s">
        <v>13213</v>
      </c>
      <c r="N607" s="344" t="s">
        <v>12339</v>
      </c>
      <c r="O607" s="348"/>
      <c r="P607" s="348"/>
      <c r="Q607" s="348"/>
      <c r="R607" s="348"/>
      <c r="S607" s="348"/>
      <c r="T607" s="348"/>
      <c r="U607" s="348"/>
      <c r="V607" s="348"/>
      <c r="W607" s="348"/>
      <c r="X607" s="348"/>
      <c r="Y607" s="348"/>
      <c r="Z607" s="348"/>
    </row>
    <row r="608" spans="1:26" s="64" customFormat="1" ht="47.25" customHeight="1" thickBot="1" x14ac:dyDescent="0.35">
      <c r="A608" s="343">
        <v>45491</v>
      </c>
      <c r="B608" s="345" t="s">
        <v>13503</v>
      </c>
      <c r="C608" s="344"/>
      <c r="D608" s="344" t="s">
        <v>12341</v>
      </c>
      <c r="E608" s="344" t="s">
        <v>12356</v>
      </c>
      <c r="F608" s="344" t="s">
        <v>12346</v>
      </c>
      <c r="G608" s="347">
        <v>80</v>
      </c>
      <c r="H608" s="344"/>
      <c r="I608" s="347">
        <v>40</v>
      </c>
      <c r="J608" s="344"/>
      <c r="K608" s="344"/>
      <c r="L608" s="344" t="s">
        <v>12341</v>
      </c>
      <c r="M608" s="344" t="s">
        <v>13213</v>
      </c>
      <c r="N608" s="344" t="s">
        <v>12344</v>
      </c>
      <c r="O608" s="348"/>
      <c r="P608" s="348"/>
      <c r="Q608" s="348"/>
      <c r="R608" s="348"/>
      <c r="S608" s="348"/>
      <c r="T608" s="348"/>
      <c r="U608" s="348"/>
      <c r="V608" s="348"/>
      <c r="W608" s="348"/>
      <c r="X608" s="348"/>
      <c r="Y608" s="348"/>
      <c r="Z608" s="348"/>
    </row>
    <row r="609" spans="1:26" s="64" customFormat="1" ht="47.25" customHeight="1" thickBot="1" x14ac:dyDescent="0.35">
      <c r="A609" s="343">
        <v>45491</v>
      </c>
      <c r="B609" s="345" t="s">
        <v>13504</v>
      </c>
      <c r="C609" s="344"/>
      <c r="D609" s="344" t="s">
        <v>12341</v>
      </c>
      <c r="E609" s="344" t="s">
        <v>12341</v>
      </c>
      <c r="F609" s="344"/>
      <c r="G609" s="344"/>
      <c r="H609" s="344"/>
      <c r="I609" s="344"/>
      <c r="J609" s="344"/>
      <c r="K609" s="344" t="s">
        <v>13505</v>
      </c>
      <c r="L609" s="344" t="s">
        <v>13506</v>
      </c>
      <c r="M609" s="344" t="s">
        <v>13213</v>
      </c>
      <c r="N609" s="344" t="s">
        <v>12339</v>
      </c>
      <c r="O609" s="348"/>
      <c r="P609" s="348"/>
      <c r="Q609" s="348"/>
      <c r="R609" s="348"/>
      <c r="S609" s="348"/>
      <c r="T609" s="348"/>
      <c r="U609" s="348"/>
      <c r="V609" s="348"/>
      <c r="W609" s="348"/>
      <c r="X609" s="348"/>
      <c r="Y609" s="348"/>
      <c r="Z609" s="348"/>
    </row>
    <row r="610" spans="1:26" s="64" customFormat="1" ht="47.25" customHeight="1" thickBot="1" x14ac:dyDescent="0.35">
      <c r="A610" s="343">
        <v>45491</v>
      </c>
      <c r="B610" s="345" t="s">
        <v>13507</v>
      </c>
      <c r="C610" s="344"/>
      <c r="D610" s="344" t="s">
        <v>12341</v>
      </c>
      <c r="E610" s="344" t="s">
        <v>12342</v>
      </c>
      <c r="F610" s="344" t="s">
        <v>12346</v>
      </c>
      <c r="G610" s="347">
        <v>160</v>
      </c>
      <c r="H610" s="344"/>
      <c r="I610" s="347">
        <v>74</v>
      </c>
      <c r="J610" s="344"/>
      <c r="K610" s="344"/>
      <c r="L610" s="344" t="s">
        <v>12341</v>
      </c>
      <c r="M610" s="344" t="s">
        <v>13213</v>
      </c>
      <c r="N610" s="344" t="s">
        <v>12344</v>
      </c>
      <c r="O610" s="348"/>
      <c r="P610" s="348"/>
      <c r="Q610" s="348"/>
      <c r="R610" s="348"/>
      <c r="S610" s="348"/>
      <c r="T610" s="348"/>
      <c r="U610" s="348"/>
      <c r="V610" s="348"/>
      <c r="W610" s="348"/>
      <c r="X610" s="348"/>
      <c r="Y610" s="348"/>
      <c r="Z610" s="348"/>
    </row>
    <row r="611" spans="1:26" s="64" customFormat="1" ht="47.25" customHeight="1" thickBot="1" x14ac:dyDescent="0.35">
      <c r="A611" s="343">
        <v>45491</v>
      </c>
      <c r="B611" s="345" t="s">
        <v>13508</v>
      </c>
      <c r="C611" s="344"/>
      <c r="D611" s="344" t="s">
        <v>12341</v>
      </c>
      <c r="E611" s="344" t="s">
        <v>12341</v>
      </c>
      <c r="F611" s="344"/>
      <c r="G611" s="344"/>
      <c r="H611" s="344"/>
      <c r="I611" s="344"/>
      <c r="J611" s="344"/>
      <c r="K611" s="344" t="s">
        <v>13509</v>
      </c>
      <c r="L611" s="344" t="s">
        <v>13510</v>
      </c>
      <c r="M611" s="344" t="s">
        <v>13213</v>
      </c>
      <c r="N611" s="344" t="s">
        <v>12339</v>
      </c>
      <c r="O611" s="348"/>
      <c r="P611" s="348"/>
      <c r="Q611" s="348"/>
      <c r="R611" s="348"/>
      <c r="S611" s="348"/>
      <c r="T611" s="348"/>
      <c r="U611" s="348"/>
      <c r="V611" s="348"/>
      <c r="W611" s="348"/>
      <c r="X611" s="348"/>
      <c r="Y611" s="348"/>
      <c r="Z611" s="348"/>
    </row>
    <row r="612" spans="1:26" s="64" customFormat="1" ht="47.25" customHeight="1" thickBot="1" x14ac:dyDescent="0.35">
      <c r="A612" s="343">
        <v>45491</v>
      </c>
      <c r="B612" s="345" t="s">
        <v>13511</v>
      </c>
      <c r="C612" s="344"/>
      <c r="D612" s="344" t="s">
        <v>12341</v>
      </c>
      <c r="E612" s="344" t="s">
        <v>12341</v>
      </c>
      <c r="F612" s="344"/>
      <c r="G612" s="344"/>
      <c r="H612" s="344"/>
      <c r="I612" s="344"/>
      <c r="J612" s="344"/>
      <c r="K612" s="344" t="s">
        <v>13512</v>
      </c>
      <c r="L612" s="344" t="s">
        <v>13513</v>
      </c>
      <c r="M612" s="344" t="s">
        <v>13213</v>
      </c>
      <c r="N612" s="344" t="s">
        <v>12339</v>
      </c>
      <c r="O612" s="348"/>
      <c r="P612" s="348"/>
      <c r="Q612" s="348"/>
      <c r="R612" s="348"/>
      <c r="S612" s="348"/>
      <c r="T612" s="348"/>
      <c r="U612" s="348"/>
      <c r="V612" s="348"/>
      <c r="W612" s="348"/>
      <c r="X612" s="348"/>
      <c r="Y612" s="348"/>
      <c r="Z612" s="348"/>
    </row>
    <row r="613" spans="1:26" s="64" customFormat="1" ht="47.25" customHeight="1" thickBot="1" x14ac:dyDescent="0.35">
      <c r="A613" s="343">
        <v>45491</v>
      </c>
      <c r="B613" s="345" t="s">
        <v>13514</v>
      </c>
      <c r="C613" s="344"/>
      <c r="D613" s="344" t="s">
        <v>12341</v>
      </c>
      <c r="E613" s="344" t="s">
        <v>12356</v>
      </c>
      <c r="F613" s="344" t="s">
        <v>12346</v>
      </c>
      <c r="G613" s="347">
        <v>130</v>
      </c>
      <c r="H613" s="344"/>
      <c r="I613" s="347">
        <v>50</v>
      </c>
      <c r="J613" s="344" t="s">
        <v>13515</v>
      </c>
      <c r="K613" s="344" t="s">
        <v>13516</v>
      </c>
      <c r="L613" s="344" t="s">
        <v>13517</v>
      </c>
      <c r="M613" s="344" t="s">
        <v>13213</v>
      </c>
      <c r="N613" s="344" t="s">
        <v>12344</v>
      </c>
      <c r="O613" s="348"/>
      <c r="P613" s="348"/>
      <c r="Q613" s="348"/>
      <c r="R613" s="348"/>
      <c r="S613" s="348"/>
      <c r="T613" s="348"/>
      <c r="U613" s="348"/>
      <c r="V613" s="348"/>
      <c r="W613" s="348"/>
      <c r="X613" s="348"/>
      <c r="Y613" s="348"/>
      <c r="Z613" s="348"/>
    </row>
    <row r="614" spans="1:26" s="64" customFormat="1" ht="47.25" customHeight="1" thickBot="1" x14ac:dyDescent="0.35">
      <c r="A614" s="343">
        <v>45491</v>
      </c>
      <c r="B614" s="345" t="s">
        <v>13518</v>
      </c>
      <c r="C614" s="344"/>
      <c r="D614" s="344" t="s">
        <v>12341</v>
      </c>
      <c r="E614" s="344" t="s">
        <v>13519</v>
      </c>
      <c r="F614" s="344" t="s">
        <v>12346</v>
      </c>
      <c r="G614" s="347">
        <v>150</v>
      </c>
      <c r="H614" s="347">
        <v>0</v>
      </c>
      <c r="I614" s="347">
        <v>100</v>
      </c>
      <c r="J614" s="344"/>
      <c r="K614" s="344"/>
      <c r="L614" s="344" t="s">
        <v>12341</v>
      </c>
      <c r="M614" s="344" t="s">
        <v>13213</v>
      </c>
      <c r="N614" s="344" t="s">
        <v>12339</v>
      </c>
      <c r="O614" s="348"/>
      <c r="P614" s="348"/>
      <c r="Q614" s="348"/>
      <c r="R614" s="348"/>
      <c r="S614" s="348"/>
      <c r="T614" s="348"/>
      <c r="U614" s="348"/>
      <c r="V614" s="348"/>
      <c r="W614" s="348"/>
      <c r="X614" s="348"/>
      <c r="Y614" s="348"/>
      <c r="Z614" s="348"/>
    </row>
    <row r="615" spans="1:26" s="64" customFormat="1" ht="47.25" customHeight="1" thickBot="1" x14ac:dyDescent="0.35">
      <c r="A615" s="343">
        <v>45491</v>
      </c>
      <c r="B615" s="345" t="s">
        <v>13520</v>
      </c>
      <c r="C615" s="344"/>
      <c r="D615" s="344" t="s">
        <v>12341</v>
      </c>
      <c r="E615" s="344" t="s">
        <v>13521</v>
      </c>
      <c r="F615" s="344" t="s">
        <v>12346</v>
      </c>
      <c r="G615" s="347">
        <v>140</v>
      </c>
      <c r="H615" s="347">
        <v>70</v>
      </c>
      <c r="I615" s="347">
        <v>70</v>
      </c>
      <c r="J615" s="344" t="s">
        <v>13522</v>
      </c>
      <c r="K615" s="344"/>
      <c r="L615" s="344" t="s">
        <v>12341</v>
      </c>
      <c r="M615" s="344" t="s">
        <v>13213</v>
      </c>
      <c r="N615" s="344" t="s">
        <v>12344</v>
      </c>
      <c r="O615" s="348"/>
      <c r="P615" s="348"/>
      <c r="Q615" s="348"/>
      <c r="R615" s="348"/>
      <c r="S615" s="348"/>
      <c r="T615" s="348"/>
      <c r="U615" s="348"/>
      <c r="V615" s="348"/>
      <c r="W615" s="348"/>
      <c r="X615" s="348"/>
      <c r="Y615" s="348"/>
      <c r="Z615" s="348"/>
    </row>
    <row r="616" spans="1:26" s="64" customFormat="1" ht="47.25" customHeight="1" thickBot="1" x14ac:dyDescent="0.35">
      <c r="A616" s="343">
        <v>45491</v>
      </c>
      <c r="B616" s="345" t="s">
        <v>13523</v>
      </c>
      <c r="C616" s="344"/>
      <c r="D616" s="344" t="s">
        <v>12341</v>
      </c>
      <c r="E616" s="344" t="s">
        <v>13524</v>
      </c>
      <c r="F616" s="344" t="s">
        <v>12346</v>
      </c>
      <c r="G616" s="347">
        <v>100</v>
      </c>
      <c r="H616" s="344"/>
      <c r="I616" s="347">
        <v>60</v>
      </c>
      <c r="J616" s="344" t="s">
        <v>13525</v>
      </c>
      <c r="K616" s="344"/>
      <c r="L616" s="344" t="s">
        <v>12341</v>
      </c>
      <c r="M616" s="344" t="s">
        <v>13213</v>
      </c>
      <c r="N616" s="344" t="s">
        <v>12339</v>
      </c>
      <c r="O616" s="348"/>
      <c r="P616" s="348"/>
      <c r="Q616" s="348"/>
      <c r="R616" s="348"/>
      <c r="S616" s="348"/>
      <c r="T616" s="348"/>
      <c r="U616" s="348"/>
      <c r="V616" s="348"/>
      <c r="W616" s="348"/>
      <c r="X616" s="348"/>
      <c r="Y616" s="348"/>
      <c r="Z616" s="348"/>
    </row>
    <row r="617" spans="1:26" s="64" customFormat="1" ht="47.25" customHeight="1" thickBot="1" x14ac:dyDescent="0.35">
      <c r="A617" s="343">
        <v>45491</v>
      </c>
      <c r="B617" s="345" t="s">
        <v>13526</v>
      </c>
      <c r="C617" s="344"/>
      <c r="D617" s="344" t="s">
        <v>12341</v>
      </c>
      <c r="E617" s="344" t="s">
        <v>12341</v>
      </c>
      <c r="F617" s="344"/>
      <c r="G617" s="344"/>
      <c r="H617" s="344"/>
      <c r="I617" s="344"/>
      <c r="J617" s="344"/>
      <c r="K617" s="344" t="s">
        <v>13527</v>
      </c>
      <c r="L617" s="344" t="s">
        <v>13528</v>
      </c>
      <c r="M617" s="344" t="s">
        <v>13213</v>
      </c>
      <c r="N617" s="344" t="s">
        <v>12339</v>
      </c>
      <c r="O617" s="348"/>
      <c r="P617" s="348"/>
      <c r="Q617" s="348"/>
      <c r="R617" s="348"/>
      <c r="S617" s="348"/>
      <c r="T617" s="348"/>
      <c r="U617" s="348"/>
      <c r="V617" s="348"/>
      <c r="W617" s="348"/>
      <c r="X617" s="348"/>
      <c r="Y617" s="348"/>
      <c r="Z617" s="348"/>
    </row>
    <row r="618" spans="1:26" s="64" customFormat="1" ht="47.25" customHeight="1" thickBot="1" x14ac:dyDescent="0.35">
      <c r="A618" s="343">
        <v>45491</v>
      </c>
      <c r="B618" s="345" t="s">
        <v>13529</v>
      </c>
      <c r="C618" s="344"/>
      <c r="D618" s="344" t="s">
        <v>12341</v>
      </c>
      <c r="E618" s="344" t="s">
        <v>13530</v>
      </c>
      <c r="F618" s="344" t="s">
        <v>12346</v>
      </c>
      <c r="G618" s="347">
        <v>50</v>
      </c>
      <c r="H618" s="344"/>
      <c r="I618" s="347">
        <v>30</v>
      </c>
      <c r="J618" s="344" t="s">
        <v>13531</v>
      </c>
      <c r="K618" s="344" t="s">
        <v>13532</v>
      </c>
      <c r="L618" s="344" t="s">
        <v>13533</v>
      </c>
      <c r="M618" s="344" t="s">
        <v>13213</v>
      </c>
      <c r="N618" s="344" t="s">
        <v>12339</v>
      </c>
      <c r="O618" s="348"/>
      <c r="P618" s="348"/>
      <c r="Q618" s="348"/>
      <c r="R618" s="348"/>
      <c r="S618" s="348"/>
      <c r="T618" s="348"/>
      <c r="U618" s="348"/>
      <c r="V618" s="348"/>
      <c r="W618" s="348"/>
      <c r="X618" s="348"/>
      <c r="Y618" s="348"/>
      <c r="Z618" s="348"/>
    </row>
    <row r="619" spans="1:26" s="64" customFormat="1" ht="47.25" customHeight="1" thickBot="1" x14ac:dyDescent="0.35">
      <c r="A619" s="343">
        <v>45491</v>
      </c>
      <c r="B619" s="345" t="s">
        <v>13534</v>
      </c>
      <c r="C619" s="344"/>
      <c r="D619" s="344" t="s">
        <v>12341</v>
      </c>
      <c r="E619" s="344" t="s">
        <v>12341</v>
      </c>
      <c r="F619" s="344"/>
      <c r="G619" s="344"/>
      <c r="H619" s="344"/>
      <c r="I619" s="344"/>
      <c r="J619" s="344"/>
      <c r="K619" s="344" t="s">
        <v>13535</v>
      </c>
      <c r="L619" s="344" t="s">
        <v>13536</v>
      </c>
      <c r="M619" s="344" t="s">
        <v>13213</v>
      </c>
      <c r="N619" s="344" t="s">
        <v>12339</v>
      </c>
      <c r="O619" s="348"/>
      <c r="P619" s="348"/>
      <c r="Q619" s="348"/>
      <c r="R619" s="348"/>
      <c r="S619" s="348"/>
      <c r="T619" s="348"/>
      <c r="U619" s="348"/>
      <c r="V619" s="348"/>
      <c r="W619" s="348"/>
      <c r="X619" s="348"/>
      <c r="Y619" s="348"/>
      <c r="Z619" s="348"/>
    </row>
    <row r="620" spans="1:26" s="64" customFormat="1" ht="47.25" customHeight="1" thickBot="1" x14ac:dyDescent="0.35">
      <c r="A620" s="343">
        <v>45491</v>
      </c>
      <c r="B620" s="345" t="s">
        <v>13537</v>
      </c>
      <c r="C620" s="344"/>
      <c r="D620" s="344" t="s">
        <v>12341</v>
      </c>
      <c r="E620" s="344" t="s">
        <v>12341</v>
      </c>
      <c r="F620" s="344"/>
      <c r="G620" s="344"/>
      <c r="H620" s="344"/>
      <c r="I620" s="344"/>
      <c r="J620" s="344"/>
      <c r="K620" s="344" t="s">
        <v>13538</v>
      </c>
      <c r="L620" s="344" t="s">
        <v>13539</v>
      </c>
      <c r="M620" s="344" t="s">
        <v>13213</v>
      </c>
      <c r="N620" s="344" t="s">
        <v>12339</v>
      </c>
      <c r="O620" s="348"/>
      <c r="P620" s="348"/>
      <c r="Q620" s="348"/>
      <c r="R620" s="348"/>
      <c r="S620" s="348"/>
      <c r="T620" s="348"/>
      <c r="U620" s="348"/>
      <c r="V620" s="348"/>
      <c r="W620" s="348"/>
      <c r="X620" s="348"/>
      <c r="Y620" s="348"/>
      <c r="Z620" s="348"/>
    </row>
    <row r="621" spans="1:26" s="64" customFormat="1" ht="47.25" customHeight="1" thickBot="1" x14ac:dyDescent="0.35">
      <c r="A621" s="343">
        <v>45492</v>
      </c>
      <c r="B621" s="345" t="s">
        <v>13540</v>
      </c>
      <c r="C621" s="344"/>
      <c r="D621" s="344" t="s">
        <v>12341</v>
      </c>
      <c r="E621" s="344" t="s">
        <v>12341</v>
      </c>
      <c r="F621" s="344"/>
      <c r="G621" s="344"/>
      <c r="H621" s="344"/>
      <c r="I621" s="344"/>
      <c r="J621" s="344"/>
      <c r="K621" s="344" t="s">
        <v>13541</v>
      </c>
      <c r="L621" s="344" t="s">
        <v>13542</v>
      </c>
      <c r="M621" s="344" t="s">
        <v>13213</v>
      </c>
      <c r="N621" s="344" t="s">
        <v>12339</v>
      </c>
      <c r="O621" s="348"/>
      <c r="P621" s="348"/>
      <c r="Q621" s="348"/>
      <c r="R621" s="348"/>
      <c r="S621" s="348"/>
      <c r="T621" s="348"/>
      <c r="U621" s="348"/>
      <c r="V621" s="348"/>
      <c r="W621" s="348"/>
      <c r="X621" s="348"/>
      <c r="Y621" s="348"/>
      <c r="Z621" s="348"/>
    </row>
    <row r="622" spans="1:26" s="64" customFormat="1" ht="47.25" customHeight="1" thickBot="1" x14ac:dyDescent="0.35">
      <c r="A622" s="343">
        <v>45492</v>
      </c>
      <c r="B622" s="345" t="s">
        <v>13543</v>
      </c>
      <c r="C622" s="344"/>
      <c r="D622" s="344" t="s">
        <v>12341</v>
      </c>
      <c r="E622" s="344" t="s">
        <v>12341</v>
      </c>
      <c r="F622" s="344"/>
      <c r="G622" s="344"/>
      <c r="H622" s="344"/>
      <c r="I622" s="344"/>
      <c r="J622" s="344"/>
      <c r="K622" s="344" t="s">
        <v>13544</v>
      </c>
      <c r="L622" s="344" t="s">
        <v>13545</v>
      </c>
      <c r="M622" s="344" t="s">
        <v>13213</v>
      </c>
      <c r="N622" s="344" t="s">
        <v>12339</v>
      </c>
      <c r="O622" s="348"/>
      <c r="P622" s="348"/>
      <c r="Q622" s="348"/>
      <c r="R622" s="348"/>
      <c r="S622" s="348"/>
      <c r="T622" s="348"/>
      <c r="U622" s="348"/>
      <c r="V622" s="348"/>
      <c r="W622" s="348"/>
      <c r="X622" s="348"/>
      <c r="Y622" s="348"/>
      <c r="Z622" s="348"/>
    </row>
    <row r="623" spans="1:26" s="64" customFormat="1" ht="47.25" customHeight="1" thickBot="1" x14ac:dyDescent="0.35">
      <c r="A623" s="343">
        <v>45492</v>
      </c>
      <c r="B623" s="345" t="s">
        <v>13546</v>
      </c>
      <c r="C623" s="344"/>
      <c r="D623" s="344" t="s">
        <v>12341</v>
      </c>
      <c r="E623" s="344" t="s">
        <v>12341</v>
      </c>
      <c r="F623" s="344"/>
      <c r="G623" s="344"/>
      <c r="H623" s="344"/>
      <c r="I623" s="344"/>
      <c r="J623" s="344"/>
      <c r="K623" s="344" t="s">
        <v>13547</v>
      </c>
      <c r="L623" s="344" t="s">
        <v>13548</v>
      </c>
      <c r="M623" s="344" t="s">
        <v>13213</v>
      </c>
      <c r="N623" s="344" t="s">
        <v>12339</v>
      </c>
      <c r="O623" s="348"/>
      <c r="P623" s="348"/>
      <c r="Q623" s="348"/>
      <c r="R623" s="348"/>
      <c r="S623" s="348"/>
      <c r="T623" s="348"/>
      <c r="U623" s="348"/>
      <c r="V623" s="348"/>
      <c r="W623" s="348"/>
      <c r="X623" s="348"/>
      <c r="Y623" s="348"/>
      <c r="Z623" s="348"/>
    </row>
    <row r="624" spans="1:26" s="64" customFormat="1" ht="47.25" customHeight="1" thickBot="1" x14ac:dyDescent="0.35">
      <c r="A624" s="343">
        <v>45492</v>
      </c>
      <c r="B624" s="345" t="s">
        <v>13549</v>
      </c>
      <c r="C624" s="344"/>
      <c r="D624" s="344" t="s">
        <v>12341</v>
      </c>
      <c r="E624" s="344" t="s">
        <v>12341</v>
      </c>
      <c r="F624" s="344"/>
      <c r="G624" s="344"/>
      <c r="H624" s="344"/>
      <c r="I624" s="344"/>
      <c r="J624" s="344"/>
      <c r="K624" s="344" t="s">
        <v>13550</v>
      </c>
      <c r="L624" s="344" t="s">
        <v>13551</v>
      </c>
      <c r="M624" s="344" t="s">
        <v>13213</v>
      </c>
      <c r="N624" s="344" t="s">
        <v>12339</v>
      </c>
      <c r="O624" s="348"/>
      <c r="P624" s="348"/>
      <c r="Q624" s="348"/>
      <c r="R624" s="348"/>
      <c r="S624" s="348"/>
      <c r="T624" s="348"/>
      <c r="U624" s="348"/>
      <c r="V624" s="348"/>
      <c r="W624" s="348"/>
      <c r="X624" s="348"/>
      <c r="Y624" s="348"/>
      <c r="Z624" s="348"/>
    </row>
    <row r="625" spans="1:26" s="64" customFormat="1" ht="47.25" customHeight="1" thickBot="1" x14ac:dyDescent="0.35">
      <c r="A625" s="343">
        <v>45492</v>
      </c>
      <c r="B625" s="345" t="s">
        <v>13552</v>
      </c>
      <c r="C625" s="344"/>
      <c r="D625" s="344" t="s">
        <v>12341</v>
      </c>
      <c r="E625" s="344" t="s">
        <v>12356</v>
      </c>
      <c r="F625" s="344" t="s">
        <v>12346</v>
      </c>
      <c r="G625" s="347">
        <v>80</v>
      </c>
      <c r="H625" s="347">
        <v>40</v>
      </c>
      <c r="I625" s="347">
        <v>40</v>
      </c>
      <c r="J625" s="344"/>
      <c r="K625" s="344" t="s">
        <v>13553</v>
      </c>
      <c r="L625" s="344" t="s">
        <v>13554</v>
      </c>
      <c r="M625" s="344" t="s">
        <v>13213</v>
      </c>
      <c r="N625" s="344" t="s">
        <v>12344</v>
      </c>
      <c r="O625" s="348"/>
      <c r="P625" s="348"/>
      <c r="Q625" s="348"/>
      <c r="R625" s="348"/>
      <c r="S625" s="348"/>
      <c r="T625" s="348"/>
      <c r="U625" s="348"/>
      <c r="V625" s="348"/>
      <c r="W625" s="348"/>
      <c r="X625" s="348"/>
      <c r="Y625" s="348"/>
      <c r="Z625" s="348"/>
    </row>
    <row r="626" spans="1:26" s="64" customFormat="1" ht="47.25" customHeight="1" thickBot="1" x14ac:dyDescent="0.35">
      <c r="A626" s="343">
        <v>45492</v>
      </c>
      <c r="B626" s="345" t="s">
        <v>13555</v>
      </c>
      <c r="C626" s="344"/>
      <c r="D626" s="344" t="s">
        <v>12341</v>
      </c>
      <c r="E626" s="344" t="s">
        <v>12341</v>
      </c>
      <c r="F626" s="344"/>
      <c r="G626" s="344"/>
      <c r="H626" s="344"/>
      <c r="I626" s="344"/>
      <c r="J626" s="344"/>
      <c r="K626" s="344" t="s">
        <v>13556</v>
      </c>
      <c r="L626" s="344" t="s">
        <v>13164</v>
      </c>
      <c r="M626" s="344" t="s">
        <v>13213</v>
      </c>
      <c r="N626" s="344" t="s">
        <v>12339</v>
      </c>
      <c r="O626" s="348"/>
      <c r="P626" s="348"/>
      <c r="Q626" s="348"/>
      <c r="R626" s="348"/>
      <c r="S626" s="348"/>
      <c r="T626" s="348"/>
      <c r="U626" s="348"/>
      <c r="V626" s="348"/>
      <c r="W626" s="348"/>
      <c r="X626" s="348"/>
      <c r="Y626" s="348"/>
      <c r="Z626" s="348"/>
    </row>
    <row r="627" spans="1:26" s="64" customFormat="1" ht="47.25" customHeight="1" thickBot="1" x14ac:dyDescent="0.35">
      <c r="A627" s="343">
        <v>45495</v>
      </c>
      <c r="B627" s="345" t="s">
        <v>13557</v>
      </c>
      <c r="C627" s="344"/>
      <c r="D627" s="344" t="s">
        <v>12341</v>
      </c>
      <c r="E627" s="344" t="s">
        <v>12341</v>
      </c>
      <c r="F627" s="344"/>
      <c r="G627" s="344"/>
      <c r="H627" s="344"/>
      <c r="I627" s="344"/>
      <c r="J627" s="344"/>
      <c r="K627" s="344" t="s">
        <v>13558</v>
      </c>
      <c r="L627" s="344" t="s">
        <v>12341</v>
      </c>
      <c r="M627" s="344" t="s">
        <v>13213</v>
      </c>
      <c r="N627" s="344" t="s">
        <v>12339</v>
      </c>
      <c r="O627" s="348"/>
      <c r="P627" s="348"/>
      <c r="Q627" s="348"/>
      <c r="R627" s="348"/>
      <c r="S627" s="348"/>
      <c r="T627" s="348"/>
      <c r="U627" s="348"/>
      <c r="V627" s="348"/>
      <c r="W627" s="348"/>
      <c r="X627" s="348"/>
      <c r="Y627" s="348"/>
      <c r="Z627" s="348"/>
    </row>
    <row r="628" spans="1:26" s="64" customFormat="1" ht="47.25" customHeight="1" thickBot="1" x14ac:dyDescent="0.35">
      <c r="A628" s="343">
        <v>45495</v>
      </c>
      <c r="B628" s="345" t="s">
        <v>13559</v>
      </c>
      <c r="C628" s="344"/>
      <c r="D628" s="344" t="s">
        <v>12341</v>
      </c>
      <c r="E628" s="344" t="s">
        <v>13560</v>
      </c>
      <c r="F628" s="344" t="s">
        <v>12360</v>
      </c>
      <c r="G628" s="344"/>
      <c r="H628" s="344"/>
      <c r="I628" s="347">
        <v>150</v>
      </c>
      <c r="J628" s="344" t="s">
        <v>13561</v>
      </c>
      <c r="K628" s="344"/>
      <c r="L628" s="344" t="s">
        <v>12341</v>
      </c>
      <c r="M628" s="344" t="s">
        <v>13213</v>
      </c>
      <c r="N628" s="344" t="s">
        <v>12339</v>
      </c>
      <c r="O628" s="348"/>
      <c r="P628" s="348"/>
      <c r="Q628" s="348"/>
      <c r="R628" s="348"/>
      <c r="S628" s="348"/>
      <c r="T628" s="348"/>
      <c r="U628" s="348"/>
      <c r="V628" s="348"/>
      <c r="W628" s="348"/>
      <c r="X628" s="348"/>
      <c r="Y628" s="348"/>
      <c r="Z628" s="348"/>
    </row>
    <row r="629" spans="1:26" s="64" customFormat="1" ht="47.25" customHeight="1" thickBot="1" x14ac:dyDescent="0.35">
      <c r="A629" s="343">
        <v>45495</v>
      </c>
      <c r="B629" s="345" t="s">
        <v>13562</v>
      </c>
      <c r="C629" s="344"/>
      <c r="D629" s="344" t="s">
        <v>12341</v>
      </c>
      <c r="E629" s="344" t="s">
        <v>13563</v>
      </c>
      <c r="F629" s="344" t="s">
        <v>12346</v>
      </c>
      <c r="G629" s="347">
        <v>160</v>
      </c>
      <c r="H629" s="344"/>
      <c r="I629" s="347">
        <v>74</v>
      </c>
      <c r="J629" s="344"/>
      <c r="K629" s="344"/>
      <c r="L629" s="344" t="s">
        <v>12341</v>
      </c>
      <c r="M629" s="344" t="s">
        <v>13213</v>
      </c>
      <c r="N629" s="344" t="s">
        <v>12339</v>
      </c>
      <c r="O629" s="348"/>
      <c r="P629" s="348"/>
      <c r="Q629" s="348"/>
      <c r="R629" s="348"/>
      <c r="S629" s="348"/>
      <c r="T629" s="348"/>
      <c r="U629" s="348"/>
      <c r="V629" s="348"/>
      <c r="W629" s="348"/>
      <c r="X629" s="348"/>
      <c r="Y629" s="348"/>
      <c r="Z629" s="348"/>
    </row>
    <row r="630" spans="1:26" s="64" customFormat="1" ht="47.25" customHeight="1" thickBot="1" x14ac:dyDescent="0.35">
      <c r="A630" s="343">
        <v>45495</v>
      </c>
      <c r="B630" s="345" t="s">
        <v>13564</v>
      </c>
      <c r="C630" s="344"/>
      <c r="D630" s="344" t="s">
        <v>12341</v>
      </c>
      <c r="E630" s="344" t="s">
        <v>13565</v>
      </c>
      <c r="F630" s="344" t="s">
        <v>12365</v>
      </c>
      <c r="G630" s="344"/>
      <c r="H630" s="344"/>
      <c r="I630" s="347">
        <v>70</v>
      </c>
      <c r="J630" s="344"/>
      <c r="K630" s="344"/>
      <c r="L630" s="344" t="s">
        <v>12341</v>
      </c>
      <c r="M630" s="344" t="s">
        <v>13213</v>
      </c>
      <c r="N630" s="344" t="s">
        <v>12344</v>
      </c>
      <c r="O630" s="348"/>
      <c r="P630" s="348"/>
      <c r="Q630" s="348"/>
      <c r="R630" s="348"/>
      <c r="S630" s="348"/>
      <c r="T630" s="348"/>
      <c r="U630" s="348"/>
      <c r="V630" s="348"/>
      <c r="W630" s="348"/>
      <c r="X630" s="348"/>
      <c r="Y630" s="348"/>
      <c r="Z630" s="348"/>
    </row>
    <row r="631" spans="1:26" s="64" customFormat="1" ht="47.25" customHeight="1" thickBot="1" x14ac:dyDescent="0.35">
      <c r="A631" s="343">
        <v>45495</v>
      </c>
      <c r="B631" s="345" t="s">
        <v>13566</v>
      </c>
      <c r="C631" s="344"/>
      <c r="D631" s="344" t="s">
        <v>12341</v>
      </c>
      <c r="E631" s="344" t="s">
        <v>12341</v>
      </c>
      <c r="F631" s="344"/>
      <c r="G631" s="344"/>
      <c r="H631" s="344"/>
      <c r="I631" s="344"/>
      <c r="J631" s="344"/>
      <c r="K631" s="344" t="s">
        <v>13567</v>
      </c>
      <c r="L631" s="344" t="s">
        <v>13568</v>
      </c>
      <c r="M631" s="344" t="s">
        <v>13213</v>
      </c>
      <c r="N631" s="344" t="s">
        <v>12339</v>
      </c>
      <c r="O631" s="348"/>
      <c r="P631" s="348"/>
      <c r="Q631" s="348"/>
      <c r="R631" s="348"/>
      <c r="S631" s="348"/>
      <c r="T631" s="348"/>
      <c r="U631" s="348"/>
      <c r="V631" s="348"/>
      <c r="W631" s="348"/>
      <c r="X631" s="348"/>
      <c r="Y631" s="348"/>
      <c r="Z631" s="348"/>
    </row>
    <row r="632" spans="1:26" s="64" customFormat="1" ht="47.25" customHeight="1" thickBot="1" x14ac:dyDescent="0.35">
      <c r="A632" s="343">
        <v>45495</v>
      </c>
      <c r="B632" s="345" t="s">
        <v>13569</v>
      </c>
      <c r="C632" s="344"/>
      <c r="D632" s="344" t="s">
        <v>12341</v>
      </c>
      <c r="E632" s="344" t="s">
        <v>12427</v>
      </c>
      <c r="F632" s="344" t="s">
        <v>12346</v>
      </c>
      <c r="G632" s="347">
        <v>80</v>
      </c>
      <c r="H632" s="344"/>
      <c r="I632" s="347">
        <v>40</v>
      </c>
      <c r="J632" s="344"/>
      <c r="K632" s="344"/>
      <c r="L632" s="344" t="s">
        <v>12341</v>
      </c>
      <c r="M632" s="344" t="s">
        <v>13213</v>
      </c>
      <c r="N632" s="344" t="s">
        <v>12339</v>
      </c>
      <c r="O632" s="348"/>
      <c r="P632" s="348"/>
      <c r="Q632" s="348"/>
      <c r="R632" s="348"/>
      <c r="S632" s="348"/>
      <c r="T632" s="348"/>
      <c r="U632" s="348"/>
      <c r="V632" s="348"/>
      <c r="W632" s="348"/>
      <c r="X632" s="348"/>
      <c r="Y632" s="348"/>
      <c r="Z632" s="348"/>
    </row>
    <row r="633" spans="1:26" s="64" customFormat="1" ht="47.25" customHeight="1" thickBot="1" x14ac:dyDescent="0.35">
      <c r="A633" s="343">
        <v>45495</v>
      </c>
      <c r="B633" s="345" t="s">
        <v>13570</v>
      </c>
      <c r="C633" s="344"/>
      <c r="D633" s="344" t="s">
        <v>12341</v>
      </c>
      <c r="E633" s="344" t="s">
        <v>12341</v>
      </c>
      <c r="F633" s="344"/>
      <c r="G633" s="344"/>
      <c r="H633" s="344"/>
      <c r="I633" s="344"/>
      <c r="J633" s="344"/>
      <c r="K633" s="344" t="s">
        <v>13571</v>
      </c>
      <c r="L633" s="344" t="s">
        <v>12341</v>
      </c>
      <c r="M633" s="344" t="s">
        <v>13213</v>
      </c>
      <c r="N633" s="344" t="s">
        <v>12339</v>
      </c>
      <c r="O633" s="348"/>
      <c r="P633" s="348"/>
      <c r="Q633" s="348"/>
      <c r="R633" s="348"/>
      <c r="S633" s="348"/>
      <c r="T633" s="348"/>
      <c r="U633" s="348"/>
      <c r="V633" s="348"/>
      <c r="W633" s="348"/>
      <c r="X633" s="348"/>
      <c r="Y633" s="348"/>
      <c r="Z633" s="348"/>
    </row>
    <row r="634" spans="1:26" s="64" customFormat="1" ht="47.25" customHeight="1" thickBot="1" x14ac:dyDescent="0.35">
      <c r="A634" s="343">
        <v>45495</v>
      </c>
      <c r="B634" s="345" t="s">
        <v>13572</v>
      </c>
      <c r="C634" s="344"/>
      <c r="D634" s="344" t="s">
        <v>12341</v>
      </c>
      <c r="E634" s="344" t="s">
        <v>12341</v>
      </c>
      <c r="F634" s="344"/>
      <c r="G634" s="344"/>
      <c r="H634" s="344"/>
      <c r="I634" s="344"/>
      <c r="J634" s="344"/>
      <c r="K634" s="344" t="s">
        <v>13573</v>
      </c>
      <c r="L634" s="344" t="s">
        <v>12341</v>
      </c>
      <c r="M634" s="344" t="s">
        <v>13213</v>
      </c>
      <c r="N634" s="344" t="s">
        <v>12339</v>
      </c>
      <c r="O634" s="348"/>
      <c r="P634" s="348"/>
      <c r="Q634" s="348"/>
      <c r="R634" s="348"/>
      <c r="S634" s="348"/>
      <c r="T634" s="348"/>
      <c r="U634" s="348"/>
      <c r="V634" s="348"/>
      <c r="W634" s="348"/>
      <c r="X634" s="348"/>
      <c r="Y634" s="348"/>
      <c r="Z634" s="348"/>
    </row>
    <row r="635" spans="1:26" s="64" customFormat="1" ht="47.25" customHeight="1" thickBot="1" x14ac:dyDescent="0.35">
      <c r="A635" s="343">
        <v>45495</v>
      </c>
      <c r="B635" s="345" t="s">
        <v>13574</v>
      </c>
      <c r="C635" s="344"/>
      <c r="D635" s="344" t="s">
        <v>12341</v>
      </c>
      <c r="E635" s="344" t="s">
        <v>12341</v>
      </c>
      <c r="F635" s="344"/>
      <c r="G635" s="344"/>
      <c r="H635" s="344"/>
      <c r="I635" s="344"/>
      <c r="J635" s="344"/>
      <c r="K635" s="344" t="s">
        <v>13575</v>
      </c>
      <c r="L635" s="344" t="s">
        <v>12341</v>
      </c>
      <c r="M635" s="344" t="s">
        <v>13213</v>
      </c>
      <c r="N635" s="344" t="s">
        <v>12339</v>
      </c>
      <c r="O635" s="348"/>
      <c r="P635" s="348"/>
      <c r="Q635" s="348"/>
      <c r="R635" s="348"/>
      <c r="S635" s="348"/>
      <c r="T635" s="348"/>
      <c r="U635" s="348"/>
      <c r="V635" s="348"/>
      <c r="W635" s="348"/>
      <c r="X635" s="348"/>
      <c r="Y635" s="348"/>
      <c r="Z635" s="348"/>
    </row>
    <row r="636" spans="1:26" s="64" customFormat="1" ht="47.25" customHeight="1" thickBot="1" x14ac:dyDescent="0.35">
      <c r="A636" s="343">
        <v>45495</v>
      </c>
      <c r="B636" s="345" t="s">
        <v>13576</v>
      </c>
      <c r="C636" s="344"/>
      <c r="D636" s="344" t="s">
        <v>12341</v>
      </c>
      <c r="E636" s="344" t="s">
        <v>12427</v>
      </c>
      <c r="F636" s="344" t="s">
        <v>12346</v>
      </c>
      <c r="G636" s="347">
        <v>80</v>
      </c>
      <c r="H636" s="344"/>
      <c r="I636" s="347">
        <v>40</v>
      </c>
      <c r="J636" s="344"/>
      <c r="K636" s="344"/>
      <c r="L636" s="344" t="s">
        <v>12341</v>
      </c>
      <c r="M636" s="344" t="s">
        <v>13213</v>
      </c>
      <c r="N636" s="344" t="s">
        <v>12339</v>
      </c>
      <c r="O636" s="348"/>
      <c r="P636" s="348"/>
      <c r="Q636" s="348"/>
      <c r="R636" s="348"/>
      <c r="S636" s="348"/>
      <c r="T636" s="348"/>
      <c r="U636" s="348"/>
      <c r="V636" s="348"/>
      <c r="W636" s="348"/>
      <c r="X636" s="348"/>
      <c r="Y636" s="348"/>
      <c r="Z636" s="348"/>
    </row>
    <row r="637" spans="1:26" s="64" customFormat="1" ht="47.25" customHeight="1" thickBot="1" x14ac:dyDescent="0.35">
      <c r="A637" s="343">
        <v>45495</v>
      </c>
      <c r="B637" s="345" t="s">
        <v>13577</v>
      </c>
      <c r="C637" s="344"/>
      <c r="D637" s="344" t="s">
        <v>12341</v>
      </c>
      <c r="E637" s="344" t="s">
        <v>12427</v>
      </c>
      <c r="F637" s="344" t="s">
        <v>12346</v>
      </c>
      <c r="G637" s="347">
        <v>80</v>
      </c>
      <c r="H637" s="344"/>
      <c r="I637" s="347">
        <v>40</v>
      </c>
      <c r="J637" s="344"/>
      <c r="K637" s="344"/>
      <c r="L637" s="344" t="s">
        <v>12341</v>
      </c>
      <c r="M637" s="344" t="s">
        <v>13213</v>
      </c>
      <c r="N637" s="344" t="s">
        <v>12339</v>
      </c>
      <c r="O637" s="348"/>
      <c r="P637" s="348"/>
      <c r="Q637" s="348"/>
      <c r="R637" s="348"/>
      <c r="S637" s="348"/>
      <c r="T637" s="348"/>
      <c r="U637" s="348"/>
      <c r="V637" s="348"/>
      <c r="W637" s="348"/>
      <c r="X637" s="348"/>
      <c r="Y637" s="348"/>
      <c r="Z637" s="348"/>
    </row>
    <row r="638" spans="1:26" s="64" customFormat="1" ht="47.25" customHeight="1" thickBot="1" x14ac:dyDescent="0.35">
      <c r="A638" s="343">
        <v>45495</v>
      </c>
      <c r="B638" s="345" t="s">
        <v>13578</v>
      </c>
      <c r="C638" s="344"/>
      <c r="D638" s="344" t="s">
        <v>12341</v>
      </c>
      <c r="E638" s="344" t="s">
        <v>12341</v>
      </c>
      <c r="F638" s="344"/>
      <c r="G638" s="344"/>
      <c r="H638" s="344"/>
      <c r="I638" s="344"/>
      <c r="J638" s="344"/>
      <c r="K638" s="344" t="s">
        <v>13579</v>
      </c>
      <c r="L638" s="344" t="s">
        <v>12341</v>
      </c>
      <c r="M638" s="344" t="s">
        <v>13213</v>
      </c>
      <c r="N638" s="344" t="s">
        <v>12339</v>
      </c>
      <c r="O638" s="348"/>
      <c r="P638" s="348"/>
      <c r="Q638" s="348"/>
      <c r="R638" s="348"/>
      <c r="S638" s="348"/>
      <c r="T638" s="348"/>
      <c r="U638" s="348"/>
      <c r="V638" s="348"/>
      <c r="W638" s="348"/>
      <c r="X638" s="348"/>
      <c r="Y638" s="348"/>
      <c r="Z638" s="348"/>
    </row>
    <row r="639" spans="1:26" s="64" customFormat="1" ht="47.25" customHeight="1" thickBot="1" x14ac:dyDescent="0.35">
      <c r="A639" s="343">
        <v>45495</v>
      </c>
      <c r="B639" s="345" t="s">
        <v>13580</v>
      </c>
      <c r="C639" s="344"/>
      <c r="D639" s="344" t="s">
        <v>12341</v>
      </c>
      <c r="E639" s="344" t="s">
        <v>12427</v>
      </c>
      <c r="F639" s="344" t="s">
        <v>12352</v>
      </c>
      <c r="G639" s="344"/>
      <c r="H639" s="344"/>
      <c r="I639" s="347">
        <v>40</v>
      </c>
      <c r="J639" s="344"/>
      <c r="K639" s="344"/>
      <c r="L639" s="344" t="s">
        <v>12341</v>
      </c>
      <c r="M639" s="344" t="s">
        <v>13213</v>
      </c>
      <c r="N639" s="344" t="s">
        <v>12339</v>
      </c>
      <c r="O639" s="348"/>
      <c r="P639" s="348"/>
      <c r="Q639" s="348"/>
      <c r="R639" s="348"/>
      <c r="S639" s="348"/>
      <c r="T639" s="348"/>
      <c r="U639" s="348"/>
      <c r="V639" s="348"/>
      <c r="W639" s="348"/>
      <c r="X639" s="348"/>
      <c r="Y639" s="348"/>
      <c r="Z639" s="348"/>
    </row>
    <row r="640" spans="1:26" s="64" customFormat="1" ht="47.25" customHeight="1" thickBot="1" x14ac:dyDescent="0.35">
      <c r="A640" s="343">
        <v>45495</v>
      </c>
      <c r="B640" s="345" t="s">
        <v>13581</v>
      </c>
      <c r="C640" s="344"/>
      <c r="D640" s="344" t="s">
        <v>12341</v>
      </c>
      <c r="E640" s="344" t="s">
        <v>12341</v>
      </c>
      <c r="F640" s="344"/>
      <c r="G640" s="344"/>
      <c r="H640" s="344"/>
      <c r="I640" s="344"/>
      <c r="J640" s="344"/>
      <c r="K640" s="344" t="s">
        <v>13582</v>
      </c>
      <c r="L640" s="344" t="s">
        <v>12341</v>
      </c>
      <c r="M640" s="344" t="s">
        <v>13213</v>
      </c>
      <c r="N640" s="344" t="s">
        <v>12339</v>
      </c>
      <c r="O640" s="348"/>
      <c r="P640" s="348"/>
      <c r="Q640" s="348"/>
      <c r="R640" s="348"/>
      <c r="S640" s="348"/>
      <c r="T640" s="348"/>
      <c r="U640" s="348"/>
      <c r="V640" s="348"/>
      <c r="W640" s="348"/>
      <c r="X640" s="348"/>
      <c r="Y640" s="348"/>
      <c r="Z640" s="348"/>
    </row>
    <row r="641" spans="1:26" s="64" customFormat="1" ht="47.25" customHeight="1" thickBot="1" x14ac:dyDescent="0.35">
      <c r="A641" s="343">
        <v>45495</v>
      </c>
      <c r="B641" s="345" t="s">
        <v>13583</v>
      </c>
      <c r="C641" s="344"/>
      <c r="D641" s="344" t="s">
        <v>12341</v>
      </c>
      <c r="E641" s="344" t="s">
        <v>12341</v>
      </c>
      <c r="F641" s="344"/>
      <c r="G641" s="344"/>
      <c r="H641" s="344"/>
      <c r="I641" s="344"/>
      <c r="J641" s="344"/>
      <c r="K641" s="344" t="s">
        <v>13584</v>
      </c>
      <c r="L641" s="344" t="s">
        <v>12341</v>
      </c>
      <c r="M641" s="344" t="s">
        <v>13213</v>
      </c>
      <c r="N641" s="344" t="s">
        <v>12339</v>
      </c>
      <c r="O641" s="348"/>
      <c r="P641" s="348"/>
      <c r="Q641" s="348"/>
      <c r="R641" s="348"/>
      <c r="S641" s="348"/>
      <c r="T641" s="348"/>
      <c r="U641" s="348"/>
      <c r="V641" s="348"/>
      <c r="W641" s="348"/>
      <c r="X641" s="348"/>
      <c r="Y641" s="348"/>
      <c r="Z641" s="348"/>
    </row>
    <row r="642" spans="1:26" s="64" customFormat="1" ht="47.25" customHeight="1" thickBot="1" x14ac:dyDescent="0.35">
      <c r="A642" s="343">
        <v>45495</v>
      </c>
      <c r="B642" s="345" t="s">
        <v>13585</v>
      </c>
      <c r="C642" s="344"/>
      <c r="D642" s="344" t="s">
        <v>12341</v>
      </c>
      <c r="E642" s="344" t="s">
        <v>12427</v>
      </c>
      <c r="F642" s="344" t="s">
        <v>12346</v>
      </c>
      <c r="G642" s="347">
        <v>80</v>
      </c>
      <c r="H642" s="344"/>
      <c r="I642" s="347">
        <v>40</v>
      </c>
      <c r="J642" s="344"/>
      <c r="K642" s="344"/>
      <c r="L642" s="344" t="s">
        <v>12341</v>
      </c>
      <c r="M642" s="344" t="s">
        <v>13213</v>
      </c>
      <c r="N642" s="344" t="s">
        <v>12339</v>
      </c>
      <c r="O642" s="348"/>
      <c r="P642" s="348"/>
      <c r="Q642" s="348"/>
      <c r="R642" s="348"/>
      <c r="S642" s="348"/>
      <c r="T642" s="348"/>
      <c r="U642" s="348"/>
      <c r="V642" s="348"/>
      <c r="W642" s="348"/>
      <c r="X642" s="348"/>
      <c r="Y642" s="348"/>
      <c r="Z642" s="348"/>
    </row>
    <row r="643" spans="1:26" s="64" customFormat="1" ht="47.25" customHeight="1" thickBot="1" x14ac:dyDescent="0.35">
      <c r="A643" s="343">
        <v>45496</v>
      </c>
      <c r="B643" s="345" t="s">
        <v>13586</v>
      </c>
      <c r="C643" s="344"/>
      <c r="D643" s="344" t="s">
        <v>12341</v>
      </c>
      <c r="E643" s="344" t="s">
        <v>12341</v>
      </c>
      <c r="F643" s="344"/>
      <c r="G643" s="344"/>
      <c r="H643" s="344"/>
      <c r="I643" s="344"/>
      <c r="J643" s="344"/>
      <c r="K643" s="344" t="s">
        <v>13587</v>
      </c>
      <c r="L643" s="344" t="s">
        <v>13588</v>
      </c>
      <c r="M643" s="344" t="s">
        <v>13213</v>
      </c>
      <c r="N643" s="344" t="s">
        <v>12339</v>
      </c>
      <c r="O643" s="348"/>
      <c r="P643" s="348"/>
      <c r="Q643" s="348"/>
      <c r="R643" s="348"/>
      <c r="S643" s="348"/>
      <c r="T643" s="348"/>
      <c r="U643" s="348"/>
      <c r="V643" s="348"/>
      <c r="W643" s="348"/>
      <c r="X643" s="348"/>
      <c r="Y643" s="348"/>
      <c r="Z643" s="348"/>
    </row>
    <row r="644" spans="1:26" s="64" customFormat="1" ht="47.25" customHeight="1" thickBot="1" x14ac:dyDescent="0.35">
      <c r="A644" s="343">
        <v>45496</v>
      </c>
      <c r="B644" s="345" t="s">
        <v>13589</v>
      </c>
      <c r="C644" s="344"/>
      <c r="D644" s="344" t="s">
        <v>12341</v>
      </c>
      <c r="E644" s="344" t="s">
        <v>12341</v>
      </c>
      <c r="F644" s="344"/>
      <c r="G644" s="344"/>
      <c r="H644" s="344"/>
      <c r="I644" s="344"/>
      <c r="J644" s="344"/>
      <c r="K644" s="344" t="s">
        <v>13590</v>
      </c>
      <c r="L644" s="344" t="s">
        <v>13591</v>
      </c>
      <c r="M644" s="344" t="s">
        <v>13213</v>
      </c>
      <c r="N644" s="344" t="s">
        <v>12339</v>
      </c>
      <c r="O644" s="348"/>
      <c r="P644" s="348"/>
      <c r="Q644" s="348"/>
      <c r="R644" s="348"/>
      <c r="S644" s="348"/>
      <c r="T644" s="348"/>
      <c r="U644" s="348"/>
      <c r="V644" s="348"/>
      <c r="W644" s="348"/>
      <c r="X644" s="348"/>
      <c r="Y644" s="348"/>
      <c r="Z644" s="348"/>
    </row>
    <row r="645" spans="1:26" s="64" customFormat="1" ht="47.25" customHeight="1" thickBot="1" x14ac:dyDescent="0.35">
      <c r="A645" s="343">
        <v>45496</v>
      </c>
      <c r="B645" s="345" t="s">
        <v>13592</v>
      </c>
      <c r="C645" s="344"/>
      <c r="D645" s="344" t="s">
        <v>12341</v>
      </c>
      <c r="E645" s="344" t="s">
        <v>12341</v>
      </c>
      <c r="F645" s="344"/>
      <c r="G645" s="344"/>
      <c r="H645" s="344"/>
      <c r="I645" s="344"/>
      <c r="J645" s="344"/>
      <c r="K645" s="344" t="s">
        <v>13593</v>
      </c>
      <c r="L645" s="344" t="s">
        <v>13594</v>
      </c>
      <c r="M645" s="344" t="s">
        <v>13213</v>
      </c>
      <c r="N645" s="344" t="s">
        <v>12339</v>
      </c>
      <c r="O645" s="348"/>
      <c r="P645" s="348"/>
      <c r="Q645" s="348"/>
      <c r="R645" s="348"/>
      <c r="S645" s="348"/>
      <c r="T645" s="348"/>
      <c r="U645" s="348"/>
      <c r="V645" s="348"/>
      <c r="W645" s="348"/>
      <c r="X645" s="348"/>
      <c r="Y645" s="348"/>
      <c r="Z645" s="348"/>
    </row>
    <row r="646" spans="1:26" s="64" customFormat="1" ht="47.25" customHeight="1" thickBot="1" x14ac:dyDescent="0.35">
      <c r="A646" s="343">
        <v>45496</v>
      </c>
      <c r="B646" s="345" t="s">
        <v>13589</v>
      </c>
      <c r="C646" s="344"/>
      <c r="D646" s="344" t="s">
        <v>12341</v>
      </c>
      <c r="E646" s="344" t="s">
        <v>12341</v>
      </c>
      <c r="F646" s="344"/>
      <c r="G646" s="344"/>
      <c r="H646" s="344"/>
      <c r="I646" s="344"/>
      <c r="J646" s="344"/>
      <c r="K646" s="344"/>
      <c r="L646" s="344" t="s">
        <v>13591</v>
      </c>
      <c r="M646" s="344" t="s">
        <v>13213</v>
      </c>
      <c r="N646" s="344" t="s">
        <v>12339</v>
      </c>
      <c r="O646" s="348"/>
      <c r="P646" s="348"/>
      <c r="Q646" s="348"/>
      <c r="R646" s="348"/>
      <c r="S646" s="348"/>
      <c r="T646" s="348"/>
      <c r="U646" s="348"/>
      <c r="V646" s="348"/>
      <c r="W646" s="348"/>
      <c r="X646" s="348"/>
      <c r="Y646" s="348"/>
      <c r="Z646" s="348"/>
    </row>
    <row r="647" spans="1:26" s="64" customFormat="1" ht="47.25" customHeight="1" thickBot="1" x14ac:dyDescent="0.35">
      <c r="A647" s="343">
        <v>45496</v>
      </c>
      <c r="B647" s="345" t="s">
        <v>13595</v>
      </c>
      <c r="C647" s="344"/>
      <c r="D647" s="344" t="s">
        <v>12341</v>
      </c>
      <c r="E647" s="344" t="s">
        <v>12341</v>
      </c>
      <c r="F647" s="344"/>
      <c r="G647" s="344"/>
      <c r="H647" s="344"/>
      <c r="I647" s="344"/>
      <c r="J647" s="344"/>
      <c r="K647" s="344" t="s">
        <v>13596</v>
      </c>
      <c r="L647" s="344" t="s">
        <v>13597</v>
      </c>
      <c r="M647" s="344" t="s">
        <v>13213</v>
      </c>
      <c r="N647" s="344" t="s">
        <v>12339</v>
      </c>
      <c r="O647" s="348"/>
      <c r="P647" s="348"/>
      <c r="Q647" s="348"/>
      <c r="R647" s="348"/>
      <c r="S647" s="348"/>
      <c r="T647" s="348"/>
      <c r="U647" s="348"/>
      <c r="V647" s="348"/>
      <c r="W647" s="348"/>
      <c r="X647" s="348"/>
      <c r="Y647" s="348"/>
      <c r="Z647" s="348"/>
    </row>
    <row r="648" spans="1:26" s="64" customFormat="1" ht="47.25" customHeight="1" thickBot="1" x14ac:dyDescent="0.35">
      <c r="A648" s="343">
        <v>45496</v>
      </c>
      <c r="B648" s="345" t="s">
        <v>13598</v>
      </c>
      <c r="C648" s="344"/>
      <c r="D648" s="344" t="s">
        <v>12341</v>
      </c>
      <c r="E648" s="344" t="s">
        <v>12427</v>
      </c>
      <c r="F648" s="344" t="s">
        <v>12346</v>
      </c>
      <c r="G648" s="347">
        <v>80</v>
      </c>
      <c r="H648" s="344"/>
      <c r="I648" s="347">
        <v>40</v>
      </c>
      <c r="J648" s="344"/>
      <c r="K648" s="344"/>
      <c r="L648" s="344" t="s">
        <v>12341</v>
      </c>
      <c r="M648" s="344" t="s">
        <v>13213</v>
      </c>
      <c r="N648" s="344" t="s">
        <v>12339</v>
      </c>
      <c r="O648" s="348"/>
      <c r="P648" s="348"/>
      <c r="Q648" s="348"/>
      <c r="R648" s="348"/>
      <c r="S648" s="348"/>
      <c r="T648" s="348"/>
      <c r="U648" s="348"/>
      <c r="V648" s="348"/>
      <c r="W648" s="348"/>
      <c r="X648" s="348"/>
      <c r="Y648" s="348"/>
      <c r="Z648" s="348"/>
    </row>
    <row r="649" spans="1:26" s="64" customFormat="1" ht="47.25" customHeight="1" thickBot="1" x14ac:dyDescent="0.35">
      <c r="A649" s="343">
        <v>45496</v>
      </c>
      <c r="B649" s="345" t="s">
        <v>13599</v>
      </c>
      <c r="C649" s="344"/>
      <c r="D649" s="344" t="s">
        <v>12341</v>
      </c>
      <c r="E649" s="344" t="s">
        <v>12341</v>
      </c>
      <c r="F649" s="344"/>
      <c r="G649" s="344"/>
      <c r="H649" s="344"/>
      <c r="I649" s="344"/>
      <c r="J649" s="344"/>
      <c r="K649" s="344" t="s">
        <v>13600</v>
      </c>
      <c r="L649" s="344" t="s">
        <v>13601</v>
      </c>
      <c r="M649" s="344" t="s">
        <v>13213</v>
      </c>
      <c r="N649" s="344" t="s">
        <v>12339</v>
      </c>
      <c r="O649" s="348"/>
      <c r="P649" s="348"/>
      <c r="Q649" s="348"/>
      <c r="R649" s="348"/>
      <c r="S649" s="348"/>
      <c r="T649" s="348"/>
      <c r="U649" s="348"/>
      <c r="V649" s="348"/>
      <c r="W649" s="348"/>
      <c r="X649" s="348"/>
      <c r="Y649" s="348"/>
      <c r="Z649" s="348"/>
    </row>
    <row r="650" spans="1:26" s="64" customFormat="1" ht="47.25" customHeight="1" thickBot="1" x14ac:dyDescent="0.35">
      <c r="A650" s="343">
        <v>45496</v>
      </c>
      <c r="B650" s="345" t="s">
        <v>13602</v>
      </c>
      <c r="C650" s="344"/>
      <c r="D650" s="344" t="s">
        <v>12341</v>
      </c>
      <c r="E650" s="344" t="s">
        <v>12685</v>
      </c>
      <c r="F650" s="344" t="s">
        <v>12352</v>
      </c>
      <c r="G650" s="344"/>
      <c r="H650" s="344"/>
      <c r="I650" s="347">
        <v>40</v>
      </c>
      <c r="J650" s="344" t="s">
        <v>13603</v>
      </c>
      <c r="K650" s="344"/>
      <c r="L650" s="344" t="s">
        <v>12341</v>
      </c>
      <c r="M650" s="344" t="s">
        <v>13213</v>
      </c>
      <c r="N650" s="344" t="s">
        <v>12339</v>
      </c>
      <c r="O650" s="348"/>
      <c r="P650" s="348"/>
      <c r="Q650" s="348"/>
      <c r="R650" s="348"/>
      <c r="S650" s="348"/>
      <c r="T650" s="348"/>
      <c r="U650" s="348"/>
      <c r="V650" s="348"/>
      <c r="W650" s="348"/>
      <c r="X650" s="348"/>
      <c r="Y650" s="348"/>
      <c r="Z650" s="348"/>
    </row>
    <row r="651" spans="1:26" s="64" customFormat="1" ht="47.25" customHeight="1" thickBot="1" x14ac:dyDescent="0.35">
      <c r="A651" s="343">
        <v>45496</v>
      </c>
      <c r="B651" s="345" t="s">
        <v>12505</v>
      </c>
      <c r="C651" s="344"/>
      <c r="D651" s="344" t="s">
        <v>12341</v>
      </c>
      <c r="E651" s="344" t="s">
        <v>13604</v>
      </c>
      <c r="F651" s="344" t="s">
        <v>12346</v>
      </c>
      <c r="G651" s="344"/>
      <c r="H651" s="344"/>
      <c r="I651" s="344"/>
      <c r="J651" s="344" t="s">
        <v>13605</v>
      </c>
      <c r="K651" s="344"/>
      <c r="L651" s="344" t="s">
        <v>12341</v>
      </c>
      <c r="M651" s="344" t="s">
        <v>13213</v>
      </c>
      <c r="N651" s="344" t="s">
        <v>12339</v>
      </c>
      <c r="O651" s="348"/>
      <c r="P651" s="348"/>
      <c r="Q651" s="348"/>
      <c r="R651" s="348"/>
      <c r="S651" s="348"/>
      <c r="T651" s="348"/>
      <c r="U651" s="348"/>
      <c r="V651" s="348"/>
      <c r="W651" s="348"/>
      <c r="X651" s="348"/>
      <c r="Y651" s="348"/>
      <c r="Z651" s="348"/>
    </row>
    <row r="652" spans="1:26" s="64" customFormat="1" ht="47.25" customHeight="1" thickBot="1" x14ac:dyDescent="0.35">
      <c r="A652" s="343">
        <v>45496</v>
      </c>
      <c r="B652" s="345" t="s">
        <v>13606</v>
      </c>
      <c r="C652" s="344"/>
      <c r="D652" s="344" t="s">
        <v>12341</v>
      </c>
      <c r="E652" s="344" t="s">
        <v>12427</v>
      </c>
      <c r="F652" s="344" t="s">
        <v>12352</v>
      </c>
      <c r="G652" s="344"/>
      <c r="H652" s="344"/>
      <c r="I652" s="347">
        <v>40</v>
      </c>
      <c r="J652" s="344"/>
      <c r="K652" s="344" t="s">
        <v>13607</v>
      </c>
      <c r="L652" s="344" t="s">
        <v>13608</v>
      </c>
      <c r="M652" s="344" t="s">
        <v>13213</v>
      </c>
      <c r="N652" s="344" t="s">
        <v>12339</v>
      </c>
      <c r="O652" s="348"/>
      <c r="P652" s="348"/>
      <c r="Q652" s="348"/>
      <c r="R652" s="348"/>
      <c r="S652" s="348"/>
      <c r="T652" s="348"/>
      <c r="U652" s="348"/>
      <c r="V652" s="348"/>
      <c r="W652" s="348"/>
      <c r="X652" s="348"/>
      <c r="Y652" s="348"/>
      <c r="Z652" s="348"/>
    </row>
    <row r="653" spans="1:26" s="64" customFormat="1" ht="47.25" customHeight="1" thickBot="1" x14ac:dyDescent="0.35">
      <c r="A653" s="343">
        <v>45496</v>
      </c>
      <c r="B653" s="345" t="s">
        <v>13609</v>
      </c>
      <c r="C653" s="344"/>
      <c r="D653" s="344" t="s">
        <v>12341</v>
      </c>
      <c r="E653" s="344" t="s">
        <v>13563</v>
      </c>
      <c r="F653" s="344" t="s">
        <v>12346</v>
      </c>
      <c r="G653" s="347">
        <v>160</v>
      </c>
      <c r="H653" s="344"/>
      <c r="I653" s="347">
        <v>74</v>
      </c>
      <c r="J653" s="344"/>
      <c r="K653" s="344"/>
      <c r="L653" s="344" t="s">
        <v>12341</v>
      </c>
      <c r="M653" s="344" t="s">
        <v>13213</v>
      </c>
      <c r="N653" s="344" t="s">
        <v>12339</v>
      </c>
      <c r="O653" s="348"/>
      <c r="P653" s="348"/>
      <c r="Q653" s="348"/>
      <c r="R653" s="348"/>
      <c r="S653" s="348"/>
      <c r="T653" s="348"/>
      <c r="U653" s="348"/>
      <c r="V653" s="348"/>
      <c r="W653" s="348"/>
      <c r="X653" s="348"/>
      <c r="Y653" s="348"/>
      <c r="Z653" s="348"/>
    </row>
    <row r="654" spans="1:26" s="64" customFormat="1" ht="47.25" customHeight="1" thickBot="1" x14ac:dyDescent="0.35">
      <c r="A654" s="343">
        <v>45496</v>
      </c>
      <c r="B654" s="345" t="s">
        <v>13610</v>
      </c>
      <c r="C654" s="344"/>
      <c r="D654" s="344" t="s">
        <v>12341</v>
      </c>
      <c r="E654" s="344" t="s">
        <v>12341</v>
      </c>
      <c r="F654" s="344"/>
      <c r="G654" s="344"/>
      <c r="H654" s="344"/>
      <c r="I654" s="344"/>
      <c r="J654" s="344"/>
      <c r="K654" s="344" t="s">
        <v>13611</v>
      </c>
      <c r="L654" s="344" t="s">
        <v>13612</v>
      </c>
      <c r="M654" s="344" t="s">
        <v>13213</v>
      </c>
      <c r="N654" s="344" t="s">
        <v>12339</v>
      </c>
      <c r="O654" s="348"/>
      <c r="P654" s="348"/>
      <c r="Q654" s="348"/>
      <c r="R654" s="348"/>
      <c r="S654" s="348"/>
      <c r="T654" s="348"/>
      <c r="U654" s="348"/>
      <c r="V654" s="348"/>
      <c r="W654" s="348"/>
      <c r="X654" s="348"/>
      <c r="Y654" s="348"/>
      <c r="Z654" s="348"/>
    </row>
    <row r="655" spans="1:26" s="64" customFormat="1" ht="47.25" customHeight="1" thickBot="1" x14ac:dyDescent="0.35">
      <c r="A655" s="343">
        <v>45496</v>
      </c>
      <c r="B655" s="345" t="s">
        <v>13613</v>
      </c>
      <c r="C655" s="344"/>
      <c r="D655" s="344" t="s">
        <v>12341</v>
      </c>
      <c r="E655" s="344" t="s">
        <v>12427</v>
      </c>
      <c r="F655" s="344" t="s">
        <v>12346</v>
      </c>
      <c r="G655" s="347">
        <v>80</v>
      </c>
      <c r="H655" s="344"/>
      <c r="I655" s="347">
        <v>40</v>
      </c>
      <c r="J655" s="344"/>
      <c r="K655" s="344"/>
      <c r="L655" s="344" t="s">
        <v>12341</v>
      </c>
      <c r="M655" s="344" t="s">
        <v>13213</v>
      </c>
      <c r="N655" s="344" t="s">
        <v>12339</v>
      </c>
      <c r="O655" s="348"/>
      <c r="P655" s="348"/>
      <c r="Q655" s="348"/>
      <c r="R655" s="348"/>
      <c r="S655" s="348"/>
      <c r="T655" s="348"/>
      <c r="U655" s="348"/>
      <c r="V655" s="348"/>
      <c r="W655" s="348"/>
      <c r="X655" s="348"/>
      <c r="Y655" s="348"/>
      <c r="Z655" s="348"/>
    </row>
    <row r="656" spans="1:26" s="64" customFormat="1" ht="47.25" customHeight="1" thickBot="1" x14ac:dyDescent="0.35">
      <c r="A656" s="343">
        <v>45496</v>
      </c>
      <c r="B656" s="345" t="s">
        <v>13614</v>
      </c>
      <c r="C656" s="344"/>
      <c r="D656" s="344" t="s">
        <v>12341</v>
      </c>
      <c r="E656" s="344" t="s">
        <v>12427</v>
      </c>
      <c r="F656" s="344" t="s">
        <v>12346</v>
      </c>
      <c r="G656" s="347">
        <v>80</v>
      </c>
      <c r="H656" s="344"/>
      <c r="I656" s="347">
        <v>40</v>
      </c>
      <c r="J656" s="344"/>
      <c r="K656" s="344"/>
      <c r="L656" s="344" t="s">
        <v>12341</v>
      </c>
      <c r="M656" s="344" t="s">
        <v>13213</v>
      </c>
      <c r="N656" s="344" t="s">
        <v>12339</v>
      </c>
      <c r="O656" s="348"/>
      <c r="P656" s="348"/>
      <c r="Q656" s="348"/>
      <c r="R656" s="348"/>
      <c r="S656" s="348"/>
      <c r="T656" s="348"/>
      <c r="U656" s="348"/>
      <c r="V656" s="348"/>
      <c r="W656" s="348"/>
      <c r="X656" s="348"/>
      <c r="Y656" s="348"/>
      <c r="Z656" s="348"/>
    </row>
    <row r="657" spans="1:26" s="64" customFormat="1" ht="47.25" customHeight="1" thickBot="1" x14ac:dyDescent="0.35">
      <c r="A657" s="343">
        <v>45496</v>
      </c>
      <c r="B657" s="345" t="s">
        <v>13615</v>
      </c>
      <c r="C657" s="344"/>
      <c r="D657" s="344" t="s">
        <v>12341</v>
      </c>
      <c r="E657" s="344" t="s">
        <v>12341</v>
      </c>
      <c r="F657" s="344"/>
      <c r="G657" s="344"/>
      <c r="H657" s="344"/>
      <c r="I657" s="344"/>
      <c r="J657" s="344"/>
      <c r="K657" s="344" t="s">
        <v>13616</v>
      </c>
      <c r="L657" s="344" t="s">
        <v>12341</v>
      </c>
      <c r="M657" s="344" t="s">
        <v>13213</v>
      </c>
      <c r="N657" s="344" t="s">
        <v>12339</v>
      </c>
      <c r="O657" s="348"/>
      <c r="P657" s="348"/>
      <c r="Q657" s="348"/>
      <c r="R657" s="348"/>
      <c r="S657" s="348"/>
      <c r="T657" s="348"/>
      <c r="U657" s="348"/>
      <c r="V657" s="348"/>
      <c r="W657" s="348"/>
      <c r="X657" s="348"/>
      <c r="Y657" s="348"/>
      <c r="Z657" s="348"/>
    </row>
    <row r="658" spans="1:26" s="64" customFormat="1" ht="47.25" customHeight="1" thickBot="1" x14ac:dyDescent="0.35">
      <c r="A658" s="343">
        <v>45497</v>
      </c>
      <c r="B658" s="345" t="s">
        <v>13617</v>
      </c>
      <c r="C658" s="344"/>
      <c r="D658" s="344" t="s">
        <v>12341</v>
      </c>
      <c r="E658" s="344" t="s">
        <v>12341</v>
      </c>
      <c r="F658" s="344"/>
      <c r="G658" s="344"/>
      <c r="H658" s="344"/>
      <c r="I658" s="344"/>
      <c r="J658" s="344"/>
      <c r="K658" s="344" t="s">
        <v>13618</v>
      </c>
      <c r="L658" s="344" t="s">
        <v>13619</v>
      </c>
      <c r="M658" s="344" t="s">
        <v>13213</v>
      </c>
      <c r="N658" s="344" t="s">
        <v>12339</v>
      </c>
      <c r="O658" s="348"/>
      <c r="P658" s="348"/>
      <c r="Q658" s="348"/>
      <c r="R658" s="348"/>
      <c r="S658" s="348"/>
      <c r="T658" s="348"/>
      <c r="U658" s="348"/>
      <c r="V658" s="348"/>
      <c r="W658" s="348"/>
      <c r="X658" s="348"/>
      <c r="Y658" s="348"/>
      <c r="Z658" s="348"/>
    </row>
    <row r="659" spans="1:26" s="64" customFormat="1" ht="47.25" customHeight="1" thickBot="1" x14ac:dyDescent="0.35">
      <c r="A659" s="343">
        <v>45497</v>
      </c>
      <c r="B659" s="345" t="s">
        <v>13620</v>
      </c>
      <c r="C659" s="344"/>
      <c r="D659" s="344" t="s">
        <v>12341</v>
      </c>
      <c r="E659" s="344" t="s">
        <v>12427</v>
      </c>
      <c r="F659" s="344" t="s">
        <v>12346</v>
      </c>
      <c r="G659" s="347">
        <v>80</v>
      </c>
      <c r="H659" s="344"/>
      <c r="I659" s="347">
        <v>40</v>
      </c>
      <c r="J659" s="344"/>
      <c r="K659" s="344"/>
      <c r="L659" s="344" t="s">
        <v>12341</v>
      </c>
      <c r="M659" s="344" t="s">
        <v>13213</v>
      </c>
      <c r="N659" s="344" t="s">
        <v>12339</v>
      </c>
      <c r="O659" s="348"/>
      <c r="P659" s="348"/>
      <c r="Q659" s="348"/>
      <c r="R659" s="348"/>
      <c r="S659" s="348"/>
      <c r="T659" s="348"/>
      <c r="U659" s="348"/>
      <c r="V659" s="348"/>
      <c r="W659" s="348"/>
      <c r="X659" s="348"/>
      <c r="Y659" s="348"/>
      <c r="Z659" s="348"/>
    </row>
    <row r="660" spans="1:26" s="64" customFormat="1" ht="47.25" customHeight="1" thickBot="1" x14ac:dyDescent="0.35">
      <c r="A660" s="343">
        <v>45497</v>
      </c>
      <c r="B660" s="345" t="s">
        <v>13546</v>
      </c>
      <c r="C660" s="344"/>
      <c r="D660" s="344" t="s">
        <v>12341</v>
      </c>
      <c r="E660" s="344" t="s">
        <v>12341</v>
      </c>
      <c r="F660" s="344"/>
      <c r="G660" s="344"/>
      <c r="H660" s="344"/>
      <c r="I660" s="344"/>
      <c r="J660" s="344"/>
      <c r="K660" s="344" t="s">
        <v>13547</v>
      </c>
      <c r="L660" s="344" t="s">
        <v>13548</v>
      </c>
      <c r="M660" s="344" t="s">
        <v>13213</v>
      </c>
      <c r="N660" s="344" t="s">
        <v>12339</v>
      </c>
      <c r="O660" s="348"/>
      <c r="P660" s="348"/>
      <c r="Q660" s="348"/>
      <c r="R660" s="348"/>
      <c r="S660" s="348"/>
      <c r="T660" s="348"/>
      <c r="U660" s="348"/>
      <c r="V660" s="348"/>
      <c r="W660" s="348"/>
      <c r="X660" s="348"/>
      <c r="Y660" s="348"/>
      <c r="Z660" s="348"/>
    </row>
    <row r="661" spans="1:26" s="64" customFormat="1" ht="47.25" customHeight="1" thickBot="1" x14ac:dyDescent="0.35">
      <c r="A661" s="343">
        <v>45497</v>
      </c>
      <c r="B661" s="345" t="s">
        <v>13617</v>
      </c>
      <c r="C661" s="344"/>
      <c r="D661" s="344" t="s">
        <v>12341</v>
      </c>
      <c r="E661" s="344" t="s">
        <v>12341</v>
      </c>
      <c r="F661" s="344"/>
      <c r="G661" s="344"/>
      <c r="H661" s="344"/>
      <c r="I661" s="344"/>
      <c r="J661" s="344"/>
      <c r="K661" s="344"/>
      <c r="L661" s="344" t="s">
        <v>13621</v>
      </c>
      <c r="M661" s="344" t="s">
        <v>13213</v>
      </c>
      <c r="N661" s="344" t="s">
        <v>12339</v>
      </c>
      <c r="O661" s="348"/>
      <c r="P661" s="348"/>
      <c r="Q661" s="348"/>
      <c r="R661" s="348"/>
      <c r="S661" s="348"/>
      <c r="T661" s="348"/>
      <c r="U661" s="348"/>
      <c r="V661" s="348"/>
      <c r="W661" s="348"/>
      <c r="X661" s="348"/>
      <c r="Y661" s="348"/>
      <c r="Z661" s="348"/>
    </row>
    <row r="662" spans="1:26" s="64" customFormat="1" ht="47.25" customHeight="1" thickBot="1" x14ac:dyDescent="0.35">
      <c r="A662" s="343">
        <v>45497</v>
      </c>
      <c r="B662" s="345" t="s">
        <v>13622</v>
      </c>
      <c r="C662" s="344"/>
      <c r="D662" s="344" t="s">
        <v>12341</v>
      </c>
      <c r="E662" s="344" t="s">
        <v>12341</v>
      </c>
      <c r="F662" s="344"/>
      <c r="G662" s="344"/>
      <c r="H662" s="344"/>
      <c r="I662" s="344"/>
      <c r="J662" s="344"/>
      <c r="K662" s="344" t="s">
        <v>13623</v>
      </c>
      <c r="L662" s="344" t="s">
        <v>13624</v>
      </c>
      <c r="M662" s="344" t="s">
        <v>13213</v>
      </c>
      <c r="N662" s="344" t="s">
        <v>12339</v>
      </c>
      <c r="O662" s="348"/>
      <c r="P662" s="348"/>
      <c r="Q662" s="348"/>
      <c r="R662" s="348"/>
      <c r="S662" s="348"/>
      <c r="T662" s="348"/>
      <c r="U662" s="348"/>
      <c r="V662" s="348"/>
      <c r="W662" s="348"/>
      <c r="X662" s="348"/>
      <c r="Y662" s="348"/>
      <c r="Z662" s="348"/>
    </row>
    <row r="663" spans="1:26" s="64" customFormat="1" ht="47.25" customHeight="1" thickBot="1" x14ac:dyDescent="0.35">
      <c r="A663" s="343">
        <v>45497</v>
      </c>
      <c r="B663" s="345" t="s">
        <v>12505</v>
      </c>
      <c r="C663" s="344"/>
      <c r="D663" s="344" t="s">
        <v>12341</v>
      </c>
      <c r="E663" s="344" t="s">
        <v>12427</v>
      </c>
      <c r="F663" s="344" t="s">
        <v>12346</v>
      </c>
      <c r="G663" s="347">
        <v>80</v>
      </c>
      <c r="H663" s="344"/>
      <c r="I663" s="347">
        <v>40</v>
      </c>
      <c r="J663" s="344"/>
      <c r="K663" s="344"/>
      <c r="L663" s="344" t="s">
        <v>12341</v>
      </c>
      <c r="M663" s="344" t="s">
        <v>13213</v>
      </c>
      <c r="N663" s="344" t="s">
        <v>12339</v>
      </c>
      <c r="O663" s="348"/>
      <c r="P663" s="348"/>
      <c r="Q663" s="348"/>
      <c r="R663" s="348"/>
      <c r="S663" s="348"/>
      <c r="T663" s="348"/>
      <c r="U663" s="348"/>
      <c r="V663" s="348"/>
      <c r="W663" s="348"/>
      <c r="X663" s="348"/>
      <c r="Y663" s="348"/>
      <c r="Z663" s="348"/>
    </row>
    <row r="664" spans="1:26" s="64" customFormat="1" ht="47.25" customHeight="1" thickBot="1" x14ac:dyDescent="0.35">
      <c r="A664" s="343">
        <v>45497</v>
      </c>
      <c r="B664" s="345" t="s">
        <v>13625</v>
      </c>
      <c r="C664" s="344"/>
      <c r="D664" s="344" t="s">
        <v>12341</v>
      </c>
      <c r="E664" s="344" t="s">
        <v>13626</v>
      </c>
      <c r="F664" s="344" t="s">
        <v>12346</v>
      </c>
      <c r="G664" s="347">
        <v>900</v>
      </c>
      <c r="H664" s="344"/>
      <c r="I664" s="347">
        <v>600</v>
      </c>
      <c r="J664" s="344"/>
      <c r="K664" s="344"/>
      <c r="L664" s="344" t="s">
        <v>12341</v>
      </c>
      <c r="M664" s="344" t="s">
        <v>13213</v>
      </c>
      <c r="N664" s="344" t="s">
        <v>12339</v>
      </c>
      <c r="O664" s="348"/>
      <c r="P664" s="348"/>
      <c r="Q664" s="348"/>
      <c r="R664" s="348"/>
      <c r="S664" s="348"/>
      <c r="T664" s="348"/>
      <c r="U664" s="348"/>
      <c r="V664" s="348"/>
      <c r="W664" s="348"/>
      <c r="X664" s="348"/>
      <c r="Y664" s="348"/>
      <c r="Z664" s="348"/>
    </row>
    <row r="665" spans="1:26" s="64" customFormat="1" ht="47.25" customHeight="1" thickBot="1" x14ac:dyDescent="0.35">
      <c r="A665" s="343">
        <v>45497</v>
      </c>
      <c r="B665" s="345" t="s">
        <v>13627</v>
      </c>
      <c r="C665" s="344"/>
      <c r="D665" s="344" t="s">
        <v>12341</v>
      </c>
      <c r="E665" s="344" t="s">
        <v>13563</v>
      </c>
      <c r="F665" s="344" t="s">
        <v>12346</v>
      </c>
      <c r="G665" s="347">
        <v>160</v>
      </c>
      <c r="H665" s="344"/>
      <c r="I665" s="347">
        <v>74</v>
      </c>
      <c r="J665" s="344"/>
      <c r="K665" s="344"/>
      <c r="L665" s="344" t="s">
        <v>12341</v>
      </c>
      <c r="M665" s="344" t="s">
        <v>13213</v>
      </c>
      <c r="N665" s="344" t="s">
        <v>12339</v>
      </c>
      <c r="O665" s="348"/>
      <c r="P665" s="348"/>
      <c r="Q665" s="348"/>
      <c r="R665" s="348"/>
      <c r="S665" s="348"/>
      <c r="T665" s="348"/>
      <c r="U665" s="348"/>
      <c r="V665" s="348"/>
      <c r="W665" s="348"/>
      <c r="X665" s="348"/>
      <c r="Y665" s="348"/>
      <c r="Z665" s="348"/>
    </row>
    <row r="666" spans="1:26" s="64" customFormat="1" ht="47.25" customHeight="1" thickBot="1" x14ac:dyDescent="0.35">
      <c r="A666" s="343">
        <v>45497</v>
      </c>
      <c r="B666" s="345" t="s">
        <v>13628</v>
      </c>
      <c r="C666" s="344"/>
      <c r="D666" s="344" t="s">
        <v>12341</v>
      </c>
      <c r="E666" s="344" t="s">
        <v>12427</v>
      </c>
      <c r="F666" s="344" t="s">
        <v>12352</v>
      </c>
      <c r="G666" s="344"/>
      <c r="H666" s="344"/>
      <c r="I666" s="347">
        <v>40</v>
      </c>
      <c r="J666" s="344"/>
      <c r="K666" s="344" t="s">
        <v>13629</v>
      </c>
      <c r="L666" s="344" t="s">
        <v>13630</v>
      </c>
      <c r="M666" s="344" t="s">
        <v>13213</v>
      </c>
      <c r="N666" s="344" t="s">
        <v>12339</v>
      </c>
      <c r="O666" s="348"/>
      <c r="P666" s="348"/>
      <c r="Q666" s="348"/>
      <c r="R666" s="348"/>
      <c r="S666" s="348"/>
      <c r="T666" s="348"/>
      <c r="U666" s="348"/>
      <c r="V666" s="348"/>
      <c r="W666" s="348"/>
      <c r="X666" s="348"/>
      <c r="Y666" s="348"/>
      <c r="Z666" s="348"/>
    </row>
    <row r="667" spans="1:26" s="64" customFormat="1" ht="47.25" customHeight="1" thickBot="1" x14ac:dyDescent="0.35">
      <c r="A667" s="343">
        <v>45497</v>
      </c>
      <c r="B667" s="345" t="s">
        <v>13631</v>
      </c>
      <c r="C667" s="344"/>
      <c r="D667" s="344" t="s">
        <v>12341</v>
      </c>
      <c r="E667" s="344" t="s">
        <v>12341</v>
      </c>
      <c r="F667" s="344"/>
      <c r="G667" s="344"/>
      <c r="H667" s="344"/>
      <c r="I667" s="344"/>
      <c r="J667" s="344"/>
      <c r="K667" s="344" t="s">
        <v>13632</v>
      </c>
      <c r="L667" s="344" t="s">
        <v>13633</v>
      </c>
      <c r="M667" s="344" t="s">
        <v>13213</v>
      </c>
      <c r="N667" s="344" t="s">
        <v>12339</v>
      </c>
      <c r="O667" s="348"/>
      <c r="P667" s="348"/>
      <c r="Q667" s="348"/>
      <c r="R667" s="348"/>
      <c r="S667" s="348"/>
      <c r="T667" s="348"/>
      <c r="U667" s="348"/>
      <c r="V667" s="348"/>
      <c r="W667" s="348"/>
      <c r="X667" s="348"/>
      <c r="Y667" s="348"/>
      <c r="Z667" s="348"/>
    </row>
    <row r="668" spans="1:26" s="64" customFormat="1" ht="47.25" customHeight="1" thickBot="1" x14ac:dyDescent="0.35">
      <c r="A668" s="343">
        <v>45497</v>
      </c>
      <c r="B668" s="345" t="s">
        <v>13634</v>
      </c>
      <c r="C668" s="344"/>
      <c r="D668" s="344" t="s">
        <v>12341</v>
      </c>
      <c r="E668" s="344" t="s">
        <v>12341</v>
      </c>
      <c r="F668" s="344"/>
      <c r="G668" s="344"/>
      <c r="H668" s="344"/>
      <c r="I668" s="344"/>
      <c r="J668" s="344"/>
      <c r="K668" s="344" t="s">
        <v>13635</v>
      </c>
      <c r="L668" s="344" t="s">
        <v>13636</v>
      </c>
      <c r="M668" s="344" t="s">
        <v>13213</v>
      </c>
      <c r="N668" s="344" t="s">
        <v>12339</v>
      </c>
      <c r="O668" s="348"/>
      <c r="P668" s="348"/>
      <c r="Q668" s="348"/>
      <c r="R668" s="348"/>
      <c r="S668" s="348"/>
      <c r="T668" s="348"/>
      <c r="U668" s="348"/>
      <c r="V668" s="348"/>
      <c r="W668" s="348"/>
      <c r="X668" s="348"/>
      <c r="Y668" s="348"/>
      <c r="Z668" s="348"/>
    </row>
    <row r="669" spans="1:26" s="64" customFormat="1" ht="47.25" customHeight="1" thickBot="1" x14ac:dyDescent="0.35">
      <c r="A669" s="343">
        <v>45497</v>
      </c>
      <c r="B669" s="345" t="s">
        <v>13637</v>
      </c>
      <c r="C669" s="344"/>
      <c r="D669" s="344" t="s">
        <v>12341</v>
      </c>
      <c r="E669" s="344" t="s">
        <v>12427</v>
      </c>
      <c r="F669" s="344" t="s">
        <v>12346</v>
      </c>
      <c r="G669" s="347">
        <v>80</v>
      </c>
      <c r="H669" s="344"/>
      <c r="I669" s="347">
        <v>40</v>
      </c>
      <c r="J669" s="344"/>
      <c r="K669" s="344"/>
      <c r="L669" s="344" t="s">
        <v>12341</v>
      </c>
      <c r="M669" s="344" t="s">
        <v>13213</v>
      </c>
      <c r="N669" s="344" t="s">
        <v>12339</v>
      </c>
      <c r="O669" s="348"/>
      <c r="P669" s="348"/>
      <c r="Q669" s="348"/>
      <c r="R669" s="348"/>
      <c r="S669" s="348"/>
      <c r="T669" s="348"/>
      <c r="U669" s="348"/>
      <c r="V669" s="348"/>
      <c r="W669" s="348"/>
      <c r="X669" s="348"/>
      <c r="Y669" s="348"/>
      <c r="Z669" s="348"/>
    </row>
    <row r="670" spans="1:26" s="64" customFormat="1" ht="47.25" customHeight="1" thickBot="1" x14ac:dyDescent="0.35">
      <c r="A670" s="343">
        <v>45497</v>
      </c>
      <c r="B670" s="345" t="s">
        <v>13638</v>
      </c>
      <c r="C670" s="344"/>
      <c r="D670" s="344" t="s">
        <v>12341</v>
      </c>
      <c r="E670" s="344" t="s">
        <v>13563</v>
      </c>
      <c r="F670" s="344" t="s">
        <v>12352</v>
      </c>
      <c r="G670" s="344"/>
      <c r="H670" s="344"/>
      <c r="I670" s="347">
        <v>74</v>
      </c>
      <c r="J670" s="344"/>
      <c r="K670" s="344" t="s">
        <v>13639</v>
      </c>
      <c r="L670" s="344" t="s">
        <v>13640</v>
      </c>
      <c r="M670" s="344" t="s">
        <v>13213</v>
      </c>
      <c r="N670" s="344" t="s">
        <v>12339</v>
      </c>
      <c r="O670" s="348"/>
      <c r="P670" s="348"/>
      <c r="Q670" s="348"/>
      <c r="R670" s="348"/>
      <c r="S670" s="348"/>
      <c r="T670" s="348"/>
      <c r="U670" s="348"/>
      <c r="V670" s="348"/>
      <c r="W670" s="348"/>
      <c r="X670" s="348"/>
      <c r="Y670" s="348"/>
      <c r="Z670" s="348"/>
    </row>
    <row r="671" spans="1:26" s="64" customFormat="1" ht="47.25" customHeight="1" thickBot="1" x14ac:dyDescent="0.35">
      <c r="A671" s="343">
        <v>45497</v>
      </c>
      <c r="B671" s="345" t="s">
        <v>12554</v>
      </c>
      <c r="C671" s="344"/>
      <c r="D671" s="344" t="s">
        <v>12341</v>
      </c>
      <c r="E671" s="344" t="s">
        <v>13641</v>
      </c>
      <c r="F671" s="344" t="s">
        <v>12360</v>
      </c>
      <c r="G671" s="344"/>
      <c r="H671" s="344"/>
      <c r="I671" s="347">
        <v>140</v>
      </c>
      <c r="J671" s="344" t="s">
        <v>13642</v>
      </c>
      <c r="K671" s="344"/>
      <c r="L671" s="344" t="s">
        <v>12341</v>
      </c>
      <c r="M671" s="344" t="s">
        <v>13213</v>
      </c>
      <c r="N671" s="344" t="s">
        <v>12339</v>
      </c>
      <c r="O671" s="348"/>
      <c r="P671" s="348"/>
      <c r="Q671" s="348"/>
      <c r="R671" s="348"/>
      <c r="S671" s="348"/>
      <c r="T671" s="348"/>
      <c r="U671" s="348"/>
      <c r="V671" s="348"/>
      <c r="W671" s="348"/>
      <c r="X671" s="348"/>
      <c r="Y671" s="348"/>
      <c r="Z671" s="348"/>
    </row>
    <row r="672" spans="1:26" s="64" customFormat="1" ht="47.25" customHeight="1" thickBot="1" x14ac:dyDescent="0.35">
      <c r="A672" s="343">
        <v>45497</v>
      </c>
      <c r="B672" s="345" t="s">
        <v>13643</v>
      </c>
      <c r="C672" s="344"/>
      <c r="D672" s="344" t="s">
        <v>12341</v>
      </c>
      <c r="E672" s="344" t="s">
        <v>12427</v>
      </c>
      <c r="F672" s="344" t="s">
        <v>12346</v>
      </c>
      <c r="G672" s="347">
        <v>80</v>
      </c>
      <c r="H672" s="344"/>
      <c r="I672" s="347">
        <v>40</v>
      </c>
      <c r="J672" s="344"/>
      <c r="K672" s="344" t="s">
        <v>13644</v>
      </c>
      <c r="L672" s="344" t="s">
        <v>13506</v>
      </c>
      <c r="M672" s="344" t="s">
        <v>13213</v>
      </c>
      <c r="N672" s="344" t="s">
        <v>12339</v>
      </c>
      <c r="O672" s="348"/>
      <c r="P672" s="348"/>
      <c r="Q672" s="348"/>
      <c r="R672" s="348"/>
      <c r="S672" s="348"/>
      <c r="T672" s="348"/>
      <c r="U672" s="348"/>
      <c r="V672" s="348"/>
      <c r="W672" s="348"/>
      <c r="X672" s="348"/>
      <c r="Y672" s="348"/>
      <c r="Z672" s="348"/>
    </row>
    <row r="673" spans="1:26" s="64" customFormat="1" ht="47.25" customHeight="1" thickBot="1" x14ac:dyDescent="0.35">
      <c r="A673" s="343">
        <v>45498</v>
      </c>
      <c r="B673" s="345" t="s">
        <v>13645</v>
      </c>
      <c r="C673" s="344"/>
      <c r="D673" s="344" t="s">
        <v>12341</v>
      </c>
      <c r="E673" s="344" t="s">
        <v>12341</v>
      </c>
      <c r="F673" s="344"/>
      <c r="G673" s="344"/>
      <c r="H673" s="344"/>
      <c r="I673" s="344"/>
      <c r="J673" s="344"/>
      <c r="K673" s="344" t="s">
        <v>13646</v>
      </c>
      <c r="L673" s="344" t="s">
        <v>13647</v>
      </c>
      <c r="M673" s="344" t="s">
        <v>13213</v>
      </c>
      <c r="N673" s="344" t="s">
        <v>12339</v>
      </c>
      <c r="O673" s="348"/>
      <c r="P673" s="348"/>
      <c r="Q673" s="348"/>
      <c r="R673" s="348"/>
      <c r="S673" s="348"/>
      <c r="T673" s="348"/>
      <c r="U673" s="348"/>
      <c r="V673" s="348"/>
      <c r="W673" s="348"/>
      <c r="X673" s="348"/>
      <c r="Y673" s="348"/>
      <c r="Z673" s="348"/>
    </row>
    <row r="674" spans="1:26" s="64" customFormat="1" ht="47.25" customHeight="1" thickBot="1" x14ac:dyDescent="0.35">
      <c r="A674" s="343">
        <v>45498</v>
      </c>
      <c r="B674" s="345" t="s">
        <v>13648</v>
      </c>
      <c r="C674" s="344"/>
      <c r="D674" s="344" t="s">
        <v>12341</v>
      </c>
      <c r="E674" s="344" t="s">
        <v>12427</v>
      </c>
      <c r="F674" s="344" t="s">
        <v>12346</v>
      </c>
      <c r="G674" s="347">
        <v>80</v>
      </c>
      <c r="H674" s="344"/>
      <c r="I674" s="347">
        <v>40</v>
      </c>
      <c r="J674" s="344"/>
      <c r="K674" s="344" t="s">
        <v>13649</v>
      </c>
      <c r="L674" s="344" t="s">
        <v>13650</v>
      </c>
      <c r="M674" s="344" t="s">
        <v>13213</v>
      </c>
      <c r="N674" s="344" t="s">
        <v>12339</v>
      </c>
      <c r="O674" s="348"/>
      <c r="P674" s="348"/>
      <c r="Q674" s="348"/>
      <c r="R674" s="348"/>
      <c r="S674" s="348"/>
      <c r="T674" s="348"/>
      <c r="U674" s="348"/>
      <c r="V674" s="348"/>
      <c r="W674" s="348"/>
      <c r="X674" s="348"/>
      <c r="Y674" s="348"/>
      <c r="Z674" s="348"/>
    </row>
    <row r="675" spans="1:26" s="64" customFormat="1" ht="47.25" customHeight="1" thickBot="1" x14ac:dyDescent="0.35">
      <c r="A675" s="343">
        <v>45498</v>
      </c>
      <c r="B675" s="345" t="s">
        <v>13651</v>
      </c>
      <c r="C675" s="344"/>
      <c r="D675" s="344" t="s">
        <v>12341</v>
      </c>
      <c r="E675" s="344" t="s">
        <v>12341</v>
      </c>
      <c r="F675" s="344"/>
      <c r="G675" s="344"/>
      <c r="H675" s="344"/>
      <c r="I675" s="344"/>
      <c r="J675" s="344"/>
      <c r="K675" s="344" t="s">
        <v>13652</v>
      </c>
      <c r="L675" s="344" t="s">
        <v>13653</v>
      </c>
      <c r="M675" s="344" t="s">
        <v>13213</v>
      </c>
      <c r="N675" s="344" t="s">
        <v>12339</v>
      </c>
      <c r="O675" s="348"/>
      <c r="P675" s="348"/>
      <c r="Q675" s="348"/>
      <c r="R675" s="348"/>
      <c r="S675" s="348"/>
      <c r="T675" s="348"/>
      <c r="U675" s="348"/>
      <c r="V675" s="348"/>
      <c r="W675" s="348"/>
      <c r="X675" s="348"/>
      <c r="Y675" s="348"/>
      <c r="Z675" s="348"/>
    </row>
    <row r="676" spans="1:26" s="64" customFormat="1" ht="47.25" customHeight="1" thickBot="1" x14ac:dyDescent="0.35">
      <c r="A676" s="343">
        <v>45498</v>
      </c>
      <c r="B676" s="345" t="s">
        <v>13654</v>
      </c>
      <c r="C676" s="344"/>
      <c r="D676" s="344" t="s">
        <v>12341</v>
      </c>
      <c r="E676" s="344" t="s">
        <v>12427</v>
      </c>
      <c r="F676" s="344" t="s">
        <v>12346</v>
      </c>
      <c r="G676" s="347">
        <v>80</v>
      </c>
      <c r="H676" s="347">
        <v>40</v>
      </c>
      <c r="I676" s="347">
        <v>40</v>
      </c>
      <c r="J676" s="344"/>
      <c r="K676" s="344" t="s">
        <v>13655</v>
      </c>
      <c r="L676" s="344" t="s">
        <v>13656</v>
      </c>
      <c r="M676" s="344" t="s">
        <v>13213</v>
      </c>
      <c r="N676" s="344" t="s">
        <v>12339</v>
      </c>
      <c r="O676" s="348"/>
      <c r="P676" s="348"/>
      <c r="Q676" s="348"/>
      <c r="R676" s="348"/>
      <c r="S676" s="348"/>
      <c r="T676" s="348"/>
      <c r="U676" s="348"/>
      <c r="V676" s="348"/>
      <c r="W676" s="348"/>
      <c r="X676" s="348"/>
      <c r="Y676" s="348"/>
      <c r="Z676" s="348"/>
    </row>
    <row r="677" spans="1:26" s="64" customFormat="1" ht="47.25" customHeight="1" thickBot="1" x14ac:dyDescent="0.35">
      <c r="A677" s="343">
        <v>45498</v>
      </c>
      <c r="B677" s="345" t="s">
        <v>13657</v>
      </c>
      <c r="C677" s="344"/>
      <c r="D677" s="344" t="s">
        <v>12341</v>
      </c>
      <c r="E677" s="344" t="s">
        <v>12427</v>
      </c>
      <c r="F677" s="344" t="s">
        <v>12346</v>
      </c>
      <c r="G677" s="347">
        <v>80</v>
      </c>
      <c r="H677" s="344"/>
      <c r="I677" s="347">
        <v>40</v>
      </c>
      <c r="J677" s="344"/>
      <c r="K677" s="344"/>
      <c r="L677" s="344" t="s">
        <v>12341</v>
      </c>
      <c r="M677" s="344" t="s">
        <v>13213</v>
      </c>
      <c r="N677" s="344" t="s">
        <v>12339</v>
      </c>
      <c r="O677" s="348"/>
      <c r="P677" s="348"/>
      <c r="Q677" s="348"/>
      <c r="R677" s="348"/>
      <c r="S677" s="348"/>
      <c r="T677" s="348"/>
      <c r="U677" s="348"/>
      <c r="V677" s="348"/>
      <c r="W677" s="348"/>
      <c r="X677" s="348"/>
      <c r="Y677" s="348"/>
      <c r="Z677" s="348"/>
    </row>
    <row r="678" spans="1:26" s="64" customFormat="1" ht="47.25" customHeight="1" thickBot="1" x14ac:dyDescent="0.35">
      <c r="A678" s="343">
        <v>45498</v>
      </c>
      <c r="B678" s="345" t="s">
        <v>13658</v>
      </c>
      <c r="C678" s="344"/>
      <c r="D678" s="344" t="s">
        <v>12341</v>
      </c>
      <c r="E678" s="344" t="s">
        <v>13659</v>
      </c>
      <c r="F678" s="344" t="s">
        <v>12360</v>
      </c>
      <c r="G678" s="344"/>
      <c r="H678" s="344"/>
      <c r="I678" s="347">
        <v>280</v>
      </c>
      <c r="J678" s="344"/>
      <c r="K678" s="344"/>
      <c r="L678" s="344" t="s">
        <v>12341</v>
      </c>
      <c r="M678" s="344" t="s">
        <v>13213</v>
      </c>
      <c r="N678" s="344" t="s">
        <v>12344</v>
      </c>
      <c r="O678" s="348"/>
      <c r="P678" s="348"/>
      <c r="Q678" s="348"/>
      <c r="R678" s="348"/>
      <c r="S678" s="348"/>
      <c r="T678" s="348"/>
      <c r="U678" s="348"/>
      <c r="V678" s="348"/>
      <c r="W678" s="348"/>
      <c r="X678" s="348"/>
      <c r="Y678" s="348"/>
      <c r="Z678" s="348"/>
    </row>
    <row r="679" spans="1:26" s="64" customFormat="1" ht="47.25" customHeight="1" thickBot="1" x14ac:dyDescent="0.35">
      <c r="A679" s="343">
        <v>45498</v>
      </c>
      <c r="B679" s="345" t="s">
        <v>13660</v>
      </c>
      <c r="C679" s="344"/>
      <c r="D679" s="344" t="s">
        <v>12341</v>
      </c>
      <c r="E679" s="344" t="s">
        <v>12341</v>
      </c>
      <c r="F679" s="344"/>
      <c r="G679" s="344"/>
      <c r="H679" s="344"/>
      <c r="I679" s="344"/>
      <c r="J679" s="344"/>
      <c r="K679" s="344" t="s">
        <v>12778</v>
      </c>
      <c r="L679" s="344" t="s">
        <v>892</v>
      </c>
      <c r="M679" s="344" t="s">
        <v>13213</v>
      </c>
      <c r="N679" s="344" t="s">
        <v>12339</v>
      </c>
      <c r="O679" s="348"/>
      <c r="P679" s="348"/>
      <c r="Q679" s="348"/>
      <c r="R679" s="348"/>
      <c r="S679" s="348"/>
      <c r="T679" s="348"/>
      <c r="U679" s="348"/>
      <c r="V679" s="348"/>
      <c r="W679" s="348"/>
      <c r="X679" s="348"/>
      <c r="Y679" s="348"/>
      <c r="Z679" s="348"/>
    </row>
    <row r="680" spans="1:26" s="64" customFormat="1" ht="47.25" customHeight="1" thickBot="1" x14ac:dyDescent="0.35">
      <c r="A680" s="343">
        <v>45498</v>
      </c>
      <c r="B680" s="345" t="s">
        <v>13661</v>
      </c>
      <c r="C680" s="344"/>
      <c r="D680" s="344" t="s">
        <v>12341</v>
      </c>
      <c r="E680" s="344" t="s">
        <v>12341</v>
      </c>
      <c r="F680" s="344"/>
      <c r="G680" s="344"/>
      <c r="H680" s="344"/>
      <c r="I680" s="344"/>
      <c r="J680" s="344"/>
      <c r="K680" s="344" t="s">
        <v>13662</v>
      </c>
      <c r="L680" s="344" t="s">
        <v>13663</v>
      </c>
      <c r="M680" s="344" t="s">
        <v>13213</v>
      </c>
      <c r="N680" s="344" t="s">
        <v>12339</v>
      </c>
      <c r="O680" s="348"/>
      <c r="P680" s="348"/>
      <c r="Q680" s="348"/>
      <c r="R680" s="348"/>
      <c r="S680" s="348"/>
      <c r="T680" s="348"/>
      <c r="U680" s="348"/>
      <c r="V680" s="348"/>
      <c r="W680" s="348"/>
      <c r="X680" s="348"/>
      <c r="Y680" s="348"/>
      <c r="Z680" s="348"/>
    </row>
    <row r="681" spans="1:26" s="64" customFormat="1" ht="47.25" customHeight="1" thickBot="1" x14ac:dyDescent="0.35">
      <c r="A681" s="343">
        <v>45499</v>
      </c>
      <c r="B681" s="345" t="s">
        <v>13489</v>
      </c>
      <c r="C681" s="344"/>
      <c r="D681" s="344" t="s">
        <v>12341</v>
      </c>
      <c r="E681" s="344" t="s">
        <v>12341</v>
      </c>
      <c r="F681" s="344"/>
      <c r="G681" s="344"/>
      <c r="H681" s="344"/>
      <c r="I681" s="344"/>
      <c r="J681" s="344"/>
      <c r="K681" s="344"/>
      <c r="L681" s="344" t="s">
        <v>13483</v>
      </c>
      <c r="M681" s="344" t="s">
        <v>13213</v>
      </c>
      <c r="N681" s="344" t="s">
        <v>12339</v>
      </c>
      <c r="O681" s="348"/>
      <c r="P681" s="348"/>
      <c r="Q681" s="348"/>
      <c r="R681" s="348"/>
      <c r="S681" s="348"/>
      <c r="T681" s="348"/>
      <c r="U681" s="348"/>
      <c r="V681" s="348"/>
      <c r="W681" s="348"/>
      <c r="X681" s="348"/>
      <c r="Y681" s="348"/>
      <c r="Z681" s="348"/>
    </row>
    <row r="682" spans="1:26" s="64" customFormat="1" ht="47.25" customHeight="1" thickBot="1" x14ac:dyDescent="0.35">
      <c r="A682" s="343">
        <v>45499</v>
      </c>
      <c r="B682" s="345" t="s">
        <v>13606</v>
      </c>
      <c r="C682" s="344"/>
      <c r="D682" s="344" t="s">
        <v>12341</v>
      </c>
      <c r="E682" s="344" t="s">
        <v>13664</v>
      </c>
      <c r="F682" s="344" t="s">
        <v>12360</v>
      </c>
      <c r="G682" s="347">
        <v>0</v>
      </c>
      <c r="H682" s="344"/>
      <c r="I682" s="347">
        <v>0</v>
      </c>
      <c r="J682" s="344" t="s">
        <v>13665</v>
      </c>
      <c r="K682" s="344"/>
      <c r="L682" s="344" t="s">
        <v>12341</v>
      </c>
      <c r="M682" s="344" t="s">
        <v>13213</v>
      </c>
      <c r="N682" s="344" t="s">
        <v>12339</v>
      </c>
      <c r="O682" s="348"/>
      <c r="P682" s="348"/>
      <c r="Q682" s="348"/>
      <c r="R682" s="348"/>
      <c r="S682" s="348"/>
      <c r="T682" s="348"/>
      <c r="U682" s="348"/>
      <c r="V682" s="348"/>
      <c r="W682" s="348"/>
      <c r="X682" s="348"/>
      <c r="Y682" s="348"/>
      <c r="Z682" s="348"/>
    </row>
    <row r="683" spans="1:26" s="64" customFormat="1" ht="47.25" customHeight="1" thickBot="1" x14ac:dyDescent="0.35">
      <c r="A683" s="343">
        <v>45499</v>
      </c>
      <c r="B683" s="345" t="s">
        <v>12469</v>
      </c>
      <c r="C683" s="344"/>
      <c r="D683" s="344" t="s">
        <v>12341</v>
      </c>
      <c r="E683" s="344" t="s">
        <v>2992</v>
      </c>
      <c r="F683" s="344" t="s">
        <v>12360</v>
      </c>
      <c r="G683" s="347">
        <v>0</v>
      </c>
      <c r="H683" s="344"/>
      <c r="I683" s="347">
        <v>40</v>
      </c>
      <c r="J683" s="344" t="s">
        <v>13666</v>
      </c>
      <c r="K683" s="344"/>
      <c r="L683" s="344" t="s">
        <v>12341</v>
      </c>
      <c r="M683" s="344" t="s">
        <v>13213</v>
      </c>
      <c r="N683" s="344" t="s">
        <v>12339</v>
      </c>
      <c r="O683" s="348"/>
      <c r="P683" s="348"/>
      <c r="Q683" s="348"/>
      <c r="R683" s="348"/>
      <c r="S683" s="348"/>
      <c r="T683" s="348"/>
      <c r="U683" s="348"/>
      <c r="V683" s="348"/>
      <c r="W683" s="348"/>
      <c r="X683" s="348"/>
      <c r="Y683" s="348"/>
      <c r="Z683" s="348"/>
    </row>
    <row r="684" spans="1:26" s="64" customFormat="1" ht="47.25" customHeight="1" thickBot="1" x14ac:dyDescent="0.35">
      <c r="A684" s="343">
        <v>45499</v>
      </c>
      <c r="B684" s="345" t="s">
        <v>13489</v>
      </c>
      <c r="C684" s="344"/>
      <c r="D684" s="344" t="s">
        <v>12341</v>
      </c>
      <c r="E684" s="344" t="s">
        <v>13664</v>
      </c>
      <c r="F684" s="344" t="s">
        <v>12360</v>
      </c>
      <c r="G684" s="347">
        <v>0</v>
      </c>
      <c r="H684" s="344"/>
      <c r="I684" s="347">
        <v>100</v>
      </c>
      <c r="J684" s="344" t="s">
        <v>13667</v>
      </c>
      <c r="K684" s="344" t="s">
        <v>13668</v>
      </c>
      <c r="L684" s="344" t="s">
        <v>13669</v>
      </c>
      <c r="M684" s="344" t="s">
        <v>13213</v>
      </c>
      <c r="N684" s="344" t="s">
        <v>12339</v>
      </c>
      <c r="O684" s="348"/>
      <c r="P684" s="348"/>
      <c r="Q684" s="348"/>
      <c r="R684" s="348"/>
      <c r="S684" s="348"/>
      <c r="T684" s="348"/>
      <c r="U684" s="348"/>
      <c r="V684" s="348"/>
      <c r="W684" s="348"/>
      <c r="X684" s="348"/>
      <c r="Y684" s="348"/>
      <c r="Z684" s="348"/>
    </row>
    <row r="685" spans="1:26" s="64" customFormat="1" ht="47.25" customHeight="1" thickBot="1" x14ac:dyDescent="0.35">
      <c r="A685" s="343">
        <v>45499</v>
      </c>
      <c r="B685" s="345" t="s">
        <v>13670</v>
      </c>
      <c r="C685" s="344"/>
      <c r="D685" s="344" t="s">
        <v>12341</v>
      </c>
      <c r="E685" s="344" t="s">
        <v>12341</v>
      </c>
      <c r="F685" s="344"/>
      <c r="G685" s="344"/>
      <c r="H685" s="344"/>
      <c r="I685" s="344"/>
      <c r="J685" s="344"/>
      <c r="K685" s="344" t="s">
        <v>13671</v>
      </c>
      <c r="L685" s="344" t="s">
        <v>12341</v>
      </c>
      <c r="M685" s="344" t="s">
        <v>13213</v>
      </c>
      <c r="N685" s="344" t="s">
        <v>12339</v>
      </c>
      <c r="O685" s="348"/>
      <c r="P685" s="348"/>
      <c r="Q685" s="348"/>
      <c r="R685" s="348"/>
      <c r="S685" s="348"/>
      <c r="T685" s="348"/>
      <c r="U685" s="348"/>
      <c r="V685" s="348"/>
      <c r="W685" s="348"/>
      <c r="X685" s="348"/>
      <c r="Y685" s="348"/>
      <c r="Z685" s="348"/>
    </row>
    <row r="686" spans="1:26" s="64" customFormat="1" ht="47.25" customHeight="1" thickBot="1" x14ac:dyDescent="0.35">
      <c r="A686" s="343">
        <v>45499</v>
      </c>
      <c r="B686" s="345" t="s">
        <v>13672</v>
      </c>
      <c r="C686" s="344"/>
      <c r="D686" s="344" t="s">
        <v>12341</v>
      </c>
      <c r="E686" s="344" t="s">
        <v>12427</v>
      </c>
      <c r="F686" s="344" t="s">
        <v>12346</v>
      </c>
      <c r="G686" s="347">
        <v>100</v>
      </c>
      <c r="H686" s="344"/>
      <c r="I686" s="347">
        <v>40</v>
      </c>
      <c r="J686" s="344"/>
      <c r="K686" s="344"/>
      <c r="L686" s="344" t="s">
        <v>12341</v>
      </c>
      <c r="M686" s="344" t="s">
        <v>13213</v>
      </c>
      <c r="N686" s="344" t="s">
        <v>12339</v>
      </c>
      <c r="O686" s="348"/>
      <c r="P686" s="348"/>
      <c r="Q686" s="348"/>
      <c r="R686" s="348"/>
      <c r="S686" s="348"/>
      <c r="T686" s="348"/>
      <c r="U686" s="348"/>
      <c r="V686" s="348"/>
      <c r="W686" s="348"/>
      <c r="X686" s="348"/>
      <c r="Y686" s="348"/>
      <c r="Z686" s="348"/>
    </row>
    <row r="687" spans="1:26" s="64" customFormat="1" ht="47.25" customHeight="1" thickBot="1" x14ac:dyDescent="0.35">
      <c r="A687" s="343">
        <v>45499</v>
      </c>
      <c r="B687" s="345" t="s">
        <v>13673</v>
      </c>
      <c r="C687" s="344"/>
      <c r="D687" s="344" t="s">
        <v>12341</v>
      </c>
      <c r="E687" s="344" t="s">
        <v>12427</v>
      </c>
      <c r="F687" s="344" t="s">
        <v>12346</v>
      </c>
      <c r="G687" s="347">
        <v>80</v>
      </c>
      <c r="H687" s="344"/>
      <c r="I687" s="347">
        <v>40</v>
      </c>
      <c r="J687" s="344"/>
      <c r="K687" s="344" t="s">
        <v>13674</v>
      </c>
      <c r="L687" s="344" t="s">
        <v>13675</v>
      </c>
      <c r="M687" s="344" t="s">
        <v>13213</v>
      </c>
      <c r="N687" s="344" t="s">
        <v>12339</v>
      </c>
      <c r="O687" s="348"/>
      <c r="P687" s="348"/>
      <c r="Q687" s="348"/>
      <c r="R687" s="348"/>
      <c r="S687" s="348"/>
      <c r="T687" s="348"/>
      <c r="U687" s="348"/>
      <c r="V687" s="348"/>
      <c r="W687" s="348"/>
      <c r="X687" s="348"/>
      <c r="Y687" s="348"/>
      <c r="Z687" s="348"/>
    </row>
    <row r="688" spans="1:26" s="64" customFormat="1" ht="47.25" customHeight="1" thickBot="1" x14ac:dyDescent="0.35">
      <c r="A688" s="343">
        <v>45499</v>
      </c>
      <c r="B688" s="345" t="s">
        <v>13676</v>
      </c>
      <c r="C688" s="344"/>
      <c r="D688" s="344" t="s">
        <v>12341</v>
      </c>
      <c r="E688" s="344" t="s">
        <v>12341</v>
      </c>
      <c r="F688" s="344"/>
      <c r="G688" s="344"/>
      <c r="H688" s="344"/>
      <c r="I688" s="344"/>
      <c r="J688" s="344"/>
      <c r="K688" s="344" t="s">
        <v>13677</v>
      </c>
      <c r="L688" s="344" t="s">
        <v>12470</v>
      </c>
      <c r="M688" s="344" t="s">
        <v>13213</v>
      </c>
      <c r="N688" s="344" t="s">
        <v>12339</v>
      </c>
      <c r="O688" s="348"/>
      <c r="P688" s="348"/>
      <c r="Q688" s="348"/>
      <c r="R688" s="348"/>
      <c r="S688" s="348"/>
      <c r="T688" s="348"/>
      <c r="U688" s="348"/>
      <c r="V688" s="348"/>
      <c r="W688" s="348"/>
      <c r="X688" s="348"/>
      <c r="Y688" s="348"/>
      <c r="Z688" s="348"/>
    </row>
    <row r="689" spans="1:26" s="64" customFormat="1" ht="47.25" customHeight="1" thickBot="1" x14ac:dyDescent="0.35">
      <c r="A689" s="343">
        <v>45502</v>
      </c>
      <c r="B689" s="345" t="s">
        <v>13678</v>
      </c>
      <c r="C689" s="344"/>
      <c r="D689" s="344" t="s">
        <v>12341</v>
      </c>
      <c r="E689" s="344" t="s">
        <v>12341</v>
      </c>
      <c r="F689" s="344"/>
      <c r="G689" s="344"/>
      <c r="H689" s="344"/>
      <c r="I689" s="344"/>
      <c r="J689" s="344"/>
      <c r="K689" s="344" t="s">
        <v>13679</v>
      </c>
      <c r="L689" s="344" t="s">
        <v>13680</v>
      </c>
      <c r="M689" s="344" t="s">
        <v>13213</v>
      </c>
      <c r="N689" s="344" t="s">
        <v>12339</v>
      </c>
      <c r="O689" s="348"/>
      <c r="P689" s="348"/>
      <c r="Q689" s="348"/>
      <c r="R689" s="348"/>
      <c r="S689" s="348"/>
      <c r="T689" s="348"/>
      <c r="U689" s="348"/>
      <c r="V689" s="348"/>
      <c r="W689" s="348"/>
      <c r="X689" s="348"/>
      <c r="Y689" s="348"/>
      <c r="Z689" s="348"/>
    </row>
    <row r="690" spans="1:26" s="64" customFormat="1" ht="47.25" customHeight="1" thickBot="1" x14ac:dyDescent="0.35">
      <c r="A690" s="343">
        <v>45502</v>
      </c>
      <c r="B690" s="345" t="s">
        <v>13500</v>
      </c>
      <c r="C690" s="344"/>
      <c r="D690" s="344" t="s">
        <v>12341</v>
      </c>
      <c r="E690" s="344" t="s">
        <v>12341</v>
      </c>
      <c r="F690" s="344"/>
      <c r="G690" s="344"/>
      <c r="H690" s="344"/>
      <c r="I690" s="344"/>
      <c r="J690" s="344"/>
      <c r="K690" s="344" t="s">
        <v>13681</v>
      </c>
      <c r="L690" s="344" t="s">
        <v>13473</v>
      </c>
      <c r="M690" s="344" t="s">
        <v>13213</v>
      </c>
      <c r="N690" s="344" t="s">
        <v>12339</v>
      </c>
      <c r="O690" s="348"/>
      <c r="P690" s="348"/>
      <c r="Q690" s="348"/>
      <c r="R690" s="348"/>
      <c r="S690" s="348"/>
      <c r="T690" s="348"/>
      <c r="U690" s="348"/>
      <c r="V690" s="348"/>
      <c r="W690" s="348"/>
      <c r="X690" s="348"/>
      <c r="Y690" s="348"/>
      <c r="Z690" s="348"/>
    </row>
    <row r="691" spans="1:26" s="64" customFormat="1" ht="47.25" customHeight="1" thickBot="1" x14ac:dyDescent="0.35">
      <c r="A691" s="343">
        <v>45502</v>
      </c>
      <c r="B691" s="345" t="s">
        <v>13682</v>
      </c>
      <c r="C691" s="344"/>
      <c r="D691" s="344" t="s">
        <v>12341</v>
      </c>
      <c r="E691" s="344" t="s">
        <v>12427</v>
      </c>
      <c r="F691" s="344" t="s">
        <v>12341</v>
      </c>
      <c r="G691" s="347">
        <v>80</v>
      </c>
      <c r="H691" s="347">
        <v>40</v>
      </c>
      <c r="I691" s="347">
        <v>40</v>
      </c>
      <c r="J691" s="344"/>
      <c r="K691" s="344"/>
      <c r="L691" s="344" t="s">
        <v>12341</v>
      </c>
      <c r="M691" s="344" t="s">
        <v>13213</v>
      </c>
      <c r="N691" s="344" t="s">
        <v>12339</v>
      </c>
      <c r="O691" s="348"/>
      <c r="P691" s="348"/>
      <c r="Q691" s="348"/>
      <c r="R691" s="348"/>
      <c r="S691" s="348"/>
      <c r="T691" s="348"/>
      <c r="U691" s="348"/>
      <c r="V691" s="348"/>
      <c r="W691" s="348"/>
      <c r="X691" s="348"/>
      <c r="Y691" s="348"/>
      <c r="Z691" s="348"/>
    </row>
    <row r="692" spans="1:26" s="64" customFormat="1" ht="47.25" customHeight="1" thickBot="1" x14ac:dyDescent="0.35">
      <c r="A692" s="343">
        <v>45502</v>
      </c>
      <c r="B692" s="345" t="s">
        <v>13683</v>
      </c>
      <c r="C692" s="344"/>
      <c r="D692" s="344" t="s">
        <v>12341</v>
      </c>
      <c r="E692" s="344" t="s">
        <v>13684</v>
      </c>
      <c r="F692" s="344" t="s">
        <v>12341</v>
      </c>
      <c r="G692" s="347">
        <v>160</v>
      </c>
      <c r="H692" s="347">
        <v>86</v>
      </c>
      <c r="I692" s="347">
        <v>74</v>
      </c>
      <c r="J692" s="344"/>
      <c r="K692" s="344" t="s">
        <v>13685</v>
      </c>
      <c r="L692" s="344" t="s">
        <v>13686</v>
      </c>
      <c r="M692" s="344" t="s">
        <v>13213</v>
      </c>
      <c r="N692" s="344" t="s">
        <v>12339</v>
      </c>
      <c r="O692" s="348"/>
      <c r="P692" s="348"/>
      <c r="Q692" s="348"/>
      <c r="R692" s="348"/>
      <c r="S692" s="348"/>
      <c r="T692" s="348"/>
      <c r="U692" s="348"/>
      <c r="V692" s="348"/>
      <c r="W692" s="348"/>
      <c r="X692" s="348"/>
      <c r="Y692" s="348"/>
      <c r="Z692" s="348"/>
    </row>
    <row r="693" spans="1:26" s="64" customFormat="1" ht="47.25" customHeight="1" thickBot="1" x14ac:dyDescent="0.35">
      <c r="A693" s="343">
        <v>45502</v>
      </c>
      <c r="B693" s="345" t="s">
        <v>13687</v>
      </c>
      <c r="C693" s="344"/>
      <c r="D693" s="344" t="s">
        <v>12341</v>
      </c>
      <c r="E693" s="344" t="s">
        <v>13688</v>
      </c>
      <c r="F693" s="344"/>
      <c r="G693" s="344"/>
      <c r="H693" s="344"/>
      <c r="I693" s="344"/>
      <c r="J693" s="344"/>
      <c r="K693" s="344" t="s">
        <v>13689</v>
      </c>
      <c r="L693" s="344" t="s">
        <v>13690</v>
      </c>
      <c r="M693" s="344" t="s">
        <v>13213</v>
      </c>
      <c r="N693" s="344" t="s">
        <v>12339</v>
      </c>
      <c r="O693" s="348"/>
      <c r="P693" s="348"/>
      <c r="Q693" s="348"/>
      <c r="R693" s="348"/>
      <c r="S693" s="348"/>
      <c r="T693" s="348"/>
      <c r="U693" s="348"/>
      <c r="V693" s="348"/>
      <c r="W693" s="348"/>
      <c r="X693" s="348"/>
      <c r="Y693" s="348"/>
      <c r="Z693" s="348"/>
    </row>
    <row r="694" spans="1:26" s="64" customFormat="1" ht="47.25" customHeight="1" thickBot="1" x14ac:dyDescent="0.35">
      <c r="A694" s="343">
        <v>45502</v>
      </c>
      <c r="B694" s="345" t="s">
        <v>13691</v>
      </c>
      <c r="C694" s="344"/>
      <c r="D694" s="344" t="s">
        <v>12341</v>
      </c>
      <c r="E694" s="344" t="s">
        <v>12427</v>
      </c>
      <c r="F694" s="344" t="s">
        <v>12360</v>
      </c>
      <c r="G694" s="344"/>
      <c r="H694" s="344"/>
      <c r="I694" s="347">
        <v>40</v>
      </c>
      <c r="J694" s="344"/>
      <c r="K694" s="344"/>
      <c r="L694" s="344" t="s">
        <v>12341</v>
      </c>
      <c r="M694" s="344" t="s">
        <v>13213</v>
      </c>
      <c r="N694" s="344" t="s">
        <v>12339</v>
      </c>
      <c r="O694" s="348"/>
      <c r="P694" s="348"/>
      <c r="Q694" s="348"/>
      <c r="R694" s="348"/>
      <c r="S694" s="348"/>
      <c r="T694" s="348"/>
      <c r="U694" s="348"/>
      <c r="V694" s="348"/>
      <c r="W694" s="348"/>
      <c r="X694" s="348"/>
      <c r="Y694" s="348"/>
      <c r="Z694" s="348"/>
    </row>
    <row r="695" spans="1:26" s="64" customFormat="1" ht="47.25" customHeight="1" thickBot="1" x14ac:dyDescent="0.35">
      <c r="A695" s="343">
        <v>45502</v>
      </c>
      <c r="B695" s="345" t="s">
        <v>13692</v>
      </c>
      <c r="C695" s="344"/>
      <c r="D695" s="344" t="s">
        <v>12341</v>
      </c>
      <c r="E695" s="344" t="s">
        <v>12341</v>
      </c>
      <c r="F695" s="344"/>
      <c r="G695" s="344"/>
      <c r="H695" s="344"/>
      <c r="I695" s="344"/>
      <c r="J695" s="344"/>
      <c r="K695" s="344" t="s">
        <v>13693</v>
      </c>
      <c r="L695" s="344" t="s">
        <v>13694</v>
      </c>
      <c r="M695" s="344" t="s">
        <v>13213</v>
      </c>
      <c r="N695" s="344" t="s">
        <v>12339</v>
      </c>
      <c r="O695" s="348"/>
      <c r="P695" s="348"/>
      <c r="Q695" s="348"/>
      <c r="R695" s="348"/>
      <c r="S695" s="348"/>
      <c r="T695" s="348"/>
      <c r="U695" s="348"/>
      <c r="V695" s="348"/>
      <c r="W695" s="348"/>
      <c r="X695" s="348"/>
      <c r="Y695" s="348"/>
      <c r="Z695" s="348"/>
    </row>
    <row r="696" spans="1:26" s="64" customFormat="1" ht="47.25" customHeight="1" thickBot="1" x14ac:dyDescent="0.35">
      <c r="A696" s="343">
        <v>45502</v>
      </c>
      <c r="B696" s="345" t="s">
        <v>13638</v>
      </c>
      <c r="C696" s="344"/>
      <c r="D696" s="344" t="s">
        <v>12341</v>
      </c>
      <c r="E696" s="344" t="s">
        <v>12341</v>
      </c>
      <c r="F696" s="344"/>
      <c r="G696" s="344"/>
      <c r="H696" s="344"/>
      <c r="I696" s="344"/>
      <c r="J696" s="344"/>
      <c r="K696" s="344" t="s">
        <v>13695</v>
      </c>
      <c r="L696" s="344" t="s">
        <v>13640</v>
      </c>
      <c r="M696" s="344" t="s">
        <v>13213</v>
      </c>
      <c r="N696" s="344" t="s">
        <v>12339</v>
      </c>
      <c r="O696" s="348"/>
      <c r="P696" s="348"/>
      <c r="Q696" s="348"/>
      <c r="R696" s="348"/>
      <c r="S696" s="348"/>
      <c r="T696" s="348"/>
      <c r="U696" s="348"/>
      <c r="V696" s="348"/>
      <c r="W696" s="348"/>
      <c r="X696" s="348"/>
      <c r="Y696" s="348"/>
      <c r="Z696" s="348"/>
    </row>
    <row r="697" spans="1:26" s="64" customFormat="1" ht="47.25" customHeight="1" thickBot="1" x14ac:dyDescent="0.35">
      <c r="A697" s="343">
        <v>45502</v>
      </c>
      <c r="B697" s="345" t="s">
        <v>13696</v>
      </c>
      <c r="C697" s="344"/>
      <c r="D697" s="344" t="s">
        <v>12341</v>
      </c>
      <c r="E697" s="344" t="s">
        <v>12341</v>
      </c>
      <c r="F697" s="344"/>
      <c r="G697" s="344"/>
      <c r="H697" s="344"/>
      <c r="I697" s="344"/>
      <c r="J697" s="344"/>
      <c r="K697" s="344" t="s">
        <v>13697</v>
      </c>
      <c r="L697" s="344" t="s">
        <v>13698</v>
      </c>
      <c r="M697" s="344" t="s">
        <v>13213</v>
      </c>
      <c r="N697" s="344" t="s">
        <v>12339</v>
      </c>
      <c r="O697" s="348"/>
      <c r="P697" s="348"/>
      <c r="Q697" s="348"/>
      <c r="R697" s="348"/>
      <c r="S697" s="348"/>
      <c r="T697" s="348"/>
      <c r="U697" s="348"/>
      <c r="V697" s="348"/>
      <c r="W697" s="348"/>
      <c r="X697" s="348"/>
      <c r="Y697" s="348"/>
      <c r="Z697" s="348"/>
    </row>
    <row r="698" spans="1:26" s="64" customFormat="1" ht="47.25" customHeight="1" thickBot="1" x14ac:dyDescent="0.35">
      <c r="A698" s="343">
        <v>45502</v>
      </c>
      <c r="B698" s="345" t="s">
        <v>13206</v>
      </c>
      <c r="C698" s="344"/>
      <c r="D698" s="344" t="s">
        <v>12341</v>
      </c>
      <c r="E698" s="344" t="s">
        <v>13699</v>
      </c>
      <c r="F698" s="344" t="s">
        <v>13700</v>
      </c>
      <c r="G698" s="344"/>
      <c r="H698" s="344"/>
      <c r="I698" s="344"/>
      <c r="J698" s="344" t="s">
        <v>13701</v>
      </c>
      <c r="K698" s="344" t="s">
        <v>13702</v>
      </c>
      <c r="L698" s="344" t="s">
        <v>13703</v>
      </c>
      <c r="M698" s="344" t="s">
        <v>13213</v>
      </c>
      <c r="N698" s="344" t="s">
        <v>12339</v>
      </c>
      <c r="O698" s="348"/>
      <c r="P698" s="348"/>
      <c r="Q698" s="348"/>
      <c r="R698" s="348"/>
      <c r="S698" s="348"/>
      <c r="T698" s="348"/>
      <c r="U698" s="348"/>
      <c r="V698" s="348"/>
      <c r="W698" s="348"/>
      <c r="X698" s="348"/>
      <c r="Y698" s="348"/>
      <c r="Z698" s="348"/>
    </row>
    <row r="699" spans="1:26" s="64" customFormat="1" ht="47.25" customHeight="1" thickBot="1" x14ac:dyDescent="0.35">
      <c r="A699" s="343">
        <v>45503</v>
      </c>
      <c r="B699" s="345" t="s">
        <v>13704</v>
      </c>
      <c r="C699" s="344"/>
      <c r="D699" s="344" t="s">
        <v>12341</v>
      </c>
      <c r="E699" s="344" t="s">
        <v>12427</v>
      </c>
      <c r="F699" s="344" t="s">
        <v>12341</v>
      </c>
      <c r="G699" s="347">
        <v>80</v>
      </c>
      <c r="H699" s="344"/>
      <c r="I699" s="347">
        <v>40</v>
      </c>
      <c r="J699" s="344"/>
      <c r="K699" s="344"/>
      <c r="L699" s="344" t="s">
        <v>12341</v>
      </c>
      <c r="M699" s="344" t="s">
        <v>13213</v>
      </c>
      <c r="N699" s="344" t="s">
        <v>12339</v>
      </c>
      <c r="O699" s="348"/>
      <c r="P699" s="348"/>
      <c r="Q699" s="348"/>
      <c r="R699" s="348"/>
      <c r="S699" s="348"/>
      <c r="T699" s="348"/>
      <c r="U699" s="348"/>
      <c r="V699" s="348"/>
      <c r="W699" s="348"/>
      <c r="X699" s="348"/>
      <c r="Y699" s="348"/>
      <c r="Z699" s="348"/>
    </row>
    <row r="700" spans="1:26" s="64" customFormat="1" ht="47.25" customHeight="1" thickBot="1" x14ac:dyDescent="0.35">
      <c r="A700" s="343">
        <v>45503</v>
      </c>
      <c r="B700" s="345" t="s">
        <v>13705</v>
      </c>
      <c r="C700" s="344"/>
      <c r="D700" s="344" t="s">
        <v>12341</v>
      </c>
      <c r="E700" s="344" t="s">
        <v>12341</v>
      </c>
      <c r="F700" s="344"/>
      <c r="G700" s="344"/>
      <c r="H700" s="344"/>
      <c r="I700" s="344"/>
      <c r="J700" s="344"/>
      <c r="K700" s="344" t="s">
        <v>13706</v>
      </c>
      <c r="L700" s="344" t="s">
        <v>13707</v>
      </c>
      <c r="M700" s="344" t="s">
        <v>13213</v>
      </c>
      <c r="N700" s="344" t="s">
        <v>12339</v>
      </c>
      <c r="O700" s="348"/>
      <c r="P700" s="348"/>
      <c r="Q700" s="348"/>
      <c r="R700" s="348"/>
      <c r="S700" s="348"/>
      <c r="T700" s="348"/>
      <c r="U700" s="348"/>
      <c r="V700" s="348"/>
      <c r="W700" s="348"/>
      <c r="X700" s="348"/>
      <c r="Y700" s="348"/>
      <c r="Z700" s="348"/>
    </row>
    <row r="701" spans="1:26" s="64" customFormat="1" ht="47.25" customHeight="1" thickBot="1" x14ac:dyDescent="0.35">
      <c r="A701" s="343">
        <v>45503</v>
      </c>
      <c r="B701" s="345" t="s">
        <v>13708</v>
      </c>
      <c r="C701" s="344"/>
      <c r="D701" s="344" t="s">
        <v>12341</v>
      </c>
      <c r="E701" s="344" t="s">
        <v>13709</v>
      </c>
      <c r="F701" s="344" t="s">
        <v>13710</v>
      </c>
      <c r="G701" s="344"/>
      <c r="H701" s="344"/>
      <c r="I701" s="344"/>
      <c r="J701" s="344"/>
      <c r="K701" s="344"/>
      <c r="L701" s="344" t="s">
        <v>12341</v>
      </c>
      <c r="M701" s="344" t="s">
        <v>13213</v>
      </c>
      <c r="N701" s="344" t="s">
        <v>12339</v>
      </c>
      <c r="O701" s="348"/>
      <c r="P701" s="348"/>
      <c r="Q701" s="348"/>
      <c r="R701" s="348"/>
      <c r="S701" s="348"/>
      <c r="T701" s="348"/>
      <c r="U701" s="348"/>
      <c r="V701" s="348"/>
      <c r="W701" s="348"/>
      <c r="X701" s="348"/>
      <c r="Y701" s="348"/>
      <c r="Z701" s="348"/>
    </row>
    <row r="702" spans="1:26" s="64" customFormat="1" ht="47.25" customHeight="1" thickBot="1" x14ac:dyDescent="0.35">
      <c r="A702" s="343">
        <v>45503</v>
      </c>
      <c r="B702" s="345" t="s">
        <v>13711</v>
      </c>
      <c r="C702" s="344"/>
      <c r="D702" s="344" t="s">
        <v>12341</v>
      </c>
      <c r="E702" s="344" t="s">
        <v>12427</v>
      </c>
      <c r="F702" s="344" t="s">
        <v>12341</v>
      </c>
      <c r="G702" s="347">
        <v>80</v>
      </c>
      <c r="H702" s="344"/>
      <c r="I702" s="347">
        <v>40</v>
      </c>
      <c r="J702" s="344"/>
      <c r="K702" s="344" t="s">
        <v>13712</v>
      </c>
      <c r="L702" s="344" t="s">
        <v>13713</v>
      </c>
      <c r="M702" s="344" t="s">
        <v>13213</v>
      </c>
      <c r="N702" s="344" t="s">
        <v>12339</v>
      </c>
      <c r="O702" s="348"/>
      <c r="P702" s="348"/>
      <c r="Q702" s="348"/>
      <c r="R702" s="348"/>
      <c r="S702" s="348"/>
      <c r="T702" s="348"/>
      <c r="U702" s="348"/>
      <c r="V702" s="348"/>
      <c r="W702" s="348"/>
      <c r="X702" s="348"/>
      <c r="Y702" s="348"/>
      <c r="Z702" s="348"/>
    </row>
    <row r="703" spans="1:26" s="64" customFormat="1" ht="47.25" customHeight="1" thickBot="1" x14ac:dyDescent="0.3">
      <c r="A703" s="343">
        <v>45503</v>
      </c>
      <c r="B703" s="350" t="s">
        <v>13714</v>
      </c>
      <c r="C703" s="344"/>
      <c r="D703" s="344" t="s">
        <v>12341</v>
      </c>
      <c r="E703" s="344" t="s">
        <v>12341</v>
      </c>
      <c r="F703" s="344"/>
      <c r="G703" s="344"/>
      <c r="H703" s="344"/>
      <c r="I703" s="344"/>
      <c r="J703" s="344"/>
      <c r="K703" s="344" t="s">
        <v>13715</v>
      </c>
      <c r="L703" s="344" t="s">
        <v>13716</v>
      </c>
      <c r="M703" s="344" t="s">
        <v>13213</v>
      </c>
      <c r="N703" s="344" t="s">
        <v>12339</v>
      </c>
      <c r="O703" s="348"/>
      <c r="P703" s="348"/>
      <c r="Q703" s="348"/>
      <c r="R703" s="348"/>
      <c r="S703" s="348"/>
      <c r="T703" s="348"/>
      <c r="U703" s="348"/>
      <c r="V703" s="348"/>
      <c r="W703" s="348"/>
      <c r="X703" s="348"/>
      <c r="Y703" s="348"/>
      <c r="Z703" s="348"/>
    </row>
    <row r="704" spans="1:26" s="64" customFormat="1" ht="47.25" customHeight="1" thickBot="1" x14ac:dyDescent="0.35">
      <c r="A704" s="343">
        <v>45503</v>
      </c>
      <c r="B704" s="345" t="s">
        <v>13717</v>
      </c>
      <c r="C704" s="344"/>
      <c r="D704" s="344" t="s">
        <v>12341</v>
      </c>
      <c r="E704" s="344" t="s">
        <v>12341</v>
      </c>
      <c r="F704" s="344"/>
      <c r="G704" s="344"/>
      <c r="H704" s="344"/>
      <c r="I704" s="344"/>
      <c r="J704" s="344"/>
      <c r="K704" s="344" t="s">
        <v>13718</v>
      </c>
      <c r="L704" s="344" t="s">
        <v>13719</v>
      </c>
      <c r="M704" s="344" t="s">
        <v>13213</v>
      </c>
      <c r="N704" s="344" t="s">
        <v>12339</v>
      </c>
      <c r="O704" s="348"/>
      <c r="P704" s="348"/>
      <c r="Q704" s="348"/>
      <c r="R704" s="348"/>
      <c r="S704" s="348"/>
      <c r="T704" s="348"/>
      <c r="U704" s="348"/>
      <c r="V704" s="348"/>
      <c r="W704" s="348"/>
      <c r="X704" s="348"/>
      <c r="Y704" s="348"/>
      <c r="Z704" s="348"/>
    </row>
    <row r="705" spans="1:26" s="64" customFormat="1" ht="47.25" customHeight="1" thickBot="1" x14ac:dyDescent="0.35">
      <c r="A705" s="343">
        <v>45503</v>
      </c>
      <c r="B705" s="345" t="s">
        <v>13705</v>
      </c>
      <c r="C705" s="344"/>
      <c r="D705" s="344" t="s">
        <v>12341</v>
      </c>
      <c r="E705" s="344" t="s">
        <v>12341</v>
      </c>
      <c r="F705" s="344"/>
      <c r="G705" s="344"/>
      <c r="H705" s="344"/>
      <c r="I705" s="344"/>
      <c r="J705" s="344"/>
      <c r="K705" s="344"/>
      <c r="L705" s="344" t="s">
        <v>13720</v>
      </c>
      <c r="M705" s="344" t="s">
        <v>13213</v>
      </c>
      <c r="N705" s="344" t="s">
        <v>12339</v>
      </c>
      <c r="O705" s="348"/>
      <c r="P705" s="348"/>
      <c r="Q705" s="348"/>
      <c r="R705" s="348"/>
      <c r="S705" s="348"/>
      <c r="T705" s="348"/>
      <c r="U705" s="348"/>
      <c r="V705" s="348"/>
      <c r="W705" s="348"/>
      <c r="X705" s="348"/>
      <c r="Y705" s="348"/>
      <c r="Z705" s="348"/>
    </row>
    <row r="706" spans="1:26" s="64" customFormat="1" ht="47.25" customHeight="1" thickBot="1" x14ac:dyDescent="0.35">
      <c r="A706" s="343">
        <v>45504</v>
      </c>
      <c r="B706" s="345" t="s">
        <v>13721</v>
      </c>
      <c r="C706" s="344"/>
      <c r="D706" s="344" t="s">
        <v>12341</v>
      </c>
      <c r="E706" s="344" t="s">
        <v>12341</v>
      </c>
      <c r="F706" s="344"/>
      <c r="G706" s="344"/>
      <c r="H706" s="344"/>
      <c r="I706" s="344"/>
      <c r="J706" s="344"/>
      <c r="K706" s="344"/>
      <c r="L706" s="344" t="s">
        <v>13722</v>
      </c>
      <c r="M706" s="344" t="s">
        <v>13213</v>
      </c>
      <c r="N706" s="344" t="s">
        <v>12339</v>
      </c>
      <c r="O706" s="348"/>
      <c r="P706" s="348"/>
      <c r="Q706" s="348"/>
      <c r="R706" s="348"/>
      <c r="S706" s="348"/>
      <c r="T706" s="348"/>
      <c r="U706" s="348"/>
      <c r="V706" s="348"/>
      <c r="W706" s="348"/>
      <c r="X706" s="348"/>
      <c r="Y706" s="348"/>
      <c r="Z706" s="348"/>
    </row>
    <row r="707" spans="1:26" s="64" customFormat="1" ht="47.25" customHeight="1" thickBot="1" x14ac:dyDescent="0.35">
      <c r="A707" s="343">
        <v>45504</v>
      </c>
      <c r="B707" s="345" t="s">
        <v>13606</v>
      </c>
      <c r="C707" s="344"/>
      <c r="D707" s="344" t="s">
        <v>12341</v>
      </c>
      <c r="E707" s="344" t="s">
        <v>13723</v>
      </c>
      <c r="F707" s="344" t="s">
        <v>12360</v>
      </c>
      <c r="G707" s="344"/>
      <c r="H707" s="344"/>
      <c r="I707" s="347">
        <v>120</v>
      </c>
      <c r="J707" s="344"/>
      <c r="K707" s="344" t="s">
        <v>13724</v>
      </c>
      <c r="L707" s="344" t="s">
        <v>13725</v>
      </c>
      <c r="M707" s="344" t="s">
        <v>13213</v>
      </c>
      <c r="N707" s="344" t="s">
        <v>12339</v>
      </c>
      <c r="O707" s="348"/>
      <c r="P707" s="348"/>
      <c r="Q707" s="348"/>
      <c r="R707" s="348"/>
      <c r="S707" s="348"/>
      <c r="T707" s="348"/>
      <c r="U707" s="348"/>
      <c r="V707" s="348"/>
      <c r="W707" s="348"/>
      <c r="X707" s="348"/>
      <c r="Y707" s="348"/>
      <c r="Z707" s="348"/>
    </row>
    <row r="708" spans="1:26" s="64" customFormat="1" ht="47.25" customHeight="1" thickBot="1" x14ac:dyDescent="0.35">
      <c r="A708" s="343">
        <v>45504</v>
      </c>
      <c r="B708" s="345" t="s">
        <v>12505</v>
      </c>
      <c r="C708" s="344"/>
      <c r="D708" s="344" t="s">
        <v>12341</v>
      </c>
      <c r="E708" s="344" t="s">
        <v>12341</v>
      </c>
      <c r="F708" s="344"/>
      <c r="G708" s="344"/>
      <c r="H708" s="344"/>
      <c r="I708" s="344"/>
      <c r="J708" s="344"/>
      <c r="K708" s="344" t="s">
        <v>13726</v>
      </c>
      <c r="L708" s="344" t="s">
        <v>13727</v>
      </c>
      <c r="M708" s="344" t="s">
        <v>13213</v>
      </c>
      <c r="N708" s="344" t="s">
        <v>12339</v>
      </c>
      <c r="O708" s="348"/>
      <c r="P708" s="348"/>
      <c r="Q708" s="348"/>
      <c r="R708" s="348"/>
      <c r="S708" s="348"/>
      <c r="T708" s="348"/>
      <c r="U708" s="348"/>
      <c r="V708" s="348"/>
      <c r="W708" s="348"/>
      <c r="X708" s="348"/>
      <c r="Y708" s="348"/>
      <c r="Z708" s="348"/>
    </row>
    <row r="709" spans="1:26" s="64" customFormat="1" ht="47.25" customHeight="1" thickBot="1" x14ac:dyDescent="0.35">
      <c r="A709" s="343">
        <v>45504</v>
      </c>
      <c r="B709" s="345" t="s">
        <v>12505</v>
      </c>
      <c r="C709" s="344"/>
      <c r="D709" s="344" t="s">
        <v>12341</v>
      </c>
      <c r="E709" s="344" t="s">
        <v>12341</v>
      </c>
      <c r="F709" s="344"/>
      <c r="G709" s="344"/>
      <c r="H709" s="344"/>
      <c r="I709" s="344"/>
      <c r="J709" s="344"/>
      <c r="K709" s="344"/>
      <c r="L709" s="344" t="s">
        <v>13588</v>
      </c>
      <c r="M709" s="344" t="s">
        <v>13213</v>
      </c>
      <c r="N709" s="344" t="s">
        <v>12339</v>
      </c>
      <c r="O709" s="348"/>
      <c r="P709" s="348"/>
      <c r="Q709" s="348"/>
      <c r="R709" s="348"/>
      <c r="S709" s="348"/>
      <c r="T709" s="348"/>
      <c r="U709" s="348"/>
      <c r="V709" s="348"/>
      <c r="W709" s="348"/>
      <c r="X709" s="348"/>
      <c r="Y709" s="348"/>
      <c r="Z709" s="348"/>
    </row>
    <row r="710" spans="1:26" s="64" customFormat="1" ht="47.25" customHeight="1" thickBot="1" x14ac:dyDescent="0.35">
      <c r="A710" s="343">
        <v>45504</v>
      </c>
      <c r="B710" s="345" t="s">
        <v>13728</v>
      </c>
      <c r="C710" s="344"/>
      <c r="D710" s="344" t="s">
        <v>12341</v>
      </c>
      <c r="E710" s="344" t="s">
        <v>12341</v>
      </c>
      <c r="F710" s="344"/>
      <c r="G710" s="344"/>
      <c r="H710" s="344"/>
      <c r="I710" s="344"/>
      <c r="J710" s="344"/>
      <c r="K710" s="344" t="s">
        <v>13729</v>
      </c>
      <c r="L710" s="344" t="s">
        <v>13730</v>
      </c>
      <c r="M710" s="344" t="s">
        <v>13213</v>
      </c>
      <c r="N710" s="344" t="s">
        <v>12339</v>
      </c>
      <c r="O710" s="348"/>
      <c r="P710" s="348"/>
      <c r="Q710" s="348"/>
      <c r="R710" s="348"/>
      <c r="S710" s="348"/>
      <c r="T710" s="348"/>
      <c r="U710" s="348"/>
      <c r="V710" s="348"/>
      <c r="W710" s="348"/>
      <c r="X710" s="348"/>
      <c r="Y710" s="348"/>
      <c r="Z710" s="348"/>
    </row>
    <row r="711" spans="1:26" s="64" customFormat="1" ht="47.25" customHeight="1" thickBot="1" x14ac:dyDescent="0.35">
      <c r="A711" s="343">
        <v>45504</v>
      </c>
      <c r="B711" s="345" t="s">
        <v>13721</v>
      </c>
      <c r="C711" s="344"/>
      <c r="D711" s="344" t="s">
        <v>12341</v>
      </c>
      <c r="E711" s="344" t="s">
        <v>12341</v>
      </c>
      <c r="F711" s="344"/>
      <c r="G711" s="344"/>
      <c r="H711" s="344"/>
      <c r="I711" s="344"/>
      <c r="J711" s="344"/>
      <c r="K711" s="344" t="s">
        <v>13731</v>
      </c>
      <c r="L711" s="344" t="s">
        <v>13732</v>
      </c>
      <c r="M711" s="344" t="s">
        <v>13213</v>
      </c>
      <c r="N711" s="344" t="s">
        <v>12339</v>
      </c>
      <c r="O711" s="348"/>
      <c r="P711" s="348"/>
      <c r="Q711" s="348"/>
      <c r="R711" s="348"/>
      <c r="S711" s="348"/>
      <c r="T711" s="348"/>
      <c r="U711" s="348"/>
      <c r="V711" s="348"/>
      <c r="W711" s="348"/>
      <c r="X711" s="348"/>
      <c r="Y711" s="348"/>
      <c r="Z711" s="348"/>
    </row>
    <row r="712" spans="1:26" s="64" customFormat="1" ht="47.25" customHeight="1" thickBot="1" x14ac:dyDescent="0.35">
      <c r="A712" s="343">
        <v>45504</v>
      </c>
      <c r="B712" s="345" t="s">
        <v>13733</v>
      </c>
      <c r="C712" s="344"/>
      <c r="D712" s="344" t="s">
        <v>12341</v>
      </c>
      <c r="E712" s="344" t="s">
        <v>12341</v>
      </c>
      <c r="F712" s="344"/>
      <c r="G712" s="344"/>
      <c r="H712" s="344"/>
      <c r="I712" s="344"/>
      <c r="J712" s="344"/>
      <c r="K712" s="344" t="s">
        <v>13734</v>
      </c>
      <c r="L712" s="344" t="s">
        <v>13499</v>
      </c>
      <c r="M712" s="344" t="s">
        <v>13213</v>
      </c>
      <c r="N712" s="344" t="s">
        <v>12339</v>
      </c>
      <c r="O712" s="348"/>
      <c r="P712" s="348"/>
      <c r="Q712" s="348"/>
      <c r="R712" s="348"/>
      <c r="S712" s="348"/>
      <c r="T712" s="348"/>
      <c r="U712" s="348"/>
      <c r="V712" s="348"/>
      <c r="W712" s="348"/>
      <c r="X712" s="348"/>
      <c r="Y712" s="348"/>
      <c r="Z712" s="348"/>
    </row>
    <row r="713" spans="1:26" s="64" customFormat="1" ht="47.25" customHeight="1" thickBot="1" x14ac:dyDescent="0.35">
      <c r="A713" s="343">
        <v>45504</v>
      </c>
      <c r="B713" s="345" t="s">
        <v>13735</v>
      </c>
      <c r="C713" s="344"/>
      <c r="D713" s="344" t="s">
        <v>12341</v>
      </c>
      <c r="E713" s="344" t="s">
        <v>13684</v>
      </c>
      <c r="F713" s="344" t="s">
        <v>12360</v>
      </c>
      <c r="G713" s="344"/>
      <c r="H713" s="347">
        <v>160</v>
      </c>
      <c r="I713" s="347">
        <v>74</v>
      </c>
      <c r="J713" s="344"/>
      <c r="K713" s="344"/>
      <c r="L713" s="344" t="s">
        <v>12341</v>
      </c>
      <c r="M713" s="344" t="s">
        <v>13213</v>
      </c>
      <c r="N713" s="344" t="s">
        <v>12339</v>
      </c>
      <c r="O713" s="348"/>
      <c r="P713" s="348"/>
      <c r="Q713" s="348"/>
      <c r="R713" s="348"/>
      <c r="S713" s="348"/>
      <c r="T713" s="348"/>
      <c r="U713" s="348"/>
      <c r="V713" s="348"/>
      <c r="W713" s="348"/>
      <c r="X713" s="348"/>
      <c r="Y713" s="348"/>
      <c r="Z713" s="348"/>
    </row>
    <row r="714" spans="1:26" s="64" customFormat="1" ht="47.25" customHeight="1" thickBot="1" x14ac:dyDescent="0.35">
      <c r="A714" s="343">
        <v>45504</v>
      </c>
      <c r="B714" s="345" t="s">
        <v>13736</v>
      </c>
      <c r="C714" s="344"/>
      <c r="D714" s="344" t="s">
        <v>12341</v>
      </c>
      <c r="E714" s="344" t="s">
        <v>13737</v>
      </c>
      <c r="F714" s="344" t="s">
        <v>12360</v>
      </c>
      <c r="G714" s="344"/>
      <c r="H714" s="347">
        <v>150</v>
      </c>
      <c r="I714" s="347">
        <v>110</v>
      </c>
      <c r="J714" s="344"/>
      <c r="K714" s="344"/>
      <c r="L714" s="344" t="s">
        <v>12341</v>
      </c>
      <c r="M714" s="344" t="s">
        <v>13213</v>
      </c>
      <c r="N714" s="344" t="s">
        <v>12339</v>
      </c>
      <c r="O714" s="348"/>
      <c r="P714" s="348"/>
      <c r="Q714" s="348"/>
      <c r="R714" s="348"/>
      <c r="S714" s="348"/>
      <c r="T714" s="348"/>
      <c r="U714" s="348"/>
      <c r="V714" s="348"/>
      <c r="W714" s="348"/>
      <c r="X714" s="348"/>
      <c r="Y714" s="348"/>
      <c r="Z714" s="348"/>
    </row>
    <row r="715" spans="1:26" s="64" customFormat="1" ht="47.25" customHeight="1" thickBot="1" x14ac:dyDescent="0.35">
      <c r="A715" s="343">
        <v>45504</v>
      </c>
      <c r="B715" s="345" t="s">
        <v>13738</v>
      </c>
      <c r="C715" s="344"/>
      <c r="D715" s="344" t="s">
        <v>12341</v>
      </c>
      <c r="E715" s="344" t="s">
        <v>13739</v>
      </c>
      <c r="F715" s="344" t="s">
        <v>13740</v>
      </c>
      <c r="G715" s="344"/>
      <c r="H715" s="344"/>
      <c r="I715" s="344"/>
      <c r="J715" s="344"/>
      <c r="K715" s="344"/>
      <c r="L715" s="344" t="s">
        <v>12341</v>
      </c>
      <c r="M715" s="344" t="s">
        <v>13213</v>
      </c>
      <c r="N715" s="344" t="s">
        <v>12339</v>
      </c>
      <c r="O715" s="348"/>
      <c r="P715" s="348"/>
      <c r="Q715" s="348"/>
      <c r="R715" s="348"/>
      <c r="S715" s="348"/>
      <c r="T715" s="348"/>
      <c r="U715" s="348"/>
      <c r="V715" s="348"/>
      <c r="W715" s="348"/>
      <c r="X715" s="348"/>
      <c r="Y715" s="348"/>
      <c r="Z715" s="348"/>
    </row>
    <row r="716" spans="1:26" s="64" customFormat="1" ht="47.25" customHeight="1" thickBot="1" x14ac:dyDescent="0.35">
      <c r="A716" s="343">
        <v>45504</v>
      </c>
      <c r="B716" s="345" t="s">
        <v>13741</v>
      </c>
      <c r="C716" s="344"/>
      <c r="D716" s="344" t="s">
        <v>12341</v>
      </c>
      <c r="E716" s="344" t="s">
        <v>12341</v>
      </c>
      <c r="F716" s="344"/>
      <c r="G716" s="344"/>
      <c r="H716" s="344"/>
      <c r="I716" s="344"/>
      <c r="J716" s="344"/>
      <c r="K716" s="344" t="s">
        <v>13742</v>
      </c>
      <c r="L716" s="344" t="s">
        <v>13743</v>
      </c>
      <c r="M716" s="344" t="s">
        <v>13213</v>
      </c>
      <c r="N716" s="344" t="s">
        <v>12339</v>
      </c>
      <c r="O716" s="348"/>
      <c r="P716" s="348"/>
      <c r="Q716" s="348"/>
      <c r="R716" s="348"/>
      <c r="S716" s="348"/>
      <c r="T716" s="348"/>
      <c r="U716" s="348"/>
      <c r="V716" s="348"/>
      <c r="W716" s="348"/>
      <c r="X716" s="348"/>
      <c r="Y716" s="348"/>
      <c r="Z716" s="348"/>
    </row>
    <row r="717" spans="1:26" s="64" customFormat="1" ht="47.25" customHeight="1" thickBot="1" x14ac:dyDescent="0.35">
      <c r="A717" s="343">
        <v>45504</v>
      </c>
      <c r="B717" s="345" t="s">
        <v>13744</v>
      </c>
      <c r="C717" s="344"/>
      <c r="D717" s="344" t="s">
        <v>12341</v>
      </c>
      <c r="E717" s="344" t="s">
        <v>13745</v>
      </c>
      <c r="F717" s="344" t="s">
        <v>12360</v>
      </c>
      <c r="G717" s="344"/>
      <c r="H717" s="344"/>
      <c r="I717" s="347">
        <v>380</v>
      </c>
      <c r="J717" s="344"/>
      <c r="K717" s="344"/>
      <c r="L717" s="344" t="s">
        <v>12341</v>
      </c>
      <c r="M717" s="344" t="s">
        <v>13213</v>
      </c>
      <c r="N717" s="344" t="s">
        <v>12339</v>
      </c>
      <c r="O717" s="348"/>
      <c r="P717" s="348"/>
      <c r="Q717" s="348"/>
      <c r="R717" s="348"/>
      <c r="S717" s="348"/>
      <c r="T717" s="348"/>
      <c r="U717" s="348"/>
      <c r="V717" s="348"/>
      <c r="W717" s="348"/>
      <c r="X717" s="348"/>
      <c r="Y717" s="348"/>
      <c r="Z717" s="348"/>
    </row>
    <row r="718" spans="1:26" s="64" customFormat="1" ht="47.25" customHeight="1" thickBot="1" x14ac:dyDescent="0.35">
      <c r="A718" s="343">
        <v>45504</v>
      </c>
      <c r="B718" s="345" t="s">
        <v>13746</v>
      </c>
      <c r="C718" s="344"/>
      <c r="D718" s="344" t="s">
        <v>12341</v>
      </c>
      <c r="E718" s="344" t="s">
        <v>12341</v>
      </c>
      <c r="F718" s="344"/>
      <c r="G718" s="344"/>
      <c r="H718" s="344"/>
      <c r="I718" s="344"/>
      <c r="J718" s="344"/>
      <c r="K718" s="344" t="s">
        <v>13747</v>
      </c>
      <c r="L718" s="344" t="s">
        <v>12341</v>
      </c>
      <c r="M718" s="344" t="s">
        <v>13213</v>
      </c>
      <c r="N718" s="344" t="s">
        <v>12339</v>
      </c>
      <c r="O718" s="348"/>
      <c r="P718" s="348"/>
      <c r="Q718" s="348"/>
      <c r="R718" s="348"/>
      <c r="S718" s="348"/>
      <c r="T718" s="348"/>
      <c r="U718" s="348"/>
      <c r="V718" s="348"/>
      <c r="W718" s="348"/>
      <c r="X718" s="348"/>
      <c r="Y718" s="348"/>
      <c r="Z718" s="348"/>
    </row>
    <row r="719" spans="1:26" s="64" customFormat="1" ht="47.25" customHeight="1" thickBot="1" x14ac:dyDescent="0.35">
      <c r="A719" s="343">
        <v>45504</v>
      </c>
      <c r="B719" s="345" t="s">
        <v>13586</v>
      </c>
      <c r="C719" s="344"/>
      <c r="D719" s="344" t="s">
        <v>12341</v>
      </c>
      <c r="E719" s="344" t="s">
        <v>13748</v>
      </c>
      <c r="F719" s="344" t="s">
        <v>12360</v>
      </c>
      <c r="G719" s="344"/>
      <c r="H719" s="344"/>
      <c r="I719" s="344"/>
      <c r="J719" s="344" t="s">
        <v>13749</v>
      </c>
      <c r="K719" s="344"/>
      <c r="L719" s="344" t="s">
        <v>12341</v>
      </c>
      <c r="M719" s="344" t="s">
        <v>13213</v>
      </c>
      <c r="N719" s="344" t="s">
        <v>12339</v>
      </c>
      <c r="O719" s="348"/>
      <c r="P719" s="348"/>
      <c r="Q719" s="348"/>
      <c r="R719" s="348"/>
      <c r="S719" s="348"/>
      <c r="T719" s="348"/>
      <c r="U719" s="348"/>
      <c r="V719" s="348"/>
      <c r="W719" s="348"/>
      <c r="X719" s="348"/>
      <c r="Y719" s="348"/>
      <c r="Z719" s="348"/>
    </row>
    <row r="720" spans="1:26" s="64" customFormat="1" ht="47.25" customHeight="1" thickBot="1" x14ac:dyDescent="0.35">
      <c r="A720" s="343">
        <v>45505</v>
      </c>
      <c r="B720" s="345" t="s">
        <v>13750</v>
      </c>
      <c r="C720" s="344"/>
      <c r="D720" s="344" t="s">
        <v>12341</v>
      </c>
      <c r="E720" s="344" t="s">
        <v>13751</v>
      </c>
      <c r="F720" s="344" t="s">
        <v>12341</v>
      </c>
      <c r="G720" s="347">
        <v>100</v>
      </c>
      <c r="H720" s="344"/>
      <c r="I720" s="347">
        <v>60</v>
      </c>
      <c r="J720" s="344"/>
      <c r="K720" s="344"/>
      <c r="L720" s="344" t="s">
        <v>12341</v>
      </c>
      <c r="M720" s="344" t="s">
        <v>13752</v>
      </c>
      <c r="N720" s="344" t="s">
        <v>12339</v>
      </c>
      <c r="O720" s="348"/>
      <c r="P720" s="348"/>
      <c r="Q720" s="348"/>
      <c r="R720" s="348"/>
      <c r="S720" s="348"/>
      <c r="T720" s="348"/>
      <c r="U720" s="348"/>
      <c r="V720" s="348"/>
      <c r="W720" s="348"/>
      <c r="X720" s="348"/>
      <c r="Y720" s="348"/>
      <c r="Z720" s="348"/>
    </row>
    <row r="721" spans="1:26" s="64" customFormat="1" ht="47.25" customHeight="1" thickBot="1" x14ac:dyDescent="0.35">
      <c r="A721" s="343">
        <v>45505</v>
      </c>
      <c r="B721" s="345" t="s">
        <v>13753</v>
      </c>
      <c r="C721" s="344"/>
      <c r="D721" s="344" t="s">
        <v>12341</v>
      </c>
      <c r="E721" s="344" t="s">
        <v>12427</v>
      </c>
      <c r="F721" s="344" t="s">
        <v>12341</v>
      </c>
      <c r="G721" s="347">
        <v>100</v>
      </c>
      <c r="H721" s="344"/>
      <c r="I721" s="347">
        <v>40</v>
      </c>
      <c r="J721" s="344"/>
      <c r="K721" s="344" t="s">
        <v>13754</v>
      </c>
      <c r="L721" s="344" t="s">
        <v>13755</v>
      </c>
      <c r="M721" s="344" t="s">
        <v>13752</v>
      </c>
      <c r="N721" s="344" t="s">
        <v>12339</v>
      </c>
      <c r="O721" s="348"/>
      <c r="P721" s="348"/>
      <c r="Q721" s="348"/>
      <c r="R721" s="348"/>
      <c r="S721" s="348"/>
      <c r="T721" s="348"/>
      <c r="U721" s="348"/>
      <c r="V721" s="348"/>
      <c r="W721" s="348"/>
      <c r="X721" s="348"/>
      <c r="Y721" s="348"/>
      <c r="Z721" s="348"/>
    </row>
    <row r="722" spans="1:26" s="64" customFormat="1" ht="47.25" customHeight="1" thickBot="1" x14ac:dyDescent="0.35">
      <c r="A722" s="343">
        <v>45505</v>
      </c>
      <c r="B722" s="345" t="s">
        <v>13756</v>
      </c>
      <c r="C722" s="344"/>
      <c r="D722" s="344" t="s">
        <v>12341</v>
      </c>
      <c r="E722" s="344" t="s">
        <v>12341</v>
      </c>
      <c r="F722" s="344"/>
      <c r="G722" s="344"/>
      <c r="H722" s="344"/>
      <c r="I722" s="344"/>
      <c r="J722" s="344"/>
      <c r="K722" s="344" t="s">
        <v>13757</v>
      </c>
      <c r="L722" s="344" t="s">
        <v>13758</v>
      </c>
      <c r="M722" s="344" t="s">
        <v>13752</v>
      </c>
      <c r="N722" s="344" t="s">
        <v>12339</v>
      </c>
      <c r="O722" s="348"/>
      <c r="P722" s="348"/>
      <c r="Q722" s="348"/>
      <c r="R722" s="348"/>
      <c r="S722" s="348"/>
      <c r="T722" s="348"/>
      <c r="U722" s="348"/>
      <c r="V722" s="348"/>
      <c r="W722" s="348"/>
      <c r="X722" s="348"/>
      <c r="Y722" s="348"/>
      <c r="Z722" s="348"/>
    </row>
    <row r="723" spans="1:26" s="64" customFormat="1" ht="47.25" customHeight="1" thickBot="1" x14ac:dyDescent="0.35">
      <c r="A723" s="343">
        <v>45505</v>
      </c>
      <c r="B723" s="345" t="s">
        <v>13759</v>
      </c>
      <c r="C723" s="344"/>
      <c r="D723" s="344" t="s">
        <v>12341</v>
      </c>
      <c r="E723" s="344" t="s">
        <v>12427</v>
      </c>
      <c r="F723" s="344" t="s">
        <v>12341</v>
      </c>
      <c r="G723" s="347">
        <v>80</v>
      </c>
      <c r="H723" s="347">
        <v>40</v>
      </c>
      <c r="I723" s="347">
        <v>40</v>
      </c>
      <c r="J723" s="344"/>
      <c r="K723" s="344" t="s">
        <v>13760</v>
      </c>
      <c r="L723" s="344" t="s">
        <v>13761</v>
      </c>
      <c r="M723" s="344" t="s">
        <v>13752</v>
      </c>
      <c r="N723" s="344" t="s">
        <v>12339</v>
      </c>
      <c r="O723" s="348"/>
      <c r="P723" s="348"/>
      <c r="Q723" s="348"/>
      <c r="R723" s="348"/>
      <c r="S723" s="348"/>
      <c r="T723" s="348"/>
      <c r="U723" s="348"/>
      <c r="V723" s="348"/>
      <c r="W723" s="348"/>
      <c r="X723" s="348"/>
      <c r="Y723" s="348"/>
      <c r="Z723" s="348"/>
    </row>
    <row r="724" spans="1:26" s="64" customFormat="1" ht="47.25" customHeight="1" thickBot="1" x14ac:dyDescent="0.35">
      <c r="A724" s="343">
        <v>45505</v>
      </c>
      <c r="B724" s="345" t="s">
        <v>13620</v>
      </c>
      <c r="C724" s="344"/>
      <c r="D724" s="344" t="s">
        <v>12341</v>
      </c>
      <c r="E724" s="344" t="s">
        <v>13762</v>
      </c>
      <c r="F724" s="344" t="s">
        <v>12341</v>
      </c>
      <c r="G724" s="347">
        <v>50</v>
      </c>
      <c r="H724" s="344"/>
      <c r="I724" s="347">
        <v>35</v>
      </c>
      <c r="J724" s="344"/>
      <c r="K724" s="344"/>
      <c r="L724" s="344" t="s">
        <v>12341</v>
      </c>
      <c r="M724" s="344" t="s">
        <v>13752</v>
      </c>
      <c r="N724" s="344" t="s">
        <v>12339</v>
      </c>
      <c r="O724" s="348"/>
      <c r="P724" s="348"/>
      <c r="Q724" s="348"/>
      <c r="R724" s="348"/>
      <c r="S724" s="348"/>
      <c r="T724" s="348"/>
      <c r="U724" s="348"/>
      <c r="V724" s="348"/>
      <c r="W724" s="348"/>
      <c r="X724" s="348"/>
      <c r="Y724" s="348"/>
      <c r="Z724" s="348"/>
    </row>
    <row r="725" spans="1:26" s="64" customFormat="1" ht="47.25" customHeight="1" thickBot="1" x14ac:dyDescent="0.35">
      <c r="A725" s="343">
        <v>45505</v>
      </c>
      <c r="B725" s="345" t="s">
        <v>13763</v>
      </c>
      <c r="C725" s="344"/>
      <c r="D725" s="344" t="s">
        <v>12341</v>
      </c>
      <c r="E725" s="344" t="s">
        <v>12341</v>
      </c>
      <c r="F725" s="344"/>
      <c r="G725" s="344"/>
      <c r="H725" s="344"/>
      <c r="I725" s="344"/>
      <c r="J725" s="344"/>
      <c r="K725" s="344" t="s">
        <v>13764</v>
      </c>
      <c r="L725" s="344" t="s">
        <v>13765</v>
      </c>
      <c r="M725" s="344" t="s">
        <v>13752</v>
      </c>
      <c r="N725" s="344" t="s">
        <v>12339</v>
      </c>
      <c r="O725" s="348"/>
      <c r="P725" s="348"/>
      <c r="Q725" s="348"/>
      <c r="R725" s="348"/>
      <c r="S725" s="348"/>
      <c r="T725" s="348"/>
      <c r="U725" s="348"/>
      <c r="V725" s="348"/>
      <c r="W725" s="348"/>
      <c r="X725" s="348"/>
      <c r="Y725" s="348"/>
      <c r="Z725" s="348"/>
    </row>
    <row r="726" spans="1:26" s="64" customFormat="1" ht="47.25" customHeight="1" thickBot="1" x14ac:dyDescent="0.35">
      <c r="A726" s="343">
        <v>45505</v>
      </c>
      <c r="B726" s="345" t="s">
        <v>12605</v>
      </c>
      <c r="C726" s="344"/>
      <c r="D726" s="344" t="s">
        <v>12341</v>
      </c>
      <c r="E726" s="344" t="s">
        <v>12341</v>
      </c>
      <c r="F726" s="344"/>
      <c r="G726" s="344"/>
      <c r="H726" s="344"/>
      <c r="I726" s="344"/>
      <c r="J726" s="344"/>
      <c r="K726" s="344"/>
      <c r="L726" s="344" t="s">
        <v>13766</v>
      </c>
      <c r="M726" s="344" t="s">
        <v>13752</v>
      </c>
      <c r="N726" s="344" t="s">
        <v>12339</v>
      </c>
      <c r="O726" s="348"/>
      <c r="P726" s="348"/>
      <c r="Q726" s="348"/>
      <c r="R726" s="348"/>
      <c r="S726" s="348"/>
      <c r="T726" s="348"/>
      <c r="U726" s="348"/>
      <c r="V726" s="348"/>
      <c r="W726" s="348"/>
      <c r="X726" s="348"/>
      <c r="Y726" s="348"/>
      <c r="Z726" s="348"/>
    </row>
    <row r="727" spans="1:26" s="64" customFormat="1" ht="47.25" customHeight="1" thickBot="1" x14ac:dyDescent="0.35">
      <c r="A727" s="343">
        <v>45505</v>
      </c>
      <c r="B727" s="345" t="s">
        <v>12605</v>
      </c>
      <c r="C727" s="344"/>
      <c r="D727" s="344" t="s">
        <v>12341</v>
      </c>
      <c r="E727" s="344" t="s">
        <v>12341</v>
      </c>
      <c r="F727" s="344"/>
      <c r="G727" s="344"/>
      <c r="H727" s="344"/>
      <c r="I727" s="344"/>
      <c r="J727" s="344"/>
      <c r="K727" s="344" t="s">
        <v>13767</v>
      </c>
      <c r="L727" s="344" t="s">
        <v>13768</v>
      </c>
      <c r="M727" s="344" t="s">
        <v>13752</v>
      </c>
      <c r="N727" s="344" t="s">
        <v>12339</v>
      </c>
      <c r="O727" s="348"/>
      <c r="P727" s="348"/>
      <c r="Q727" s="348"/>
      <c r="R727" s="348"/>
      <c r="S727" s="348"/>
      <c r="T727" s="348"/>
      <c r="U727" s="348"/>
      <c r="V727" s="348"/>
      <c r="W727" s="348"/>
      <c r="X727" s="348"/>
      <c r="Y727" s="348"/>
      <c r="Z727" s="348"/>
    </row>
    <row r="728" spans="1:26" s="64" customFormat="1" ht="47.25" customHeight="1" thickBot="1" x14ac:dyDescent="0.35">
      <c r="A728" s="343">
        <v>45505</v>
      </c>
      <c r="B728" s="345" t="s">
        <v>13769</v>
      </c>
      <c r="C728" s="344"/>
      <c r="D728" s="344" t="s">
        <v>12341</v>
      </c>
      <c r="E728" s="344" t="s">
        <v>13684</v>
      </c>
      <c r="F728" s="344" t="s">
        <v>12360</v>
      </c>
      <c r="G728" s="344"/>
      <c r="H728" s="347">
        <v>200</v>
      </c>
      <c r="I728" s="347">
        <v>80</v>
      </c>
      <c r="J728" s="344"/>
      <c r="K728" s="344" t="s">
        <v>13770</v>
      </c>
      <c r="L728" s="344" t="s">
        <v>13771</v>
      </c>
      <c r="M728" s="344" t="s">
        <v>13752</v>
      </c>
      <c r="N728" s="344" t="s">
        <v>12339</v>
      </c>
      <c r="O728" s="348"/>
      <c r="P728" s="348"/>
      <c r="Q728" s="348"/>
      <c r="R728" s="348"/>
      <c r="S728" s="348"/>
      <c r="T728" s="348"/>
      <c r="U728" s="348"/>
      <c r="V728" s="348"/>
      <c r="W728" s="348"/>
      <c r="X728" s="348"/>
      <c r="Y728" s="348"/>
      <c r="Z728" s="348"/>
    </row>
    <row r="729" spans="1:26" s="64" customFormat="1" ht="47.25" customHeight="1" thickBot="1" x14ac:dyDescent="0.35">
      <c r="A729" s="343">
        <v>45505</v>
      </c>
      <c r="B729" s="345" t="s">
        <v>13772</v>
      </c>
      <c r="C729" s="344"/>
      <c r="D729" s="344" t="s">
        <v>12341</v>
      </c>
      <c r="E729" s="344" t="s">
        <v>12341</v>
      </c>
      <c r="F729" s="344"/>
      <c r="G729" s="344"/>
      <c r="H729" s="344"/>
      <c r="I729" s="344"/>
      <c r="J729" s="344"/>
      <c r="K729" s="344" t="s">
        <v>13773</v>
      </c>
      <c r="L729" s="344" t="s">
        <v>13774</v>
      </c>
      <c r="M729" s="344" t="s">
        <v>13752</v>
      </c>
      <c r="N729" s="344" t="s">
        <v>12339</v>
      </c>
      <c r="O729" s="348"/>
      <c r="P729" s="348"/>
      <c r="Q729" s="348"/>
      <c r="R729" s="348"/>
      <c r="S729" s="348"/>
      <c r="T729" s="348"/>
      <c r="U729" s="348"/>
      <c r="V729" s="348"/>
      <c r="W729" s="348"/>
      <c r="X729" s="348"/>
      <c r="Y729" s="348"/>
      <c r="Z729" s="348"/>
    </row>
    <row r="730" spans="1:26" s="64" customFormat="1" ht="47.25" customHeight="1" thickBot="1" x14ac:dyDescent="0.35">
      <c r="A730" s="343">
        <v>45505</v>
      </c>
      <c r="B730" s="345" t="s">
        <v>13775</v>
      </c>
      <c r="C730" s="344"/>
      <c r="D730" s="344" t="s">
        <v>12341</v>
      </c>
      <c r="E730" s="344" t="s">
        <v>13776</v>
      </c>
      <c r="F730" s="344" t="s">
        <v>12341</v>
      </c>
      <c r="G730" s="347">
        <v>0</v>
      </c>
      <c r="H730" s="347">
        <v>0</v>
      </c>
      <c r="I730" s="347">
        <v>0</v>
      </c>
      <c r="J730" s="344"/>
      <c r="K730" s="344" t="s">
        <v>13777</v>
      </c>
      <c r="L730" s="344" t="s">
        <v>13778</v>
      </c>
      <c r="M730" s="344" t="s">
        <v>13752</v>
      </c>
      <c r="N730" s="344" t="s">
        <v>12339</v>
      </c>
      <c r="O730" s="348"/>
      <c r="P730" s="348"/>
      <c r="Q730" s="348"/>
      <c r="R730" s="348"/>
      <c r="S730" s="348"/>
      <c r="T730" s="348"/>
      <c r="U730" s="348"/>
      <c r="V730" s="348"/>
      <c r="W730" s="348"/>
      <c r="X730" s="348"/>
      <c r="Y730" s="348"/>
      <c r="Z730" s="348"/>
    </row>
    <row r="731" spans="1:26" s="64" customFormat="1" ht="47.25" customHeight="1" thickBot="1" x14ac:dyDescent="0.35">
      <c r="A731" s="343">
        <v>45506</v>
      </c>
      <c r="B731" s="345" t="s">
        <v>13779</v>
      </c>
      <c r="C731" s="344"/>
      <c r="D731" s="344" t="s">
        <v>12341</v>
      </c>
      <c r="E731" s="344" t="s">
        <v>12341</v>
      </c>
      <c r="F731" s="344"/>
      <c r="G731" s="344"/>
      <c r="H731" s="344"/>
      <c r="I731" s="344"/>
      <c r="J731" s="344"/>
      <c r="K731" s="344" t="s">
        <v>13780</v>
      </c>
      <c r="L731" s="344" t="s">
        <v>13781</v>
      </c>
      <c r="M731" s="344" t="s">
        <v>13752</v>
      </c>
      <c r="N731" s="344" t="s">
        <v>12339</v>
      </c>
      <c r="O731" s="348"/>
      <c r="P731" s="348"/>
      <c r="Q731" s="348"/>
      <c r="R731" s="348"/>
      <c r="S731" s="348"/>
      <c r="T731" s="348"/>
      <c r="U731" s="348"/>
      <c r="V731" s="348"/>
      <c r="W731" s="348"/>
      <c r="X731" s="348"/>
      <c r="Y731" s="348"/>
      <c r="Z731" s="348"/>
    </row>
    <row r="732" spans="1:26" s="64" customFormat="1" ht="47.25" customHeight="1" thickBot="1" x14ac:dyDescent="0.35">
      <c r="A732" s="343">
        <v>45506</v>
      </c>
      <c r="B732" s="345" t="s">
        <v>13672</v>
      </c>
      <c r="C732" s="344"/>
      <c r="D732" s="344" t="s">
        <v>12341</v>
      </c>
      <c r="E732" s="344" t="s">
        <v>13762</v>
      </c>
      <c r="F732" s="344" t="s">
        <v>12352</v>
      </c>
      <c r="G732" s="344"/>
      <c r="H732" s="344"/>
      <c r="I732" s="347">
        <v>70</v>
      </c>
      <c r="J732" s="344"/>
      <c r="K732" s="344"/>
      <c r="L732" s="344" t="s">
        <v>12341</v>
      </c>
      <c r="M732" s="344" t="s">
        <v>13752</v>
      </c>
      <c r="N732" s="344" t="s">
        <v>12339</v>
      </c>
      <c r="O732" s="348"/>
      <c r="P732" s="348"/>
      <c r="Q732" s="348"/>
      <c r="R732" s="348"/>
      <c r="S732" s="348"/>
      <c r="T732" s="348"/>
      <c r="U732" s="348"/>
      <c r="V732" s="348"/>
      <c r="W732" s="348"/>
      <c r="X732" s="348"/>
      <c r="Y732" s="348"/>
      <c r="Z732" s="348"/>
    </row>
    <row r="733" spans="1:26" s="64" customFormat="1" ht="47.25" customHeight="1" thickBot="1" x14ac:dyDescent="0.35">
      <c r="A733" s="343">
        <v>45506</v>
      </c>
      <c r="B733" s="345" t="s">
        <v>12496</v>
      </c>
      <c r="C733" s="344"/>
      <c r="D733" s="344" t="s">
        <v>12341</v>
      </c>
      <c r="E733" s="344" t="s">
        <v>12341</v>
      </c>
      <c r="F733" s="344"/>
      <c r="G733" s="344"/>
      <c r="H733" s="344"/>
      <c r="I733" s="344"/>
      <c r="J733" s="344"/>
      <c r="K733" s="344" t="s">
        <v>13782</v>
      </c>
      <c r="L733" s="344" t="s">
        <v>13783</v>
      </c>
      <c r="M733" s="344" t="s">
        <v>13752</v>
      </c>
      <c r="N733" s="344" t="s">
        <v>12339</v>
      </c>
      <c r="O733" s="348"/>
      <c r="P733" s="348"/>
      <c r="Q733" s="348"/>
      <c r="R733" s="348"/>
      <c r="S733" s="348"/>
      <c r="T733" s="348"/>
      <c r="U733" s="348"/>
      <c r="V733" s="348"/>
      <c r="W733" s="348"/>
      <c r="X733" s="348"/>
      <c r="Y733" s="348"/>
      <c r="Z733" s="348"/>
    </row>
    <row r="734" spans="1:26" s="64" customFormat="1" ht="47.25" customHeight="1" thickBot="1" x14ac:dyDescent="0.35">
      <c r="A734" s="343">
        <v>45506</v>
      </c>
      <c r="B734" s="345" t="s">
        <v>12490</v>
      </c>
      <c r="C734" s="344"/>
      <c r="D734" s="344" t="s">
        <v>12341</v>
      </c>
      <c r="E734" s="344" t="s">
        <v>12341</v>
      </c>
      <c r="F734" s="344"/>
      <c r="G734" s="344"/>
      <c r="H734" s="344"/>
      <c r="I734" s="344"/>
      <c r="J734" s="344"/>
      <c r="K734" s="344" t="s">
        <v>13784</v>
      </c>
      <c r="L734" s="344" t="s">
        <v>13785</v>
      </c>
      <c r="M734" s="344" t="s">
        <v>13752</v>
      </c>
      <c r="N734" s="344" t="s">
        <v>12339</v>
      </c>
      <c r="O734" s="348"/>
      <c r="P734" s="348"/>
      <c r="Q734" s="348"/>
      <c r="R734" s="348"/>
      <c r="S734" s="348"/>
      <c r="T734" s="348"/>
      <c r="U734" s="348"/>
      <c r="V734" s="348"/>
      <c r="W734" s="348"/>
      <c r="X734" s="348"/>
      <c r="Y734" s="348"/>
      <c r="Z734" s="348"/>
    </row>
    <row r="735" spans="1:26" s="64" customFormat="1" ht="47.25" customHeight="1" thickBot="1" x14ac:dyDescent="0.35">
      <c r="A735" s="343">
        <v>45506</v>
      </c>
      <c r="B735" s="345" t="s">
        <v>13786</v>
      </c>
      <c r="C735" s="344"/>
      <c r="D735" s="344" t="s">
        <v>12341</v>
      </c>
      <c r="E735" s="344" t="s">
        <v>13787</v>
      </c>
      <c r="F735" s="344" t="s">
        <v>12341</v>
      </c>
      <c r="G735" s="347">
        <v>200</v>
      </c>
      <c r="H735" s="347">
        <v>0</v>
      </c>
      <c r="I735" s="347">
        <v>105</v>
      </c>
      <c r="J735" s="344"/>
      <c r="K735" s="344"/>
      <c r="L735" s="344" t="s">
        <v>12341</v>
      </c>
      <c r="M735" s="344" t="s">
        <v>13752</v>
      </c>
      <c r="N735" s="344" t="s">
        <v>12339</v>
      </c>
      <c r="O735" s="348"/>
      <c r="P735" s="348"/>
      <c r="Q735" s="348"/>
      <c r="R735" s="348"/>
      <c r="S735" s="348"/>
      <c r="T735" s="348"/>
      <c r="U735" s="348"/>
      <c r="V735" s="348"/>
      <c r="W735" s="348"/>
      <c r="X735" s="348"/>
      <c r="Y735" s="348"/>
      <c r="Z735" s="348"/>
    </row>
    <row r="736" spans="1:26" s="64" customFormat="1" ht="47.25" customHeight="1" thickBot="1" x14ac:dyDescent="0.35">
      <c r="A736" s="343">
        <v>45506</v>
      </c>
      <c r="B736" s="345" t="s">
        <v>13788</v>
      </c>
      <c r="C736" s="344"/>
      <c r="D736" s="344" t="s">
        <v>12341</v>
      </c>
      <c r="E736" s="344" t="s">
        <v>12427</v>
      </c>
      <c r="F736" s="344" t="s">
        <v>12341</v>
      </c>
      <c r="G736" s="347">
        <v>80</v>
      </c>
      <c r="H736" s="347">
        <v>40</v>
      </c>
      <c r="I736" s="347">
        <v>40</v>
      </c>
      <c r="J736" s="344"/>
      <c r="K736" s="344" t="s">
        <v>13789</v>
      </c>
      <c r="L736" s="344" t="s">
        <v>13790</v>
      </c>
      <c r="M736" s="344" t="s">
        <v>13752</v>
      </c>
      <c r="N736" s="344" t="s">
        <v>12339</v>
      </c>
      <c r="O736" s="348"/>
      <c r="P736" s="348"/>
      <c r="Q736" s="348"/>
      <c r="R736" s="348"/>
      <c r="S736" s="348"/>
      <c r="T736" s="348"/>
      <c r="U736" s="348"/>
      <c r="V736" s="348"/>
      <c r="W736" s="348"/>
      <c r="X736" s="348"/>
      <c r="Y736" s="348"/>
      <c r="Z736" s="348"/>
    </row>
    <row r="737" spans="1:26" s="64" customFormat="1" ht="47.25" customHeight="1" thickBot="1" x14ac:dyDescent="0.35">
      <c r="A737" s="343">
        <v>45506</v>
      </c>
      <c r="B737" s="345" t="s">
        <v>13791</v>
      </c>
      <c r="C737" s="344"/>
      <c r="D737" s="344" t="s">
        <v>12341</v>
      </c>
      <c r="E737" s="344" t="s">
        <v>13787</v>
      </c>
      <c r="F737" s="344" t="s">
        <v>12341</v>
      </c>
      <c r="G737" s="347">
        <v>240</v>
      </c>
      <c r="H737" s="347">
        <v>135</v>
      </c>
      <c r="I737" s="347">
        <v>105</v>
      </c>
      <c r="J737" s="344"/>
      <c r="K737" s="344" t="s">
        <v>13792</v>
      </c>
      <c r="L737" s="344" t="s">
        <v>13793</v>
      </c>
      <c r="M737" s="344" t="s">
        <v>13752</v>
      </c>
      <c r="N737" s="344" t="s">
        <v>12339</v>
      </c>
      <c r="O737" s="348"/>
      <c r="P737" s="348"/>
      <c r="Q737" s="348"/>
      <c r="R737" s="348"/>
      <c r="S737" s="348"/>
      <c r="T737" s="348"/>
      <c r="U737" s="348"/>
      <c r="V737" s="348"/>
      <c r="W737" s="348"/>
      <c r="X737" s="348"/>
      <c r="Y737" s="348"/>
      <c r="Z737" s="348"/>
    </row>
    <row r="738" spans="1:26" s="64" customFormat="1" ht="47.25" customHeight="1" thickBot="1" x14ac:dyDescent="0.35">
      <c r="A738" s="343">
        <v>45506</v>
      </c>
      <c r="B738" s="345" t="s">
        <v>13794</v>
      </c>
      <c r="C738" s="344"/>
      <c r="D738" s="344" t="s">
        <v>12341</v>
      </c>
      <c r="E738" s="344" t="s">
        <v>13795</v>
      </c>
      <c r="F738" s="347">
        <v>0</v>
      </c>
      <c r="G738" s="347">
        <v>0</v>
      </c>
      <c r="H738" s="347">
        <v>0</v>
      </c>
      <c r="I738" s="347">
        <v>0</v>
      </c>
      <c r="J738" s="344"/>
      <c r="K738" s="344" t="s">
        <v>13796</v>
      </c>
      <c r="L738" s="344" t="s">
        <v>13797</v>
      </c>
      <c r="M738" s="344" t="s">
        <v>13752</v>
      </c>
      <c r="N738" s="344" t="s">
        <v>12339</v>
      </c>
      <c r="O738" s="348"/>
      <c r="P738" s="348"/>
      <c r="Q738" s="348"/>
      <c r="R738" s="348"/>
      <c r="S738" s="348"/>
      <c r="T738" s="348"/>
      <c r="U738" s="348"/>
      <c r="V738" s="348"/>
      <c r="W738" s="348"/>
      <c r="X738" s="348"/>
      <c r="Y738" s="348"/>
      <c r="Z738" s="348"/>
    </row>
    <row r="739" spans="1:26" s="64" customFormat="1" ht="47.25" customHeight="1" thickBot="1" x14ac:dyDescent="0.35">
      <c r="A739" s="343">
        <v>45506</v>
      </c>
      <c r="B739" s="345" t="s">
        <v>13798</v>
      </c>
      <c r="C739" s="344"/>
      <c r="D739" s="344" t="s">
        <v>12341</v>
      </c>
      <c r="E739" s="344" t="s">
        <v>12427</v>
      </c>
      <c r="F739" s="344" t="s">
        <v>12341</v>
      </c>
      <c r="G739" s="347">
        <v>80</v>
      </c>
      <c r="H739" s="347">
        <v>40</v>
      </c>
      <c r="I739" s="347">
        <v>40</v>
      </c>
      <c r="J739" s="344"/>
      <c r="K739" s="344" t="s">
        <v>13799</v>
      </c>
      <c r="L739" s="344" t="s">
        <v>13800</v>
      </c>
      <c r="M739" s="344" t="s">
        <v>13752</v>
      </c>
      <c r="N739" s="344" t="s">
        <v>12339</v>
      </c>
      <c r="O739" s="348"/>
      <c r="P739" s="348"/>
      <c r="Q739" s="348"/>
      <c r="R739" s="348"/>
      <c r="S739" s="348"/>
      <c r="T739" s="348"/>
      <c r="U739" s="348"/>
      <c r="V739" s="348"/>
      <c r="W739" s="348"/>
      <c r="X739" s="348"/>
      <c r="Y739" s="348"/>
      <c r="Z739" s="348"/>
    </row>
    <row r="740" spans="1:26" s="64" customFormat="1" ht="47.25" customHeight="1" thickBot="1" x14ac:dyDescent="0.35">
      <c r="A740" s="343">
        <v>45506</v>
      </c>
      <c r="B740" s="345" t="s">
        <v>13801</v>
      </c>
      <c r="C740" s="344"/>
      <c r="D740" s="344" t="s">
        <v>12341</v>
      </c>
      <c r="E740" s="344" t="s">
        <v>12341</v>
      </c>
      <c r="F740" s="344"/>
      <c r="G740" s="344"/>
      <c r="H740" s="344"/>
      <c r="I740" s="344"/>
      <c r="J740" s="344"/>
      <c r="K740" s="344" t="s">
        <v>13802</v>
      </c>
      <c r="L740" s="344" t="s">
        <v>13803</v>
      </c>
      <c r="M740" s="344" t="s">
        <v>13752</v>
      </c>
      <c r="N740" s="344" t="s">
        <v>12339</v>
      </c>
      <c r="O740" s="348"/>
      <c r="P740" s="348"/>
      <c r="Q740" s="348"/>
      <c r="R740" s="348"/>
      <c r="S740" s="348"/>
      <c r="T740" s="348"/>
      <c r="U740" s="348"/>
      <c r="V740" s="348"/>
      <c r="W740" s="348"/>
      <c r="X740" s="348"/>
      <c r="Y740" s="348"/>
      <c r="Z740" s="348"/>
    </row>
    <row r="741" spans="1:26" s="64" customFormat="1" ht="47.25" customHeight="1" thickBot="1" x14ac:dyDescent="0.35">
      <c r="A741" s="343">
        <v>45506</v>
      </c>
      <c r="B741" s="345" t="s">
        <v>13804</v>
      </c>
      <c r="C741" s="344"/>
      <c r="D741" s="344" t="s">
        <v>12341</v>
      </c>
      <c r="E741" s="344" t="s">
        <v>12427</v>
      </c>
      <c r="F741" s="344" t="s">
        <v>12341</v>
      </c>
      <c r="G741" s="347">
        <v>100</v>
      </c>
      <c r="H741" s="344"/>
      <c r="I741" s="347">
        <v>40</v>
      </c>
      <c r="J741" s="344"/>
      <c r="K741" s="344" t="s">
        <v>13805</v>
      </c>
      <c r="L741" s="344" t="s">
        <v>13806</v>
      </c>
      <c r="M741" s="344" t="s">
        <v>13752</v>
      </c>
      <c r="N741" s="344" t="s">
        <v>12339</v>
      </c>
      <c r="O741" s="348"/>
      <c r="P741" s="348"/>
      <c r="Q741" s="348"/>
      <c r="R741" s="348"/>
      <c r="S741" s="348"/>
      <c r="T741" s="348"/>
      <c r="U741" s="348"/>
      <c r="V741" s="348"/>
      <c r="W741" s="348"/>
      <c r="X741" s="348"/>
      <c r="Y741" s="348"/>
      <c r="Z741" s="348"/>
    </row>
    <row r="742" spans="1:26" s="64" customFormat="1" ht="47.25" customHeight="1" thickBot="1" x14ac:dyDescent="0.35">
      <c r="A742" s="343">
        <v>45506</v>
      </c>
      <c r="B742" s="345" t="s">
        <v>12575</v>
      </c>
      <c r="C742" s="344"/>
      <c r="D742" s="344" t="s">
        <v>12341</v>
      </c>
      <c r="E742" s="344" t="s">
        <v>12341</v>
      </c>
      <c r="F742" s="344"/>
      <c r="G742" s="344"/>
      <c r="H742" s="344"/>
      <c r="I742" s="344"/>
      <c r="J742" s="344"/>
      <c r="K742" s="344" t="s">
        <v>13807</v>
      </c>
      <c r="L742" s="344" t="s">
        <v>13808</v>
      </c>
      <c r="M742" s="344" t="s">
        <v>13752</v>
      </c>
      <c r="N742" s="344" t="s">
        <v>12339</v>
      </c>
      <c r="O742" s="348"/>
      <c r="P742" s="348"/>
      <c r="Q742" s="348"/>
      <c r="R742" s="348"/>
      <c r="S742" s="348"/>
      <c r="T742" s="348"/>
      <c r="U742" s="348"/>
      <c r="V742" s="348"/>
      <c r="W742" s="348"/>
      <c r="X742" s="348"/>
      <c r="Y742" s="348"/>
      <c r="Z742" s="348"/>
    </row>
    <row r="743" spans="1:26" s="64" customFormat="1" ht="47.25" customHeight="1" thickBot="1" x14ac:dyDescent="0.35">
      <c r="A743" s="343">
        <v>45509</v>
      </c>
      <c r="B743" s="345" t="s">
        <v>13809</v>
      </c>
      <c r="C743" s="344"/>
      <c r="D743" s="344" t="s">
        <v>12341</v>
      </c>
      <c r="E743" s="344" t="s">
        <v>12341</v>
      </c>
      <c r="F743" s="344"/>
      <c r="G743" s="344"/>
      <c r="H743" s="344"/>
      <c r="I743" s="344"/>
      <c r="J743" s="344"/>
      <c r="K743" s="344" t="s">
        <v>13810</v>
      </c>
      <c r="L743" s="344" t="s">
        <v>13811</v>
      </c>
      <c r="M743" s="344" t="s">
        <v>13752</v>
      </c>
      <c r="N743" s="344" t="s">
        <v>12339</v>
      </c>
      <c r="O743" s="348"/>
      <c r="P743" s="348"/>
      <c r="Q743" s="348"/>
      <c r="R743" s="348"/>
      <c r="S743" s="348"/>
      <c r="T743" s="348"/>
      <c r="U743" s="348"/>
      <c r="V743" s="348"/>
      <c r="W743" s="348"/>
      <c r="X743" s="348"/>
      <c r="Y743" s="348"/>
      <c r="Z743" s="348"/>
    </row>
    <row r="744" spans="1:26" s="64" customFormat="1" ht="47.25" customHeight="1" thickBot="1" x14ac:dyDescent="0.35">
      <c r="A744" s="343">
        <v>45509</v>
      </c>
      <c r="B744" s="345" t="s">
        <v>13812</v>
      </c>
      <c r="C744" s="344"/>
      <c r="D744" s="344" t="s">
        <v>12341</v>
      </c>
      <c r="E744" s="344" t="s">
        <v>13813</v>
      </c>
      <c r="F744" s="344" t="s">
        <v>12341</v>
      </c>
      <c r="G744" s="347">
        <v>230</v>
      </c>
      <c r="H744" s="344"/>
      <c r="I744" s="347">
        <v>174</v>
      </c>
      <c r="J744" s="344"/>
      <c r="K744" s="344" t="s">
        <v>13814</v>
      </c>
      <c r="L744" s="344" t="s">
        <v>13815</v>
      </c>
      <c r="M744" s="344" t="s">
        <v>13752</v>
      </c>
      <c r="N744" s="344" t="s">
        <v>12339</v>
      </c>
      <c r="O744" s="348"/>
      <c r="P744" s="348"/>
      <c r="Q744" s="348"/>
      <c r="R744" s="348"/>
      <c r="S744" s="348"/>
      <c r="T744" s="348"/>
      <c r="U744" s="348"/>
      <c r="V744" s="348"/>
      <c r="W744" s="348"/>
      <c r="X744" s="348"/>
      <c r="Y744" s="348"/>
      <c r="Z744" s="348"/>
    </row>
    <row r="745" spans="1:26" s="64" customFormat="1" ht="47.25" customHeight="1" thickBot="1" x14ac:dyDescent="0.35">
      <c r="A745" s="343">
        <v>45509</v>
      </c>
      <c r="B745" s="345" t="s">
        <v>13816</v>
      </c>
      <c r="C745" s="344"/>
      <c r="D745" s="344" t="s">
        <v>12341</v>
      </c>
      <c r="E745" s="344" t="s">
        <v>12427</v>
      </c>
      <c r="F745" s="344" t="s">
        <v>12341</v>
      </c>
      <c r="G745" s="347">
        <v>80</v>
      </c>
      <c r="H745" s="347">
        <v>40</v>
      </c>
      <c r="I745" s="347">
        <v>40</v>
      </c>
      <c r="J745" s="344"/>
      <c r="K745" s="344" t="s">
        <v>13817</v>
      </c>
      <c r="L745" s="344" t="s">
        <v>13818</v>
      </c>
      <c r="M745" s="344" t="s">
        <v>13752</v>
      </c>
      <c r="N745" s="344" t="s">
        <v>12339</v>
      </c>
      <c r="O745" s="348"/>
      <c r="P745" s="348"/>
      <c r="Q745" s="348"/>
      <c r="R745" s="348"/>
      <c r="S745" s="348"/>
      <c r="T745" s="348"/>
      <c r="U745" s="348"/>
      <c r="V745" s="348"/>
      <c r="W745" s="348"/>
      <c r="X745" s="348"/>
      <c r="Y745" s="348"/>
      <c r="Z745" s="348"/>
    </row>
    <row r="746" spans="1:26" s="64" customFormat="1" ht="47.25" customHeight="1" thickBot="1" x14ac:dyDescent="0.35">
      <c r="A746" s="343">
        <v>45509</v>
      </c>
      <c r="B746" s="345" t="s">
        <v>13819</v>
      </c>
      <c r="C746" s="344"/>
      <c r="D746" s="344" t="s">
        <v>12341</v>
      </c>
      <c r="E746" s="344" t="s">
        <v>12427</v>
      </c>
      <c r="F746" s="344" t="s">
        <v>12341</v>
      </c>
      <c r="G746" s="347">
        <v>80</v>
      </c>
      <c r="H746" s="347">
        <v>40</v>
      </c>
      <c r="I746" s="347">
        <v>40</v>
      </c>
      <c r="J746" s="344"/>
      <c r="K746" s="344" t="s">
        <v>13820</v>
      </c>
      <c r="L746" s="344" t="s">
        <v>13821</v>
      </c>
      <c r="M746" s="344" t="s">
        <v>13752</v>
      </c>
      <c r="N746" s="344" t="s">
        <v>12339</v>
      </c>
      <c r="O746" s="348"/>
      <c r="P746" s="348"/>
      <c r="Q746" s="348"/>
      <c r="R746" s="348"/>
      <c r="S746" s="348"/>
      <c r="T746" s="348"/>
      <c r="U746" s="348"/>
      <c r="V746" s="348"/>
      <c r="W746" s="348"/>
      <c r="X746" s="348"/>
      <c r="Y746" s="348"/>
      <c r="Z746" s="348"/>
    </row>
    <row r="747" spans="1:26" s="64" customFormat="1" ht="47.25" customHeight="1" thickBot="1" x14ac:dyDescent="0.35">
      <c r="A747" s="343">
        <v>45509</v>
      </c>
      <c r="B747" s="345" t="s">
        <v>12426</v>
      </c>
      <c r="C747" s="344"/>
      <c r="D747" s="344" t="s">
        <v>12341</v>
      </c>
      <c r="E747" s="344" t="s">
        <v>12341</v>
      </c>
      <c r="F747" s="344"/>
      <c r="G747" s="344"/>
      <c r="H747" s="344"/>
      <c r="I747" s="344"/>
      <c r="J747" s="344"/>
      <c r="K747" s="344" t="s">
        <v>13822</v>
      </c>
      <c r="L747" s="344" t="s">
        <v>13823</v>
      </c>
      <c r="M747" s="344" t="s">
        <v>13752</v>
      </c>
      <c r="N747" s="344" t="s">
        <v>12339</v>
      </c>
      <c r="O747" s="348"/>
      <c r="P747" s="348"/>
      <c r="Q747" s="348"/>
      <c r="R747" s="348"/>
      <c r="S747" s="348"/>
      <c r="T747" s="348"/>
      <c r="U747" s="348"/>
      <c r="V747" s="348"/>
      <c r="W747" s="348"/>
      <c r="X747" s="348"/>
      <c r="Y747" s="348"/>
      <c r="Z747" s="348"/>
    </row>
    <row r="748" spans="1:26" s="64" customFormat="1" ht="47.25" customHeight="1" thickBot="1" x14ac:dyDescent="0.35">
      <c r="A748" s="343">
        <v>45509</v>
      </c>
      <c r="B748" s="345" t="s">
        <v>13824</v>
      </c>
      <c r="C748" s="344"/>
      <c r="D748" s="344" t="s">
        <v>12341</v>
      </c>
      <c r="E748" s="344" t="s">
        <v>13739</v>
      </c>
      <c r="F748" s="344"/>
      <c r="G748" s="344"/>
      <c r="H748" s="344"/>
      <c r="I748" s="344"/>
      <c r="J748" s="344"/>
      <c r="K748" s="344"/>
      <c r="L748" s="344" t="s">
        <v>12341</v>
      </c>
      <c r="M748" s="344" t="s">
        <v>13752</v>
      </c>
      <c r="N748" s="344" t="s">
        <v>12339</v>
      </c>
      <c r="O748" s="348"/>
      <c r="P748" s="348"/>
      <c r="Q748" s="348"/>
      <c r="R748" s="348"/>
      <c r="S748" s="348"/>
      <c r="T748" s="348"/>
      <c r="U748" s="348"/>
      <c r="V748" s="348"/>
      <c r="W748" s="348"/>
      <c r="X748" s="348"/>
      <c r="Y748" s="348"/>
      <c r="Z748" s="348"/>
    </row>
    <row r="749" spans="1:26" s="64" customFormat="1" ht="47.25" customHeight="1" thickBot="1" x14ac:dyDescent="0.35">
      <c r="A749" s="343">
        <v>45509</v>
      </c>
      <c r="B749" s="345" t="s">
        <v>12591</v>
      </c>
      <c r="C749" s="344"/>
      <c r="D749" s="344" t="s">
        <v>12341</v>
      </c>
      <c r="E749" s="344" t="s">
        <v>12341</v>
      </c>
      <c r="F749" s="344"/>
      <c r="G749" s="344"/>
      <c r="H749" s="344"/>
      <c r="I749" s="344"/>
      <c r="J749" s="344"/>
      <c r="K749" s="344" t="s">
        <v>13825</v>
      </c>
      <c r="L749" s="344" t="s">
        <v>13826</v>
      </c>
      <c r="M749" s="344" t="s">
        <v>13752</v>
      </c>
      <c r="N749" s="344" t="s">
        <v>12339</v>
      </c>
      <c r="O749" s="348"/>
      <c r="P749" s="348"/>
      <c r="Q749" s="348"/>
      <c r="R749" s="348"/>
      <c r="S749" s="348"/>
      <c r="T749" s="348"/>
      <c r="U749" s="348"/>
      <c r="V749" s="348"/>
      <c r="W749" s="348"/>
      <c r="X749" s="348"/>
      <c r="Y749" s="348"/>
      <c r="Z749" s="348"/>
    </row>
    <row r="750" spans="1:26" s="64" customFormat="1" ht="47.25" customHeight="1" thickBot="1" x14ac:dyDescent="0.35">
      <c r="A750" s="343">
        <v>45510</v>
      </c>
      <c r="B750" s="345" t="s">
        <v>13827</v>
      </c>
      <c r="C750" s="344"/>
      <c r="D750" s="344" t="s">
        <v>12341</v>
      </c>
      <c r="E750" s="344" t="s">
        <v>13828</v>
      </c>
      <c r="F750" s="344" t="s">
        <v>12341</v>
      </c>
      <c r="G750" s="347">
        <v>150</v>
      </c>
      <c r="H750" s="344"/>
      <c r="I750" s="347">
        <v>100</v>
      </c>
      <c r="J750" s="344"/>
      <c r="K750" s="344" t="s">
        <v>13829</v>
      </c>
      <c r="L750" s="344" t="s">
        <v>13830</v>
      </c>
      <c r="M750" s="344" t="s">
        <v>13752</v>
      </c>
      <c r="N750" s="344" t="s">
        <v>12339</v>
      </c>
      <c r="O750" s="348"/>
      <c r="P750" s="348"/>
      <c r="Q750" s="348"/>
      <c r="R750" s="348"/>
      <c r="S750" s="348"/>
      <c r="T750" s="348"/>
      <c r="U750" s="348"/>
      <c r="V750" s="348"/>
      <c r="W750" s="348"/>
      <c r="X750" s="348"/>
      <c r="Y750" s="348"/>
      <c r="Z750" s="348"/>
    </row>
    <row r="751" spans="1:26" s="64" customFormat="1" ht="47.25" customHeight="1" thickBot="1" x14ac:dyDescent="0.35">
      <c r="A751" s="343">
        <v>45510</v>
      </c>
      <c r="B751" s="345" t="s">
        <v>13831</v>
      </c>
      <c r="C751" s="344"/>
      <c r="D751" s="344" t="s">
        <v>12341</v>
      </c>
      <c r="E751" s="344" t="s">
        <v>12341</v>
      </c>
      <c r="F751" s="344"/>
      <c r="G751" s="344"/>
      <c r="H751" s="344"/>
      <c r="I751" s="344"/>
      <c r="J751" s="344"/>
      <c r="K751" s="344" t="s">
        <v>13832</v>
      </c>
      <c r="L751" s="344" t="s">
        <v>13833</v>
      </c>
      <c r="M751" s="344" t="s">
        <v>13752</v>
      </c>
      <c r="N751" s="344" t="s">
        <v>12339</v>
      </c>
      <c r="O751" s="348"/>
      <c r="P751" s="348"/>
      <c r="Q751" s="348"/>
      <c r="R751" s="348"/>
      <c r="S751" s="348"/>
      <c r="T751" s="348"/>
      <c r="U751" s="348"/>
      <c r="V751" s="348"/>
      <c r="W751" s="348"/>
      <c r="X751" s="348"/>
      <c r="Y751" s="348"/>
      <c r="Z751" s="348"/>
    </row>
    <row r="752" spans="1:26" s="64" customFormat="1" ht="47.25" customHeight="1" thickBot="1" x14ac:dyDescent="0.35">
      <c r="A752" s="343">
        <v>45510</v>
      </c>
      <c r="B752" s="345" t="s">
        <v>13834</v>
      </c>
      <c r="C752" s="344"/>
      <c r="D752" s="344" t="s">
        <v>12341</v>
      </c>
      <c r="E752" s="344" t="s">
        <v>12335</v>
      </c>
      <c r="F752" s="344" t="s">
        <v>12346</v>
      </c>
      <c r="G752" s="347">
        <v>180</v>
      </c>
      <c r="H752" s="347">
        <v>0</v>
      </c>
      <c r="I752" s="347">
        <v>180</v>
      </c>
      <c r="J752" s="344"/>
      <c r="K752" s="344"/>
      <c r="L752" s="344" t="s">
        <v>12341</v>
      </c>
      <c r="M752" s="344" t="s">
        <v>13752</v>
      </c>
      <c r="N752" s="344" t="s">
        <v>12339</v>
      </c>
      <c r="O752" s="348"/>
      <c r="P752" s="348"/>
      <c r="Q752" s="348"/>
      <c r="R752" s="348"/>
      <c r="S752" s="348"/>
      <c r="T752" s="348"/>
      <c r="U752" s="348"/>
      <c r="V752" s="348"/>
      <c r="W752" s="348"/>
      <c r="X752" s="348"/>
      <c r="Y752" s="348"/>
      <c r="Z752" s="348"/>
    </row>
    <row r="753" spans="1:26" s="64" customFormat="1" ht="47.25" customHeight="1" thickBot="1" x14ac:dyDescent="0.35">
      <c r="A753" s="343">
        <v>45510</v>
      </c>
      <c r="B753" s="345" t="s">
        <v>13835</v>
      </c>
      <c r="C753" s="344"/>
      <c r="D753" s="344" t="s">
        <v>12341</v>
      </c>
      <c r="E753" s="344" t="s">
        <v>12341</v>
      </c>
      <c r="F753" s="344"/>
      <c r="G753" s="344"/>
      <c r="H753" s="344"/>
      <c r="I753" s="344"/>
      <c r="J753" s="344"/>
      <c r="K753" s="344" t="s">
        <v>13836</v>
      </c>
      <c r="L753" s="349" t="s">
        <v>13837</v>
      </c>
      <c r="M753" s="344" t="s">
        <v>13752</v>
      </c>
      <c r="N753" s="344" t="s">
        <v>12339</v>
      </c>
      <c r="O753" s="348"/>
      <c r="P753" s="348"/>
      <c r="Q753" s="348"/>
      <c r="R753" s="348"/>
      <c r="S753" s="348"/>
      <c r="T753" s="348"/>
      <c r="U753" s="348"/>
      <c r="V753" s="348"/>
      <c r="W753" s="348"/>
      <c r="X753" s="348"/>
      <c r="Y753" s="348"/>
      <c r="Z753" s="348"/>
    </row>
    <row r="754" spans="1:26" s="64" customFormat="1" ht="47.25" customHeight="1" thickBot="1" x14ac:dyDescent="0.35">
      <c r="A754" s="343">
        <v>45510</v>
      </c>
      <c r="B754" s="345" t="s">
        <v>13838</v>
      </c>
      <c r="C754" s="344"/>
      <c r="D754" s="344" t="s">
        <v>12341</v>
      </c>
      <c r="E754" s="344" t="s">
        <v>13839</v>
      </c>
      <c r="F754" s="344"/>
      <c r="G754" s="344"/>
      <c r="H754" s="344"/>
      <c r="I754" s="344"/>
      <c r="J754" s="344"/>
      <c r="K754" s="344" t="s">
        <v>13840</v>
      </c>
      <c r="L754" s="344" t="s">
        <v>13542</v>
      </c>
      <c r="M754" s="344" t="s">
        <v>13752</v>
      </c>
      <c r="N754" s="344" t="s">
        <v>12339</v>
      </c>
      <c r="O754" s="348"/>
      <c r="P754" s="348"/>
      <c r="Q754" s="348"/>
      <c r="R754" s="348"/>
      <c r="S754" s="348"/>
      <c r="T754" s="348"/>
      <c r="U754" s="348"/>
      <c r="V754" s="348"/>
      <c r="W754" s="348"/>
      <c r="X754" s="348"/>
      <c r="Y754" s="348"/>
      <c r="Z754" s="348"/>
    </row>
    <row r="755" spans="1:26" s="64" customFormat="1" ht="47.25" customHeight="1" thickBot="1" x14ac:dyDescent="0.35">
      <c r="A755" s="343">
        <v>45510</v>
      </c>
      <c r="B755" s="345" t="s">
        <v>13841</v>
      </c>
      <c r="C755" s="344"/>
      <c r="D755" s="344" t="s">
        <v>12341</v>
      </c>
      <c r="E755" s="344" t="s">
        <v>12593</v>
      </c>
      <c r="F755" s="344" t="s">
        <v>12341</v>
      </c>
      <c r="G755" s="347">
        <v>160</v>
      </c>
      <c r="H755" s="347">
        <v>86</v>
      </c>
      <c r="I755" s="347">
        <v>74</v>
      </c>
      <c r="J755" s="344"/>
      <c r="K755" s="344" t="s">
        <v>13842</v>
      </c>
      <c r="L755" s="344" t="s">
        <v>13062</v>
      </c>
      <c r="M755" s="344" t="s">
        <v>13752</v>
      </c>
      <c r="N755" s="344" t="s">
        <v>12339</v>
      </c>
      <c r="O755" s="348"/>
      <c r="P755" s="348"/>
      <c r="Q755" s="348"/>
      <c r="R755" s="348"/>
      <c r="S755" s="348"/>
      <c r="T755" s="348"/>
      <c r="U755" s="348"/>
      <c r="V755" s="348"/>
      <c r="W755" s="348"/>
      <c r="X755" s="348"/>
      <c r="Y755" s="348"/>
      <c r="Z755" s="348"/>
    </row>
    <row r="756" spans="1:26" s="64" customFormat="1" ht="47.25" customHeight="1" thickBot="1" x14ac:dyDescent="0.35">
      <c r="A756" s="343">
        <v>45510</v>
      </c>
      <c r="B756" s="345" t="s">
        <v>13843</v>
      </c>
      <c r="C756" s="344"/>
      <c r="D756" s="344" t="s">
        <v>12341</v>
      </c>
      <c r="E756" s="344" t="s">
        <v>12341</v>
      </c>
      <c r="F756" s="344"/>
      <c r="G756" s="344"/>
      <c r="H756" s="344"/>
      <c r="I756" s="344"/>
      <c r="J756" s="344"/>
      <c r="K756" s="344" t="s">
        <v>13844</v>
      </c>
      <c r="L756" s="344" t="s">
        <v>13845</v>
      </c>
      <c r="M756" s="344" t="s">
        <v>13752</v>
      </c>
      <c r="N756" s="344" t="s">
        <v>12339</v>
      </c>
      <c r="O756" s="348"/>
      <c r="P756" s="348"/>
      <c r="Q756" s="348"/>
      <c r="R756" s="348"/>
      <c r="S756" s="348"/>
      <c r="T756" s="348"/>
      <c r="U756" s="348"/>
      <c r="V756" s="348"/>
      <c r="W756" s="348"/>
      <c r="X756" s="348"/>
      <c r="Y756" s="348"/>
      <c r="Z756" s="348"/>
    </row>
    <row r="757" spans="1:26" s="64" customFormat="1" ht="47.25" customHeight="1" thickBot="1" x14ac:dyDescent="0.35">
      <c r="A757" s="343">
        <v>45511</v>
      </c>
      <c r="B757" s="345" t="s">
        <v>13332</v>
      </c>
      <c r="C757" s="344"/>
      <c r="D757" s="344" t="s">
        <v>12341</v>
      </c>
      <c r="E757" s="344" t="s">
        <v>12356</v>
      </c>
      <c r="F757" s="344" t="s">
        <v>12346</v>
      </c>
      <c r="G757" s="347">
        <v>80</v>
      </c>
      <c r="H757" s="347">
        <v>40</v>
      </c>
      <c r="I757" s="347">
        <v>40</v>
      </c>
      <c r="J757" s="344"/>
      <c r="K757" s="344"/>
      <c r="L757" s="344" t="s">
        <v>12341</v>
      </c>
      <c r="M757" s="344" t="s">
        <v>13752</v>
      </c>
      <c r="N757" s="344" t="s">
        <v>12344</v>
      </c>
      <c r="O757" s="348"/>
      <c r="P757" s="348"/>
      <c r="Q757" s="348"/>
      <c r="R757" s="348"/>
      <c r="S757" s="348"/>
      <c r="T757" s="348"/>
      <c r="U757" s="348"/>
      <c r="V757" s="348"/>
      <c r="W757" s="348"/>
      <c r="X757" s="348"/>
      <c r="Y757" s="348"/>
      <c r="Z757" s="348"/>
    </row>
    <row r="758" spans="1:26" s="64" customFormat="1" ht="47.25" customHeight="1" thickBot="1" x14ac:dyDescent="0.35">
      <c r="A758" s="343">
        <v>45511</v>
      </c>
      <c r="B758" s="345" t="s">
        <v>13323</v>
      </c>
      <c r="C758" s="344"/>
      <c r="D758" s="344" t="s">
        <v>12341</v>
      </c>
      <c r="E758" s="344" t="s">
        <v>12356</v>
      </c>
      <c r="F758" s="344" t="s">
        <v>12346</v>
      </c>
      <c r="G758" s="347">
        <v>80</v>
      </c>
      <c r="H758" s="347">
        <v>40</v>
      </c>
      <c r="I758" s="347">
        <v>40</v>
      </c>
      <c r="J758" s="344"/>
      <c r="K758" s="344"/>
      <c r="L758" s="344" t="s">
        <v>12341</v>
      </c>
      <c r="M758" s="344" t="s">
        <v>13752</v>
      </c>
      <c r="N758" s="344" t="s">
        <v>12344</v>
      </c>
      <c r="O758" s="348"/>
      <c r="P758" s="348"/>
      <c r="Q758" s="348"/>
      <c r="R758" s="348"/>
      <c r="S758" s="348"/>
      <c r="T758" s="348"/>
      <c r="U758" s="348"/>
      <c r="V758" s="348"/>
      <c r="W758" s="348"/>
      <c r="X758" s="348"/>
      <c r="Y758" s="348"/>
      <c r="Z758" s="348"/>
    </row>
    <row r="759" spans="1:26" s="64" customFormat="1" ht="47.25" customHeight="1" thickBot="1" x14ac:dyDescent="0.35">
      <c r="A759" s="343">
        <v>45511</v>
      </c>
      <c r="B759" s="345" t="s">
        <v>13843</v>
      </c>
      <c r="C759" s="344"/>
      <c r="D759" s="344" t="s">
        <v>12341</v>
      </c>
      <c r="E759" s="344" t="s">
        <v>12427</v>
      </c>
      <c r="F759" s="344" t="s">
        <v>12341</v>
      </c>
      <c r="G759" s="347">
        <v>90</v>
      </c>
      <c r="H759" s="347">
        <v>50</v>
      </c>
      <c r="I759" s="347">
        <v>40</v>
      </c>
      <c r="J759" s="344"/>
      <c r="K759" s="344" t="s">
        <v>13844</v>
      </c>
      <c r="L759" s="344" t="s">
        <v>13845</v>
      </c>
      <c r="M759" s="344" t="s">
        <v>13752</v>
      </c>
      <c r="N759" s="344" t="s">
        <v>12339</v>
      </c>
      <c r="O759" s="348"/>
      <c r="P759" s="348"/>
      <c r="Q759" s="348"/>
      <c r="R759" s="348"/>
      <c r="S759" s="348"/>
      <c r="T759" s="348"/>
      <c r="U759" s="348"/>
      <c r="V759" s="348"/>
      <c r="W759" s="348"/>
      <c r="X759" s="348"/>
      <c r="Y759" s="348"/>
      <c r="Z759" s="348"/>
    </row>
    <row r="760" spans="1:26" s="64" customFormat="1" ht="47.25" customHeight="1" thickBot="1" x14ac:dyDescent="0.35">
      <c r="A760" s="343">
        <v>45511</v>
      </c>
      <c r="B760" s="345" t="s">
        <v>13320</v>
      </c>
      <c r="C760" s="344"/>
      <c r="D760" s="344" t="s">
        <v>12341</v>
      </c>
      <c r="E760" s="344" t="s">
        <v>12356</v>
      </c>
      <c r="F760" s="344" t="s">
        <v>12346</v>
      </c>
      <c r="G760" s="347">
        <v>80</v>
      </c>
      <c r="H760" s="347">
        <v>40</v>
      </c>
      <c r="I760" s="347">
        <v>40</v>
      </c>
      <c r="J760" s="344"/>
      <c r="K760" s="344"/>
      <c r="L760" s="344" t="s">
        <v>12341</v>
      </c>
      <c r="M760" s="344" t="s">
        <v>13752</v>
      </c>
      <c r="N760" s="344" t="s">
        <v>12344</v>
      </c>
      <c r="O760" s="348"/>
      <c r="P760" s="348"/>
      <c r="Q760" s="348"/>
      <c r="R760" s="348"/>
      <c r="S760" s="348"/>
      <c r="T760" s="348"/>
      <c r="U760" s="348"/>
      <c r="V760" s="348"/>
      <c r="W760" s="348"/>
      <c r="X760" s="348"/>
      <c r="Y760" s="348"/>
      <c r="Z760" s="348"/>
    </row>
    <row r="761" spans="1:26" s="64" customFormat="1" ht="47.25" customHeight="1" thickBot="1" x14ac:dyDescent="0.35">
      <c r="A761" s="343">
        <v>45511</v>
      </c>
      <c r="B761" s="345" t="s">
        <v>13846</v>
      </c>
      <c r="C761" s="344"/>
      <c r="D761" s="344" t="s">
        <v>12341</v>
      </c>
      <c r="E761" s="344" t="s">
        <v>13688</v>
      </c>
      <c r="F761" s="344"/>
      <c r="G761" s="344"/>
      <c r="H761" s="344"/>
      <c r="I761" s="344"/>
      <c r="J761" s="344" t="s">
        <v>13847</v>
      </c>
      <c r="K761" s="344"/>
      <c r="L761" s="344" t="s">
        <v>12341</v>
      </c>
      <c r="M761" s="344" t="s">
        <v>13752</v>
      </c>
      <c r="N761" s="344" t="s">
        <v>12339</v>
      </c>
      <c r="O761" s="348"/>
      <c r="P761" s="348"/>
      <c r="Q761" s="348"/>
      <c r="R761" s="348"/>
      <c r="S761" s="348"/>
      <c r="T761" s="348"/>
      <c r="U761" s="348"/>
      <c r="V761" s="348"/>
      <c r="W761" s="348"/>
      <c r="X761" s="348"/>
      <c r="Y761" s="348"/>
      <c r="Z761" s="348"/>
    </row>
    <row r="762" spans="1:26" s="64" customFormat="1" ht="47.25" customHeight="1" thickBot="1" x14ac:dyDescent="0.35">
      <c r="A762" s="343">
        <v>45511</v>
      </c>
      <c r="B762" s="345" t="s">
        <v>13848</v>
      </c>
      <c r="C762" s="344"/>
      <c r="D762" s="344" t="s">
        <v>12341</v>
      </c>
      <c r="E762" s="344" t="s">
        <v>12341</v>
      </c>
      <c r="F762" s="344"/>
      <c r="G762" s="344"/>
      <c r="H762" s="344"/>
      <c r="I762" s="344"/>
      <c r="J762" s="344"/>
      <c r="K762" s="344" t="s">
        <v>13849</v>
      </c>
      <c r="L762" s="344" t="s">
        <v>13539</v>
      </c>
      <c r="M762" s="344" t="s">
        <v>13752</v>
      </c>
      <c r="N762" s="344" t="s">
        <v>12339</v>
      </c>
      <c r="O762" s="348"/>
      <c r="P762" s="348"/>
      <c r="Q762" s="348"/>
      <c r="R762" s="348"/>
      <c r="S762" s="348"/>
      <c r="T762" s="348"/>
      <c r="U762" s="348"/>
      <c r="V762" s="348"/>
      <c r="W762" s="348"/>
      <c r="X762" s="348"/>
      <c r="Y762" s="348"/>
      <c r="Z762" s="348"/>
    </row>
    <row r="763" spans="1:26" s="64" customFormat="1" ht="47.25" customHeight="1" thickBot="1" x14ac:dyDescent="0.35">
      <c r="A763" s="343">
        <v>45511</v>
      </c>
      <c r="B763" s="345" t="s">
        <v>13850</v>
      </c>
      <c r="C763" s="344"/>
      <c r="D763" s="344" t="s">
        <v>12341</v>
      </c>
      <c r="E763" s="344" t="s">
        <v>13851</v>
      </c>
      <c r="F763" s="344" t="s">
        <v>12360</v>
      </c>
      <c r="G763" s="344"/>
      <c r="H763" s="344"/>
      <c r="I763" s="347">
        <v>240</v>
      </c>
      <c r="J763" s="344" t="s">
        <v>13852</v>
      </c>
      <c r="K763" s="344"/>
      <c r="L763" s="344" t="s">
        <v>12341</v>
      </c>
      <c r="M763" s="344" t="s">
        <v>13752</v>
      </c>
      <c r="N763" s="344" t="s">
        <v>12339</v>
      </c>
      <c r="O763" s="348"/>
      <c r="P763" s="348"/>
      <c r="Q763" s="348"/>
      <c r="R763" s="348"/>
      <c r="S763" s="348"/>
      <c r="T763" s="348"/>
      <c r="U763" s="348"/>
      <c r="V763" s="348"/>
      <c r="W763" s="348"/>
      <c r="X763" s="348"/>
      <c r="Y763" s="348"/>
      <c r="Z763" s="348"/>
    </row>
    <row r="764" spans="1:26" s="64" customFormat="1" ht="47.25" customHeight="1" thickBot="1" x14ac:dyDescent="0.35">
      <c r="A764" s="343">
        <v>45511</v>
      </c>
      <c r="B764" s="345" t="s">
        <v>13853</v>
      </c>
      <c r="C764" s="344"/>
      <c r="D764" s="344" t="s">
        <v>12341</v>
      </c>
      <c r="E764" s="344" t="s">
        <v>12341</v>
      </c>
      <c r="F764" s="344"/>
      <c r="G764" s="344"/>
      <c r="H764" s="344"/>
      <c r="I764" s="344"/>
      <c r="J764" s="344"/>
      <c r="K764" s="344"/>
      <c r="L764" s="344" t="s">
        <v>12341</v>
      </c>
      <c r="M764" s="344" t="s">
        <v>13752</v>
      </c>
      <c r="N764" s="344" t="s">
        <v>12339</v>
      </c>
      <c r="O764" s="348"/>
      <c r="P764" s="348"/>
      <c r="Q764" s="348"/>
      <c r="R764" s="348"/>
      <c r="S764" s="348"/>
      <c r="T764" s="348"/>
      <c r="U764" s="348"/>
      <c r="V764" s="348"/>
      <c r="W764" s="348"/>
      <c r="X764" s="348"/>
      <c r="Y764" s="348"/>
      <c r="Z764" s="348"/>
    </row>
    <row r="765" spans="1:26" s="64" customFormat="1" ht="47.25" customHeight="1" thickBot="1" x14ac:dyDescent="0.35">
      <c r="A765" s="343">
        <v>45511</v>
      </c>
      <c r="B765" s="345" t="s">
        <v>13854</v>
      </c>
      <c r="C765" s="344"/>
      <c r="D765" s="344" t="s">
        <v>12341</v>
      </c>
      <c r="E765" s="344" t="s">
        <v>12341</v>
      </c>
      <c r="F765" s="344"/>
      <c r="G765" s="344"/>
      <c r="H765" s="344"/>
      <c r="I765" s="344"/>
      <c r="J765" s="344"/>
      <c r="K765" s="344" t="s">
        <v>13855</v>
      </c>
      <c r="L765" s="344" t="s">
        <v>13803</v>
      </c>
      <c r="M765" s="344" t="s">
        <v>13752</v>
      </c>
      <c r="N765" s="344" t="s">
        <v>12339</v>
      </c>
      <c r="O765" s="348"/>
      <c r="P765" s="348"/>
      <c r="Q765" s="348"/>
      <c r="R765" s="348"/>
      <c r="S765" s="348"/>
      <c r="T765" s="348"/>
      <c r="U765" s="348"/>
      <c r="V765" s="348"/>
      <c r="W765" s="348"/>
      <c r="X765" s="348"/>
      <c r="Y765" s="348"/>
      <c r="Z765" s="348"/>
    </row>
    <row r="766" spans="1:26" s="64" customFormat="1" ht="47.25" customHeight="1" thickBot="1" x14ac:dyDescent="0.35">
      <c r="A766" s="343">
        <v>45511</v>
      </c>
      <c r="B766" s="345" t="s">
        <v>13831</v>
      </c>
      <c r="C766" s="344"/>
      <c r="D766" s="344" t="s">
        <v>12341</v>
      </c>
      <c r="E766" s="344" t="s">
        <v>12427</v>
      </c>
      <c r="F766" s="344" t="s">
        <v>12341</v>
      </c>
      <c r="G766" s="347">
        <v>80</v>
      </c>
      <c r="H766" s="347">
        <v>40</v>
      </c>
      <c r="I766" s="347">
        <v>40</v>
      </c>
      <c r="J766" s="344" t="s">
        <v>13856</v>
      </c>
      <c r="K766" s="344" t="s">
        <v>13857</v>
      </c>
      <c r="L766" s="344" t="s">
        <v>13833</v>
      </c>
      <c r="M766" s="344" t="s">
        <v>13752</v>
      </c>
      <c r="N766" s="344" t="s">
        <v>12339</v>
      </c>
      <c r="O766" s="348"/>
      <c r="P766" s="348"/>
      <c r="Q766" s="348"/>
      <c r="R766" s="348"/>
      <c r="S766" s="348"/>
      <c r="T766" s="348"/>
      <c r="U766" s="348"/>
      <c r="V766" s="348"/>
      <c r="W766" s="348"/>
      <c r="X766" s="348"/>
      <c r="Y766" s="348"/>
      <c r="Z766" s="348"/>
    </row>
    <row r="767" spans="1:26" s="64" customFormat="1" ht="47.25" customHeight="1" thickBot="1" x14ac:dyDescent="0.35">
      <c r="A767" s="343">
        <v>45511</v>
      </c>
      <c r="B767" s="345" t="s">
        <v>13335</v>
      </c>
      <c r="C767" s="344"/>
      <c r="D767" s="344" t="s">
        <v>12341</v>
      </c>
      <c r="E767" s="344" t="s">
        <v>12356</v>
      </c>
      <c r="F767" s="344" t="s">
        <v>12346</v>
      </c>
      <c r="G767" s="347">
        <v>80</v>
      </c>
      <c r="H767" s="347">
        <v>40</v>
      </c>
      <c r="I767" s="347">
        <v>40</v>
      </c>
      <c r="J767" s="344"/>
      <c r="K767" s="344"/>
      <c r="L767" s="344" t="s">
        <v>12341</v>
      </c>
      <c r="M767" s="344" t="s">
        <v>13752</v>
      </c>
      <c r="N767" s="344" t="s">
        <v>12344</v>
      </c>
      <c r="O767" s="348"/>
      <c r="P767" s="348"/>
      <c r="Q767" s="348"/>
      <c r="R767" s="348"/>
      <c r="S767" s="348"/>
      <c r="T767" s="348"/>
      <c r="U767" s="348"/>
      <c r="V767" s="348"/>
      <c r="W767" s="348"/>
      <c r="X767" s="348"/>
      <c r="Y767" s="348"/>
      <c r="Z767" s="348"/>
    </row>
    <row r="768" spans="1:26" s="64" customFormat="1" ht="47.25" customHeight="1" thickBot="1" x14ac:dyDescent="0.35">
      <c r="A768" s="343">
        <v>45511</v>
      </c>
      <c r="B768" s="345" t="s">
        <v>13858</v>
      </c>
      <c r="C768" s="344"/>
      <c r="D768" s="344" t="s">
        <v>12341</v>
      </c>
      <c r="E768" s="344" t="s">
        <v>12427</v>
      </c>
      <c r="F768" s="344" t="s">
        <v>12341</v>
      </c>
      <c r="G768" s="347">
        <v>90</v>
      </c>
      <c r="H768" s="347">
        <v>50</v>
      </c>
      <c r="I768" s="347">
        <v>40</v>
      </c>
      <c r="J768" s="344"/>
      <c r="K768" s="344" t="s">
        <v>13859</v>
      </c>
      <c r="L768" s="344" t="s">
        <v>13860</v>
      </c>
      <c r="M768" s="344" t="s">
        <v>13752</v>
      </c>
      <c r="N768" s="344" t="s">
        <v>12339</v>
      </c>
      <c r="O768" s="348"/>
      <c r="P768" s="348"/>
      <c r="Q768" s="348"/>
      <c r="R768" s="348"/>
      <c r="S768" s="348"/>
      <c r="T768" s="348"/>
      <c r="U768" s="348"/>
      <c r="V768" s="348"/>
      <c r="W768" s="348"/>
      <c r="X768" s="348"/>
      <c r="Y768" s="348"/>
      <c r="Z768" s="348"/>
    </row>
    <row r="769" spans="1:26" s="64" customFormat="1" ht="47.25" customHeight="1" thickBot="1" x14ac:dyDescent="0.35">
      <c r="A769" s="343">
        <v>45511</v>
      </c>
      <c r="B769" s="345" t="s">
        <v>13861</v>
      </c>
      <c r="C769" s="344"/>
      <c r="D769" s="344" t="s">
        <v>12341</v>
      </c>
      <c r="E769" s="344" t="s">
        <v>12427</v>
      </c>
      <c r="F769" s="344" t="s">
        <v>12341</v>
      </c>
      <c r="G769" s="347">
        <v>80</v>
      </c>
      <c r="H769" s="347">
        <v>40</v>
      </c>
      <c r="I769" s="347">
        <v>40</v>
      </c>
      <c r="J769" s="344"/>
      <c r="K769" s="344" t="s">
        <v>13862</v>
      </c>
      <c r="L769" s="344" t="s">
        <v>13863</v>
      </c>
      <c r="M769" s="344" t="s">
        <v>13752</v>
      </c>
      <c r="N769" s="344" t="s">
        <v>12339</v>
      </c>
      <c r="O769" s="348"/>
      <c r="P769" s="348"/>
      <c r="Q769" s="348"/>
      <c r="R769" s="348"/>
      <c r="S769" s="348"/>
      <c r="T769" s="348"/>
      <c r="U769" s="348"/>
      <c r="V769" s="348"/>
      <c r="W769" s="348"/>
      <c r="X769" s="348"/>
      <c r="Y769" s="348"/>
      <c r="Z769" s="348"/>
    </row>
    <row r="770" spans="1:26" s="64" customFormat="1" ht="47.25" customHeight="1" thickBot="1" x14ac:dyDescent="0.35">
      <c r="A770" s="343">
        <v>45511</v>
      </c>
      <c r="B770" s="345" t="s">
        <v>13326</v>
      </c>
      <c r="C770" s="344"/>
      <c r="D770" s="344" t="s">
        <v>12341</v>
      </c>
      <c r="E770" s="344" t="s">
        <v>12356</v>
      </c>
      <c r="F770" s="344" t="s">
        <v>12346</v>
      </c>
      <c r="G770" s="347">
        <v>80</v>
      </c>
      <c r="H770" s="347">
        <v>40</v>
      </c>
      <c r="I770" s="347">
        <v>40</v>
      </c>
      <c r="J770" s="344"/>
      <c r="K770" s="344"/>
      <c r="L770" s="344" t="s">
        <v>12341</v>
      </c>
      <c r="M770" s="344" t="s">
        <v>13752</v>
      </c>
      <c r="N770" s="344" t="s">
        <v>12344</v>
      </c>
      <c r="O770" s="348"/>
      <c r="P770" s="348"/>
      <c r="Q770" s="348"/>
      <c r="R770" s="348"/>
      <c r="S770" s="348"/>
      <c r="T770" s="348"/>
      <c r="U770" s="348"/>
      <c r="V770" s="348"/>
      <c r="W770" s="348"/>
      <c r="X770" s="348"/>
      <c r="Y770" s="348"/>
      <c r="Z770" s="348"/>
    </row>
    <row r="771" spans="1:26" s="64" customFormat="1" ht="47.25" customHeight="1" thickBot="1" x14ac:dyDescent="0.35">
      <c r="A771" s="343">
        <v>45512</v>
      </c>
      <c r="B771" s="345" t="s">
        <v>13864</v>
      </c>
      <c r="C771" s="344"/>
      <c r="D771" s="344" t="s">
        <v>12341</v>
      </c>
      <c r="E771" s="344" t="s">
        <v>12341</v>
      </c>
      <c r="F771" s="344"/>
      <c r="G771" s="344"/>
      <c r="H771" s="344"/>
      <c r="I771" s="344"/>
      <c r="J771" s="344"/>
      <c r="K771" s="344" t="s">
        <v>13865</v>
      </c>
      <c r="L771" s="344" t="s">
        <v>13866</v>
      </c>
      <c r="M771" s="344" t="s">
        <v>13752</v>
      </c>
      <c r="N771" s="344" t="s">
        <v>12339</v>
      </c>
      <c r="O771" s="348"/>
      <c r="P771" s="348"/>
      <c r="Q771" s="348"/>
      <c r="R771" s="348"/>
      <c r="S771" s="348"/>
      <c r="T771" s="348"/>
      <c r="U771" s="348"/>
      <c r="V771" s="348"/>
      <c r="W771" s="348"/>
      <c r="X771" s="348"/>
      <c r="Y771" s="348"/>
      <c r="Z771" s="348"/>
    </row>
    <row r="772" spans="1:26" s="64" customFormat="1" ht="47.25" customHeight="1" thickBot="1" x14ac:dyDescent="0.35">
      <c r="A772" s="343">
        <v>45512</v>
      </c>
      <c r="B772" s="345" t="s">
        <v>13867</v>
      </c>
      <c r="C772" s="344"/>
      <c r="D772" s="344" t="s">
        <v>12341</v>
      </c>
      <c r="E772" s="344" t="s">
        <v>12341</v>
      </c>
      <c r="F772" s="344"/>
      <c r="G772" s="344"/>
      <c r="H772" s="344"/>
      <c r="I772" s="344"/>
      <c r="J772" s="344"/>
      <c r="K772" s="344" t="s">
        <v>13868</v>
      </c>
      <c r="L772" s="344" t="s">
        <v>13869</v>
      </c>
      <c r="M772" s="344" t="s">
        <v>13752</v>
      </c>
      <c r="N772" s="344" t="s">
        <v>12339</v>
      </c>
      <c r="O772" s="348"/>
      <c r="P772" s="348"/>
      <c r="Q772" s="348"/>
      <c r="R772" s="348"/>
      <c r="S772" s="348"/>
      <c r="T772" s="348"/>
      <c r="U772" s="348"/>
      <c r="V772" s="348"/>
      <c r="W772" s="348"/>
      <c r="X772" s="348"/>
      <c r="Y772" s="348"/>
      <c r="Z772" s="348"/>
    </row>
    <row r="773" spans="1:26" s="64" customFormat="1" ht="47.25" customHeight="1" thickBot="1" x14ac:dyDescent="0.35">
      <c r="A773" s="343">
        <v>45512</v>
      </c>
      <c r="B773" s="345" t="s">
        <v>13801</v>
      </c>
      <c r="C773" s="344"/>
      <c r="D773" s="344" t="s">
        <v>12341</v>
      </c>
      <c r="E773" s="344" t="s">
        <v>12341</v>
      </c>
      <c r="F773" s="344"/>
      <c r="G773" s="344"/>
      <c r="H773" s="344"/>
      <c r="I773" s="344"/>
      <c r="J773" s="344"/>
      <c r="K773" s="344" t="s">
        <v>13870</v>
      </c>
      <c r="L773" s="344" t="s">
        <v>13803</v>
      </c>
      <c r="M773" s="344" t="s">
        <v>13752</v>
      </c>
      <c r="N773" s="344" t="s">
        <v>12339</v>
      </c>
      <c r="O773" s="348"/>
      <c r="P773" s="348"/>
      <c r="Q773" s="348"/>
      <c r="R773" s="348"/>
      <c r="S773" s="348"/>
      <c r="T773" s="348"/>
      <c r="U773" s="348"/>
      <c r="V773" s="348"/>
      <c r="W773" s="348"/>
      <c r="X773" s="348"/>
      <c r="Y773" s="348"/>
      <c r="Z773" s="348"/>
    </row>
    <row r="774" spans="1:26" s="64" customFormat="1" ht="47.25" customHeight="1" thickBot="1" x14ac:dyDescent="0.35">
      <c r="A774" s="343">
        <v>45512</v>
      </c>
      <c r="B774" s="345" t="s">
        <v>13871</v>
      </c>
      <c r="C774" s="344"/>
      <c r="D774" s="344" t="s">
        <v>12341</v>
      </c>
      <c r="E774" s="344" t="s">
        <v>13688</v>
      </c>
      <c r="F774" s="344"/>
      <c r="G774" s="344"/>
      <c r="H774" s="344"/>
      <c r="I774" s="344"/>
      <c r="J774" s="344" t="s">
        <v>13872</v>
      </c>
      <c r="K774" s="344" t="s">
        <v>13873</v>
      </c>
      <c r="L774" s="344" t="s">
        <v>13874</v>
      </c>
      <c r="M774" s="344" t="s">
        <v>13752</v>
      </c>
      <c r="N774" s="344" t="s">
        <v>12339</v>
      </c>
      <c r="O774" s="348"/>
      <c r="P774" s="348"/>
      <c r="Q774" s="348"/>
      <c r="R774" s="348"/>
      <c r="S774" s="348"/>
      <c r="T774" s="348"/>
      <c r="U774" s="348"/>
      <c r="V774" s="348"/>
      <c r="W774" s="348"/>
      <c r="X774" s="348"/>
      <c r="Y774" s="348"/>
      <c r="Z774" s="348"/>
    </row>
    <row r="775" spans="1:26" s="64" customFormat="1" ht="47.25" customHeight="1" thickBot="1" x14ac:dyDescent="0.35">
      <c r="A775" s="343">
        <v>45513</v>
      </c>
      <c r="B775" s="345" t="s">
        <v>13875</v>
      </c>
      <c r="C775" s="344"/>
      <c r="D775" s="344" t="s">
        <v>12341</v>
      </c>
      <c r="E775" s="344" t="s">
        <v>13876</v>
      </c>
      <c r="F775" s="344" t="s">
        <v>13877</v>
      </c>
      <c r="G775" s="344"/>
      <c r="H775" s="344"/>
      <c r="I775" s="347">
        <v>80</v>
      </c>
      <c r="J775" s="344" t="s">
        <v>13878</v>
      </c>
      <c r="K775" s="344" t="s">
        <v>13879</v>
      </c>
      <c r="L775" s="344" t="s">
        <v>13880</v>
      </c>
      <c r="M775" s="344" t="s">
        <v>13752</v>
      </c>
      <c r="N775" s="344" t="s">
        <v>12339</v>
      </c>
      <c r="O775" s="348"/>
      <c r="P775" s="348"/>
      <c r="Q775" s="348"/>
      <c r="R775" s="348"/>
      <c r="S775" s="348"/>
      <c r="T775" s="348"/>
      <c r="U775" s="348"/>
      <c r="V775" s="348"/>
      <c r="W775" s="348"/>
      <c r="X775" s="348"/>
      <c r="Y775" s="348"/>
      <c r="Z775" s="348"/>
    </row>
    <row r="776" spans="1:26" s="64" customFormat="1" ht="47.25" customHeight="1" thickBot="1" x14ac:dyDescent="0.35">
      <c r="A776" s="343">
        <v>45513</v>
      </c>
      <c r="B776" s="345" t="s">
        <v>12454</v>
      </c>
      <c r="C776" s="344"/>
      <c r="D776" s="344" t="s">
        <v>12341</v>
      </c>
      <c r="E776" s="344" t="s">
        <v>12341</v>
      </c>
      <c r="F776" s="344"/>
      <c r="G776" s="344"/>
      <c r="H776" s="344"/>
      <c r="I776" s="344"/>
      <c r="J776" s="344"/>
      <c r="K776" s="344"/>
      <c r="L776" s="344" t="s">
        <v>13881</v>
      </c>
      <c r="M776" s="344" t="s">
        <v>13752</v>
      </c>
      <c r="N776" s="344" t="s">
        <v>12339</v>
      </c>
      <c r="O776" s="348"/>
      <c r="P776" s="348"/>
      <c r="Q776" s="348"/>
      <c r="R776" s="348"/>
      <c r="S776" s="348"/>
      <c r="T776" s="348"/>
      <c r="U776" s="348"/>
      <c r="V776" s="348"/>
      <c r="W776" s="348"/>
      <c r="X776" s="348"/>
      <c r="Y776" s="348"/>
      <c r="Z776" s="348"/>
    </row>
    <row r="777" spans="1:26" s="64" customFormat="1" ht="47.25" customHeight="1" thickBot="1" x14ac:dyDescent="0.35">
      <c r="A777" s="343">
        <v>45513</v>
      </c>
      <c r="B777" s="345" t="s">
        <v>12469</v>
      </c>
      <c r="C777" s="344"/>
      <c r="D777" s="344" t="s">
        <v>12341</v>
      </c>
      <c r="E777" s="344" t="s">
        <v>12341</v>
      </c>
      <c r="F777" s="344"/>
      <c r="G777" s="344"/>
      <c r="H777" s="344"/>
      <c r="I777" s="344"/>
      <c r="J777" s="344"/>
      <c r="K777" s="344" t="s">
        <v>13882</v>
      </c>
      <c r="L777" s="344" t="s">
        <v>13883</v>
      </c>
      <c r="M777" s="344" t="s">
        <v>13752</v>
      </c>
      <c r="N777" s="344" t="s">
        <v>12339</v>
      </c>
      <c r="O777" s="348"/>
      <c r="P777" s="348"/>
      <c r="Q777" s="348"/>
      <c r="R777" s="348"/>
      <c r="S777" s="348"/>
      <c r="T777" s="348"/>
      <c r="U777" s="348"/>
      <c r="V777" s="348"/>
      <c r="W777" s="348"/>
      <c r="X777" s="348"/>
      <c r="Y777" s="348"/>
      <c r="Z777" s="348"/>
    </row>
    <row r="778" spans="1:26" s="64" customFormat="1" ht="47.25" customHeight="1" thickBot="1" x14ac:dyDescent="0.35">
      <c r="A778" s="343">
        <v>45513</v>
      </c>
      <c r="B778" s="345" t="s">
        <v>13884</v>
      </c>
      <c r="C778" s="344"/>
      <c r="D778" s="344" t="s">
        <v>12341</v>
      </c>
      <c r="E778" s="344" t="s">
        <v>13885</v>
      </c>
      <c r="F778" s="344" t="s">
        <v>13886</v>
      </c>
      <c r="G778" s="344"/>
      <c r="H778" s="344"/>
      <c r="I778" s="347">
        <v>160</v>
      </c>
      <c r="J778" s="344"/>
      <c r="K778" s="344"/>
      <c r="L778" s="344" t="s">
        <v>12341</v>
      </c>
      <c r="M778" s="344" t="s">
        <v>13752</v>
      </c>
      <c r="N778" s="344" t="s">
        <v>12339</v>
      </c>
      <c r="O778" s="348"/>
      <c r="P778" s="348"/>
      <c r="Q778" s="348"/>
      <c r="R778" s="348"/>
      <c r="S778" s="348"/>
      <c r="T778" s="348"/>
      <c r="U778" s="348"/>
      <c r="V778" s="348"/>
      <c r="W778" s="348"/>
      <c r="X778" s="348"/>
      <c r="Y778" s="348"/>
      <c r="Z778" s="348"/>
    </row>
    <row r="779" spans="1:26" s="64" customFormat="1" ht="47.25" customHeight="1" thickBot="1" x14ac:dyDescent="0.35">
      <c r="A779" s="343">
        <v>45513</v>
      </c>
      <c r="B779" s="345" t="s">
        <v>12496</v>
      </c>
      <c r="C779" s="344"/>
      <c r="D779" s="344" t="s">
        <v>12341</v>
      </c>
      <c r="E779" s="344" t="s">
        <v>13887</v>
      </c>
      <c r="F779" s="344" t="s">
        <v>13888</v>
      </c>
      <c r="G779" s="344"/>
      <c r="H779" s="344"/>
      <c r="I779" s="347">
        <v>100</v>
      </c>
      <c r="J779" s="344"/>
      <c r="K779" s="344" t="s">
        <v>13889</v>
      </c>
      <c r="L779" s="344" t="s">
        <v>13551</v>
      </c>
      <c r="M779" s="344" t="s">
        <v>13752</v>
      </c>
      <c r="N779" s="344" t="s">
        <v>12339</v>
      </c>
      <c r="O779" s="348"/>
      <c r="P779" s="348"/>
      <c r="Q779" s="348"/>
      <c r="R779" s="348"/>
      <c r="S779" s="348"/>
      <c r="T779" s="348"/>
      <c r="U779" s="348"/>
      <c r="V779" s="348"/>
      <c r="W779" s="348"/>
      <c r="X779" s="348"/>
      <c r="Y779" s="348"/>
      <c r="Z779" s="348"/>
    </row>
    <row r="780" spans="1:26" s="64" customFormat="1" ht="47.25" customHeight="1" thickBot="1" x14ac:dyDescent="0.35">
      <c r="A780" s="343">
        <v>45513</v>
      </c>
      <c r="B780" s="345" t="s">
        <v>12454</v>
      </c>
      <c r="C780" s="344"/>
      <c r="D780" s="344" t="s">
        <v>12341</v>
      </c>
      <c r="E780" s="344" t="s">
        <v>12341</v>
      </c>
      <c r="F780" s="344"/>
      <c r="G780" s="344"/>
      <c r="H780" s="344"/>
      <c r="I780" s="344"/>
      <c r="J780" s="344"/>
      <c r="K780" s="344" t="s">
        <v>13890</v>
      </c>
      <c r="L780" s="344" t="s">
        <v>13891</v>
      </c>
      <c r="M780" s="344" t="s">
        <v>13752</v>
      </c>
      <c r="N780" s="344" t="s">
        <v>12339</v>
      </c>
      <c r="O780" s="348"/>
      <c r="P780" s="348"/>
      <c r="Q780" s="348"/>
      <c r="R780" s="348"/>
      <c r="S780" s="348"/>
      <c r="T780" s="348"/>
      <c r="U780" s="348"/>
      <c r="V780" s="348"/>
      <c r="W780" s="348"/>
      <c r="X780" s="348"/>
      <c r="Y780" s="348"/>
      <c r="Z780" s="348"/>
    </row>
    <row r="781" spans="1:26" s="64" customFormat="1" ht="47.25" customHeight="1" thickBot="1" x14ac:dyDescent="0.35">
      <c r="A781" s="343">
        <v>45513</v>
      </c>
      <c r="B781" s="345" t="s">
        <v>12335</v>
      </c>
      <c r="C781" s="344"/>
      <c r="D781" s="344" t="s">
        <v>12341</v>
      </c>
      <c r="E781" s="344" t="s">
        <v>12341</v>
      </c>
      <c r="F781" s="344"/>
      <c r="G781" s="344"/>
      <c r="H781" s="344"/>
      <c r="I781" s="347">
        <v>300</v>
      </c>
      <c r="J781" s="344" t="s">
        <v>13892</v>
      </c>
      <c r="K781" s="344"/>
      <c r="L781" s="344" t="s">
        <v>12341</v>
      </c>
      <c r="M781" s="344" t="s">
        <v>13752</v>
      </c>
      <c r="N781" s="344" t="s">
        <v>12339</v>
      </c>
      <c r="O781" s="348"/>
      <c r="P781" s="348"/>
      <c r="Q781" s="348"/>
      <c r="R781" s="348"/>
      <c r="S781" s="348"/>
      <c r="T781" s="348"/>
      <c r="U781" s="348"/>
      <c r="V781" s="348"/>
      <c r="W781" s="348"/>
      <c r="X781" s="348"/>
      <c r="Y781" s="348"/>
      <c r="Z781" s="348"/>
    </row>
    <row r="782" spans="1:26" s="64" customFormat="1" ht="47.25" customHeight="1" thickBot="1" x14ac:dyDescent="0.35">
      <c r="A782" s="343">
        <v>45513</v>
      </c>
      <c r="B782" s="345" t="s">
        <v>13864</v>
      </c>
      <c r="C782" s="344"/>
      <c r="D782" s="344" t="s">
        <v>12341</v>
      </c>
      <c r="E782" s="344" t="s">
        <v>13893</v>
      </c>
      <c r="F782" s="344"/>
      <c r="G782" s="344"/>
      <c r="H782" s="344"/>
      <c r="I782" s="344"/>
      <c r="J782" s="344"/>
      <c r="K782" s="344" t="s">
        <v>13894</v>
      </c>
      <c r="L782" s="344" t="s">
        <v>13866</v>
      </c>
      <c r="M782" s="344" t="s">
        <v>13752</v>
      </c>
      <c r="N782" s="344" t="s">
        <v>12339</v>
      </c>
      <c r="O782" s="348"/>
      <c r="P782" s="348"/>
      <c r="Q782" s="348"/>
      <c r="R782" s="348"/>
      <c r="S782" s="348"/>
      <c r="T782" s="348"/>
      <c r="U782" s="348"/>
      <c r="V782" s="348"/>
      <c r="W782" s="348"/>
      <c r="X782" s="348"/>
      <c r="Y782" s="348"/>
      <c r="Z782" s="348"/>
    </row>
    <row r="783" spans="1:26" s="64" customFormat="1" ht="47.25" customHeight="1" thickBot="1" x14ac:dyDescent="0.35">
      <c r="A783" s="343">
        <v>45516</v>
      </c>
      <c r="B783" s="345" t="s">
        <v>13895</v>
      </c>
      <c r="C783" s="344"/>
      <c r="D783" s="344" t="s">
        <v>12341</v>
      </c>
      <c r="E783" s="344" t="s">
        <v>12341</v>
      </c>
      <c r="F783" s="344"/>
      <c r="G783" s="344"/>
      <c r="H783" s="344"/>
      <c r="I783" s="344"/>
      <c r="J783" s="344"/>
      <c r="K783" s="344" t="s">
        <v>13896</v>
      </c>
      <c r="L783" s="344" t="s">
        <v>13897</v>
      </c>
      <c r="M783" s="344" t="s">
        <v>13752</v>
      </c>
      <c r="N783" s="344" t="s">
        <v>12339</v>
      </c>
      <c r="O783" s="348"/>
      <c r="P783" s="348"/>
      <c r="Q783" s="348"/>
      <c r="R783" s="348"/>
      <c r="S783" s="348"/>
      <c r="T783" s="348"/>
      <c r="U783" s="348"/>
      <c r="V783" s="348"/>
      <c r="W783" s="348"/>
      <c r="X783" s="348"/>
      <c r="Y783" s="348"/>
      <c r="Z783" s="348"/>
    </row>
    <row r="784" spans="1:26" s="64" customFormat="1" ht="47.25" customHeight="1" thickBot="1" x14ac:dyDescent="0.35">
      <c r="A784" s="343">
        <v>45516</v>
      </c>
      <c r="B784" s="345" t="s">
        <v>13898</v>
      </c>
      <c r="C784" s="344"/>
      <c r="D784" s="344" t="s">
        <v>12341</v>
      </c>
      <c r="E784" s="344" t="s">
        <v>13762</v>
      </c>
      <c r="F784" s="344" t="s">
        <v>13899</v>
      </c>
      <c r="G784" s="347">
        <v>50</v>
      </c>
      <c r="H784" s="344"/>
      <c r="I784" s="347">
        <v>50</v>
      </c>
      <c r="J784" s="344"/>
      <c r="K784" s="344"/>
      <c r="L784" s="344" t="s">
        <v>12341</v>
      </c>
      <c r="M784" s="344" t="s">
        <v>13752</v>
      </c>
      <c r="N784" s="344" t="s">
        <v>12339</v>
      </c>
      <c r="O784" s="348"/>
      <c r="P784" s="348"/>
      <c r="Q784" s="348"/>
      <c r="R784" s="348"/>
      <c r="S784" s="348"/>
      <c r="T784" s="348"/>
      <c r="U784" s="348"/>
      <c r="V784" s="348"/>
      <c r="W784" s="348"/>
      <c r="X784" s="348"/>
      <c r="Y784" s="348"/>
      <c r="Z784" s="348"/>
    </row>
    <row r="785" spans="1:26" s="64" customFormat="1" ht="47.25" customHeight="1" thickBot="1" x14ac:dyDescent="0.35">
      <c r="A785" s="343">
        <v>45516</v>
      </c>
      <c r="B785" s="345" t="s">
        <v>13900</v>
      </c>
      <c r="C785" s="344"/>
      <c r="D785" s="344" t="s">
        <v>12341</v>
      </c>
      <c r="E785" s="344" t="s">
        <v>12341</v>
      </c>
      <c r="F785" s="344"/>
      <c r="G785" s="344"/>
      <c r="H785" s="344"/>
      <c r="I785" s="344"/>
      <c r="J785" s="344"/>
      <c r="K785" s="344" t="s">
        <v>13901</v>
      </c>
      <c r="L785" s="344" t="s">
        <v>13902</v>
      </c>
      <c r="M785" s="344" t="s">
        <v>13752</v>
      </c>
      <c r="N785" s="344" t="s">
        <v>12339</v>
      </c>
      <c r="O785" s="348"/>
      <c r="P785" s="348"/>
      <c r="Q785" s="348"/>
      <c r="R785" s="348"/>
      <c r="S785" s="348"/>
      <c r="T785" s="348"/>
      <c r="U785" s="348"/>
      <c r="V785" s="348"/>
      <c r="W785" s="348"/>
      <c r="X785" s="348"/>
      <c r="Y785" s="348"/>
      <c r="Z785" s="348"/>
    </row>
    <row r="786" spans="1:26" s="64" customFormat="1" ht="47.25" customHeight="1" thickBot="1" x14ac:dyDescent="0.35">
      <c r="A786" s="343">
        <v>45516</v>
      </c>
      <c r="B786" s="345" t="s">
        <v>13903</v>
      </c>
      <c r="C786" s="344"/>
      <c r="D786" s="344" t="s">
        <v>12341</v>
      </c>
      <c r="E786" s="344" t="s">
        <v>12341</v>
      </c>
      <c r="F786" s="344"/>
      <c r="G786" s="344"/>
      <c r="H786" s="344"/>
      <c r="I786" s="344"/>
      <c r="J786" s="344"/>
      <c r="K786" s="344" t="s">
        <v>13904</v>
      </c>
      <c r="L786" s="344" t="s">
        <v>13905</v>
      </c>
      <c r="M786" s="344" t="s">
        <v>13752</v>
      </c>
      <c r="N786" s="344" t="s">
        <v>12339</v>
      </c>
      <c r="O786" s="348"/>
      <c r="P786" s="348"/>
      <c r="Q786" s="348"/>
      <c r="R786" s="348"/>
      <c r="S786" s="348"/>
      <c r="T786" s="348"/>
      <c r="U786" s="348"/>
      <c r="V786" s="348"/>
      <c r="W786" s="348"/>
      <c r="X786" s="348"/>
      <c r="Y786" s="348"/>
      <c r="Z786" s="348"/>
    </row>
    <row r="787" spans="1:26" s="64" customFormat="1" ht="47.25" customHeight="1" thickBot="1" x14ac:dyDescent="0.35">
      <c r="A787" s="343">
        <v>45516</v>
      </c>
      <c r="B787" s="345" t="s">
        <v>13906</v>
      </c>
      <c r="C787" s="344"/>
      <c r="D787" s="344" t="s">
        <v>12341</v>
      </c>
      <c r="E787" s="344" t="s">
        <v>12341</v>
      </c>
      <c r="F787" s="344"/>
      <c r="G787" s="344"/>
      <c r="H787" s="344"/>
      <c r="I787" s="344"/>
      <c r="J787" s="344"/>
      <c r="K787" s="344" t="s">
        <v>13907</v>
      </c>
      <c r="L787" s="344" t="s">
        <v>13908</v>
      </c>
      <c r="M787" s="344" t="s">
        <v>13752</v>
      </c>
      <c r="N787" s="344" t="s">
        <v>12339</v>
      </c>
      <c r="O787" s="348"/>
      <c r="P787" s="348"/>
      <c r="Q787" s="348"/>
      <c r="R787" s="348"/>
      <c r="S787" s="348"/>
      <c r="T787" s="348"/>
      <c r="U787" s="348"/>
      <c r="V787" s="348"/>
      <c r="W787" s="348"/>
      <c r="X787" s="348"/>
      <c r="Y787" s="348"/>
      <c r="Z787" s="348"/>
    </row>
    <row r="788" spans="1:26" s="64" customFormat="1" ht="47.25" customHeight="1" thickBot="1" x14ac:dyDescent="0.35">
      <c r="A788" s="343">
        <v>45516</v>
      </c>
      <c r="B788" s="345" t="s">
        <v>12496</v>
      </c>
      <c r="C788" s="344"/>
      <c r="D788" s="344" t="s">
        <v>12341</v>
      </c>
      <c r="E788" s="344" t="s">
        <v>13909</v>
      </c>
      <c r="F788" s="344" t="s">
        <v>12360</v>
      </c>
      <c r="G788" s="344"/>
      <c r="H788" s="344"/>
      <c r="I788" s="344"/>
      <c r="J788" s="344" t="s">
        <v>13910</v>
      </c>
      <c r="K788" s="344"/>
      <c r="L788" s="344" t="s">
        <v>12341</v>
      </c>
      <c r="M788" s="344" t="s">
        <v>13752</v>
      </c>
      <c r="N788" s="344" t="s">
        <v>12339</v>
      </c>
      <c r="O788" s="348"/>
      <c r="P788" s="348"/>
      <c r="Q788" s="348"/>
      <c r="R788" s="348"/>
      <c r="S788" s="348"/>
      <c r="T788" s="348"/>
      <c r="U788" s="348"/>
      <c r="V788" s="348"/>
      <c r="W788" s="348"/>
      <c r="X788" s="348"/>
      <c r="Y788" s="348"/>
      <c r="Z788" s="348"/>
    </row>
    <row r="789" spans="1:26" s="64" customFormat="1" ht="47.25" customHeight="1" thickBot="1" x14ac:dyDescent="0.35">
      <c r="A789" s="343">
        <v>45516</v>
      </c>
      <c r="B789" s="345" t="s">
        <v>13911</v>
      </c>
      <c r="C789" s="344"/>
      <c r="D789" s="344" t="s">
        <v>12341</v>
      </c>
      <c r="E789" s="344" t="s">
        <v>13912</v>
      </c>
      <c r="F789" s="344"/>
      <c r="G789" s="344"/>
      <c r="H789" s="344"/>
      <c r="I789" s="344"/>
      <c r="J789" s="344"/>
      <c r="K789" s="344" t="s">
        <v>13913</v>
      </c>
      <c r="L789" s="344" t="s">
        <v>13914</v>
      </c>
      <c r="M789" s="344" t="s">
        <v>13752</v>
      </c>
      <c r="N789" s="344" t="s">
        <v>12339</v>
      </c>
      <c r="O789" s="348"/>
      <c r="P789" s="348"/>
      <c r="Q789" s="348"/>
      <c r="R789" s="348"/>
      <c r="S789" s="348"/>
      <c r="T789" s="348"/>
      <c r="U789" s="348"/>
      <c r="V789" s="348"/>
      <c r="W789" s="348"/>
      <c r="X789" s="348"/>
      <c r="Y789" s="348"/>
      <c r="Z789" s="348"/>
    </row>
    <row r="790" spans="1:26" s="64" customFormat="1" ht="47.25" customHeight="1" thickBot="1" x14ac:dyDescent="0.35">
      <c r="A790" s="343">
        <v>45516</v>
      </c>
      <c r="B790" s="345" t="s">
        <v>13915</v>
      </c>
      <c r="C790" s="344"/>
      <c r="D790" s="344" t="s">
        <v>12341</v>
      </c>
      <c r="E790" s="344" t="s">
        <v>12427</v>
      </c>
      <c r="F790" s="344" t="s">
        <v>12341</v>
      </c>
      <c r="G790" s="347">
        <v>80</v>
      </c>
      <c r="H790" s="347">
        <v>40</v>
      </c>
      <c r="I790" s="347">
        <v>40</v>
      </c>
      <c r="J790" s="344"/>
      <c r="K790" s="344"/>
      <c r="L790" s="344" t="s">
        <v>12341</v>
      </c>
      <c r="M790" s="344" t="s">
        <v>13752</v>
      </c>
      <c r="N790" s="344" t="s">
        <v>12339</v>
      </c>
      <c r="O790" s="348"/>
      <c r="P790" s="348"/>
      <c r="Q790" s="348"/>
      <c r="R790" s="348"/>
      <c r="S790" s="348"/>
      <c r="T790" s="348"/>
      <c r="U790" s="348"/>
      <c r="V790" s="348"/>
      <c r="W790" s="348"/>
      <c r="X790" s="348"/>
      <c r="Y790" s="348"/>
      <c r="Z790" s="348"/>
    </row>
    <row r="791" spans="1:26" s="64" customFormat="1" ht="47.25" customHeight="1" thickBot="1" x14ac:dyDescent="0.35">
      <c r="A791" s="343">
        <v>45516</v>
      </c>
      <c r="B791" s="345" t="s">
        <v>13916</v>
      </c>
      <c r="C791" s="344"/>
      <c r="D791" s="344" t="s">
        <v>12341</v>
      </c>
      <c r="E791" s="344" t="s">
        <v>12685</v>
      </c>
      <c r="F791" s="344" t="s">
        <v>12341</v>
      </c>
      <c r="G791" s="347">
        <v>100</v>
      </c>
      <c r="H791" s="347">
        <v>60</v>
      </c>
      <c r="I791" s="347">
        <v>40</v>
      </c>
      <c r="J791" s="344" t="s">
        <v>13917</v>
      </c>
      <c r="K791" s="344"/>
      <c r="L791" s="344" t="s">
        <v>12341</v>
      </c>
      <c r="M791" s="344" t="s">
        <v>13752</v>
      </c>
      <c r="N791" s="344" t="s">
        <v>12339</v>
      </c>
      <c r="O791" s="348"/>
      <c r="P791" s="348"/>
      <c r="Q791" s="348"/>
      <c r="R791" s="348"/>
      <c r="S791" s="348"/>
      <c r="T791" s="348"/>
      <c r="U791" s="348"/>
      <c r="V791" s="348"/>
      <c r="W791" s="348"/>
      <c r="X791" s="348"/>
      <c r="Y791" s="348"/>
      <c r="Z791" s="348"/>
    </row>
    <row r="792" spans="1:26" s="64" customFormat="1" ht="47.25" customHeight="1" thickBot="1" x14ac:dyDescent="0.35">
      <c r="A792" s="343">
        <v>45516</v>
      </c>
      <c r="B792" s="345" t="s">
        <v>13918</v>
      </c>
      <c r="C792" s="344"/>
      <c r="D792" s="344" t="s">
        <v>12341</v>
      </c>
      <c r="E792" s="344" t="s">
        <v>13919</v>
      </c>
      <c r="F792" s="344" t="s">
        <v>12341</v>
      </c>
      <c r="G792" s="347">
        <v>160</v>
      </c>
      <c r="H792" s="344"/>
      <c r="I792" s="347">
        <v>74</v>
      </c>
      <c r="J792" s="344"/>
      <c r="K792" s="344"/>
      <c r="L792" s="344" t="s">
        <v>12341</v>
      </c>
      <c r="M792" s="344" t="s">
        <v>13752</v>
      </c>
      <c r="N792" s="344" t="s">
        <v>12339</v>
      </c>
      <c r="O792" s="348"/>
      <c r="P792" s="348"/>
      <c r="Q792" s="348"/>
      <c r="R792" s="348"/>
      <c r="S792" s="348"/>
      <c r="T792" s="348"/>
      <c r="U792" s="348"/>
      <c r="V792" s="348"/>
      <c r="W792" s="348"/>
      <c r="X792" s="348"/>
      <c r="Y792" s="348"/>
      <c r="Z792" s="348"/>
    </row>
    <row r="793" spans="1:26" s="64" customFormat="1" ht="47.25" customHeight="1" thickBot="1" x14ac:dyDescent="0.35">
      <c r="A793" s="343">
        <v>45517</v>
      </c>
      <c r="B793" s="345" t="s">
        <v>13920</v>
      </c>
      <c r="C793" s="344"/>
      <c r="D793" s="344" t="s">
        <v>12341</v>
      </c>
      <c r="E793" s="344" t="s">
        <v>13921</v>
      </c>
      <c r="F793" s="344"/>
      <c r="G793" s="344"/>
      <c r="H793" s="344"/>
      <c r="I793" s="344"/>
      <c r="J793" s="344"/>
      <c r="K793" s="344"/>
      <c r="L793" s="344" t="s">
        <v>12341</v>
      </c>
      <c r="M793" s="344" t="s">
        <v>13752</v>
      </c>
      <c r="N793" s="344" t="s">
        <v>12339</v>
      </c>
      <c r="O793" s="348"/>
      <c r="P793" s="348"/>
      <c r="Q793" s="348"/>
      <c r="R793" s="348"/>
      <c r="S793" s="348"/>
      <c r="T793" s="348"/>
      <c r="U793" s="348"/>
      <c r="V793" s="348"/>
      <c r="W793" s="348"/>
      <c r="X793" s="348"/>
      <c r="Y793" s="348"/>
      <c r="Z793" s="348"/>
    </row>
    <row r="794" spans="1:26" s="64" customFormat="1" ht="47.25" customHeight="1" thickBot="1" x14ac:dyDescent="0.35">
      <c r="A794" s="343">
        <v>45517</v>
      </c>
      <c r="B794" s="345" t="s">
        <v>12990</v>
      </c>
      <c r="C794" s="344"/>
      <c r="D794" s="344" t="s">
        <v>12341</v>
      </c>
      <c r="E794" s="344" t="s">
        <v>12685</v>
      </c>
      <c r="F794" s="344" t="s">
        <v>12360</v>
      </c>
      <c r="G794" s="344"/>
      <c r="H794" s="344"/>
      <c r="I794" s="347">
        <v>35</v>
      </c>
      <c r="J794" s="344"/>
      <c r="K794" s="344"/>
      <c r="L794" s="344" t="s">
        <v>12341</v>
      </c>
      <c r="M794" s="344" t="s">
        <v>13752</v>
      </c>
      <c r="N794" s="344" t="s">
        <v>12339</v>
      </c>
      <c r="O794" s="348"/>
      <c r="P794" s="348"/>
      <c r="Q794" s="348"/>
      <c r="R794" s="348"/>
      <c r="S794" s="348"/>
      <c r="T794" s="348"/>
      <c r="U794" s="348"/>
      <c r="V794" s="348"/>
      <c r="W794" s="348"/>
      <c r="X794" s="348"/>
      <c r="Y794" s="348"/>
      <c r="Z794" s="348"/>
    </row>
    <row r="795" spans="1:26" s="64" customFormat="1" ht="47.25" customHeight="1" thickBot="1" x14ac:dyDescent="0.35">
      <c r="A795" s="343">
        <v>45517</v>
      </c>
      <c r="B795" s="345" t="s">
        <v>13922</v>
      </c>
      <c r="C795" s="344"/>
      <c r="D795" s="344" t="s">
        <v>12341</v>
      </c>
      <c r="E795" s="344" t="s">
        <v>12685</v>
      </c>
      <c r="F795" s="344" t="s">
        <v>12341</v>
      </c>
      <c r="G795" s="347">
        <v>100</v>
      </c>
      <c r="H795" s="347">
        <v>65</v>
      </c>
      <c r="I795" s="347">
        <v>35</v>
      </c>
      <c r="J795" s="344" t="s">
        <v>13923</v>
      </c>
      <c r="K795" s="344" t="s">
        <v>13924</v>
      </c>
      <c r="L795" s="344" t="s">
        <v>13925</v>
      </c>
      <c r="M795" s="344" t="s">
        <v>13752</v>
      </c>
      <c r="N795" s="344" t="s">
        <v>12339</v>
      </c>
      <c r="O795" s="348"/>
      <c r="P795" s="348"/>
      <c r="Q795" s="348"/>
      <c r="R795" s="348"/>
      <c r="S795" s="348"/>
      <c r="T795" s="348"/>
      <c r="U795" s="348"/>
      <c r="V795" s="348"/>
      <c r="W795" s="348"/>
      <c r="X795" s="348"/>
      <c r="Y795" s="348"/>
      <c r="Z795" s="348"/>
    </row>
    <row r="796" spans="1:26" s="64" customFormat="1" ht="47.25" customHeight="1" thickBot="1" x14ac:dyDescent="0.35">
      <c r="A796" s="343">
        <v>45517</v>
      </c>
      <c r="B796" s="345" t="s">
        <v>13926</v>
      </c>
      <c r="C796" s="344"/>
      <c r="D796" s="344" t="s">
        <v>12341</v>
      </c>
      <c r="E796" s="344" t="s">
        <v>12427</v>
      </c>
      <c r="F796" s="344"/>
      <c r="G796" s="344"/>
      <c r="H796" s="344"/>
      <c r="I796" s="347">
        <v>40</v>
      </c>
      <c r="J796" s="344"/>
      <c r="K796" s="344" t="s">
        <v>13927</v>
      </c>
      <c r="L796" s="344" t="s">
        <v>13928</v>
      </c>
      <c r="M796" s="344" t="s">
        <v>13752</v>
      </c>
      <c r="N796" s="344" t="s">
        <v>12339</v>
      </c>
      <c r="O796" s="348"/>
      <c r="P796" s="348"/>
      <c r="Q796" s="348"/>
      <c r="R796" s="348"/>
      <c r="S796" s="348"/>
      <c r="T796" s="348"/>
      <c r="U796" s="348"/>
      <c r="V796" s="348"/>
      <c r="W796" s="348"/>
      <c r="X796" s="348"/>
      <c r="Y796" s="348"/>
      <c r="Z796" s="348"/>
    </row>
    <row r="797" spans="1:26" s="64" customFormat="1" ht="47.25" customHeight="1" thickBot="1" x14ac:dyDescent="0.35">
      <c r="A797" s="343">
        <v>45517</v>
      </c>
      <c r="B797" s="345" t="s">
        <v>13929</v>
      </c>
      <c r="C797" s="344"/>
      <c r="D797" s="344" t="s">
        <v>12341</v>
      </c>
      <c r="E797" s="344" t="s">
        <v>12427</v>
      </c>
      <c r="F797" s="344" t="s">
        <v>12341</v>
      </c>
      <c r="G797" s="347">
        <v>80</v>
      </c>
      <c r="H797" s="344"/>
      <c r="I797" s="347">
        <v>40</v>
      </c>
      <c r="J797" s="344"/>
      <c r="K797" s="344" t="s">
        <v>13930</v>
      </c>
      <c r="L797" s="344" t="s">
        <v>13931</v>
      </c>
      <c r="M797" s="344" t="s">
        <v>13752</v>
      </c>
      <c r="N797" s="344" t="s">
        <v>12339</v>
      </c>
      <c r="O797" s="348"/>
      <c r="P797" s="348"/>
      <c r="Q797" s="348"/>
      <c r="R797" s="348"/>
      <c r="S797" s="348"/>
      <c r="T797" s="348"/>
      <c r="U797" s="348"/>
      <c r="V797" s="348"/>
      <c r="W797" s="348"/>
      <c r="X797" s="348"/>
      <c r="Y797" s="348"/>
      <c r="Z797" s="348"/>
    </row>
    <row r="798" spans="1:26" s="64" customFormat="1" ht="47.25" customHeight="1" thickBot="1" x14ac:dyDescent="0.35">
      <c r="A798" s="343">
        <v>45517</v>
      </c>
      <c r="B798" s="345" t="s">
        <v>13932</v>
      </c>
      <c r="C798" s="344"/>
      <c r="D798" s="344" t="s">
        <v>12341</v>
      </c>
      <c r="E798" s="344" t="s">
        <v>12341</v>
      </c>
      <c r="F798" s="344"/>
      <c r="G798" s="344"/>
      <c r="H798" s="344"/>
      <c r="I798" s="344"/>
      <c r="J798" s="344"/>
      <c r="K798" s="344" t="s">
        <v>13933</v>
      </c>
      <c r="L798" s="344" t="s">
        <v>13934</v>
      </c>
      <c r="M798" s="344" t="s">
        <v>13752</v>
      </c>
      <c r="N798" s="344" t="s">
        <v>12339</v>
      </c>
      <c r="O798" s="348"/>
      <c r="P798" s="348"/>
      <c r="Q798" s="348"/>
      <c r="R798" s="348"/>
      <c r="S798" s="348"/>
      <c r="T798" s="348"/>
      <c r="U798" s="348"/>
      <c r="V798" s="348"/>
      <c r="W798" s="348"/>
      <c r="X798" s="348"/>
      <c r="Y798" s="348"/>
      <c r="Z798" s="348"/>
    </row>
    <row r="799" spans="1:26" s="64" customFormat="1" ht="47.25" customHeight="1" thickBot="1" x14ac:dyDescent="0.35">
      <c r="A799" s="343">
        <v>45518</v>
      </c>
      <c r="B799" s="345" t="s">
        <v>13935</v>
      </c>
      <c r="C799" s="344"/>
      <c r="D799" s="344" t="s">
        <v>12341</v>
      </c>
      <c r="E799" s="344" t="s">
        <v>2992</v>
      </c>
      <c r="F799" s="344" t="s">
        <v>12638</v>
      </c>
      <c r="G799" s="344"/>
      <c r="H799" s="344"/>
      <c r="I799" s="347">
        <v>35</v>
      </c>
      <c r="J799" s="344" t="s">
        <v>13936</v>
      </c>
      <c r="K799" s="344" t="s">
        <v>13937</v>
      </c>
      <c r="L799" s="344" t="s">
        <v>13938</v>
      </c>
      <c r="M799" s="344" t="s">
        <v>13752</v>
      </c>
      <c r="N799" s="344" t="s">
        <v>12339</v>
      </c>
      <c r="O799" s="348"/>
      <c r="P799" s="348"/>
      <c r="Q799" s="348"/>
      <c r="R799" s="348"/>
      <c r="S799" s="348"/>
      <c r="T799" s="348"/>
      <c r="U799" s="348"/>
      <c r="V799" s="348"/>
      <c r="W799" s="348"/>
      <c r="X799" s="348"/>
      <c r="Y799" s="348"/>
      <c r="Z799" s="348"/>
    </row>
    <row r="800" spans="1:26" s="64" customFormat="1" ht="47.25" customHeight="1" thickBot="1" x14ac:dyDescent="0.35">
      <c r="A800" s="343">
        <v>45518</v>
      </c>
      <c r="B800" s="345" t="s">
        <v>13939</v>
      </c>
      <c r="C800" s="344"/>
      <c r="D800" s="344" t="s">
        <v>12341</v>
      </c>
      <c r="E800" s="344" t="s">
        <v>12341</v>
      </c>
      <c r="F800" s="344"/>
      <c r="G800" s="344"/>
      <c r="H800" s="344"/>
      <c r="I800" s="344"/>
      <c r="J800" s="344"/>
      <c r="K800" s="344" t="s">
        <v>13940</v>
      </c>
      <c r="L800" s="344" t="s">
        <v>13007</v>
      </c>
      <c r="M800" s="344" t="s">
        <v>13752</v>
      </c>
      <c r="N800" s="344" t="s">
        <v>12339</v>
      </c>
      <c r="O800" s="348"/>
      <c r="P800" s="348"/>
      <c r="Q800" s="348"/>
      <c r="R800" s="348"/>
      <c r="S800" s="348"/>
      <c r="T800" s="348"/>
      <c r="U800" s="348"/>
      <c r="V800" s="348"/>
      <c r="W800" s="348"/>
      <c r="X800" s="348"/>
      <c r="Y800" s="348"/>
      <c r="Z800" s="348"/>
    </row>
    <row r="801" spans="1:26" s="64" customFormat="1" ht="47.25" customHeight="1" thickBot="1" x14ac:dyDescent="0.35">
      <c r="A801" s="343">
        <v>45518</v>
      </c>
      <c r="B801" s="345" t="s">
        <v>13794</v>
      </c>
      <c r="C801" s="344"/>
      <c r="D801" s="344" t="s">
        <v>12341</v>
      </c>
      <c r="E801" s="344" t="s">
        <v>12341</v>
      </c>
      <c r="F801" s="344"/>
      <c r="G801" s="344"/>
      <c r="H801" s="344"/>
      <c r="I801" s="344"/>
      <c r="J801" s="344"/>
      <c r="K801" s="344" t="s">
        <v>13941</v>
      </c>
      <c r="L801" s="344" t="s">
        <v>13797</v>
      </c>
      <c r="M801" s="344" t="s">
        <v>13752</v>
      </c>
      <c r="N801" s="344" t="s">
        <v>12339</v>
      </c>
      <c r="O801" s="348"/>
      <c r="P801" s="348"/>
      <c r="Q801" s="348"/>
      <c r="R801" s="348"/>
      <c r="S801" s="348"/>
      <c r="T801" s="348"/>
      <c r="U801" s="348"/>
      <c r="V801" s="348"/>
      <c r="W801" s="348"/>
      <c r="X801" s="348"/>
      <c r="Y801" s="348"/>
      <c r="Z801" s="348"/>
    </row>
    <row r="802" spans="1:26" s="64" customFormat="1" ht="47.25" customHeight="1" thickBot="1" x14ac:dyDescent="0.35">
      <c r="A802" s="343">
        <v>45519</v>
      </c>
      <c r="B802" s="345" t="s">
        <v>13942</v>
      </c>
      <c r="C802" s="344"/>
      <c r="D802" s="344" t="s">
        <v>12341</v>
      </c>
      <c r="E802" s="344" t="s">
        <v>12427</v>
      </c>
      <c r="F802" s="344" t="s">
        <v>12341</v>
      </c>
      <c r="G802" s="347">
        <v>80</v>
      </c>
      <c r="H802" s="344"/>
      <c r="I802" s="347">
        <v>40</v>
      </c>
      <c r="J802" s="344" t="s">
        <v>13943</v>
      </c>
      <c r="K802" s="344"/>
      <c r="L802" s="344" t="s">
        <v>12341</v>
      </c>
      <c r="M802" s="344" t="s">
        <v>13752</v>
      </c>
      <c r="N802" s="344" t="s">
        <v>12339</v>
      </c>
      <c r="O802" s="348"/>
      <c r="P802" s="348"/>
      <c r="Q802" s="348"/>
      <c r="R802" s="348"/>
      <c r="S802" s="348"/>
      <c r="T802" s="348"/>
      <c r="U802" s="348"/>
      <c r="V802" s="348"/>
      <c r="W802" s="348"/>
      <c r="X802" s="348"/>
      <c r="Y802" s="348"/>
      <c r="Z802" s="348"/>
    </row>
    <row r="803" spans="1:26" s="64" customFormat="1" ht="47.25" customHeight="1" thickBot="1" x14ac:dyDescent="0.35">
      <c r="A803" s="343">
        <v>45519</v>
      </c>
      <c r="B803" s="345" t="s">
        <v>13944</v>
      </c>
      <c r="C803" s="344"/>
      <c r="D803" s="344" t="s">
        <v>12341</v>
      </c>
      <c r="E803" s="344" t="s">
        <v>12341</v>
      </c>
      <c r="F803" s="344"/>
      <c r="G803" s="344"/>
      <c r="H803" s="344"/>
      <c r="I803" s="344"/>
      <c r="J803" s="344"/>
      <c r="K803" s="344" t="s">
        <v>13945</v>
      </c>
      <c r="L803" s="344" t="s">
        <v>13946</v>
      </c>
      <c r="M803" s="344" t="s">
        <v>13752</v>
      </c>
      <c r="N803" s="344" t="s">
        <v>12339</v>
      </c>
      <c r="O803" s="348"/>
      <c r="P803" s="348"/>
      <c r="Q803" s="348"/>
      <c r="R803" s="348"/>
      <c r="S803" s="348"/>
      <c r="T803" s="348"/>
      <c r="U803" s="348"/>
      <c r="V803" s="348"/>
      <c r="W803" s="348"/>
      <c r="X803" s="348"/>
      <c r="Y803" s="348"/>
      <c r="Z803" s="348"/>
    </row>
    <row r="804" spans="1:26" s="64" customFormat="1" ht="47.25" customHeight="1" thickBot="1" x14ac:dyDescent="0.35">
      <c r="A804" s="343">
        <v>45519</v>
      </c>
      <c r="B804" s="345" t="s">
        <v>13947</v>
      </c>
      <c r="C804" s="344"/>
      <c r="D804" s="344" t="s">
        <v>12341</v>
      </c>
      <c r="E804" s="344" t="s">
        <v>12685</v>
      </c>
      <c r="F804" s="344" t="s">
        <v>12341</v>
      </c>
      <c r="G804" s="347">
        <v>100</v>
      </c>
      <c r="H804" s="344"/>
      <c r="I804" s="347">
        <v>35</v>
      </c>
      <c r="J804" s="344" t="s">
        <v>13948</v>
      </c>
      <c r="K804" s="344"/>
      <c r="L804" s="344" t="s">
        <v>12341</v>
      </c>
      <c r="M804" s="344" t="s">
        <v>13752</v>
      </c>
      <c r="N804" s="344" t="s">
        <v>12339</v>
      </c>
      <c r="O804" s="348"/>
      <c r="P804" s="348"/>
      <c r="Q804" s="348"/>
      <c r="R804" s="348"/>
      <c r="S804" s="348"/>
      <c r="T804" s="348"/>
      <c r="U804" s="348"/>
      <c r="V804" s="348"/>
      <c r="W804" s="348"/>
      <c r="X804" s="348"/>
      <c r="Y804" s="348"/>
      <c r="Z804" s="348"/>
    </row>
    <row r="805" spans="1:26" s="64" customFormat="1" ht="47.25" customHeight="1" thickBot="1" x14ac:dyDescent="0.35">
      <c r="A805" s="343">
        <v>45519</v>
      </c>
      <c r="B805" s="345" t="s">
        <v>13949</v>
      </c>
      <c r="C805" s="344"/>
      <c r="D805" s="344" t="s">
        <v>12341</v>
      </c>
      <c r="E805" s="344" t="s">
        <v>12341</v>
      </c>
      <c r="F805" s="344"/>
      <c r="G805" s="344"/>
      <c r="H805" s="344"/>
      <c r="I805" s="344"/>
      <c r="J805" s="344"/>
      <c r="K805" s="344"/>
      <c r="L805" s="344" t="s">
        <v>13473</v>
      </c>
      <c r="M805" s="344" t="s">
        <v>13752</v>
      </c>
      <c r="N805" s="344" t="s">
        <v>12339</v>
      </c>
      <c r="O805" s="348"/>
      <c r="P805" s="348"/>
      <c r="Q805" s="348"/>
      <c r="R805" s="348"/>
      <c r="S805" s="348"/>
      <c r="T805" s="348"/>
      <c r="U805" s="348"/>
      <c r="V805" s="348"/>
      <c r="W805" s="348"/>
      <c r="X805" s="348"/>
      <c r="Y805" s="348"/>
      <c r="Z805" s="348"/>
    </row>
    <row r="806" spans="1:26" s="64" customFormat="1" ht="47.25" customHeight="1" thickBot="1" x14ac:dyDescent="0.35">
      <c r="A806" s="343">
        <v>45519</v>
      </c>
      <c r="B806" s="345" t="s">
        <v>13950</v>
      </c>
      <c r="C806" s="344"/>
      <c r="D806" s="344" t="s">
        <v>12341</v>
      </c>
      <c r="E806" s="344" t="s">
        <v>12341</v>
      </c>
      <c r="F806" s="344"/>
      <c r="G806" s="344"/>
      <c r="H806" s="344"/>
      <c r="I806" s="344"/>
      <c r="J806" s="344"/>
      <c r="K806" s="344" t="s">
        <v>13951</v>
      </c>
      <c r="L806" s="344" t="s">
        <v>13952</v>
      </c>
      <c r="M806" s="344" t="s">
        <v>13752</v>
      </c>
      <c r="N806" s="344" t="s">
        <v>12339</v>
      </c>
      <c r="O806" s="348"/>
      <c r="P806" s="348"/>
      <c r="Q806" s="348"/>
      <c r="R806" s="348"/>
      <c r="S806" s="348"/>
      <c r="T806" s="348"/>
      <c r="U806" s="348"/>
      <c r="V806" s="348"/>
      <c r="W806" s="348"/>
      <c r="X806" s="348"/>
      <c r="Y806" s="348"/>
      <c r="Z806" s="348"/>
    </row>
    <row r="807" spans="1:26" s="64" customFormat="1" ht="47.25" customHeight="1" thickBot="1" x14ac:dyDescent="0.35">
      <c r="A807" s="343">
        <v>45519</v>
      </c>
      <c r="B807" s="345" t="s">
        <v>13953</v>
      </c>
      <c r="C807" s="344"/>
      <c r="D807" s="344" t="s">
        <v>12341</v>
      </c>
      <c r="E807" s="344" t="s">
        <v>13954</v>
      </c>
      <c r="F807" s="344"/>
      <c r="G807" s="344"/>
      <c r="H807" s="344"/>
      <c r="I807" s="344"/>
      <c r="J807" s="344" t="s">
        <v>13955</v>
      </c>
      <c r="K807" s="344" t="s">
        <v>13956</v>
      </c>
      <c r="L807" s="344" t="s">
        <v>13452</v>
      </c>
      <c r="M807" s="344" t="s">
        <v>13752</v>
      </c>
      <c r="N807" s="344" t="s">
        <v>12339</v>
      </c>
      <c r="O807" s="348"/>
      <c r="P807" s="348"/>
      <c r="Q807" s="348"/>
      <c r="R807" s="348"/>
      <c r="S807" s="348"/>
      <c r="T807" s="348"/>
      <c r="U807" s="348"/>
      <c r="V807" s="348"/>
      <c r="W807" s="348"/>
      <c r="X807" s="348"/>
      <c r="Y807" s="348"/>
      <c r="Z807" s="348"/>
    </row>
    <row r="808" spans="1:26" s="64" customFormat="1" ht="47.25" customHeight="1" thickBot="1" x14ac:dyDescent="0.35">
      <c r="A808" s="343">
        <v>45519</v>
      </c>
      <c r="B808" s="345" t="s">
        <v>13957</v>
      </c>
      <c r="C808" s="344"/>
      <c r="D808" s="344" t="s">
        <v>12341</v>
      </c>
      <c r="E808" s="344" t="s">
        <v>12685</v>
      </c>
      <c r="F808" s="344" t="s">
        <v>12341</v>
      </c>
      <c r="G808" s="347">
        <v>100</v>
      </c>
      <c r="H808" s="344"/>
      <c r="I808" s="347">
        <v>35</v>
      </c>
      <c r="J808" s="344" t="s">
        <v>13958</v>
      </c>
      <c r="K808" s="344" t="s">
        <v>13959</v>
      </c>
      <c r="L808" s="344" t="s">
        <v>13960</v>
      </c>
      <c r="M808" s="344" t="s">
        <v>13752</v>
      </c>
      <c r="N808" s="344" t="s">
        <v>12339</v>
      </c>
      <c r="O808" s="348"/>
      <c r="P808" s="348"/>
      <c r="Q808" s="348"/>
      <c r="R808" s="348"/>
      <c r="S808" s="348"/>
      <c r="T808" s="348"/>
      <c r="U808" s="348"/>
      <c r="V808" s="348"/>
      <c r="W808" s="348"/>
      <c r="X808" s="348"/>
      <c r="Y808" s="348"/>
      <c r="Z808" s="348"/>
    </row>
    <row r="809" spans="1:26" s="64" customFormat="1" ht="47.25" customHeight="1" thickBot="1" x14ac:dyDescent="0.35">
      <c r="A809" s="343">
        <v>45519</v>
      </c>
      <c r="B809" s="345" t="s">
        <v>13957</v>
      </c>
      <c r="C809" s="344"/>
      <c r="D809" s="344" t="s">
        <v>12341</v>
      </c>
      <c r="E809" s="344" t="s">
        <v>12341</v>
      </c>
      <c r="F809" s="344"/>
      <c r="G809" s="344"/>
      <c r="H809" s="344"/>
      <c r="I809" s="344"/>
      <c r="J809" s="344"/>
      <c r="K809" s="344"/>
      <c r="L809" s="344" t="s">
        <v>13961</v>
      </c>
      <c r="M809" s="344" t="s">
        <v>13752</v>
      </c>
      <c r="N809" s="344" t="s">
        <v>12339</v>
      </c>
      <c r="O809" s="348"/>
      <c r="P809" s="348"/>
      <c r="Q809" s="348"/>
      <c r="R809" s="348"/>
      <c r="S809" s="348"/>
      <c r="T809" s="348"/>
      <c r="U809" s="348"/>
      <c r="V809" s="348"/>
      <c r="W809" s="348"/>
      <c r="X809" s="348"/>
      <c r="Y809" s="348"/>
      <c r="Z809" s="348"/>
    </row>
    <row r="810" spans="1:26" s="64" customFormat="1" ht="47.25" customHeight="1" thickBot="1" x14ac:dyDescent="0.35">
      <c r="A810" s="343">
        <v>45519</v>
      </c>
      <c r="B810" s="345" t="s">
        <v>13962</v>
      </c>
      <c r="C810" s="344"/>
      <c r="D810" s="344" t="s">
        <v>12341</v>
      </c>
      <c r="E810" s="344" t="s">
        <v>12341</v>
      </c>
      <c r="F810" s="344"/>
      <c r="G810" s="344"/>
      <c r="H810" s="344"/>
      <c r="I810" s="344"/>
      <c r="J810" s="344"/>
      <c r="K810" s="344" t="s">
        <v>13963</v>
      </c>
      <c r="L810" s="344" t="s">
        <v>13964</v>
      </c>
      <c r="M810" s="344" t="s">
        <v>13752</v>
      </c>
      <c r="N810" s="344" t="s">
        <v>12339</v>
      </c>
      <c r="O810" s="348"/>
      <c r="P810" s="348"/>
      <c r="Q810" s="348"/>
      <c r="R810" s="348"/>
      <c r="S810" s="348"/>
      <c r="T810" s="348"/>
      <c r="U810" s="348"/>
      <c r="V810" s="348"/>
      <c r="W810" s="348"/>
      <c r="X810" s="348"/>
      <c r="Y810" s="348"/>
      <c r="Z810" s="348"/>
    </row>
    <row r="811" spans="1:26" s="64" customFormat="1" ht="47.25" customHeight="1" thickBot="1" x14ac:dyDescent="0.35">
      <c r="A811" s="343">
        <v>45519</v>
      </c>
      <c r="B811" s="345" t="s">
        <v>13965</v>
      </c>
      <c r="C811" s="344"/>
      <c r="D811" s="344" t="s">
        <v>12341</v>
      </c>
      <c r="E811" s="344" t="s">
        <v>12341</v>
      </c>
      <c r="F811" s="344"/>
      <c r="G811" s="344"/>
      <c r="H811" s="344"/>
      <c r="I811" s="344"/>
      <c r="J811" s="344"/>
      <c r="K811" s="344" t="s">
        <v>13966</v>
      </c>
      <c r="L811" s="344" t="s">
        <v>13967</v>
      </c>
      <c r="M811" s="344" t="s">
        <v>13752</v>
      </c>
      <c r="N811" s="344" t="s">
        <v>12339</v>
      </c>
      <c r="O811" s="348"/>
      <c r="P811" s="348"/>
      <c r="Q811" s="348"/>
      <c r="R811" s="348"/>
      <c r="S811" s="348"/>
      <c r="T811" s="348"/>
      <c r="U811" s="348"/>
      <c r="V811" s="348"/>
      <c r="W811" s="348"/>
      <c r="X811" s="348"/>
      <c r="Y811" s="348"/>
      <c r="Z811" s="348"/>
    </row>
    <row r="812" spans="1:26" s="64" customFormat="1" ht="47.25" customHeight="1" thickBot="1" x14ac:dyDescent="0.35">
      <c r="A812" s="343">
        <v>45519</v>
      </c>
      <c r="B812" s="345" t="s">
        <v>12357</v>
      </c>
      <c r="C812" s="344"/>
      <c r="D812" s="344" t="s">
        <v>12341</v>
      </c>
      <c r="E812" s="344" t="s">
        <v>12685</v>
      </c>
      <c r="F812" s="344" t="s">
        <v>12360</v>
      </c>
      <c r="G812" s="344"/>
      <c r="H812" s="344"/>
      <c r="I812" s="347">
        <v>35</v>
      </c>
      <c r="J812" s="344" t="s">
        <v>13968</v>
      </c>
      <c r="K812" s="344"/>
      <c r="L812" s="344" t="s">
        <v>12341</v>
      </c>
      <c r="M812" s="344" t="s">
        <v>13752</v>
      </c>
      <c r="N812" s="344" t="s">
        <v>12339</v>
      </c>
      <c r="O812" s="348"/>
      <c r="P812" s="348"/>
      <c r="Q812" s="348"/>
      <c r="R812" s="348"/>
      <c r="S812" s="348"/>
      <c r="T812" s="348"/>
      <c r="U812" s="348"/>
      <c r="V812" s="348"/>
      <c r="W812" s="348"/>
      <c r="X812" s="348"/>
      <c r="Y812" s="348"/>
      <c r="Z812" s="348"/>
    </row>
    <row r="813" spans="1:26" s="64" customFormat="1" ht="47.25" customHeight="1" thickBot="1" x14ac:dyDescent="0.35">
      <c r="A813" s="343">
        <v>45519</v>
      </c>
      <c r="B813" s="345" t="s">
        <v>13969</v>
      </c>
      <c r="C813" s="344"/>
      <c r="D813" s="344" t="s">
        <v>12341</v>
      </c>
      <c r="E813" s="344" t="s">
        <v>12341</v>
      </c>
      <c r="F813" s="344"/>
      <c r="G813" s="344"/>
      <c r="H813" s="344"/>
      <c r="I813" s="344"/>
      <c r="J813" s="344"/>
      <c r="K813" s="344" t="s">
        <v>13970</v>
      </c>
      <c r="L813" s="344" t="s">
        <v>13971</v>
      </c>
      <c r="M813" s="344" t="s">
        <v>13752</v>
      </c>
      <c r="N813" s="344" t="s">
        <v>12339</v>
      </c>
      <c r="O813" s="348"/>
      <c r="P813" s="348"/>
      <c r="Q813" s="348"/>
      <c r="R813" s="348"/>
      <c r="S813" s="348"/>
      <c r="T813" s="348"/>
      <c r="U813" s="348"/>
      <c r="V813" s="348"/>
      <c r="W813" s="348"/>
      <c r="X813" s="348"/>
      <c r="Y813" s="348"/>
      <c r="Z813" s="348"/>
    </row>
    <row r="814" spans="1:26" s="64" customFormat="1" ht="47.25" customHeight="1" thickBot="1" x14ac:dyDescent="0.35">
      <c r="A814" s="343">
        <v>45520</v>
      </c>
      <c r="B814" s="345" t="s">
        <v>13972</v>
      </c>
      <c r="C814" s="344"/>
      <c r="D814" s="344" t="s">
        <v>12341</v>
      </c>
      <c r="E814" s="344" t="s">
        <v>12341</v>
      </c>
      <c r="F814" s="344"/>
      <c r="G814" s="344"/>
      <c r="H814" s="344"/>
      <c r="I814" s="344"/>
      <c r="J814" s="344"/>
      <c r="K814" s="344" t="s">
        <v>13973</v>
      </c>
      <c r="L814" s="344" t="s">
        <v>13974</v>
      </c>
      <c r="M814" s="344" t="s">
        <v>13752</v>
      </c>
      <c r="N814" s="344" t="s">
        <v>12339</v>
      </c>
      <c r="O814" s="348"/>
      <c r="P814" s="348"/>
      <c r="Q814" s="348"/>
      <c r="R814" s="348"/>
      <c r="S814" s="348"/>
      <c r="T814" s="348"/>
      <c r="U814" s="348"/>
      <c r="V814" s="348"/>
      <c r="W814" s="348"/>
      <c r="X814" s="348"/>
      <c r="Y814" s="348"/>
      <c r="Z814" s="348"/>
    </row>
    <row r="815" spans="1:26" s="64" customFormat="1" ht="47.25" customHeight="1" thickBot="1" x14ac:dyDescent="0.35">
      <c r="A815" s="343">
        <v>45520</v>
      </c>
      <c r="B815" s="345" t="s">
        <v>13975</v>
      </c>
      <c r="C815" s="344"/>
      <c r="D815" s="344" t="s">
        <v>12341</v>
      </c>
      <c r="E815" s="344" t="s">
        <v>2992</v>
      </c>
      <c r="F815" s="344" t="s">
        <v>13976</v>
      </c>
      <c r="G815" s="344"/>
      <c r="H815" s="344"/>
      <c r="I815" s="347">
        <v>40</v>
      </c>
      <c r="J815" s="344" t="s">
        <v>13977</v>
      </c>
      <c r="K815" s="344"/>
      <c r="L815" s="344" t="s">
        <v>12341</v>
      </c>
      <c r="M815" s="344" t="s">
        <v>13752</v>
      </c>
      <c r="N815" s="344" t="s">
        <v>12339</v>
      </c>
      <c r="O815" s="348"/>
      <c r="P815" s="348"/>
      <c r="Q815" s="348"/>
      <c r="R815" s="348"/>
      <c r="S815" s="348"/>
      <c r="T815" s="348"/>
      <c r="U815" s="348"/>
      <c r="V815" s="348"/>
      <c r="W815" s="348"/>
      <c r="X815" s="348"/>
      <c r="Y815" s="348"/>
      <c r="Z815" s="348"/>
    </row>
    <row r="816" spans="1:26" s="64" customFormat="1" ht="47.25" customHeight="1" thickBot="1" x14ac:dyDescent="0.3">
      <c r="A816" s="343">
        <v>45520</v>
      </c>
      <c r="B816" s="350" t="s">
        <v>13978</v>
      </c>
      <c r="C816" s="344"/>
      <c r="D816" s="344" t="s">
        <v>12341</v>
      </c>
      <c r="E816" s="344" t="s">
        <v>12341</v>
      </c>
      <c r="F816" s="344"/>
      <c r="G816" s="344"/>
      <c r="H816" s="344"/>
      <c r="I816" s="344"/>
      <c r="J816" s="344"/>
      <c r="K816" s="344" t="s">
        <v>13979</v>
      </c>
      <c r="L816" s="344" t="s">
        <v>13371</v>
      </c>
      <c r="M816" s="344" t="s">
        <v>13752</v>
      </c>
      <c r="N816" s="344" t="s">
        <v>12339</v>
      </c>
      <c r="O816" s="348"/>
      <c r="P816" s="348"/>
      <c r="Q816" s="348"/>
      <c r="R816" s="348"/>
      <c r="S816" s="348"/>
      <c r="T816" s="348"/>
      <c r="U816" s="348"/>
      <c r="V816" s="348"/>
      <c r="W816" s="348"/>
      <c r="X816" s="348"/>
      <c r="Y816" s="348"/>
      <c r="Z816" s="348"/>
    </row>
    <row r="817" spans="1:26" s="64" customFormat="1" ht="47.25" customHeight="1" thickBot="1" x14ac:dyDescent="0.35">
      <c r="A817" s="343">
        <v>45520</v>
      </c>
      <c r="B817" s="345" t="s">
        <v>13980</v>
      </c>
      <c r="C817" s="344"/>
      <c r="D817" s="344" t="s">
        <v>12341</v>
      </c>
      <c r="E817" s="344" t="s">
        <v>12341</v>
      </c>
      <c r="F817" s="344"/>
      <c r="G817" s="344"/>
      <c r="H817" s="344"/>
      <c r="I817" s="344"/>
      <c r="J817" s="344"/>
      <c r="K817" s="344" t="s">
        <v>13981</v>
      </c>
      <c r="L817" s="344" t="s">
        <v>13982</v>
      </c>
      <c r="M817" s="344" t="s">
        <v>13752</v>
      </c>
      <c r="N817" s="344" t="s">
        <v>12339</v>
      </c>
      <c r="O817" s="348"/>
      <c r="P817" s="348"/>
      <c r="Q817" s="348"/>
      <c r="R817" s="348"/>
      <c r="S817" s="348"/>
      <c r="T817" s="348"/>
      <c r="U817" s="348"/>
      <c r="V817" s="348"/>
      <c r="W817" s="348"/>
      <c r="X817" s="348"/>
      <c r="Y817" s="348"/>
      <c r="Z817" s="348"/>
    </row>
    <row r="818" spans="1:26" s="64" customFormat="1" ht="47.25" customHeight="1" thickBot="1" x14ac:dyDescent="0.3">
      <c r="A818" s="343">
        <v>45520</v>
      </c>
      <c r="B818" s="350" t="s">
        <v>13983</v>
      </c>
      <c r="C818" s="344"/>
      <c r="D818" s="344" t="s">
        <v>12341</v>
      </c>
      <c r="E818" s="344" t="s">
        <v>12341</v>
      </c>
      <c r="F818" s="344"/>
      <c r="G818" s="344"/>
      <c r="H818" s="344"/>
      <c r="I818" s="344"/>
      <c r="J818" s="344"/>
      <c r="K818" s="344"/>
      <c r="L818" s="344" t="s">
        <v>13372</v>
      </c>
      <c r="M818" s="344" t="s">
        <v>13752</v>
      </c>
      <c r="N818" s="344" t="s">
        <v>12339</v>
      </c>
      <c r="O818" s="348"/>
      <c r="P818" s="348"/>
      <c r="Q818" s="348"/>
      <c r="R818" s="348"/>
      <c r="S818" s="348"/>
      <c r="T818" s="348"/>
      <c r="U818" s="348"/>
      <c r="V818" s="348"/>
      <c r="W818" s="348"/>
      <c r="X818" s="348"/>
      <c r="Y818" s="348"/>
      <c r="Z818" s="348"/>
    </row>
    <row r="819" spans="1:26" s="64" customFormat="1" ht="47.25" customHeight="1" thickBot="1" x14ac:dyDescent="0.35">
      <c r="A819" s="343">
        <v>45520</v>
      </c>
      <c r="B819" s="345" t="s">
        <v>13984</v>
      </c>
      <c r="C819" s="344"/>
      <c r="D819" s="344" t="s">
        <v>12341</v>
      </c>
      <c r="E819" s="344" t="s">
        <v>12675</v>
      </c>
      <c r="F819" s="344" t="s">
        <v>13985</v>
      </c>
      <c r="G819" s="344"/>
      <c r="H819" s="344"/>
      <c r="I819" s="347">
        <v>40</v>
      </c>
      <c r="J819" s="344"/>
      <c r="K819" s="344"/>
      <c r="L819" s="344" t="s">
        <v>12341</v>
      </c>
      <c r="M819" s="344" t="s">
        <v>13752</v>
      </c>
      <c r="N819" s="344" t="s">
        <v>12339</v>
      </c>
      <c r="O819" s="348"/>
      <c r="P819" s="348"/>
      <c r="Q819" s="348"/>
      <c r="R819" s="348"/>
      <c r="S819" s="348"/>
      <c r="T819" s="348"/>
      <c r="U819" s="348"/>
      <c r="V819" s="348"/>
      <c r="W819" s="348"/>
      <c r="X819" s="348"/>
      <c r="Y819" s="348"/>
      <c r="Z819" s="348"/>
    </row>
    <row r="820" spans="1:26" s="64" customFormat="1" ht="47.25" customHeight="1" thickBot="1" x14ac:dyDescent="0.35">
      <c r="A820" s="343">
        <v>45520</v>
      </c>
      <c r="B820" s="345" t="s">
        <v>13986</v>
      </c>
      <c r="C820" s="344"/>
      <c r="D820" s="344" t="s">
        <v>12341</v>
      </c>
      <c r="E820" s="344" t="s">
        <v>12341</v>
      </c>
      <c r="F820" s="344"/>
      <c r="G820" s="344"/>
      <c r="H820" s="344"/>
      <c r="I820" s="344"/>
      <c r="J820" s="344"/>
      <c r="K820" s="344"/>
      <c r="L820" s="344" t="s">
        <v>13233</v>
      </c>
      <c r="M820" s="344" t="s">
        <v>13752</v>
      </c>
      <c r="N820" s="344" t="s">
        <v>12339</v>
      </c>
      <c r="O820" s="348"/>
      <c r="P820" s="348"/>
      <c r="Q820" s="348"/>
      <c r="R820" s="348"/>
      <c r="S820" s="348"/>
      <c r="T820" s="348"/>
      <c r="U820" s="348"/>
      <c r="V820" s="348"/>
      <c r="W820" s="348"/>
      <c r="X820" s="348"/>
      <c r="Y820" s="348"/>
      <c r="Z820" s="348"/>
    </row>
    <row r="821" spans="1:26" s="64" customFormat="1" ht="47.25" customHeight="1" thickBot="1" x14ac:dyDescent="0.35">
      <c r="A821" s="343">
        <v>45520</v>
      </c>
      <c r="B821" s="345" t="s">
        <v>12398</v>
      </c>
      <c r="C821" s="344"/>
      <c r="D821" s="344" t="s">
        <v>12341</v>
      </c>
      <c r="E821" s="344" t="s">
        <v>12341</v>
      </c>
      <c r="F821" s="344"/>
      <c r="G821" s="344"/>
      <c r="H821" s="344"/>
      <c r="I821" s="344"/>
      <c r="J821" s="344"/>
      <c r="K821" s="344" t="s">
        <v>13987</v>
      </c>
      <c r="L821" s="344" t="s">
        <v>13287</v>
      </c>
      <c r="M821" s="344" t="s">
        <v>13752</v>
      </c>
      <c r="N821" s="344" t="s">
        <v>12339</v>
      </c>
      <c r="O821" s="348"/>
      <c r="P821" s="348"/>
      <c r="Q821" s="348"/>
      <c r="R821" s="348"/>
      <c r="S821" s="348"/>
      <c r="T821" s="348"/>
      <c r="U821" s="348"/>
      <c r="V821" s="348"/>
      <c r="W821" s="348"/>
      <c r="X821" s="348"/>
      <c r="Y821" s="348"/>
      <c r="Z821" s="348"/>
    </row>
    <row r="822" spans="1:26" s="64" customFormat="1" ht="47.25" customHeight="1" thickBot="1" x14ac:dyDescent="0.35">
      <c r="A822" s="343">
        <v>45520</v>
      </c>
      <c r="B822" s="345" t="s">
        <v>13988</v>
      </c>
      <c r="C822" s="344"/>
      <c r="D822" s="344" t="s">
        <v>12341</v>
      </c>
      <c r="E822" s="344" t="s">
        <v>2992</v>
      </c>
      <c r="F822" s="344" t="s">
        <v>12360</v>
      </c>
      <c r="G822" s="344"/>
      <c r="H822" s="344"/>
      <c r="I822" s="344"/>
      <c r="J822" s="344" t="s">
        <v>13989</v>
      </c>
      <c r="K822" s="344"/>
      <c r="L822" s="344" t="s">
        <v>12341</v>
      </c>
      <c r="M822" s="344" t="s">
        <v>13752</v>
      </c>
      <c r="N822" s="344" t="s">
        <v>12339</v>
      </c>
      <c r="O822" s="348"/>
      <c r="P822" s="348"/>
      <c r="Q822" s="348"/>
      <c r="R822" s="348"/>
      <c r="S822" s="348"/>
      <c r="T822" s="348"/>
      <c r="U822" s="348"/>
      <c r="V822" s="348"/>
      <c r="W822" s="348"/>
      <c r="X822" s="348"/>
      <c r="Y822" s="348"/>
      <c r="Z822" s="348"/>
    </row>
    <row r="823" spans="1:26" s="64" customFormat="1" ht="47.25" customHeight="1" thickBot="1" x14ac:dyDescent="0.35">
      <c r="A823" s="343">
        <v>45520</v>
      </c>
      <c r="B823" s="345" t="s">
        <v>13986</v>
      </c>
      <c r="C823" s="344"/>
      <c r="D823" s="344" t="s">
        <v>12341</v>
      </c>
      <c r="E823" s="344" t="s">
        <v>12341</v>
      </c>
      <c r="F823" s="344"/>
      <c r="G823" s="344"/>
      <c r="H823" s="344"/>
      <c r="I823" s="344"/>
      <c r="J823" s="344"/>
      <c r="K823" s="344" t="s">
        <v>13990</v>
      </c>
      <c r="L823" s="344" t="s">
        <v>13991</v>
      </c>
      <c r="M823" s="344" t="s">
        <v>13752</v>
      </c>
      <c r="N823" s="344" t="s">
        <v>12339</v>
      </c>
      <c r="O823" s="348"/>
      <c r="P823" s="348"/>
      <c r="Q823" s="348"/>
      <c r="R823" s="348"/>
      <c r="S823" s="348"/>
      <c r="T823" s="348"/>
      <c r="U823" s="348"/>
      <c r="V823" s="348"/>
      <c r="W823" s="348"/>
      <c r="X823" s="348"/>
      <c r="Y823" s="348"/>
      <c r="Z823" s="348"/>
    </row>
    <row r="824" spans="1:26" s="64" customFormat="1" ht="47.25" customHeight="1" thickBot="1" x14ac:dyDescent="0.35">
      <c r="A824" s="343">
        <v>45520</v>
      </c>
      <c r="B824" s="345" t="s">
        <v>12496</v>
      </c>
      <c r="C824" s="344"/>
      <c r="D824" s="344" t="s">
        <v>12341</v>
      </c>
      <c r="E824" s="344" t="s">
        <v>13992</v>
      </c>
      <c r="F824" s="344" t="s">
        <v>12360</v>
      </c>
      <c r="G824" s="344"/>
      <c r="H824" s="344"/>
      <c r="I824" s="347">
        <v>0</v>
      </c>
      <c r="J824" s="344" t="s">
        <v>13993</v>
      </c>
      <c r="K824" s="344" t="s">
        <v>13994</v>
      </c>
      <c r="L824" s="344" t="s">
        <v>13551</v>
      </c>
      <c r="M824" s="344" t="s">
        <v>13752</v>
      </c>
      <c r="N824" s="344" t="s">
        <v>12339</v>
      </c>
      <c r="O824" s="348"/>
      <c r="P824" s="348"/>
      <c r="Q824" s="348"/>
      <c r="R824" s="348"/>
      <c r="S824" s="348"/>
      <c r="T824" s="348"/>
      <c r="U824" s="348"/>
      <c r="V824" s="348"/>
      <c r="W824" s="348"/>
      <c r="X824" s="348"/>
      <c r="Y824" s="348"/>
      <c r="Z824" s="348"/>
    </row>
    <row r="825" spans="1:26" s="64" customFormat="1" ht="47.25" customHeight="1" thickBot="1" x14ac:dyDescent="0.35">
      <c r="A825" s="343">
        <v>45523</v>
      </c>
      <c r="B825" s="345" t="s">
        <v>13995</v>
      </c>
      <c r="C825" s="344"/>
      <c r="D825" s="344" t="s">
        <v>12341</v>
      </c>
      <c r="E825" s="344" t="s">
        <v>13996</v>
      </c>
      <c r="F825" s="344" t="s">
        <v>12341</v>
      </c>
      <c r="G825" s="347">
        <v>80</v>
      </c>
      <c r="H825" s="344"/>
      <c r="I825" s="344"/>
      <c r="J825" s="344"/>
      <c r="K825" s="344" t="s">
        <v>13997</v>
      </c>
      <c r="L825" s="344" t="s">
        <v>13998</v>
      </c>
      <c r="M825" s="344" t="s">
        <v>13752</v>
      </c>
      <c r="N825" s="344" t="s">
        <v>12339</v>
      </c>
      <c r="O825" s="348"/>
      <c r="P825" s="348"/>
      <c r="Q825" s="348"/>
      <c r="R825" s="348"/>
      <c r="S825" s="348"/>
      <c r="T825" s="348"/>
      <c r="U825" s="348"/>
      <c r="V825" s="348"/>
      <c r="W825" s="348"/>
      <c r="X825" s="348"/>
      <c r="Y825" s="348"/>
      <c r="Z825" s="348"/>
    </row>
    <row r="826" spans="1:26" s="64" customFormat="1" ht="47.25" customHeight="1" thickBot="1" x14ac:dyDescent="0.35">
      <c r="A826" s="343">
        <v>45523</v>
      </c>
      <c r="B826" s="345" t="s">
        <v>13944</v>
      </c>
      <c r="C826" s="344"/>
      <c r="D826" s="344" t="s">
        <v>12341</v>
      </c>
      <c r="E826" s="344" t="s">
        <v>12341</v>
      </c>
      <c r="F826" s="344"/>
      <c r="G826" s="344"/>
      <c r="H826" s="344"/>
      <c r="I826" s="344"/>
      <c r="J826" s="344"/>
      <c r="K826" s="344" t="s">
        <v>13999</v>
      </c>
      <c r="L826" s="344" t="s">
        <v>12665</v>
      </c>
      <c r="M826" s="344" t="s">
        <v>13752</v>
      </c>
      <c r="N826" s="344" t="s">
        <v>12339</v>
      </c>
      <c r="O826" s="348"/>
      <c r="P826" s="348"/>
      <c r="Q826" s="348"/>
      <c r="R826" s="348"/>
      <c r="S826" s="348"/>
      <c r="T826" s="348"/>
      <c r="U826" s="348"/>
      <c r="V826" s="348"/>
      <c r="W826" s="348"/>
      <c r="X826" s="348"/>
      <c r="Y826" s="348"/>
      <c r="Z826" s="348"/>
    </row>
    <row r="827" spans="1:26" s="64" customFormat="1" ht="47.25" customHeight="1" thickBot="1" x14ac:dyDescent="0.35">
      <c r="A827" s="343">
        <v>45523</v>
      </c>
      <c r="B827" s="345" t="s">
        <v>14000</v>
      </c>
      <c r="C827" s="344"/>
      <c r="D827" s="344" t="s">
        <v>12341</v>
      </c>
      <c r="E827" s="344" t="s">
        <v>12341</v>
      </c>
      <c r="F827" s="344"/>
      <c r="G827" s="344"/>
      <c r="H827" s="344"/>
      <c r="I827" s="344"/>
      <c r="J827" s="344"/>
      <c r="K827" s="344" t="s">
        <v>14001</v>
      </c>
      <c r="L827" s="344" t="s">
        <v>14002</v>
      </c>
      <c r="M827" s="344" t="s">
        <v>13752</v>
      </c>
      <c r="N827" s="344" t="s">
        <v>12339</v>
      </c>
      <c r="O827" s="348"/>
      <c r="P827" s="348"/>
      <c r="Q827" s="348"/>
      <c r="R827" s="348"/>
      <c r="S827" s="348"/>
      <c r="T827" s="348"/>
      <c r="U827" s="348"/>
      <c r="V827" s="348"/>
      <c r="W827" s="348"/>
      <c r="X827" s="348"/>
      <c r="Y827" s="348"/>
      <c r="Z827" s="348"/>
    </row>
    <row r="828" spans="1:26" s="64" customFormat="1" ht="47.25" customHeight="1" thickBot="1" x14ac:dyDescent="0.35">
      <c r="A828" s="343">
        <v>45523</v>
      </c>
      <c r="B828" s="345" t="s">
        <v>14003</v>
      </c>
      <c r="C828" s="344"/>
      <c r="D828" s="344" t="s">
        <v>12341</v>
      </c>
      <c r="E828" s="344" t="s">
        <v>12341</v>
      </c>
      <c r="F828" s="344"/>
      <c r="G828" s="344"/>
      <c r="H828" s="344"/>
      <c r="I828" s="344"/>
      <c r="J828" s="344"/>
      <c r="K828" s="344" t="s">
        <v>14004</v>
      </c>
      <c r="L828" s="344" t="s">
        <v>14005</v>
      </c>
      <c r="M828" s="344" t="s">
        <v>13752</v>
      </c>
      <c r="N828" s="344" t="s">
        <v>12339</v>
      </c>
      <c r="O828" s="348"/>
      <c r="P828" s="348"/>
      <c r="Q828" s="348"/>
      <c r="R828" s="348"/>
      <c r="S828" s="348"/>
      <c r="T828" s="348"/>
      <c r="U828" s="348"/>
      <c r="V828" s="348"/>
      <c r="W828" s="348"/>
      <c r="X828" s="348"/>
      <c r="Y828" s="348"/>
      <c r="Z828" s="348"/>
    </row>
    <row r="829" spans="1:26" s="64" customFormat="1" ht="47.25" customHeight="1" thickBot="1" x14ac:dyDescent="0.35">
      <c r="A829" s="343">
        <v>45523</v>
      </c>
      <c r="B829" s="345" t="s">
        <v>14006</v>
      </c>
      <c r="C829" s="344"/>
      <c r="D829" s="344" t="s">
        <v>12341</v>
      </c>
      <c r="E829" s="344" t="s">
        <v>12341</v>
      </c>
      <c r="F829" s="344"/>
      <c r="G829" s="344"/>
      <c r="H829" s="344"/>
      <c r="I829" s="344"/>
      <c r="J829" s="344"/>
      <c r="K829" s="344" t="s">
        <v>14007</v>
      </c>
      <c r="L829" s="344" t="s">
        <v>14008</v>
      </c>
      <c r="M829" s="344" t="s">
        <v>13752</v>
      </c>
      <c r="N829" s="344" t="s">
        <v>12339</v>
      </c>
      <c r="O829" s="348"/>
      <c r="P829" s="348"/>
      <c r="Q829" s="348"/>
      <c r="R829" s="348"/>
      <c r="S829" s="348"/>
      <c r="T829" s="348"/>
      <c r="U829" s="348"/>
      <c r="V829" s="348"/>
      <c r="W829" s="348"/>
      <c r="X829" s="348"/>
      <c r="Y829" s="348"/>
      <c r="Z829" s="348"/>
    </row>
    <row r="830" spans="1:26" s="64" customFormat="1" ht="47.25" customHeight="1" thickBot="1" x14ac:dyDescent="0.35">
      <c r="A830" s="343">
        <v>45523</v>
      </c>
      <c r="B830" s="345" t="s">
        <v>14009</v>
      </c>
      <c r="C830" s="344"/>
      <c r="D830" s="344" t="s">
        <v>12341</v>
      </c>
      <c r="E830" s="344" t="s">
        <v>12341</v>
      </c>
      <c r="F830" s="344"/>
      <c r="G830" s="344"/>
      <c r="H830" s="344"/>
      <c r="I830" s="344"/>
      <c r="J830" s="344"/>
      <c r="K830" s="344" t="s">
        <v>14010</v>
      </c>
      <c r="L830" s="344" t="s">
        <v>14011</v>
      </c>
      <c r="M830" s="344" t="s">
        <v>13752</v>
      </c>
      <c r="N830" s="344" t="s">
        <v>12339</v>
      </c>
      <c r="O830" s="348"/>
      <c r="P830" s="348"/>
      <c r="Q830" s="348"/>
      <c r="R830" s="348"/>
      <c r="S830" s="348"/>
      <c r="T830" s="348"/>
      <c r="U830" s="348"/>
      <c r="V830" s="348"/>
      <c r="W830" s="348"/>
      <c r="X830" s="348"/>
      <c r="Y830" s="348"/>
      <c r="Z830" s="348"/>
    </row>
    <row r="831" spans="1:26" s="64" customFormat="1" ht="47.25" customHeight="1" thickBot="1" x14ac:dyDescent="0.35">
      <c r="A831" s="343">
        <v>45523</v>
      </c>
      <c r="B831" s="345" t="s">
        <v>14012</v>
      </c>
      <c r="C831" s="344"/>
      <c r="D831" s="344" t="s">
        <v>12341</v>
      </c>
      <c r="E831" s="344" t="s">
        <v>12341</v>
      </c>
      <c r="F831" s="344"/>
      <c r="G831" s="344"/>
      <c r="H831" s="344"/>
      <c r="I831" s="344"/>
      <c r="J831" s="344"/>
      <c r="K831" s="344" t="s">
        <v>12924</v>
      </c>
      <c r="L831" s="344" t="s">
        <v>14013</v>
      </c>
      <c r="M831" s="344" t="s">
        <v>13752</v>
      </c>
      <c r="N831" s="344" t="s">
        <v>12339</v>
      </c>
      <c r="O831" s="348"/>
      <c r="P831" s="348"/>
      <c r="Q831" s="348"/>
      <c r="R831" s="348"/>
      <c r="S831" s="348"/>
      <c r="T831" s="348"/>
      <c r="U831" s="348"/>
      <c r="V831" s="348"/>
      <c r="W831" s="348"/>
      <c r="X831" s="348"/>
      <c r="Y831" s="348"/>
      <c r="Z831" s="348"/>
    </row>
    <row r="832" spans="1:26" s="64" customFormat="1" ht="47.25" customHeight="1" thickBot="1" x14ac:dyDescent="0.35">
      <c r="A832" s="343">
        <v>45523</v>
      </c>
      <c r="B832" s="345" t="s">
        <v>14014</v>
      </c>
      <c r="C832" s="344"/>
      <c r="D832" s="344" t="s">
        <v>12341</v>
      </c>
      <c r="E832" s="344" t="s">
        <v>14015</v>
      </c>
      <c r="F832" s="344" t="s">
        <v>12352</v>
      </c>
      <c r="G832" s="344"/>
      <c r="H832" s="344"/>
      <c r="I832" s="347">
        <v>74</v>
      </c>
      <c r="J832" s="344"/>
      <c r="K832" s="344" t="s">
        <v>14016</v>
      </c>
      <c r="L832" s="344" t="s">
        <v>14017</v>
      </c>
      <c r="M832" s="344" t="s">
        <v>13752</v>
      </c>
      <c r="N832" s="344" t="s">
        <v>12339</v>
      </c>
      <c r="O832" s="348"/>
      <c r="P832" s="348"/>
      <c r="Q832" s="348"/>
      <c r="R832" s="348"/>
      <c r="S832" s="348"/>
      <c r="T832" s="348"/>
      <c r="U832" s="348"/>
      <c r="V832" s="348"/>
      <c r="W832" s="348"/>
      <c r="X832" s="348"/>
      <c r="Y832" s="348"/>
      <c r="Z832" s="348"/>
    </row>
    <row r="833" spans="1:26" s="64" customFormat="1" ht="47.25" customHeight="1" thickBot="1" x14ac:dyDescent="0.35">
      <c r="A833" s="343">
        <v>45523</v>
      </c>
      <c r="B833" s="345" t="s">
        <v>14018</v>
      </c>
      <c r="C833" s="344"/>
      <c r="D833" s="344" t="s">
        <v>12341</v>
      </c>
      <c r="E833" s="344" t="s">
        <v>12685</v>
      </c>
      <c r="F833" s="344" t="s">
        <v>12341</v>
      </c>
      <c r="G833" s="347">
        <v>100</v>
      </c>
      <c r="H833" s="347">
        <v>60</v>
      </c>
      <c r="I833" s="347">
        <v>40</v>
      </c>
      <c r="J833" s="344"/>
      <c r="K833" s="344"/>
      <c r="L833" s="344" t="s">
        <v>12341</v>
      </c>
      <c r="M833" s="344" t="s">
        <v>13752</v>
      </c>
      <c r="N833" s="344" t="s">
        <v>12339</v>
      </c>
      <c r="O833" s="348"/>
      <c r="P833" s="348"/>
      <c r="Q833" s="348"/>
      <c r="R833" s="348"/>
      <c r="S833" s="348"/>
      <c r="T833" s="348"/>
      <c r="U833" s="348"/>
      <c r="V833" s="348"/>
      <c r="W833" s="348"/>
      <c r="X833" s="348"/>
      <c r="Y833" s="348"/>
      <c r="Z833" s="348"/>
    </row>
    <row r="834" spans="1:26" s="64" customFormat="1" ht="47.25" customHeight="1" thickBot="1" x14ac:dyDescent="0.35">
      <c r="A834" s="343">
        <v>45523</v>
      </c>
      <c r="B834" s="345" t="s">
        <v>14012</v>
      </c>
      <c r="C834" s="344"/>
      <c r="D834" s="344" t="s">
        <v>12341</v>
      </c>
      <c r="E834" s="344" t="s">
        <v>12341</v>
      </c>
      <c r="F834" s="344"/>
      <c r="G834" s="344"/>
      <c r="H834" s="344"/>
      <c r="I834" s="344"/>
      <c r="J834" s="344"/>
      <c r="K834" s="344"/>
      <c r="L834" s="344" t="s">
        <v>13624</v>
      </c>
      <c r="M834" s="344" t="s">
        <v>13752</v>
      </c>
      <c r="N834" s="344" t="s">
        <v>12339</v>
      </c>
      <c r="O834" s="348"/>
      <c r="P834" s="348"/>
      <c r="Q834" s="348"/>
      <c r="R834" s="348"/>
      <c r="S834" s="348"/>
      <c r="T834" s="348"/>
      <c r="U834" s="348"/>
      <c r="V834" s="348"/>
      <c r="W834" s="348"/>
      <c r="X834" s="348"/>
      <c r="Y834" s="348"/>
      <c r="Z834" s="348"/>
    </row>
    <row r="835" spans="1:26" s="64" customFormat="1" ht="47.25" customHeight="1" thickBot="1" x14ac:dyDescent="0.35">
      <c r="A835" s="343">
        <v>45523</v>
      </c>
      <c r="B835" s="345" t="s">
        <v>14019</v>
      </c>
      <c r="C835" s="344"/>
      <c r="D835" s="344" t="s">
        <v>12341</v>
      </c>
      <c r="E835" s="344" t="s">
        <v>12341</v>
      </c>
      <c r="F835" s="344"/>
      <c r="G835" s="344"/>
      <c r="H835" s="344"/>
      <c r="I835" s="344"/>
      <c r="J835" s="344"/>
      <c r="K835" s="344" t="s">
        <v>14020</v>
      </c>
      <c r="L835" s="344" t="s">
        <v>14021</v>
      </c>
      <c r="M835" s="344" t="s">
        <v>13752</v>
      </c>
      <c r="N835" s="344" t="s">
        <v>12339</v>
      </c>
      <c r="O835" s="348"/>
      <c r="P835" s="348"/>
      <c r="Q835" s="348"/>
      <c r="R835" s="348"/>
      <c r="S835" s="348"/>
      <c r="T835" s="348"/>
      <c r="U835" s="348"/>
      <c r="V835" s="348"/>
      <c r="W835" s="348"/>
      <c r="X835" s="348"/>
      <c r="Y835" s="348"/>
      <c r="Z835" s="348"/>
    </row>
    <row r="836" spans="1:26" s="64" customFormat="1" ht="47.25" customHeight="1" thickBot="1" x14ac:dyDescent="0.35">
      <c r="A836" s="343">
        <v>45523</v>
      </c>
      <c r="B836" s="345" t="s">
        <v>14022</v>
      </c>
      <c r="C836" s="344"/>
      <c r="D836" s="344" t="s">
        <v>12341</v>
      </c>
      <c r="E836" s="344" t="s">
        <v>14023</v>
      </c>
      <c r="F836" s="344"/>
      <c r="G836" s="344"/>
      <c r="H836" s="344"/>
      <c r="I836" s="344"/>
      <c r="J836" s="344"/>
      <c r="K836" s="344"/>
      <c r="L836" s="344" t="s">
        <v>12341</v>
      </c>
      <c r="M836" s="344" t="s">
        <v>13752</v>
      </c>
      <c r="N836" s="344" t="s">
        <v>12339</v>
      </c>
      <c r="O836" s="348"/>
      <c r="P836" s="348"/>
      <c r="Q836" s="348"/>
      <c r="R836" s="348"/>
      <c r="S836" s="348"/>
      <c r="T836" s="348"/>
      <c r="U836" s="348"/>
      <c r="V836" s="348"/>
      <c r="W836" s="348"/>
      <c r="X836" s="348"/>
      <c r="Y836" s="348"/>
      <c r="Z836" s="348"/>
    </row>
    <row r="837" spans="1:26" s="64" customFormat="1" ht="47.25" customHeight="1" thickBot="1" x14ac:dyDescent="0.35">
      <c r="A837" s="343">
        <v>45523</v>
      </c>
      <c r="B837" s="345" t="s">
        <v>14024</v>
      </c>
      <c r="C837" s="344"/>
      <c r="D837" s="344" t="s">
        <v>12341</v>
      </c>
      <c r="E837" s="344" t="s">
        <v>14025</v>
      </c>
      <c r="F837" s="344"/>
      <c r="G837" s="344"/>
      <c r="H837" s="344"/>
      <c r="I837" s="344"/>
      <c r="J837" s="344"/>
      <c r="K837" s="344"/>
      <c r="L837" s="344" t="s">
        <v>12341</v>
      </c>
      <c r="M837" s="344" t="s">
        <v>13752</v>
      </c>
      <c r="N837" s="344" t="s">
        <v>12339</v>
      </c>
      <c r="O837" s="348"/>
      <c r="P837" s="348"/>
      <c r="Q837" s="348"/>
      <c r="R837" s="348"/>
      <c r="S837" s="348"/>
      <c r="T837" s="348"/>
      <c r="U837" s="348"/>
      <c r="V837" s="348"/>
      <c r="W837" s="348"/>
      <c r="X837" s="348"/>
      <c r="Y837" s="348"/>
      <c r="Z837" s="348"/>
    </row>
    <row r="838" spans="1:26" s="64" customFormat="1" ht="47.25" customHeight="1" thickBot="1" x14ac:dyDescent="0.35">
      <c r="A838" s="343">
        <v>45523</v>
      </c>
      <c r="B838" s="345" t="s">
        <v>14026</v>
      </c>
      <c r="C838" s="344"/>
      <c r="D838" s="344" t="s">
        <v>12341</v>
      </c>
      <c r="E838" s="344" t="s">
        <v>12341</v>
      </c>
      <c r="F838" s="344"/>
      <c r="G838" s="344"/>
      <c r="H838" s="344"/>
      <c r="I838" s="344"/>
      <c r="J838" s="344"/>
      <c r="K838" s="344" t="s">
        <v>14027</v>
      </c>
      <c r="L838" s="344" t="s">
        <v>14028</v>
      </c>
      <c r="M838" s="344" t="s">
        <v>13752</v>
      </c>
      <c r="N838" s="344" t="s">
        <v>12339</v>
      </c>
      <c r="O838" s="348"/>
      <c r="P838" s="348"/>
      <c r="Q838" s="348"/>
      <c r="R838" s="348"/>
      <c r="S838" s="348"/>
      <c r="T838" s="348"/>
      <c r="U838" s="348"/>
      <c r="V838" s="348"/>
      <c r="W838" s="348"/>
      <c r="X838" s="348"/>
      <c r="Y838" s="348"/>
      <c r="Z838" s="348"/>
    </row>
    <row r="839" spans="1:26" s="64" customFormat="1" ht="47.25" customHeight="1" thickBot="1" x14ac:dyDescent="0.35">
      <c r="A839" s="343">
        <v>45524</v>
      </c>
      <c r="B839" s="345" t="s">
        <v>14029</v>
      </c>
      <c r="C839" s="344"/>
      <c r="D839" s="344" t="s">
        <v>12341</v>
      </c>
      <c r="E839" s="344" t="s">
        <v>13912</v>
      </c>
      <c r="F839" s="344"/>
      <c r="G839" s="344"/>
      <c r="H839" s="344"/>
      <c r="I839" s="344"/>
      <c r="J839" s="344" t="s">
        <v>14030</v>
      </c>
      <c r="K839" s="344"/>
      <c r="L839" s="344" t="s">
        <v>12341</v>
      </c>
      <c r="M839" s="344" t="s">
        <v>13752</v>
      </c>
      <c r="N839" s="344" t="s">
        <v>12339</v>
      </c>
      <c r="O839" s="348"/>
      <c r="P839" s="348"/>
      <c r="Q839" s="348"/>
      <c r="R839" s="348"/>
      <c r="S839" s="348"/>
      <c r="T839" s="348"/>
      <c r="U839" s="348"/>
      <c r="V839" s="348"/>
      <c r="W839" s="348"/>
      <c r="X839" s="348"/>
      <c r="Y839" s="348"/>
      <c r="Z839" s="348"/>
    </row>
    <row r="840" spans="1:26" s="64" customFormat="1" ht="47.25" customHeight="1" thickBot="1" x14ac:dyDescent="0.35">
      <c r="A840" s="343">
        <v>45524</v>
      </c>
      <c r="B840" s="345" t="s">
        <v>14031</v>
      </c>
      <c r="C840" s="344"/>
      <c r="D840" s="344" t="s">
        <v>12341</v>
      </c>
      <c r="E840" s="344" t="s">
        <v>12341</v>
      </c>
      <c r="F840" s="344"/>
      <c r="G840" s="344"/>
      <c r="H840" s="344"/>
      <c r="I840" s="344"/>
      <c r="J840" s="344"/>
      <c r="K840" s="344" t="s">
        <v>14032</v>
      </c>
      <c r="L840" s="344" t="s">
        <v>14033</v>
      </c>
      <c r="M840" s="344" t="s">
        <v>13752</v>
      </c>
      <c r="N840" s="344" t="s">
        <v>12339</v>
      </c>
      <c r="O840" s="348"/>
      <c r="P840" s="348"/>
      <c r="Q840" s="348"/>
      <c r="R840" s="348"/>
      <c r="S840" s="348"/>
      <c r="T840" s="348"/>
      <c r="U840" s="348"/>
      <c r="V840" s="348"/>
      <c r="W840" s="348"/>
      <c r="X840" s="348"/>
      <c r="Y840" s="348"/>
      <c r="Z840" s="348"/>
    </row>
    <row r="841" spans="1:26" s="64" customFormat="1" ht="47.25" customHeight="1" thickBot="1" x14ac:dyDescent="0.35">
      <c r="A841" s="343">
        <v>45524</v>
      </c>
      <c r="B841" s="345" t="s">
        <v>12474</v>
      </c>
      <c r="C841" s="344"/>
      <c r="D841" s="344" t="s">
        <v>12341</v>
      </c>
      <c r="E841" s="344" t="s">
        <v>12341</v>
      </c>
      <c r="F841" s="344"/>
      <c r="G841" s="344"/>
      <c r="H841" s="344"/>
      <c r="I841" s="344"/>
      <c r="J841" s="344"/>
      <c r="K841" s="344" t="s">
        <v>14034</v>
      </c>
      <c r="L841" s="344" t="s">
        <v>14035</v>
      </c>
      <c r="M841" s="344" t="s">
        <v>13752</v>
      </c>
      <c r="N841" s="344" t="s">
        <v>12339</v>
      </c>
      <c r="O841" s="348"/>
      <c r="P841" s="348"/>
      <c r="Q841" s="348"/>
      <c r="R841" s="348"/>
      <c r="S841" s="348"/>
      <c r="T841" s="348"/>
      <c r="U841" s="348"/>
      <c r="V841" s="348"/>
      <c r="W841" s="348"/>
      <c r="X841" s="348"/>
      <c r="Y841" s="348"/>
      <c r="Z841" s="348"/>
    </row>
    <row r="842" spans="1:26" s="64" customFormat="1" ht="47.25" customHeight="1" thickBot="1" x14ac:dyDescent="0.35">
      <c r="A842" s="343">
        <v>45524</v>
      </c>
      <c r="B842" s="345" t="s">
        <v>14036</v>
      </c>
      <c r="C842" s="344"/>
      <c r="D842" s="344" t="s">
        <v>12341</v>
      </c>
      <c r="E842" s="344" t="s">
        <v>12341</v>
      </c>
      <c r="F842" s="344"/>
      <c r="G842" s="344"/>
      <c r="H842" s="344"/>
      <c r="I842" s="344"/>
      <c r="J842" s="344"/>
      <c r="K842" s="344" t="s">
        <v>14037</v>
      </c>
      <c r="L842" s="344" t="s">
        <v>12850</v>
      </c>
      <c r="M842" s="344" t="s">
        <v>13752</v>
      </c>
      <c r="N842" s="344" t="s">
        <v>12339</v>
      </c>
      <c r="O842" s="348"/>
      <c r="P842" s="348"/>
      <c r="Q842" s="348"/>
      <c r="R842" s="348"/>
      <c r="S842" s="348"/>
      <c r="T842" s="348"/>
      <c r="U842" s="348"/>
      <c r="V842" s="348"/>
      <c r="W842" s="348"/>
      <c r="X842" s="348"/>
      <c r="Y842" s="348"/>
      <c r="Z842" s="348"/>
    </row>
    <row r="843" spans="1:26" s="64" customFormat="1" ht="47.25" customHeight="1" thickBot="1" x14ac:dyDescent="0.35">
      <c r="A843" s="343">
        <v>45524</v>
      </c>
      <c r="B843" s="345" t="s">
        <v>14038</v>
      </c>
      <c r="C843" s="344"/>
      <c r="D843" s="344" t="s">
        <v>12341</v>
      </c>
      <c r="E843" s="344" t="s">
        <v>12675</v>
      </c>
      <c r="F843" s="344" t="s">
        <v>12352</v>
      </c>
      <c r="G843" s="344"/>
      <c r="H843" s="347">
        <v>40</v>
      </c>
      <c r="I843" s="347">
        <v>40</v>
      </c>
      <c r="J843" s="344"/>
      <c r="K843" s="344"/>
      <c r="L843" s="344" t="s">
        <v>12341</v>
      </c>
      <c r="M843" s="344" t="s">
        <v>13752</v>
      </c>
      <c r="N843" s="344" t="s">
        <v>12339</v>
      </c>
      <c r="O843" s="348"/>
      <c r="P843" s="348"/>
      <c r="Q843" s="348"/>
      <c r="R843" s="348"/>
      <c r="S843" s="348"/>
      <c r="T843" s="348"/>
      <c r="U843" s="348"/>
      <c r="V843" s="348"/>
      <c r="W843" s="348"/>
      <c r="X843" s="348"/>
      <c r="Y843" s="348"/>
      <c r="Z843" s="348"/>
    </row>
    <row r="844" spans="1:26" s="64" customFormat="1" ht="47.25" customHeight="1" thickBot="1" x14ac:dyDescent="0.35">
      <c r="A844" s="343">
        <v>45524</v>
      </c>
      <c r="B844" s="345" t="s">
        <v>14039</v>
      </c>
      <c r="C844" s="344"/>
      <c r="D844" s="344" t="s">
        <v>12341</v>
      </c>
      <c r="E844" s="344" t="s">
        <v>12685</v>
      </c>
      <c r="F844" s="344" t="s">
        <v>12341</v>
      </c>
      <c r="G844" s="347">
        <v>100</v>
      </c>
      <c r="H844" s="347">
        <v>60</v>
      </c>
      <c r="I844" s="347">
        <v>40</v>
      </c>
      <c r="J844" s="344"/>
      <c r="K844" s="344" t="s">
        <v>14040</v>
      </c>
      <c r="L844" s="344" t="s">
        <v>14041</v>
      </c>
      <c r="M844" s="344" t="s">
        <v>13752</v>
      </c>
      <c r="N844" s="344" t="s">
        <v>12339</v>
      </c>
      <c r="O844" s="348"/>
      <c r="P844" s="348"/>
      <c r="Q844" s="348"/>
      <c r="R844" s="348"/>
      <c r="S844" s="348"/>
      <c r="T844" s="348"/>
      <c r="U844" s="348"/>
      <c r="V844" s="348"/>
      <c r="W844" s="348"/>
      <c r="X844" s="348"/>
      <c r="Y844" s="348"/>
      <c r="Z844" s="348"/>
    </row>
    <row r="845" spans="1:26" s="64" customFormat="1" ht="47.25" customHeight="1" thickBot="1" x14ac:dyDescent="0.35">
      <c r="A845" s="343">
        <v>45524</v>
      </c>
      <c r="B845" s="345" t="s">
        <v>14042</v>
      </c>
      <c r="C845" s="344"/>
      <c r="D845" s="344" t="s">
        <v>12341</v>
      </c>
      <c r="E845" s="344" t="s">
        <v>12675</v>
      </c>
      <c r="F845" s="344" t="s">
        <v>12341</v>
      </c>
      <c r="G845" s="347">
        <v>80</v>
      </c>
      <c r="H845" s="347">
        <v>40</v>
      </c>
      <c r="I845" s="347">
        <v>40</v>
      </c>
      <c r="J845" s="344" t="s">
        <v>14043</v>
      </c>
      <c r="K845" s="344" t="s">
        <v>14044</v>
      </c>
      <c r="L845" s="344" t="s">
        <v>14045</v>
      </c>
      <c r="M845" s="344" t="s">
        <v>13752</v>
      </c>
      <c r="N845" s="344" t="s">
        <v>12339</v>
      </c>
      <c r="O845" s="348"/>
      <c r="P845" s="348"/>
      <c r="Q845" s="348"/>
      <c r="R845" s="348"/>
      <c r="S845" s="348"/>
      <c r="T845" s="348"/>
      <c r="U845" s="348"/>
      <c r="V845" s="348"/>
      <c r="W845" s="348"/>
      <c r="X845" s="348"/>
      <c r="Y845" s="348"/>
      <c r="Z845" s="348"/>
    </row>
    <row r="846" spans="1:26" s="64" customFormat="1" ht="47.25" customHeight="1" thickBot="1" x14ac:dyDescent="0.35">
      <c r="A846" s="343">
        <v>45524</v>
      </c>
      <c r="B846" s="345" t="s">
        <v>14046</v>
      </c>
      <c r="C846" s="344"/>
      <c r="D846" s="344" t="s">
        <v>12341</v>
      </c>
      <c r="E846" s="344" t="s">
        <v>13524</v>
      </c>
      <c r="F846" s="344" t="s">
        <v>12341</v>
      </c>
      <c r="G846" s="347">
        <v>150</v>
      </c>
      <c r="H846" s="347">
        <v>30</v>
      </c>
      <c r="I846" s="347">
        <v>120</v>
      </c>
      <c r="J846" s="344" t="s">
        <v>12711</v>
      </c>
      <c r="K846" s="344" t="s">
        <v>14047</v>
      </c>
      <c r="L846" s="344" t="s">
        <v>14048</v>
      </c>
      <c r="M846" s="344" t="s">
        <v>13752</v>
      </c>
      <c r="N846" s="344" t="s">
        <v>12339</v>
      </c>
      <c r="O846" s="348"/>
      <c r="P846" s="348"/>
      <c r="Q846" s="348"/>
      <c r="R846" s="348"/>
      <c r="S846" s="348"/>
      <c r="T846" s="348"/>
      <c r="U846" s="348"/>
      <c r="V846" s="348"/>
      <c r="W846" s="348"/>
      <c r="X846" s="348"/>
      <c r="Y846" s="348"/>
      <c r="Z846" s="348"/>
    </row>
    <row r="847" spans="1:26" s="64" customFormat="1" ht="47.25" customHeight="1" thickBot="1" x14ac:dyDescent="0.35">
      <c r="A847" s="343">
        <v>45524</v>
      </c>
      <c r="B847" s="345" t="s">
        <v>14049</v>
      </c>
      <c r="C847" s="344"/>
      <c r="D847" s="344" t="s">
        <v>12341</v>
      </c>
      <c r="E847" s="344" t="s">
        <v>12341</v>
      </c>
      <c r="F847" s="344"/>
      <c r="G847" s="344"/>
      <c r="H847" s="344"/>
      <c r="I847" s="344"/>
      <c r="J847" s="344"/>
      <c r="K847" s="344" t="s">
        <v>14050</v>
      </c>
      <c r="L847" s="344" t="s">
        <v>12341</v>
      </c>
      <c r="M847" s="344" t="s">
        <v>13752</v>
      </c>
      <c r="N847" s="344" t="s">
        <v>12339</v>
      </c>
      <c r="O847" s="348"/>
      <c r="P847" s="348"/>
      <c r="Q847" s="348"/>
      <c r="R847" s="348"/>
      <c r="S847" s="348"/>
      <c r="T847" s="348"/>
      <c r="U847" s="348"/>
      <c r="V847" s="348"/>
      <c r="W847" s="348"/>
      <c r="X847" s="348"/>
      <c r="Y847" s="348"/>
      <c r="Z847" s="348"/>
    </row>
    <row r="848" spans="1:26" s="64" customFormat="1" ht="47.25" customHeight="1" thickBot="1" x14ac:dyDescent="0.35">
      <c r="A848" s="343">
        <v>45524</v>
      </c>
      <c r="B848" s="345" t="s">
        <v>14051</v>
      </c>
      <c r="C848" s="344"/>
      <c r="D848" s="344" t="s">
        <v>12341</v>
      </c>
      <c r="E848" s="344" t="s">
        <v>14052</v>
      </c>
      <c r="F848" s="344" t="s">
        <v>12341</v>
      </c>
      <c r="G848" s="347">
        <v>200</v>
      </c>
      <c r="H848" s="344"/>
      <c r="I848" s="347">
        <v>100</v>
      </c>
      <c r="J848" s="344"/>
      <c r="K848" s="344" t="s">
        <v>14053</v>
      </c>
      <c r="L848" s="344" t="s">
        <v>14054</v>
      </c>
      <c r="M848" s="344" t="s">
        <v>13752</v>
      </c>
      <c r="N848" s="344" t="s">
        <v>12339</v>
      </c>
      <c r="O848" s="348"/>
      <c r="P848" s="348"/>
      <c r="Q848" s="348"/>
      <c r="R848" s="348"/>
      <c r="S848" s="348"/>
      <c r="T848" s="348"/>
      <c r="U848" s="348"/>
      <c r="V848" s="348"/>
      <c r="W848" s="348"/>
      <c r="X848" s="348"/>
      <c r="Y848" s="348"/>
      <c r="Z848" s="348"/>
    </row>
    <row r="849" spans="1:26" s="64" customFormat="1" ht="47.25" customHeight="1" thickBot="1" x14ac:dyDescent="0.35">
      <c r="A849" s="343">
        <v>45524</v>
      </c>
      <c r="B849" s="345" t="s">
        <v>14055</v>
      </c>
      <c r="C849" s="344"/>
      <c r="D849" s="344" t="s">
        <v>12341</v>
      </c>
      <c r="E849" s="344" t="s">
        <v>14056</v>
      </c>
      <c r="F849" s="344"/>
      <c r="G849" s="344"/>
      <c r="H849" s="344"/>
      <c r="I849" s="344"/>
      <c r="J849" s="344"/>
      <c r="K849" s="344" t="s">
        <v>14057</v>
      </c>
      <c r="L849" s="344" t="s">
        <v>14058</v>
      </c>
      <c r="M849" s="344" t="s">
        <v>13752</v>
      </c>
      <c r="N849" s="344" t="s">
        <v>12339</v>
      </c>
      <c r="O849" s="348"/>
      <c r="P849" s="348"/>
      <c r="Q849" s="348"/>
      <c r="R849" s="348"/>
      <c r="S849" s="348"/>
      <c r="T849" s="348"/>
      <c r="U849" s="348"/>
      <c r="V849" s="348"/>
      <c r="W849" s="348"/>
      <c r="X849" s="348"/>
      <c r="Y849" s="348"/>
      <c r="Z849" s="348"/>
    </row>
    <row r="850" spans="1:26" s="64" customFormat="1" ht="47.25" customHeight="1" thickBot="1" x14ac:dyDescent="0.35">
      <c r="A850" s="343">
        <v>45524</v>
      </c>
      <c r="B850" s="345" t="s">
        <v>14059</v>
      </c>
      <c r="C850" s="344"/>
      <c r="D850" s="344" t="s">
        <v>12341</v>
      </c>
      <c r="E850" s="344" t="s">
        <v>12341</v>
      </c>
      <c r="F850" s="344"/>
      <c r="G850" s="344"/>
      <c r="H850" s="344"/>
      <c r="I850" s="344"/>
      <c r="J850" s="344"/>
      <c r="K850" s="344" t="s">
        <v>14060</v>
      </c>
      <c r="L850" s="344" t="s">
        <v>12341</v>
      </c>
      <c r="M850" s="344" t="s">
        <v>13752</v>
      </c>
      <c r="N850" s="344" t="s">
        <v>12339</v>
      </c>
      <c r="O850" s="348"/>
      <c r="P850" s="348"/>
      <c r="Q850" s="348"/>
      <c r="R850" s="348"/>
      <c r="S850" s="348"/>
      <c r="T850" s="348"/>
      <c r="U850" s="348"/>
      <c r="V850" s="348"/>
      <c r="W850" s="348"/>
      <c r="X850" s="348"/>
      <c r="Y850" s="348"/>
      <c r="Z850" s="348"/>
    </row>
    <row r="851" spans="1:26" s="64" customFormat="1" ht="47.25" customHeight="1" thickBot="1" x14ac:dyDescent="0.3">
      <c r="A851" s="343">
        <v>45525</v>
      </c>
      <c r="B851" s="350" t="s">
        <v>14061</v>
      </c>
      <c r="C851" s="344"/>
      <c r="D851" s="344" t="s">
        <v>12341</v>
      </c>
      <c r="E851" s="344" t="s">
        <v>12341</v>
      </c>
      <c r="F851" s="344"/>
      <c r="G851" s="344"/>
      <c r="H851" s="344"/>
      <c r="I851" s="344"/>
      <c r="J851" s="344"/>
      <c r="K851" s="344" t="s">
        <v>14062</v>
      </c>
      <c r="L851" s="344" t="s">
        <v>14063</v>
      </c>
      <c r="M851" s="344" t="s">
        <v>13752</v>
      </c>
      <c r="N851" s="344" t="s">
        <v>12339</v>
      </c>
      <c r="O851" s="348"/>
      <c r="P851" s="348"/>
      <c r="Q851" s="348"/>
      <c r="R851" s="348"/>
      <c r="S851" s="348"/>
      <c r="T851" s="348"/>
      <c r="U851" s="348"/>
      <c r="V851" s="348"/>
      <c r="W851" s="348"/>
      <c r="X851" s="348"/>
      <c r="Y851" s="348"/>
      <c r="Z851" s="348"/>
    </row>
    <row r="852" spans="1:26" s="64" customFormat="1" ht="47.25" customHeight="1" thickBot="1" x14ac:dyDescent="0.3">
      <c r="A852" s="343">
        <v>45525</v>
      </c>
      <c r="B852" s="350" t="s">
        <v>14064</v>
      </c>
      <c r="C852" s="344"/>
      <c r="D852" s="344" t="s">
        <v>12341</v>
      </c>
      <c r="E852" s="344" t="s">
        <v>12341</v>
      </c>
      <c r="F852" s="344"/>
      <c r="G852" s="344"/>
      <c r="H852" s="344"/>
      <c r="I852" s="344"/>
      <c r="J852" s="344"/>
      <c r="K852" s="344"/>
      <c r="L852" s="344" t="s">
        <v>14065</v>
      </c>
      <c r="M852" s="344" t="s">
        <v>13752</v>
      </c>
      <c r="N852" s="344" t="s">
        <v>12339</v>
      </c>
      <c r="O852" s="348"/>
      <c r="P852" s="348"/>
      <c r="Q852" s="348"/>
      <c r="R852" s="348"/>
      <c r="S852" s="348"/>
      <c r="T852" s="348"/>
      <c r="U852" s="348"/>
      <c r="V852" s="348"/>
      <c r="W852" s="348"/>
      <c r="X852" s="348"/>
      <c r="Y852" s="348"/>
      <c r="Z852" s="348"/>
    </row>
    <row r="853" spans="1:26" s="64" customFormat="1" ht="47.25" customHeight="1" thickBot="1" x14ac:dyDescent="0.35">
      <c r="A853" s="343">
        <v>45525</v>
      </c>
      <c r="B853" s="345" t="s">
        <v>14066</v>
      </c>
      <c r="C853" s="344"/>
      <c r="D853" s="344" t="s">
        <v>12341</v>
      </c>
      <c r="E853" s="344" t="s">
        <v>12341</v>
      </c>
      <c r="F853" s="344"/>
      <c r="G853" s="344"/>
      <c r="H853" s="344"/>
      <c r="I853" s="344"/>
      <c r="J853" s="344"/>
      <c r="K853" s="344"/>
      <c r="L853" s="344" t="s">
        <v>14067</v>
      </c>
      <c r="M853" s="344" t="s">
        <v>13752</v>
      </c>
      <c r="N853" s="344" t="s">
        <v>12339</v>
      </c>
      <c r="O853" s="348"/>
      <c r="P853" s="348"/>
      <c r="Q853" s="348"/>
      <c r="R853" s="348"/>
      <c r="S853" s="348"/>
      <c r="T853" s="348"/>
      <c r="U853" s="348"/>
      <c r="V853" s="348"/>
      <c r="W853" s="348"/>
      <c r="X853" s="348"/>
      <c r="Y853" s="348"/>
      <c r="Z853" s="348"/>
    </row>
    <row r="854" spans="1:26" s="64" customFormat="1" ht="47.25" customHeight="1" thickBot="1" x14ac:dyDescent="0.35">
      <c r="A854" s="343">
        <v>45525</v>
      </c>
      <c r="B854" s="345" t="s">
        <v>13794</v>
      </c>
      <c r="C854" s="344"/>
      <c r="D854" s="344" t="s">
        <v>12341</v>
      </c>
      <c r="E854" s="344" t="s">
        <v>12675</v>
      </c>
      <c r="F854" s="344" t="s">
        <v>12352</v>
      </c>
      <c r="G854" s="344"/>
      <c r="H854" s="344"/>
      <c r="I854" s="344"/>
      <c r="J854" s="344"/>
      <c r="K854" s="344" t="s">
        <v>14068</v>
      </c>
      <c r="L854" s="344" t="s">
        <v>14041</v>
      </c>
      <c r="M854" s="344" t="s">
        <v>13752</v>
      </c>
      <c r="N854" s="344" t="s">
        <v>12339</v>
      </c>
      <c r="O854" s="348"/>
      <c r="P854" s="348"/>
      <c r="Q854" s="348"/>
      <c r="R854" s="348"/>
      <c r="S854" s="348"/>
      <c r="T854" s="348"/>
      <c r="U854" s="348"/>
      <c r="V854" s="348"/>
      <c r="W854" s="348"/>
      <c r="X854" s="348"/>
      <c r="Y854" s="348"/>
      <c r="Z854" s="348"/>
    </row>
    <row r="855" spans="1:26" s="64" customFormat="1" ht="47.25" customHeight="1" thickBot="1" x14ac:dyDescent="0.35">
      <c r="A855" s="343">
        <v>45525</v>
      </c>
      <c r="B855" s="345" t="s">
        <v>14069</v>
      </c>
      <c r="C855" s="344"/>
      <c r="D855" s="344" t="s">
        <v>12341</v>
      </c>
      <c r="E855" s="344" t="s">
        <v>14070</v>
      </c>
      <c r="F855" s="344"/>
      <c r="G855" s="344"/>
      <c r="H855" s="344"/>
      <c r="I855" s="344"/>
      <c r="J855" s="344"/>
      <c r="K855" s="344"/>
      <c r="L855" s="344" t="s">
        <v>12341</v>
      </c>
      <c r="M855" s="344" t="s">
        <v>13752</v>
      </c>
      <c r="N855" s="344" t="s">
        <v>12339</v>
      </c>
      <c r="O855" s="348"/>
      <c r="P855" s="348"/>
      <c r="Q855" s="348"/>
      <c r="R855" s="348"/>
      <c r="S855" s="348"/>
      <c r="T855" s="348"/>
      <c r="U855" s="348"/>
      <c r="V855" s="348"/>
      <c r="W855" s="348"/>
      <c r="X855" s="348"/>
      <c r="Y855" s="348"/>
      <c r="Z855" s="348"/>
    </row>
    <row r="856" spans="1:26" s="64" customFormat="1" ht="47.25" customHeight="1" thickBot="1" x14ac:dyDescent="0.35">
      <c r="A856" s="343">
        <v>45525</v>
      </c>
      <c r="B856" s="345" t="s">
        <v>14071</v>
      </c>
      <c r="C856" s="344"/>
      <c r="D856" s="344" t="s">
        <v>12341</v>
      </c>
      <c r="E856" s="344" t="s">
        <v>12675</v>
      </c>
      <c r="F856" s="344" t="s">
        <v>12341</v>
      </c>
      <c r="G856" s="347">
        <v>80</v>
      </c>
      <c r="H856" s="347">
        <v>40</v>
      </c>
      <c r="I856" s="347">
        <v>40</v>
      </c>
      <c r="J856" s="344"/>
      <c r="K856" s="344" t="s">
        <v>14072</v>
      </c>
      <c r="L856" s="344" t="s">
        <v>14073</v>
      </c>
      <c r="M856" s="344" t="s">
        <v>13752</v>
      </c>
      <c r="N856" s="344" t="s">
        <v>12339</v>
      </c>
      <c r="O856" s="348"/>
      <c r="P856" s="348"/>
      <c r="Q856" s="348"/>
      <c r="R856" s="348"/>
      <c r="S856" s="348"/>
      <c r="T856" s="348"/>
      <c r="U856" s="348"/>
      <c r="V856" s="348"/>
      <c r="W856" s="348"/>
      <c r="X856" s="348"/>
      <c r="Y856" s="348"/>
      <c r="Z856" s="348"/>
    </row>
    <row r="857" spans="1:26" s="64" customFormat="1" ht="47.25" customHeight="1" thickBot="1" x14ac:dyDescent="0.35">
      <c r="A857" s="343">
        <v>45525</v>
      </c>
      <c r="B857" s="345" t="s">
        <v>13944</v>
      </c>
      <c r="C857" s="344"/>
      <c r="D857" s="344" t="s">
        <v>12341</v>
      </c>
      <c r="E857" s="344" t="s">
        <v>12341</v>
      </c>
      <c r="F857" s="344"/>
      <c r="G857" s="344"/>
      <c r="H857" s="344"/>
      <c r="I857" s="344"/>
      <c r="J857" s="344"/>
      <c r="K857" s="344" t="s">
        <v>14074</v>
      </c>
      <c r="L857" s="344" t="s">
        <v>12665</v>
      </c>
      <c r="M857" s="344" t="s">
        <v>13752</v>
      </c>
      <c r="N857" s="344" t="s">
        <v>12339</v>
      </c>
      <c r="O857" s="348"/>
      <c r="P857" s="348"/>
      <c r="Q857" s="348"/>
      <c r="R857" s="348"/>
      <c r="S857" s="348"/>
      <c r="T857" s="348"/>
      <c r="U857" s="348"/>
      <c r="V857" s="348"/>
      <c r="W857" s="348"/>
      <c r="X857" s="348"/>
      <c r="Y857" s="348"/>
      <c r="Z857" s="348"/>
    </row>
    <row r="858" spans="1:26" s="64" customFormat="1" ht="47.25" customHeight="1" thickBot="1" x14ac:dyDescent="0.35">
      <c r="A858" s="343">
        <v>45525</v>
      </c>
      <c r="B858" s="345" t="s">
        <v>14075</v>
      </c>
      <c r="C858" s="344"/>
      <c r="D858" s="344" t="s">
        <v>12341</v>
      </c>
      <c r="E858" s="344" t="s">
        <v>12341</v>
      </c>
      <c r="F858" s="344"/>
      <c r="G858" s="344"/>
      <c r="H858" s="344"/>
      <c r="I858" s="344"/>
      <c r="J858" s="344"/>
      <c r="K858" s="344" t="s">
        <v>14076</v>
      </c>
      <c r="L858" s="344" t="s">
        <v>14077</v>
      </c>
      <c r="M858" s="344" t="s">
        <v>13752</v>
      </c>
      <c r="N858" s="344" t="s">
        <v>12339</v>
      </c>
      <c r="O858" s="348"/>
      <c r="P858" s="348"/>
      <c r="Q858" s="348"/>
      <c r="R858" s="348"/>
      <c r="S858" s="348"/>
      <c r="T858" s="348"/>
      <c r="U858" s="348"/>
      <c r="V858" s="348"/>
      <c r="W858" s="348"/>
      <c r="X858" s="348"/>
      <c r="Y858" s="348"/>
      <c r="Z858" s="348"/>
    </row>
    <row r="859" spans="1:26" s="64" customFormat="1" ht="47.25" customHeight="1" thickBot="1" x14ac:dyDescent="0.35">
      <c r="A859" s="343">
        <v>45525</v>
      </c>
      <c r="B859" s="345" t="s">
        <v>14078</v>
      </c>
      <c r="C859" s="344"/>
      <c r="D859" s="344" t="s">
        <v>12341</v>
      </c>
      <c r="E859" s="344" t="s">
        <v>12675</v>
      </c>
      <c r="F859" s="344" t="s">
        <v>12352</v>
      </c>
      <c r="G859" s="344"/>
      <c r="H859" s="347">
        <v>40</v>
      </c>
      <c r="I859" s="347">
        <v>40</v>
      </c>
      <c r="J859" s="344" t="s">
        <v>14079</v>
      </c>
      <c r="K859" s="344" t="s">
        <v>14080</v>
      </c>
      <c r="L859" s="344" t="s">
        <v>13539</v>
      </c>
      <c r="M859" s="344" t="s">
        <v>13752</v>
      </c>
      <c r="N859" s="344" t="s">
        <v>12339</v>
      </c>
      <c r="O859" s="348"/>
      <c r="P859" s="348"/>
      <c r="Q859" s="348"/>
      <c r="R859" s="348"/>
      <c r="S859" s="348"/>
      <c r="T859" s="348"/>
      <c r="U859" s="348"/>
      <c r="V859" s="348"/>
      <c r="W859" s="348"/>
      <c r="X859" s="348"/>
      <c r="Y859" s="348"/>
      <c r="Z859" s="348"/>
    </row>
    <row r="860" spans="1:26" s="64" customFormat="1" ht="47.25" customHeight="1" thickBot="1" x14ac:dyDescent="0.35">
      <c r="A860" s="343">
        <v>45525</v>
      </c>
      <c r="B860" s="345" t="s">
        <v>14081</v>
      </c>
      <c r="C860" s="344"/>
      <c r="D860" s="344" t="s">
        <v>12341</v>
      </c>
      <c r="E860" s="344" t="s">
        <v>13524</v>
      </c>
      <c r="F860" s="344" t="s">
        <v>12341</v>
      </c>
      <c r="G860" s="347">
        <v>150</v>
      </c>
      <c r="H860" s="347">
        <v>50</v>
      </c>
      <c r="I860" s="347">
        <v>100</v>
      </c>
      <c r="J860" s="344" t="s">
        <v>12711</v>
      </c>
      <c r="K860" s="344" t="s">
        <v>14082</v>
      </c>
      <c r="L860" s="344" t="s">
        <v>14083</v>
      </c>
      <c r="M860" s="344" t="s">
        <v>13752</v>
      </c>
      <c r="N860" s="344" t="s">
        <v>12339</v>
      </c>
      <c r="O860" s="348"/>
      <c r="P860" s="348"/>
      <c r="Q860" s="348"/>
      <c r="R860" s="348"/>
      <c r="S860" s="348"/>
      <c r="T860" s="348"/>
      <c r="U860" s="348"/>
      <c r="V860" s="348"/>
      <c r="W860" s="348"/>
      <c r="X860" s="348"/>
      <c r="Y860" s="348"/>
      <c r="Z860" s="348"/>
    </row>
    <row r="861" spans="1:26" s="64" customFormat="1" ht="47.25" customHeight="1" thickBot="1" x14ac:dyDescent="0.35">
      <c r="A861" s="343">
        <v>45525</v>
      </c>
      <c r="B861" s="345" t="s">
        <v>14084</v>
      </c>
      <c r="C861" s="344"/>
      <c r="D861" s="344" t="s">
        <v>12341</v>
      </c>
      <c r="E861" s="344" t="s">
        <v>14085</v>
      </c>
      <c r="F861" s="344" t="s">
        <v>12341</v>
      </c>
      <c r="G861" s="347">
        <v>130</v>
      </c>
      <c r="H861" s="344"/>
      <c r="I861" s="347">
        <v>80</v>
      </c>
      <c r="J861" s="344"/>
      <c r="K861" s="344"/>
      <c r="L861" s="344" t="s">
        <v>12341</v>
      </c>
      <c r="M861" s="344" t="s">
        <v>13752</v>
      </c>
      <c r="N861" s="344" t="s">
        <v>12339</v>
      </c>
      <c r="O861" s="348"/>
      <c r="P861" s="348"/>
      <c r="Q861" s="348"/>
      <c r="R861" s="348"/>
      <c r="S861" s="348"/>
      <c r="T861" s="348"/>
      <c r="U861" s="348"/>
      <c r="V861" s="348"/>
      <c r="W861" s="348"/>
      <c r="X861" s="348"/>
      <c r="Y861" s="348"/>
      <c r="Z861" s="348"/>
    </row>
    <row r="862" spans="1:26" s="64" customFormat="1" ht="47.25" customHeight="1" thickBot="1" x14ac:dyDescent="0.35">
      <c r="A862" s="343">
        <v>45525</v>
      </c>
      <c r="B862" s="345" t="s">
        <v>14086</v>
      </c>
      <c r="C862" s="344"/>
      <c r="D862" s="344" t="s">
        <v>12341</v>
      </c>
      <c r="E862" s="344" t="s">
        <v>14015</v>
      </c>
      <c r="F862" s="344" t="s">
        <v>12341</v>
      </c>
      <c r="G862" s="347">
        <v>160</v>
      </c>
      <c r="H862" s="347">
        <v>86</v>
      </c>
      <c r="I862" s="347">
        <v>74</v>
      </c>
      <c r="J862" s="344"/>
      <c r="K862" s="344" t="s">
        <v>14087</v>
      </c>
      <c r="L862" s="344" t="s">
        <v>14088</v>
      </c>
      <c r="M862" s="344" t="s">
        <v>13752</v>
      </c>
      <c r="N862" s="344" t="s">
        <v>12339</v>
      </c>
      <c r="O862" s="348"/>
      <c r="P862" s="348"/>
      <c r="Q862" s="348"/>
      <c r="R862" s="348"/>
      <c r="S862" s="348"/>
      <c r="T862" s="348"/>
      <c r="U862" s="348"/>
      <c r="V862" s="348"/>
      <c r="W862" s="348"/>
      <c r="X862" s="348"/>
      <c r="Y862" s="348"/>
      <c r="Z862" s="348"/>
    </row>
    <row r="863" spans="1:26" s="64" customFormat="1" ht="47.25" customHeight="1" thickBot="1" x14ac:dyDescent="0.35">
      <c r="A863" s="343">
        <v>45526</v>
      </c>
      <c r="B863" s="345" t="s">
        <v>14089</v>
      </c>
      <c r="C863" s="344"/>
      <c r="D863" s="344" t="s">
        <v>12341</v>
      </c>
      <c r="E863" s="344" t="s">
        <v>12341</v>
      </c>
      <c r="F863" s="344"/>
      <c r="G863" s="344"/>
      <c r="H863" s="344"/>
      <c r="I863" s="344"/>
      <c r="J863" s="344"/>
      <c r="K863" s="344" t="s">
        <v>14090</v>
      </c>
      <c r="L863" s="344" t="s">
        <v>14091</v>
      </c>
      <c r="M863" s="344" t="s">
        <v>13752</v>
      </c>
      <c r="N863" s="344" t="s">
        <v>12339</v>
      </c>
      <c r="O863" s="348"/>
      <c r="P863" s="348"/>
      <c r="Q863" s="348"/>
      <c r="R863" s="348"/>
      <c r="S863" s="348"/>
      <c r="T863" s="348"/>
      <c r="U863" s="348"/>
      <c r="V863" s="348"/>
      <c r="W863" s="348"/>
      <c r="X863" s="348"/>
      <c r="Y863" s="348"/>
      <c r="Z863" s="348"/>
    </row>
    <row r="864" spans="1:26" s="64" customFormat="1" ht="47.25" customHeight="1" thickBot="1" x14ac:dyDescent="0.35">
      <c r="A864" s="343">
        <v>45526</v>
      </c>
      <c r="B864" s="345" t="s">
        <v>14092</v>
      </c>
      <c r="C864" s="344"/>
      <c r="D864" s="344" t="s">
        <v>12341</v>
      </c>
      <c r="E864" s="344" t="s">
        <v>14093</v>
      </c>
      <c r="F864" s="344" t="s">
        <v>12341</v>
      </c>
      <c r="G864" s="347">
        <v>470</v>
      </c>
      <c r="H864" s="347">
        <v>210</v>
      </c>
      <c r="I864" s="347">
        <v>260</v>
      </c>
      <c r="J864" s="344"/>
      <c r="K864" s="344" t="s">
        <v>14094</v>
      </c>
      <c r="L864" s="344" t="s">
        <v>14095</v>
      </c>
      <c r="M864" s="344" t="s">
        <v>13752</v>
      </c>
      <c r="N864" s="344" t="s">
        <v>12339</v>
      </c>
      <c r="O864" s="348"/>
      <c r="P864" s="348"/>
      <c r="Q864" s="348"/>
      <c r="R864" s="348"/>
      <c r="S864" s="348"/>
      <c r="T864" s="348"/>
      <c r="U864" s="348"/>
      <c r="V864" s="348"/>
      <c r="W864" s="348"/>
      <c r="X864" s="348"/>
      <c r="Y864" s="348"/>
      <c r="Z864" s="348"/>
    </row>
    <row r="865" spans="1:26" s="64" customFormat="1" ht="47.25" customHeight="1" thickBot="1" x14ac:dyDescent="0.35">
      <c r="A865" s="343">
        <v>45526</v>
      </c>
      <c r="B865" s="345" t="s">
        <v>14096</v>
      </c>
      <c r="C865" s="344"/>
      <c r="D865" s="344" t="s">
        <v>12341</v>
      </c>
      <c r="E865" s="344" t="s">
        <v>12675</v>
      </c>
      <c r="F865" s="344" t="s">
        <v>12341</v>
      </c>
      <c r="G865" s="347">
        <v>80</v>
      </c>
      <c r="H865" s="347">
        <v>40</v>
      </c>
      <c r="I865" s="347">
        <v>40</v>
      </c>
      <c r="J865" s="344"/>
      <c r="K865" s="344"/>
      <c r="L865" s="344" t="s">
        <v>12341</v>
      </c>
      <c r="M865" s="344" t="s">
        <v>13752</v>
      </c>
      <c r="N865" s="344" t="s">
        <v>12339</v>
      </c>
      <c r="O865" s="348"/>
      <c r="P865" s="348"/>
      <c r="Q865" s="348"/>
      <c r="R865" s="348"/>
      <c r="S865" s="348"/>
      <c r="T865" s="348"/>
      <c r="U865" s="348"/>
      <c r="V865" s="348"/>
      <c r="W865" s="348"/>
      <c r="X865" s="348"/>
      <c r="Y865" s="348"/>
      <c r="Z865" s="348"/>
    </row>
    <row r="866" spans="1:26" s="64" customFormat="1" ht="47.25" customHeight="1" thickBot="1" x14ac:dyDescent="0.35">
      <c r="A866" s="343">
        <v>45526</v>
      </c>
      <c r="B866" s="345" t="s">
        <v>14097</v>
      </c>
      <c r="C866" s="344"/>
      <c r="D866" s="344" t="s">
        <v>12341</v>
      </c>
      <c r="E866" s="344" t="s">
        <v>12685</v>
      </c>
      <c r="F866" s="344" t="s">
        <v>12341</v>
      </c>
      <c r="G866" s="347">
        <v>100</v>
      </c>
      <c r="H866" s="347">
        <v>60</v>
      </c>
      <c r="I866" s="347">
        <v>40</v>
      </c>
      <c r="J866" s="344"/>
      <c r="K866" s="344" t="s">
        <v>14098</v>
      </c>
      <c r="L866" s="344" t="s">
        <v>14099</v>
      </c>
      <c r="M866" s="344" t="s">
        <v>13752</v>
      </c>
      <c r="N866" s="344" t="s">
        <v>12339</v>
      </c>
      <c r="O866" s="348"/>
      <c r="P866" s="348"/>
      <c r="Q866" s="348"/>
      <c r="R866" s="348"/>
      <c r="S866" s="348"/>
      <c r="T866" s="348"/>
      <c r="U866" s="348"/>
      <c r="V866" s="348"/>
      <c r="W866" s="348"/>
      <c r="X866" s="348"/>
      <c r="Y866" s="348"/>
      <c r="Z866" s="348"/>
    </row>
    <row r="867" spans="1:26" s="64" customFormat="1" ht="47.25" customHeight="1" thickBot="1" x14ac:dyDescent="0.35">
      <c r="A867" s="343">
        <v>45526</v>
      </c>
      <c r="B867" s="345" t="s">
        <v>14009</v>
      </c>
      <c r="C867" s="344"/>
      <c r="D867" s="344" t="s">
        <v>12341</v>
      </c>
      <c r="E867" s="344" t="s">
        <v>12341</v>
      </c>
      <c r="F867" s="344"/>
      <c r="G867" s="344"/>
      <c r="H867" s="344"/>
      <c r="I867" s="344"/>
      <c r="J867" s="344"/>
      <c r="K867" s="344" t="s">
        <v>14100</v>
      </c>
      <c r="L867" s="344" t="s">
        <v>14011</v>
      </c>
      <c r="M867" s="344" t="s">
        <v>13752</v>
      </c>
      <c r="N867" s="344" t="s">
        <v>12339</v>
      </c>
      <c r="O867" s="348"/>
      <c r="P867" s="348"/>
      <c r="Q867" s="348"/>
      <c r="R867" s="348"/>
      <c r="S867" s="348"/>
      <c r="T867" s="348"/>
      <c r="U867" s="348"/>
      <c r="V867" s="348"/>
      <c r="W867" s="348"/>
      <c r="X867" s="348"/>
      <c r="Y867" s="348"/>
      <c r="Z867" s="348"/>
    </row>
    <row r="868" spans="1:26" s="64" customFormat="1" ht="47.25" customHeight="1" thickBot="1" x14ac:dyDescent="0.35">
      <c r="A868" s="343">
        <v>45526</v>
      </c>
      <c r="B868" s="345" t="s">
        <v>14101</v>
      </c>
      <c r="C868" s="344"/>
      <c r="D868" s="344" t="s">
        <v>12341</v>
      </c>
      <c r="E868" s="344" t="s">
        <v>12685</v>
      </c>
      <c r="F868" s="344" t="s">
        <v>12341</v>
      </c>
      <c r="G868" s="347">
        <v>100</v>
      </c>
      <c r="H868" s="347">
        <v>60</v>
      </c>
      <c r="I868" s="347">
        <v>40</v>
      </c>
      <c r="J868" s="344" t="s">
        <v>14102</v>
      </c>
      <c r="K868" s="344"/>
      <c r="L868" s="344" t="s">
        <v>12341</v>
      </c>
      <c r="M868" s="344" t="s">
        <v>13752</v>
      </c>
      <c r="N868" s="344" t="s">
        <v>12339</v>
      </c>
      <c r="O868" s="348"/>
      <c r="P868" s="348"/>
      <c r="Q868" s="348"/>
      <c r="R868" s="348"/>
      <c r="S868" s="348"/>
      <c r="T868" s="348"/>
      <c r="U868" s="348"/>
      <c r="V868" s="348"/>
      <c r="W868" s="348"/>
      <c r="X868" s="348"/>
      <c r="Y868" s="348"/>
      <c r="Z868" s="348"/>
    </row>
    <row r="869" spans="1:26" s="64" customFormat="1" ht="47.25" customHeight="1" thickBot="1" x14ac:dyDescent="0.35">
      <c r="A869" s="343">
        <v>45526</v>
      </c>
      <c r="B869" s="345" t="s">
        <v>14103</v>
      </c>
      <c r="C869" s="344"/>
      <c r="D869" s="344" t="s">
        <v>12341</v>
      </c>
      <c r="E869" s="344" t="s">
        <v>14104</v>
      </c>
      <c r="F869" s="344"/>
      <c r="G869" s="344"/>
      <c r="H869" s="344"/>
      <c r="I869" s="344"/>
      <c r="J869" s="344"/>
      <c r="K869" s="344"/>
      <c r="L869" s="344" t="s">
        <v>12341</v>
      </c>
      <c r="M869" s="344" t="s">
        <v>13752</v>
      </c>
      <c r="N869" s="344" t="s">
        <v>12339</v>
      </c>
      <c r="O869" s="348"/>
      <c r="P869" s="348"/>
      <c r="Q869" s="348"/>
      <c r="R869" s="348"/>
      <c r="S869" s="348"/>
      <c r="T869" s="348"/>
      <c r="U869" s="348"/>
      <c r="V869" s="348"/>
      <c r="W869" s="348"/>
      <c r="X869" s="348"/>
      <c r="Y869" s="348"/>
      <c r="Z869" s="348"/>
    </row>
    <row r="870" spans="1:26" s="64" customFormat="1" ht="47.25" customHeight="1" thickBot="1" x14ac:dyDescent="0.3">
      <c r="A870" s="343">
        <v>45526</v>
      </c>
      <c r="B870" s="350" t="s">
        <v>14105</v>
      </c>
      <c r="C870" s="344"/>
      <c r="D870" s="344" t="s">
        <v>12341</v>
      </c>
      <c r="E870" s="344" t="s">
        <v>12341</v>
      </c>
      <c r="F870" s="344"/>
      <c r="G870" s="344"/>
      <c r="H870" s="344"/>
      <c r="I870" s="344"/>
      <c r="J870" s="344"/>
      <c r="K870" s="344" t="s">
        <v>14106</v>
      </c>
      <c r="L870" s="344" t="s">
        <v>14107</v>
      </c>
      <c r="M870" s="344" t="s">
        <v>13752</v>
      </c>
      <c r="N870" s="344" t="s">
        <v>12339</v>
      </c>
      <c r="O870" s="348"/>
      <c r="P870" s="348"/>
      <c r="Q870" s="348"/>
      <c r="R870" s="348"/>
      <c r="S870" s="348"/>
      <c r="T870" s="348"/>
      <c r="U870" s="348"/>
      <c r="V870" s="348"/>
      <c r="W870" s="348"/>
      <c r="X870" s="348"/>
      <c r="Y870" s="348"/>
      <c r="Z870" s="348"/>
    </row>
    <row r="871" spans="1:26" s="64" customFormat="1" ht="47.25" customHeight="1" thickBot="1" x14ac:dyDescent="0.35">
      <c r="A871" s="343">
        <v>45526</v>
      </c>
      <c r="B871" s="345" t="s">
        <v>14108</v>
      </c>
      <c r="C871" s="344"/>
      <c r="D871" s="344" t="s">
        <v>12341</v>
      </c>
      <c r="E871" s="344" t="s">
        <v>14109</v>
      </c>
      <c r="F871" s="344"/>
      <c r="G871" s="344"/>
      <c r="H871" s="344"/>
      <c r="I871" s="344"/>
      <c r="J871" s="344"/>
      <c r="K871" s="344"/>
      <c r="L871" s="344" t="s">
        <v>12341</v>
      </c>
      <c r="M871" s="344" t="s">
        <v>13752</v>
      </c>
      <c r="N871" s="344" t="s">
        <v>12339</v>
      </c>
      <c r="O871" s="348"/>
      <c r="P871" s="348"/>
      <c r="Q871" s="348"/>
      <c r="R871" s="348"/>
      <c r="S871" s="348"/>
      <c r="T871" s="348"/>
      <c r="U871" s="348"/>
      <c r="V871" s="348"/>
      <c r="W871" s="348"/>
      <c r="X871" s="348"/>
      <c r="Y871" s="348"/>
      <c r="Z871" s="348"/>
    </row>
    <row r="872" spans="1:26" s="64" customFormat="1" ht="47.25" customHeight="1" thickBot="1" x14ac:dyDescent="0.35">
      <c r="A872" s="343">
        <v>45526</v>
      </c>
      <c r="B872" s="345" t="s">
        <v>14110</v>
      </c>
      <c r="C872" s="344"/>
      <c r="D872" s="344" t="s">
        <v>12341</v>
      </c>
      <c r="E872" s="344" t="s">
        <v>12341</v>
      </c>
      <c r="F872" s="344"/>
      <c r="G872" s="344"/>
      <c r="H872" s="344"/>
      <c r="I872" s="344"/>
      <c r="J872" s="344"/>
      <c r="K872" s="344" t="s">
        <v>14111</v>
      </c>
      <c r="L872" s="344" t="s">
        <v>14112</v>
      </c>
      <c r="M872" s="344" t="s">
        <v>13752</v>
      </c>
      <c r="N872" s="344" t="s">
        <v>12339</v>
      </c>
      <c r="O872" s="348"/>
      <c r="P872" s="348"/>
      <c r="Q872" s="348"/>
      <c r="R872" s="348"/>
      <c r="S872" s="348"/>
      <c r="T872" s="348"/>
      <c r="U872" s="348"/>
      <c r="V872" s="348"/>
      <c r="W872" s="348"/>
      <c r="X872" s="348"/>
      <c r="Y872" s="348"/>
      <c r="Z872" s="348"/>
    </row>
    <row r="873" spans="1:26" s="64" customFormat="1" ht="47.25" customHeight="1" thickBot="1" x14ac:dyDescent="0.35">
      <c r="A873" s="343">
        <v>45526</v>
      </c>
      <c r="B873" s="345" t="s">
        <v>14113</v>
      </c>
      <c r="C873" s="344"/>
      <c r="D873" s="344" t="s">
        <v>12341</v>
      </c>
      <c r="E873" s="344" t="s">
        <v>12341</v>
      </c>
      <c r="F873" s="344"/>
      <c r="G873" s="344"/>
      <c r="H873" s="344"/>
      <c r="I873" s="344"/>
      <c r="J873" s="344"/>
      <c r="K873" s="344" t="s">
        <v>14114</v>
      </c>
      <c r="L873" s="344" t="s">
        <v>14115</v>
      </c>
      <c r="M873" s="344" t="s">
        <v>13752</v>
      </c>
      <c r="N873" s="344" t="s">
        <v>12339</v>
      </c>
      <c r="O873" s="348"/>
      <c r="P873" s="348"/>
      <c r="Q873" s="348"/>
      <c r="R873" s="348"/>
      <c r="S873" s="348"/>
      <c r="T873" s="348"/>
      <c r="U873" s="348"/>
      <c r="V873" s="348"/>
      <c r="W873" s="348"/>
      <c r="X873" s="348"/>
      <c r="Y873" s="348"/>
      <c r="Z873" s="348"/>
    </row>
    <row r="874" spans="1:26" s="64" customFormat="1" ht="47.25" customHeight="1" thickBot="1" x14ac:dyDescent="0.35">
      <c r="A874" s="343">
        <v>45527</v>
      </c>
      <c r="B874" s="345" t="s">
        <v>14116</v>
      </c>
      <c r="C874" s="344"/>
      <c r="D874" s="344" t="s">
        <v>12341</v>
      </c>
      <c r="E874" s="344" t="s">
        <v>12341</v>
      </c>
      <c r="F874" s="344"/>
      <c r="G874" s="344"/>
      <c r="H874" s="344"/>
      <c r="I874" s="344"/>
      <c r="J874" s="344"/>
      <c r="K874" s="344" t="s">
        <v>14117</v>
      </c>
      <c r="L874" s="344" t="s">
        <v>14118</v>
      </c>
      <c r="M874" s="344" t="s">
        <v>13752</v>
      </c>
      <c r="N874" s="344" t="s">
        <v>12339</v>
      </c>
      <c r="O874" s="348"/>
      <c r="P874" s="348"/>
      <c r="Q874" s="348"/>
      <c r="R874" s="348"/>
      <c r="S874" s="348"/>
      <c r="T874" s="348"/>
      <c r="U874" s="348"/>
      <c r="V874" s="348"/>
      <c r="W874" s="348"/>
      <c r="X874" s="348"/>
      <c r="Y874" s="348"/>
      <c r="Z874" s="348"/>
    </row>
    <row r="875" spans="1:26" s="64" customFormat="1" ht="47.25" customHeight="1" thickBot="1" x14ac:dyDescent="0.35">
      <c r="A875" s="343">
        <v>45527</v>
      </c>
      <c r="B875" s="345" t="s">
        <v>14119</v>
      </c>
      <c r="C875" s="344"/>
      <c r="D875" s="344" t="s">
        <v>12341</v>
      </c>
      <c r="E875" s="344" t="s">
        <v>12341</v>
      </c>
      <c r="F875" s="344"/>
      <c r="G875" s="344"/>
      <c r="H875" s="344"/>
      <c r="I875" s="344"/>
      <c r="J875" s="344"/>
      <c r="K875" s="344"/>
      <c r="L875" s="344" t="s">
        <v>12341</v>
      </c>
      <c r="M875" s="344" t="s">
        <v>13752</v>
      </c>
      <c r="N875" s="344" t="s">
        <v>12339</v>
      </c>
      <c r="O875" s="348"/>
      <c r="P875" s="348"/>
      <c r="Q875" s="348"/>
      <c r="R875" s="348"/>
      <c r="S875" s="348"/>
      <c r="T875" s="348"/>
      <c r="U875" s="348"/>
      <c r="V875" s="348"/>
      <c r="W875" s="348"/>
      <c r="X875" s="348"/>
      <c r="Y875" s="348"/>
      <c r="Z875" s="348"/>
    </row>
    <row r="876" spans="1:26" s="64" customFormat="1" ht="47.25" customHeight="1" thickBot="1" x14ac:dyDescent="0.35">
      <c r="A876" s="343">
        <v>45527</v>
      </c>
      <c r="B876" s="345" t="s">
        <v>14119</v>
      </c>
      <c r="C876" s="344"/>
      <c r="D876" s="344" t="s">
        <v>12341</v>
      </c>
      <c r="E876" s="344" t="s">
        <v>12341</v>
      </c>
      <c r="F876" s="344"/>
      <c r="G876" s="344"/>
      <c r="H876" s="344"/>
      <c r="I876" s="344"/>
      <c r="J876" s="344"/>
      <c r="K876" s="344"/>
      <c r="L876" s="344" t="s">
        <v>12341</v>
      </c>
      <c r="M876" s="344" t="s">
        <v>13752</v>
      </c>
      <c r="N876" s="344" t="s">
        <v>12339</v>
      </c>
      <c r="O876" s="348"/>
      <c r="P876" s="348"/>
      <c r="Q876" s="348"/>
      <c r="R876" s="348"/>
      <c r="S876" s="348"/>
      <c r="T876" s="348"/>
      <c r="U876" s="348"/>
      <c r="V876" s="348"/>
      <c r="W876" s="348"/>
      <c r="X876" s="348"/>
      <c r="Y876" s="348"/>
      <c r="Z876" s="348"/>
    </row>
    <row r="877" spans="1:26" s="64" customFormat="1" ht="47.25" customHeight="1" thickBot="1" x14ac:dyDescent="0.35">
      <c r="A877" s="343">
        <v>45527</v>
      </c>
      <c r="B877" s="345" t="s">
        <v>14120</v>
      </c>
      <c r="C877" s="344"/>
      <c r="D877" s="344" t="s">
        <v>12341</v>
      </c>
      <c r="E877" s="344" t="s">
        <v>12675</v>
      </c>
      <c r="F877" s="344" t="s">
        <v>12352</v>
      </c>
      <c r="G877" s="344"/>
      <c r="H877" s="347">
        <v>40</v>
      </c>
      <c r="I877" s="347">
        <v>40</v>
      </c>
      <c r="J877" s="344"/>
      <c r="K877" s="344"/>
      <c r="L877" s="344" t="s">
        <v>12341</v>
      </c>
      <c r="M877" s="344" t="s">
        <v>13752</v>
      </c>
      <c r="N877" s="344" t="s">
        <v>12339</v>
      </c>
      <c r="O877" s="348"/>
      <c r="P877" s="348"/>
      <c r="Q877" s="348"/>
      <c r="R877" s="348"/>
      <c r="S877" s="348"/>
      <c r="T877" s="348"/>
      <c r="U877" s="348"/>
      <c r="V877" s="348"/>
      <c r="W877" s="348"/>
      <c r="X877" s="348"/>
      <c r="Y877" s="348"/>
      <c r="Z877" s="348"/>
    </row>
    <row r="878" spans="1:26" s="64" customFormat="1" ht="47.25" customHeight="1" thickBot="1" x14ac:dyDescent="0.35">
      <c r="A878" s="343">
        <v>45527</v>
      </c>
      <c r="B878" s="345" t="s">
        <v>14121</v>
      </c>
      <c r="C878" s="344"/>
      <c r="D878" s="344" t="s">
        <v>12341</v>
      </c>
      <c r="E878" s="344" t="s">
        <v>12929</v>
      </c>
      <c r="F878" s="344" t="s">
        <v>12352</v>
      </c>
      <c r="G878" s="344"/>
      <c r="H878" s="344"/>
      <c r="I878" s="347">
        <v>80</v>
      </c>
      <c r="J878" s="344" t="s">
        <v>14122</v>
      </c>
      <c r="K878" s="344"/>
      <c r="L878" s="344" t="s">
        <v>12341</v>
      </c>
      <c r="M878" s="344" t="s">
        <v>13752</v>
      </c>
      <c r="N878" s="344" t="s">
        <v>12339</v>
      </c>
      <c r="O878" s="348"/>
      <c r="P878" s="348"/>
      <c r="Q878" s="348"/>
      <c r="R878" s="348"/>
      <c r="S878" s="348"/>
      <c r="T878" s="348"/>
      <c r="U878" s="348"/>
      <c r="V878" s="348"/>
      <c r="W878" s="348"/>
      <c r="X878" s="348"/>
      <c r="Y878" s="348"/>
      <c r="Z878" s="348"/>
    </row>
    <row r="879" spans="1:26" s="64" customFormat="1" ht="47.25" customHeight="1" thickBot="1" x14ac:dyDescent="0.35">
      <c r="A879" s="343">
        <v>45527</v>
      </c>
      <c r="B879" s="345" t="s">
        <v>14123</v>
      </c>
      <c r="C879" s="344"/>
      <c r="D879" s="344" t="s">
        <v>12341</v>
      </c>
      <c r="E879" s="344" t="s">
        <v>12341</v>
      </c>
      <c r="F879" s="344"/>
      <c r="G879" s="344"/>
      <c r="H879" s="344"/>
      <c r="I879" s="344"/>
      <c r="J879" s="344"/>
      <c r="K879" s="344" t="s">
        <v>14124</v>
      </c>
      <c r="L879" s="344" t="s">
        <v>14125</v>
      </c>
      <c r="M879" s="344" t="s">
        <v>13752</v>
      </c>
      <c r="N879" s="344" t="s">
        <v>12339</v>
      </c>
      <c r="O879" s="348"/>
      <c r="P879" s="348"/>
      <c r="Q879" s="348"/>
      <c r="R879" s="348"/>
      <c r="S879" s="348"/>
      <c r="T879" s="348"/>
      <c r="U879" s="348"/>
      <c r="V879" s="348"/>
      <c r="W879" s="348"/>
      <c r="X879" s="348"/>
      <c r="Y879" s="348"/>
      <c r="Z879" s="348"/>
    </row>
    <row r="880" spans="1:26" s="64" customFormat="1" ht="47.25" customHeight="1" thickBot="1" x14ac:dyDescent="0.35">
      <c r="A880" s="343">
        <v>45527</v>
      </c>
      <c r="B880" s="345" t="s">
        <v>14103</v>
      </c>
      <c r="C880" s="344"/>
      <c r="D880" s="344" t="s">
        <v>12341</v>
      </c>
      <c r="E880" s="344" t="s">
        <v>12675</v>
      </c>
      <c r="F880" s="344" t="s">
        <v>12341</v>
      </c>
      <c r="G880" s="347">
        <v>100</v>
      </c>
      <c r="H880" s="347">
        <v>35</v>
      </c>
      <c r="I880" s="347">
        <v>65</v>
      </c>
      <c r="J880" s="344" t="s">
        <v>14126</v>
      </c>
      <c r="K880" s="344" t="s">
        <v>14127</v>
      </c>
      <c r="L880" s="344" t="s">
        <v>14115</v>
      </c>
      <c r="M880" s="344" t="s">
        <v>13752</v>
      </c>
      <c r="N880" s="344" t="s">
        <v>12339</v>
      </c>
      <c r="O880" s="348"/>
      <c r="P880" s="348"/>
      <c r="Q880" s="348"/>
      <c r="R880" s="348"/>
      <c r="S880" s="348"/>
      <c r="T880" s="348"/>
      <c r="U880" s="348"/>
      <c r="V880" s="348"/>
      <c r="W880" s="348"/>
      <c r="X880" s="348"/>
      <c r="Y880" s="348"/>
      <c r="Z880" s="348"/>
    </row>
    <row r="881" spans="1:26" s="64" customFormat="1" ht="47.25" customHeight="1" thickBot="1" x14ac:dyDescent="0.35">
      <c r="A881" s="343">
        <v>45527</v>
      </c>
      <c r="B881" s="345" t="s">
        <v>14128</v>
      </c>
      <c r="C881" s="344"/>
      <c r="D881" s="344" t="s">
        <v>12341</v>
      </c>
      <c r="E881" s="344" t="s">
        <v>12685</v>
      </c>
      <c r="F881" s="344" t="s">
        <v>12341</v>
      </c>
      <c r="G881" s="347">
        <v>110</v>
      </c>
      <c r="H881" s="347">
        <v>70</v>
      </c>
      <c r="I881" s="347">
        <v>40</v>
      </c>
      <c r="J881" s="344" t="s">
        <v>14129</v>
      </c>
      <c r="K881" s="344"/>
      <c r="L881" s="344" t="s">
        <v>12341</v>
      </c>
      <c r="M881" s="344" t="s">
        <v>13752</v>
      </c>
      <c r="N881" s="344" t="s">
        <v>12339</v>
      </c>
      <c r="O881" s="348"/>
      <c r="P881" s="348"/>
      <c r="Q881" s="348"/>
      <c r="R881" s="348"/>
      <c r="S881" s="348"/>
      <c r="T881" s="348"/>
      <c r="U881" s="348"/>
      <c r="V881" s="348"/>
      <c r="W881" s="348"/>
      <c r="X881" s="348"/>
      <c r="Y881" s="348"/>
      <c r="Z881" s="348"/>
    </row>
    <row r="882" spans="1:26" s="64" customFormat="1" ht="47.25" customHeight="1" thickBot="1" x14ac:dyDescent="0.35">
      <c r="A882" s="343">
        <v>45527</v>
      </c>
      <c r="B882" s="345" t="s">
        <v>14130</v>
      </c>
      <c r="C882" s="344"/>
      <c r="D882" s="344" t="s">
        <v>12341</v>
      </c>
      <c r="E882" s="344" t="s">
        <v>12341</v>
      </c>
      <c r="F882" s="344"/>
      <c r="G882" s="344"/>
      <c r="H882" s="344"/>
      <c r="I882" s="344"/>
      <c r="J882" s="344"/>
      <c r="K882" s="344" t="s">
        <v>14131</v>
      </c>
      <c r="L882" s="344" t="s">
        <v>14132</v>
      </c>
      <c r="M882" s="344" t="s">
        <v>13752</v>
      </c>
      <c r="N882" s="344" t="s">
        <v>12339</v>
      </c>
      <c r="O882" s="348"/>
      <c r="P882" s="348"/>
      <c r="Q882" s="348"/>
      <c r="R882" s="348"/>
      <c r="S882" s="348"/>
      <c r="T882" s="348"/>
      <c r="U882" s="348"/>
      <c r="V882" s="348"/>
      <c r="W882" s="348"/>
      <c r="X882" s="348"/>
      <c r="Y882" s="348"/>
      <c r="Z882" s="348"/>
    </row>
    <row r="883" spans="1:26" s="64" customFormat="1" ht="47.25" customHeight="1" thickBot="1" x14ac:dyDescent="0.35">
      <c r="A883" s="343">
        <v>45527</v>
      </c>
      <c r="B883" s="345" t="s">
        <v>14133</v>
      </c>
      <c r="C883" s="344"/>
      <c r="D883" s="344" t="s">
        <v>12341</v>
      </c>
      <c r="E883" s="344" t="s">
        <v>12675</v>
      </c>
      <c r="F883" s="344" t="s">
        <v>12341</v>
      </c>
      <c r="G883" s="347">
        <v>80</v>
      </c>
      <c r="H883" s="347">
        <v>40</v>
      </c>
      <c r="I883" s="347">
        <v>40</v>
      </c>
      <c r="J883" s="344" t="s">
        <v>14134</v>
      </c>
      <c r="K883" s="344"/>
      <c r="L883" s="344" t="s">
        <v>12341</v>
      </c>
      <c r="M883" s="344" t="s">
        <v>13752</v>
      </c>
      <c r="N883" s="344" t="s">
        <v>12339</v>
      </c>
      <c r="O883" s="348"/>
      <c r="P883" s="348"/>
      <c r="Q883" s="348"/>
      <c r="R883" s="348"/>
      <c r="S883" s="348"/>
      <c r="T883" s="348"/>
      <c r="U883" s="348"/>
      <c r="V883" s="348"/>
      <c r="W883" s="348"/>
      <c r="X883" s="348"/>
      <c r="Y883" s="348"/>
      <c r="Z883" s="348"/>
    </row>
    <row r="884" spans="1:26" s="64" customFormat="1" ht="47.25" customHeight="1" thickBot="1" x14ac:dyDescent="0.35">
      <c r="A884" s="343">
        <v>45527</v>
      </c>
      <c r="B884" s="345" t="s">
        <v>14135</v>
      </c>
      <c r="C884" s="344"/>
      <c r="D884" s="344" t="s">
        <v>12341</v>
      </c>
      <c r="E884" s="344" t="s">
        <v>12341</v>
      </c>
      <c r="F884" s="344"/>
      <c r="G884" s="344"/>
      <c r="H884" s="344"/>
      <c r="I884" s="344"/>
      <c r="J884" s="344"/>
      <c r="K884" s="344" t="s">
        <v>14136</v>
      </c>
      <c r="L884" s="344" t="s">
        <v>14137</v>
      </c>
      <c r="M884" s="344" t="s">
        <v>13752</v>
      </c>
      <c r="N884" s="344" t="s">
        <v>12339</v>
      </c>
      <c r="O884" s="348"/>
      <c r="P884" s="348"/>
      <c r="Q884" s="348"/>
      <c r="R884" s="348"/>
      <c r="S884" s="348"/>
      <c r="T884" s="348"/>
      <c r="U884" s="348"/>
      <c r="V884" s="348"/>
      <c r="W884" s="348"/>
      <c r="X884" s="348"/>
      <c r="Y884" s="348"/>
      <c r="Z884" s="348"/>
    </row>
    <row r="885" spans="1:26" s="64" customFormat="1" ht="47.25" customHeight="1" thickBot="1" x14ac:dyDescent="0.35">
      <c r="A885" s="343">
        <v>45527</v>
      </c>
      <c r="B885" s="345" t="s">
        <v>14138</v>
      </c>
      <c r="C885" s="344"/>
      <c r="D885" s="344" t="s">
        <v>12341</v>
      </c>
      <c r="E885" s="344" t="s">
        <v>14139</v>
      </c>
      <c r="F885" s="344" t="s">
        <v>12352</v>
      </c>
      <c r="G885" s="344"/>
      <c r="H885" s="344"/>
      <c r="I885" s="347">
        <v>80</v>
      </c>
      <c r="J885" s="351" t="s">
        <v>14140</v>
      </c>
      <c r="K885" s="344"/>
      <c r="L885" s="344" t="s">
        <v>12341</v>
      </c>
      <c r="M885" s="344" t="s">
        <v>13752</v>
      </c>
      <c r="N885" s="344" t="s">
        <v>12339</v>
      </c>
      <c r="O885" s="348"/>
      <c r="P885" s="348"/>
      <c r="Q885" s="348"/>
      <c r="R885" s="348"/>
      <c r="S885" s="348"/>
      <c r="T885" s="348"/>
      <c r="U885" s="348"/>
      <c r="V885" s="348"/>
      <c r="W885" s="348"/>
      <c r="X885" s="348"/>
      <c r="Y885" s="348"/>
      <c r="Z885" s="348"/>
    </row>
    <row r="886" spans="1:26" s="64" customFormat="1" ht="47.25" customHeight="1" thickBot="1" x14ac:dyDescent="0.35">
      <c r="A886" s="343">
        <v>45528</v>
      </c>
      <c r="B886" s="345" t="s">
        <v>14141</v>
      </c>
      <c r="C886" s="344"/>
      <c r="D886" s="344" t="s">
        <v>12341</v>
      </c>
      <c r="E886" s="344" t="s">
        <v>14142</v>
      </c>
      <c r="F886" s="344" t="s">
        <v>12341</v>
      </c>
      <c r="G886" s="347">
        <v>600</v>
      </c>
      <c r="H886" s="344"/>
      <c r="I886" s="347">
        <v>300</v>
      </c>
      <c r="J886" s="344"/>
      <c r="K886" s="344" t="s">
        <v>14143</v>
      </c>
      <c r="L886" s="344" t="s">
        <v>14144</v>
      </c>
      <c r="M886" s="344" t="s">
        <v>13752</v>
      </c>
      <c r="N886" s="344" t="s">
        <v>12339</v>
      </c>
      <c r="O886" s="348"/>
      <c r="P886" s="348"/>
      <c r="Q886" s="348"/>
      <c r="R886" s="348"/>
      <c r="S886" s="348"/>
      <c r="T886" s="348"/>
      <c r="U886" s="348"/>
      <c r="V886" s="348"/>
      <c r="W886" s="348"/>
      <c r="X886" s="348"/>
      <c r="Y886" s="348"/>
      <c r="Z886" s="348"/>
    </row>
    <row r="887" spans="1:26" s="64" customFormat="1" ht="47.25" customHeight="1" thickBot="1" x14ac:dyDescent="0.35">
      <c r="A887" s="343">
        <v>45530</v>
      </c>
      <c r="B887" s="345" t="s">
        <v>14145</v>
      </c>
      <c r="C887" s="344"/>
      <c r="D887" s="344" t="s">
        <v>12341</v>
      </c>
      <c r="E887" s="344" t="s">
        <v>12685</v>
      </c>
      <c r="F887" s="344" t="s">
        <v>12341</v>
      </c>
      <c r="G887" s="347">
        <v>100</v>
      </c>
      <c r="H887" s="344"/>
      <c r="I887" s="347">
        <v>35</v>
      </c>
      <c r="J887" s="351" t="s">
        <v>14146</v>
      </c>
      <c r="K887" s="344"/>
      <c r="L887" s="344" t="s">
        <v>12341</v>
      </c>
      <c r="M887" s="344" t="s">
        <v>13752</v>
      </c>
      <c r="N887" s="344" t="s">
        <v>12339</v>
      </c>
      <c r="O887" s="348"/>
      <c r="P887" s="348"/>
      <c r="Q887" s="348"/>
      <c r="R887" s="348"/>
      <c r="S887" s="348"/>
      <c r="T887" s="348"/>
      <c r="U887" s="348"/>
      <c r="V887" s="348"/>
      <c r="W887" s="348"/>
      <c r="X887" s="348"/>
      <c r="Y887" s="348"/>
      <c r="Z887" s="348"/>
    </row>
    <row r="888" spans="1:26" s="64" customFormat="1" ht="47.25" customHeight="1" thickBot="1" x14ac:dyDescent="0.35">
      <c r="A888" s="343">
        <v>45530</v>
      </c>
      <c r="B888" s="345" t="s">
        <v>14147</v>
      </c>
      <c r="C888" s="344"/>
      <c r="D888" s="344" t="s">
        <v>12341</v>
      </c>
      <c r="E888" s="344" t="s">
        <v>12675</v>
      </c>
      <c r="F888" s="344" t="s">
        <v>12352</v>
      </c>
      <c r="G888" s="344"/>
      <c r="H888" s="344"/>
      <c r="I888" s="347">
        <v>40</v>
      </c>
      <c r="J888" s="344" t="s">
        <v>14148</v>
      </c>
      <c r="K888" s="344" t="s">
        <v>14149</v>
      </c>
      <c r="L888" s="344" t="s">
        <v>14150</v>
      </c>
      <c r="M888" s="344" t="s">
        <v>13752</v>
      </c>
      <c r="N888" s="344" t="s">
        <v>12339</v>
      </c>
      <c r="O888" s="348"/>
      <c r="P888" s="348"/>
      <c r="Q888" s="348"/>
      <c r="R888" s="348"/>
      <c r="S888" s="348"/>
      <c r="T888" s="348"/>
      <c r="U888" s="348"/>
      <c r="V888" s="348"/>
      <c r="W888" s="348"/>
      <c r="X888" s="348"/>
      <c r="Y888" s="348"/>
      <c r="Z888" s="348"/>
    </row>
    <row r="889" spans="1:26" s="64" customFormat="1" ht="47.25" customHeight="1" thickBot="1" x14ac:dyDescent="0.35">
      <c r="A889" s="343">
        <v>45530</v>
      </c>
      <c r="B889" s="345" t="s">
        <v>14151</v>
      </c>
      <c r="C889" s="344"/>
      <c r="D889" s="344" t="s">
        <v>12341</v>
      </c>
      <c r="E889" s="344" t="s">
        <v>12341</v>
      </c>
      <c r="F889" s="344"/>
      <c r="G889" s="344"/>
      <c r="H889" s="344"/>
      <c r="I889" s="344"/>
      <c r="J889" s="344"/>
      <c r="K889" s="344" t="s">
        <v>14152</v>
      </c>
      <c r="L889" s="344" t="s">
        <v>14153</v>
      </c>
      <c r="M889" s="344" t="s">
        <v>13752</v>
      </c>
      <c r="N889" s="344" t="s">
        <v>12339</v>
      </c>
      <c r="O889" s="348"/>
      <c r="P889" s="348"/>
      <c r="Q889" s="348"/>
      <c r="R889" s="348"/>
      <c r="S889" s="348"/>
      <c r="T889" s="348"/>
      <c r="U889" s="348"/>
      <c r="V889" s="348"/>
      <c r="W889" s="348"/>
      <c r="X889" s="348"/>
      <c r="Y889" s="348"/>
      <c r="Z889" s="348"/>
    </row>
    <row r="890" spans="1:26" s="64" customFormat="1" ht="47.25" customHeight="1" thickBot="1" x14ac:dyDescent="0.35">
      <c r="A890" s="343">
        <v>45530</v>
      </c>
      <c r="B890" s="345" t="s">
        <v>14154</v>
      </c>
      <c r="C890" s="344"/>
      <c r="D890" s="344" t="s">
        <v>12341</v>
      </c>
      <c r="E890" s="344" t="s">
        <v>12675</v>
      </c>
      <c r="F890" s="344" t="s">
        <v>12341</v>
      </c>
      <c r="G890" s="347">
        <v>80</v>
      </c>
      <c r="H890" s="344"/>
      <c r="I890" s="347">
        <v>40</v>
      </c>
      <c r="J890" s="344"/>
      <c r="K890" s="344" t="s">
        <v>14155</v>
      </c>
      <c r="L890" s="344" t="s">
        <v>14156</v>
      </c>
      <c r="M890" s="344" t="s">
        <v>13752</v>
      </c>
      <c r="N890" s="344" t="s">
        <v>12339</v>
      </c>
      <c r="O890" s="348"/>
      <c r="P890" s="348"/>
      <c r="Q890" s="348"/>
      <c r="R890" s="348"/>
      <c r="S890" s="348"/>
      <c r="T890" s="348"/>
      <c r="U890" s="348"/>
      <c r="V890" s="348"/>
      <c r="W890" s="348"/>
      <c r="X890" s="348"/>
      <c r="Y890" s="348"/>
      <c r="Z890" s="348"/>
    </row>
    <row r="891" spans="1:26" s="64" customFormat="1" ht="47.25" customHeight="1" thickBot="1" x14ac:dyDescent="0.35">
      <c r="A891" s="343">
        <v>45530</v>
      </c>
      <c r="B891" s="345" t="s">
        <v>14157</v>
      </c>
      <c r="C891" s="344"/>
      <c r="D891" s="344" t="s">
        <v>12341</v>
      </c>
      <c r="E891" s="344" t="s">
        <v>12685</v>
      </c>
      <c r="F891" s="344" t="s">
        <v>12341</v>
      </c>
      <c r="G891" s="347">
        <v>100</v>
      </c>
      <c r="H891" s="344"/>
      <c r="I891" s="347">
        <v>35</v>
      </c>
      <c r="J891" s="344" t="s">
        <v>12802</v>
      </c>
      <c r="K891" s="344"/>
      <c r="L891" s="344" t="s">
        <v>12341</v>
      </c>
      <c r="M891" s="344" t="s">
        <v>13752</v>
      </c>
      <c r="N891" s="344" t="s">
        <v>12339</v>
      </c>
      <c r="O891" s="348"/>
      <c r="P891" s="348"/>
      <c r="Q891" s="348"/>
      <c r="R891" s="348"/>
      <c r="S891" s="348"/>
      <c r="T891" s="348"/>
      <c r="U891" s="348"/>
      <c r="V891" s="348"/>
      <c r="W891" s="348"/>
      <c r="X891" s="348"/>
      <c r="Y891" s="348"/>
      <c r="Z891" s="348"/>
    </row>
    <row r="892" spans="1:26" s="64" customFormat="1" ht="47.25" customHeight="1" thickBot="1" x14ac:dyDescent="0.35">
      <c r="A892" s="343">
        <v>45530</v>
      </c>
      <c r="B892" s="345" t="s">
        <v>14158</v>
      </c>
      <c r="C892" s="344"/>
      <c r="D892" s="344" t="s">
        <v>12341</v>
      </c>
      <c r="E892" s="344" t="s">
        <v>12685</v>
      </c>
      <c r="F892" s="344" t="s">
        <v>12341</v>
      </c>
      <c r="G892" s="347">
        <v>100</v>
      </c>
      <c r="H892" s="344"/>
      <c r="I892" s="347">
        <v>35</v>
      </c>
      <c r="J892" s="344" t="s">
        <v>12711</v>
      </c>
      <c r="K892" s="344" t="s">
        <v>14159</v>
      </c>
      <c r="L892" s="344" t="s">
        <v>14160</v>
      </c>
      <c r="M892" s="344" t="s">
        <v>13752</v>
      </c>
      <c r="N892" s="344" t="s">
        <v>12339</v>
      </c>
      <c r="O892" s="348"/>
      <c r="P892" s="348"/>
      <c r="Q892" s="348"/>
      <c r="R892" s="348"/>
      <c r="S892" s="348"/>
      <c r="T892" s="348"/>
      <c r="U892" s="348"/>
      <c r="V892" s="348"/>
      <c r="W892" s="348"/>
      <c r="X892" s="348"/>
      <c r="Y892" s="348"/>
      <c r="Z892" s="348"/>
    </row>
    <row r="893" spans="1:26" s="64" customFormat="1" ht="47.25" customHeight="1" thickBot="1" x14ac:dyDescent="0.35">
      <c r="A893" s="343">
        <v>45530</v>
      </c>
      <c r="B893" s="345" t="s">
        <v>14161</v>
      </c>
      <c r="C893" s="344"/>
      <c r="D893" s="344" t="s">
        <v>12341</v>
      </c>
      <c r="E893" s="344" t="s">
        <v>12341</v>
      </c>
      <c r="F893" s="344"/>
      <c r="G893" s="344"/>
      <c r="H893" s="344"/>
      <c r="I893" s="344"/>
      <c r="J893" s="344"/>
      <c r="K893" s="344" t="s">
        <v>14162</v>
      </c>
      <c r="L893" s="344" t="s">
        <v>14163</v>
      </c>
      <c r="M893" s="344" t="s">
        <v>13752</v>
      </c>
      <c r="N893" s="344" t="s">
        <v>12339</v>
      </c>
      <c r="O893" s="348"/>
      <c r="P893" s="348"/>
      <c r="Q893" s="348"/>
      <c r="R893" s="348"/>
      <c r="S893" s="348"/>
      <c r="T893" s="348"/>
      <c r="U893" s="348"/>
      <c r="V893" s="348"/>
      <c r="W893" s="348"/>
      <c r="X893" s="348"/>
      <c r="Y893" s="348"/>
      <c r="Z893" s="348"/>
    </row>
    <row r="894" spans="1:26" s="64" customFormat="1" ht="47.25" customHeight="1" thickBot="1" x14ac:dyDescent="0.35">
      <c r="A894" s="343">
        <v>45530</v>
      </c>
      <c r="B894" s="345" t="s">
        <v>14164</v>
      </c>
      <c r="C894" s="344"/>
      <c r="D894" s="344" t="s">
        <v>12341</v>
      </c>
      <c r="E894" s="344" t="s">
        <v>12675</v>
      </c>
      <c r="F894" s="344" t="s">
        <v>12341</v>
      </c>
      <c r="G894" s="347">
        <v>80</v>
      </c>
      <c r="H894" s="344"/>
      <c r="I894" s="347">
        <v>40</v>
      </c>
      <c r="J894" s="344"/>
      <c r="K894" s="344" t="s">
        <v>14165</v>
      </c>
      <c r="L894" s="344" t="s">
        <v>14166</v>
      </c>
      <c r="M894" s="344" t="s">
        <v>13752</v>
      </c>
      <c r="N894" s="344" t="s">
        <v>12339</v>
      </c>
      <c r="O894" s="348"/>
      <c r="P894" s="348"/>
      <c r="Q894" s="348"/>
      <c r="R894" s="348"/>
      <c r="S894" s="348"/>
      <c r="T894" s="348"/>
      <c r="U894" s="348"/>
      <c r="V894" s="348"/>
      <c r="W894" s="348"/>
      <c r="X894" s="348"/>
      <c r="Y894" s="348"/>
      <c r="Z894" s="348"/>
    </row>
    <row r="895" spans="1:26" s="64" customFormat="1" ht="47.25" customHeight="1" thickBot="1" x14ac:dyDescent="0.35">
      <c r="A895" s="343">
        <v>45531</v>
      </c>
      <c r="B895" s="345" t="s">
        <v>14167</v>
      </c>
      <c r="C895" s="344"/>
      <c r="D895" s="344" t="s">
        <v>12341</v>
      </c>
      <c r="E895" s="344" t="s">
        <v>12341</v>
      </c>
      <c r="F895" s="344"/>
      <c r="G895" s="344"/>
      <c r="H895" s="344"/>
      <c r="I895" s="344"/>
      <c r="J895" s="344"/>
      <c r="K895" s="344" t="s">
        <v>14168</v>
      </c>
      <c r="L895" s="344" t="s">
        <v>14169</v>
      </c>
      <c r="M895" s="344" t="s">
        <v>13752</v>
      </c>
      <c r="N895" s="344" t="s">
        <v>12339</v>
      </c>
      <c r="O895" s="348"/>
      <c r="P895" s="348"/>
      <c r="Q895" s="348"/>
      <c r="R895" s="348"/>
      <c r="S895" s="348"/>
      <c r="T895" s="348"/>
      <c r="U895" s="348"/>
      <c r="V895" s="348"/>
      <c r="W895" s="348"/>
      <c r="X895" s="348"/>
      <c r="Y895" s="348"/>
      <c r="Z895" s="348"/>
    </row>
    <row r="896" spans="1:26" s="64" customFormat="1" ht="47.25" customHeight="1" thickBot="1" x14ac:dyDescent="0.35">
      <c r="A896" s="343">
        <v>45531</v>
      </c>
      <c r="B896" s="345" t="s">
        <v>14170</v>
      </c>
      <c r="C896" s="344"/>
      <c r="D896" s="344" t="s">
        <v>12341</v>
      </c>
      <c r="E896" s="344" t="s">
        <v>12341</v>
      </c>
      <c r="F896" s="344"/>
      <c r="G896" s="344"/>
      <c r="H896" s="344"/>
      <c r="I896" s="344"/>
      <c r="J896" s="344"/>
      <c r="K896" s="344" t="s">
        <v>14171</v>
      </c>
      <c r="L896" s="344" t="s">
        <v>14172</v>
      </c>
      <c r="M896" s="344" t="s">
        <v>13752</v>
      </c>
      <c r="N896" s="344" t="s">
        <v>12339</v>
      </c>
      <c r="O896" s="348"/>
      <c r="P896" s="348"/>
      <c r="Q896" s="348"/>
      <c r="R896" s="348"/>
      <c r="S896" s="348"/>
      <c r="T896" s="348"/>
      <c r="U896" s="348"/>
      <c r="V896" s="348"/>
      <c r="W896" s="348"/>
      <c r="X896" s="348"/>
      <c r="Y896" s="348"/>
      <c r="Z896" s="348"/>
    </row>
    <row r="897" spans="1:26" s="64" customFormat="1" ht="47.25" customHeight="1" thickBot="1" x14ac:dyDescent="0.35">
      <c r="A897" s="343">
        <v>45531</v>
      </c>
      <c r="B897" s="345" t="s">
        <v>14173</v>
      </c>
      <c r="C897" s="344"/>
      <c r="D897" s="344" t="s">
        <v>12341</v>
      </c>
      <c r="E897" s="344" t="s">
        <v>13524</v>
      </c>
      <c r="F897" s="344" t="s">
        <v>12352</v>
      </c>
      <c r="G897" s="344"/>
      <c r="H897" s="344"/>
      <c r="I897" s="347">
        <v>120</v>
      </c>
      <c r="J897" s="344"/>
      <c r="K897" s="344"/>
      <c r="L897" s="344" t="s">
        <v>12341</v>
      </c>
      <c r="M897" s="344" t="s">
        <v>13752</v>
      </c>
      <c r="N897" s="344" t="s">
        <v>12339</v>
      </c>
      <c r="O897" s="348"/>
      <c r="P897" s="348"/>
      <c r="Q897" s="348"/>
      <c r="R897" s="348"/>
      <c r="S897" s="348"/>
      <c r="T897" s="348"/>
      <c r="U897" s="348"/>
      <c r="V897" s="348"/>
      <c r="W897" s="348"/>
      <c r="X897" s="348"/>
      <c r="Y897" s="348"/>
      <c r="Z897" s="348"/>
    </row>
    <row r="898" spans="1:26" s="64" customFormat="1" ht="47.25" customHeight="1" thickBot="1" x14ac:dyDescent="0.35">
      <c r="A898" s="343">
        <v>45531</v>
      </c>
      <c r="B898" s="345" t="s">
        <v>14174</v>
      </c>
      <c r="C898" s="344"/>
      <c r="D898" s="344" t="s">
        <v>12341</v>
      </c>
      <c r="E898" s="344" t="s">
        <v>12341</v>
      </c>
      <c r="F898" s="344"/>
      <c r="G898" s="344"/>
      <c r="H898" s="344"/>
      <c r="I898" s="344"/>
      <c r="J898" s="344"/>
      <c r="K898" s="344" t="s">
        <v>14175</v>
      </c>
      <c r="L898" s="344" t="s">
        <v>14176</v>
      </c>
      <c r="M898" s="344" t="s">
        <v>13752</v>
      </c>
      <c r="N898" s="344" t="s">
        <v>12339</v>
      </c>
      <c r="O898" s="348"/>
      <c r="P898" s="348"/>
      <c r="Q898" s="348"/>
      <c r="R898" s="348"/>
      <c r="S898" s="348"/>
      <c r="T898" s="348"/>
      <c r="U898" s="348"/>
      <c r="V898" s="348"/>
      <c r="W898" s="348"/>
      <c r="X898" s="348"/>
      <c r="Y898" s="348"/>
      <c r="Z898" s="348"/>
    </row>
    <row r="899" spans="1:26" s="64" customFormat="1" ht="47.25" customHeight="1" thickBot="1" x14ac:dyDescent="0.35">
      <c r="A899" s="343">
        <v>45531</v>
      </c>
      <c r="B899" s="345" t="s">
        <v>14177</v>
      </c>
      <c r="C899" s="344"/>
      <c r="D899" s="344" t="s">
        <v>12341</v>
      </c>
      <c r="E899" s="344" t="s">
        <v>14178</v>
      </c>
      <c r="F899" s="344"/>
      <c r="G899" s="344"/>
      <c r="H899" s="344"/>
      <c r="I899" s="344"/>
      <c r="J899" s="344" t="s">
        <v>14179</v>
      </c>
      <c r="K899" s="344"/>
      <c r="L899" s="344" t="s">
        <v>12341</v>
      </c>
      <c r="M899" s="344" t="s">
        <v>13752</v>
      </c>
      <c r="N899" s="344" t="s">
        <v>12339</v>
      </c>
      <c r="O899" s="348"/>
      <c r="P899" s="348"/>
      <c r="Q899" s="348"/>
      <c r="R899" s="348"/>
      <c r="S899" s="348"/>
      <c r="T899" s="348"/>
      <c r="U899" s="348"/>
      <c r="V899" s="348"/>
      <c r="W899" s="348"/>
      <c r="X899" s="348"/>
      <c r="Y899" s="348"/>
      <c r="Z899" s="348"/>
    </row>
    <row r="900" spans="1:26" s="64" customFormat="1" ht="47.25" customHeight="1" thickBot="1" x14ac:dyDescent="0.35">
      <c r="A900" s="343">
        <v>45531</v>
      </c>
      <c r="B900" s="345" t="s">
        <v>14180</v>
      </c>
      <c r="C900" s="344"/>
      <c r="D900" s="344" t="s">
        <v>12341</v>
      </c>
      <c r="E900" s="344" t="s">
        <v>12341</v>
      </c>
      <c r="F900" s="344"/>
      <c r="G900" s="344"/>
      <c r="H900" s="344"/>
      <c r="I900" s="344"/>
      <c r="J900" s="344"/>
      <c r="K900" s="344" t="s">
        <v>14181</v>
      </c>
      <c r="L900" s="344" t="s">
        <v>14182</v>
      </c>
      <c r="M900" s="344" t="s">
        <v>13752</v>
      </c>
      <c r="N900" s="344" t="s">
        <v>12339</v>
      </c>
      <c r="O900" s="348"/>
      <c r="P900" s="348"/>
      <c r="Q900" s="348"/>
      <c r="R900" s="348"/>
      <c r="S900" s="348"/>
      <c r="T900" s="348"/>
      <c r="U900" s="348"/>
      <c r="V900" s="348"/>
      <c r="W900" s="348"/>
      <c r="X900" s="348"/>
      <c r="Y900" s="348"/>
      <c r="Z900" s="348"/>
    </row>
    <row r="901" spans="1:26" s="64" customFormat="1" ht="47.25" customHeight="1" thickBot="1" x14ac:dyDescent="0.35">
      <c r="A901" s="343">
        <v>45531</v>
      </c>
      <c r="B901" s="345" t="s">
        <v>14183</v>
      </c>
      <c r="C901" s="344"/>
      <c r="D901" s="344" t="s">
        <v>12341</v>
      </c>
      <c r="E901" s="344" t="s">
        <v>12341</v>
      </c>
      <c r="F901" s="344"/>
      <c r="G901" s="344"/>
      <c r="H901" s="344"/>
      <c r="I901" s="344"/>
      <c r="J901" s="344"/>
      <c r="K901" s="344"/>
      <c r="L901" s="344" t="s">
        <v>14184</v>
      </c>
      <c r="M901" s="344" t="s">
        <v>13752</v>
      </c>
      <c r="N901" s="344" t="s">
        <v>12339</v>
      </c>
      <c r="O901" s="348"/>
      <c r="P901" s="348"/>
      <c r="Q901" s="348"/>
      <c r="R901" s="348"/>
      <c r="S901" s="348"/>
      <c r="T901" s="348"/>
      <c r="U901" s="348"/>
      <c r="V901" s="348"/>
      <c r="W901" s="348"/>
      <c r="X901" s="348"/>
      <c r="Y901" s="348"/>
      <c r="Z901" s="348"/>
    </row>
    <row r="902" spans="1:26" s="64" customFormat="1" ht="47.25" customHeight="1" thickBot="1" x14ac:dyDescent="0.35">
      <c r="A902" s="343">
        <v>45531</v>
      </c>
      <c r="B902" s="345" t="s">
        <v>14183</v>
      </c>
      <c r="C902" s="344"/>
      <c r="D902" s="344" t="s">
        <v>12341</v>
      </c>
      <c r="E902" s="344" t="s">
        <v>12341</v>
      </c>
      <c r="F902" s="344"/>
      <c r="G902" s="344"/>
      <c r="H902" s="344"/>
      <c r="I902" s="344"/>
      <c r="J902" s="344"/>
      <c r="K902" s="344" t="s">
        <v>14185</v>
      </c>
      <c r="L902" s="344" t="s">
        <v>14184</v>
      </c>
      <c r="M902" s="344" t="s">
        <v>13752</v>
      </c>
      <c r="N902" s="344" t="s">
        <v>12339</v>
      </c>
      <c r="O902" s="348"/>
      <c r="P902" s="348"/>
      <c r="Q902" s="348"/>
      <c r="R902" s="348"/>
      <c r="S902" s="348"/>
      <c r="T902" s="348"/>
      <c r="U902" s="348"/>
      <c r="V902" s="348"/>
      <c r="W902" s="348"/>
      <c r="X902" s="348"/>
      <c r="Y902" s="348"/>
      <c r="Z902" s="348"/>
    </row>
    <row r="903" spans="1:26" s="64" customFormat="1" ht="47.25" customHeight="1" thickBot="1" x14ac:dyDescent="0.35">
      <c r="A903" s="343">
        <v>45531</v>
      </c>
      <c r="B903" s="345" t="s">
        <v>14186</v>
      </c>
      <c r="C903" s="344"/>
      <c r="D903" s="344" t="s">
        <v>12341</v>
      </c>
      <c r="E903" s="344" t="s">
        <v>12341</v>
      </c>
      <c r="F903" s="344"/>
      <c r="G903" s="344"/>
      <c r="H903" s="344"/>
      <c r="I903" s="344"/>
      <c r="J903" s="344"/>
      <c r="K903" s="344" t="s">
        <v>14187</v>
      </c>
      <c r="L903" s="344" t="s">
        <v>14188</v>
      </c>
      <c r="M903" s="344" t="s">
        <v>13752</v>
      </c>
      <c r="N903" s="344" t="s">
        <v>12339</v>
      </c>
      <c r="O903" s="348"/>
      <c r="P903" s="348"/>
      <c r="Q903" s="348"/>
      <c r="R903" s="348"/>
      <c r="S903" s="348"/>
      <c r="T903" s="348"/>
      <c r="U903" s="348"/>
      <c r="V903" s="348"/>
      <c r="W903" s="348"/>
      <c r="X903" s="348"/>
      <c r="Y903" s="348"/>
      <c r="Z903" s="348"/>
    </row>
    <row r="904" spans="1:26" s="64" customFormat="1" ht="47.25" customHeight="1" thickBot="1" x14ac:dyDescent="0.35">
      <c r="A904" s="343">
        <v>45532</v>
      </c>
      <c r="B904" s="345" t="s">
        <v>14189</v>
      </c>
      <c r="C904" s="344"/>
      <c r="D904" s="344" t="s">
        <v>12341</v>
      </c>
      <c r="E904" s="344" t="s">
        <v>12675</v>
      </c>
      <c r="F904" s="344" t="s">
        <v>12352</v>
      </c>
      <c r="G904" s="344"/>
      <c r="H904" s="344"/>
      <c r="I904" s="347">
        <v>40</v>
      </c>
      <c r="J904" s="344"/>
      <c r="K904" s="344" t="s">
        <v>14190</v>
      </c>
      <c r="L904" s="344" t="s">
        <v>14191</v>
      </c>
      <c r="M904" s="344" t="s">
        <v>13752</v>
      </c>
      <c r="N904" s="344" t="s">
        <v>12339</v>
      </c>
      <c r="O904" s="348"/>
      <c r="P904" s="348"/>
      <c r="Q904" s="348"/>
      <c r="R904" s="348"/>
      <c r="S904" s="348"/>
      <c r="T904" s="348"/>
      <c r="U904" s="348"/>
      <c r="V904" s="348"/>
      <c r="W904" s="348"/>
      <c r="X904" s="348"/>
      <c r="Y904" s="348"/>
      <c r="Z904" s="348"/>
    </row>
    <row r="905" spans="1:26" s="64" customFormat="1" ht="47.25" customHeight="1" thickBot="1" x14ac:dyDescent="0.35">
      <c r="A905" s="343">
        <v>45532</v>
      </c>
      <c r="B905" s="345" t="s">
        <v>14108</v>
      </c>
      <c r="C905" s="344"/>
      <c r="D905" s="344" t="s">
        <v>12341</v>
      </c>
      <c r="E905" s="344" t="s">
        <v>12685</v>
      </c>
      <c r="F905" s="344" t="s">
        <v>12341</v>
      </c>
      <c r="G905" s="347">
        <v>100</v>
      </c>
      <c r="H905" s="344"/>
      <c r="I905" s="347">
        <v>35</v>
      </c>
      <c r="J905" s="344" t="s">
        <v>12711</v>
      </c>
      <c r="K905" s="344" t="s">
        <v>14192</v>
      </c>
      <c r="L905" s="344" t="s">
        <v>14193</v>
      </c>
      <c r="M905" s="344" t="s">
        <v>13752</v>
      </c>
      <c r="N905" s="344" t="s">
        <v>12339</v>
      </c>
      <c r="O905" s="348"/>
      <c r="P905" s="348"/>
      <c r="Q905" s="348"/>
      <c r="R905" s="348"/>
      <c r="S905" s="348"/>
      <c r="T905" s="348"/>
      <c r="U905" s="348"/>
      <c r="V905" s="348"/>
      <c r="W905" s="348"/>
      <c r="X905" s="348"/>
      <c r="Y905" s="348"/>
      <c r="Z905" s="348"/>
    </row>
    <row r="906" spans="1:26" s="64" customFormat="1" ht="47.25" customHeight="1" thickBot="1" x14ac:dyDescent="0.3">
      <c r="A906" s="343">
        <v>45532</v>
      </c>
      <c r="B906" s="350" t="s">
        <v>14194</v>
      </c>
      <c r="C906" s="344"/>
      <c r="D906" s="344" t="s">
        <v>12341</v>
      </c>
      <c r="E906" s="344" t="s">
        <v>12341</v>
      </c>
      <c r="F906" s="344"/>
      <c r="G906" s="344"/>
      <c r="H906" s="344"/>
      <c r="I906" s="344"/>
      <c r="J906" s="344"/>
      <c r="K906" s="344" t="s">
        <v>14195</v>
      </c>
      <c r="L906" s="344" t="s">
        <v>14196</v>
      </c>
      <c r="M906" s="344" t="s">
        <v>13752</v>
      </c>
      <c r="N906" s="344" t="s">
        <v>12339</v>
      </c>
      <c r="O906" s="348"/>
      <c r="P906" s="348"/>
      <c r="Q906" s="348"/>
      <c r="R906" s="348"/>
      <c r="S906" s="348"/>
      <c r="T906" s="348"/>
      <c r="U906" s="348"/>
      <c r="V906" s="348"/>
      <c r="W906" s="348"/>
      <c r="X906" s="348"/>
      <c r="Y906" s="348"/>
      <c r="Z906" s="348"/>
    </row>
    <row r="907" spans="1:26" s="64" customFormat="1" ht="47.25" customHeight="1" thickBot="1" x14ac:dyDescent="0.3">
      <c r="A907" s="343">
        <v>45532</v>
      </c>
      <c r="B907" s="350" t="s">
        <v>14197</v>
      </c>
      <c r="C907" s="344"/>
      <c r="D907" s="344" t="s">
        <v>12341</v>
      </c>
      <c r="E907" s="344" t="s">
        <v>12341</v>
      </c>
      <c r="F907" s="344"/>
      <c r="G907" s="344"/>
      <c r="H907" s="344"/>
      <c r="I907" s="344"/>
      <c r="J907" s="344"/>
      <c r="K907" s="344"/>
      <c r="L907" s="344" t="s">
        <v>14172</v>
      </c>
      <c r="M907" s="344" t="s">
        <v>13752</v>
      </c>
      <c r="N907" s="344" t="s">
        <v>12339</v>
      </c>
      <c r="O907" s="348"/>
      <c r="P907" s="348"/>
      <c r="Q907" s="348"/>
      <c r="R907" s="348"/>
      <c r="S907" s="348"/>
      <c r="T907" s="348"/>
      <c r="U907" s="348"/>
      <c r="V907" s="348"/>
      <c r="W907" s="348"/>
      <c r="X907" s="348"/>
      <c r="Y907" s="348"/>
      <c r="Z907" s="348"/>
    </row>
    <row r="908" spans="1:26" s="64" customFormat="1" ht="47.25" customHeight="1" thickBot="1" x14ac:dyDescent="0.35">
      <c r="A908" s="343">
        <v>45532</v>
      </c>
      <c r="B908" s="345" t="s">
        <v>14198</v>
      </c>
      <c r="C908" s="344"/>
      <c r="D908" s="344" t="s">
        <v>12341</v>
      </c>
      <c r="E908" s="344" t="s">
        <v>12341</v>
      </c>
      <c r="F908" s="344"/>
      <c r="G908" s="344"/>
      <c r="H908" s="344"/>
      <c r="I908" s="344"/>
      <c r="J908" s="344"/>
      <c r="K908" s="344"/>
      <c r="L908" s="344" t="s">
        <v>14199</v>
      </c>
      <c r="M908" s="344" t="s">
        <v>13752</v>
      </c>
      <c r="N908" s="344" t="s">
        <v>12339</v>
      </c>
      <c r="O908" s="348"/>
      <c r="P908" s="348"/>
      <c r="Q908" s="348"/>
      <c r="R908" s="348"/>
      <c r="S908" s="348"/>
      <c r="T908" s="348"/>
      <c r="U908" s="348"/>
      <c r="V908" s="348"/>
      <c r="W908" s="348"/>
      <c r="X908" s="348"/>
      <c r="Y908" s="348"/>
      <c r="Z908" s="348"/>
    </row>
    <row r="909" spans="1:26" s="64" customFormat="1" ht="47.25" customHeight="1" thickBot="1" x14ac:dyDescent="0.35">
      <c r="A909" s="343">
        <v>45532</v>
      </c>
      <c r="B909" s="345" t="s">
        <v>14198</v>
      </c>
      <c r="C909" s="344"/>
      <c r="D909" s="344" t="s">
        <v>12341</v>
      </c>
      <c r="E909" s="344" t="s">
        <v>12341</v>
      </c>
      <c r="F909" s="344"/>
      <c r="G909" s="344"/>
      <c r="H909" s="344"/>
      <c r="I909" s="344"/>
      <c r="J909" s="344"/>
      <c r="K909" s="344" t="s">
        <v>14200</v>
      </c>
      <c r="L909" s="344" t="s">
        <v>14201</v>
      </c>
      <c r="M909" s="344" t="s">
        <v>13752</v>
      </c>
      <c r="N909" s="344" t="s">
        <v>12339</v>
      </c>
      <c r="O909" s="348"/>
      <c r="P909" s="348"/>
      <c r="Q909" s="348"/>
      <c r="R909" s="348"/>
      <c r="S909" s="348"/>
      <c r="T909" s="348"/>
      <c r="U909" s="348"/>
      <c r="V909" s="348"/>
      <c r="W909" s="348"/>
      <c r="X909" s="348"/>
      <c r="Y909" s="348"/>
      <c r="Z909" s="348"/>
    </row>
    <row r="910" spans="1:26" s="64" customFormat="1" ht="47.25" customHeight="1" thickBot="1" x14ac:dyDescent="0.35">
      <c r="A910" s="343">
        <v>45533</v>
      </c>
      <c r="B910" s="345" t="s">
        <v>14202</v>
      </c>
      <c r="C910" s="344"/>
      <c r="D910" s="344" t="s">
        <v>12341</v>
      </c>
      <c r="E910" s="344" t="s">
        <v>12341</v>
      </c>
      <c r="F910" s="344"/>
      <c r="G910" s="344"/>
      <c r="H910" s="344"/>
      <c r="I910" s="344"/>
      <c r="J910" s="344"/>
      <c r="K910" s="344" t="s">
        <v>14203</v>
      </c>
      <c r="L910" s="344" t="s">
        <v>12341</v>
      </c>
      <c r="M910" s="344" t="s">
        <v>13752</v>
      </c>
      <c r="N910" s="344" t="s">
        <v>12339</v>
      </c>
      <c r="O910" s="348"/>
      <c r="P910" s="348"/>
      <c r="Q910" s="348"/>
      <c r="R910" s="348"/>
      <c r="S910" s="348"/>
      <c r="T910" s="348"/>
      <c r="U910" s="348"/>
      <c r="V910" s="348"/>
      <c r="W910" s="348"/>
      <c r="X910" s="348"/>
      <c r="Y910" s="348"/>
      <c r="Z910" s="348"/>
    </row>
    <row r="911" spans="1:26" s="64" customFormat="1" ht="47.25" customHeight="1" thickBot="1" x14ac:dyDescent="0.35">
      <c r="A911" s="343">
        <v>45534</v>
      </c>
      <c r="B911" s="345" t="s">
        <v>14204</v>
      </c>
      <c r="C911" s="344"/>
      <c r="D911" s="344" t="s">
        <v>12341</v>
      </c>
      <c r="E911" s="344" t="s">
        <v>12341</v>
      </c>
      <c r="F911" s="344"/>
      <c r="G911" s="344"/>
      <c r="H911" s="344"/>
      <c r="I911" s="344"/>
      <c r="J911" s="344"/>
      <c r="K911" s="344" t="s">
        <v>14205</v>
      </c>
      <c r="L911" s="344" t="s">
        <v>14206</v>
      </c>
      <c r="M911" s="344" t="s">
        <v>13752</v>
      </c>
      <c r="N911" s="344" t="s">
        <v>12339</v>
      </c>
      <c r="O911" s="348"/>
      <c r="P911" s="348"/>
      <c r="Q911" s="348"/>
      <c r="R911" s="348"/>
      <c r="S911" s="348"/>
      <c r="T911" s="348"/>
      <c r="U911" s="348"/>
      <c r="V911" s="348"/>
      <c r="W911" s="348"/>
      <c r="X911" s="348"/>
      <c r="Y911" s="348"/>
      <c r="Z911" s="348"/>
    </row>
    <row r="912" spans="1:26" s="64" customFormat="1" ht="47.25" customHeight="1" thickBot="1" x14ac:dyDescent="0.35">
      <c r="A912" s="343">
        <v>45534</v>
      </c>
      <c r="B912" s="345" t="s">
        <v>14207</v>
      </c>
      <c r="C912" s="344"/>
      <c r="D912" s="344" t="s">
        <v>12341</v>
      </c>
      <c r="E912" s="344" t="s">
        <v>12341</v>
      </c>
      <c r="F912" s="344"/>
      <c r="G912" s="344"/>
      <c r="H912" s="344"/>
      <c r="I912" s="344"/>
      <c r="J912" s="344"/>
      <c r="K912" s="344" t="s">
        <v>14208</v>
      </c>
      <c r="L912" s="344" t="s">
        <v>14209</v>
      </c>
      <c r="M912" s="344" t="s">
        <v>13752</v>
      </c>
      <c r="N912" s="344" t="s">
        <v>12339</v>
      </c>
      <c r="O912" s="348"/>
      <c r="P912" s="348"/>
      <c r="Q912" s="348"/>
      <c r="R912" s="348"/>
      <c r="S912" s="348"/>
      <c r="T912" s="348"/>
      <c r="U912" s="348"/>
      <c r="V912" s="348"/>
      <c r="W912" s="348"/>
      <c r="X912" s="348"/>
      <c r="Y912" s="348"/>
      <c r="Z912" s="348"/>
    </row>
    <row r="913" spans="1:26" s="64" customFormat="1" ht="47.25" customHeight="1" thickBot="1" x14ac:dyDescent="0.35">
      <c r="A913" s="343">
        <v>45534</v>
      </c>
      <c r="B913" s="345" t="s">
        <v>14177</v>
      </c>
      <c r="C913" s="344"/>
      <c r="D913" s="344" t="s">
        <v>12341</v>
      </c>
      <c r="E913" s="344" t="s">
        <v>14210</v>
      </c>
      <c r="F913" s="344" t="s">
        <v>12341</v>
      </c>
      <c r="G913" s="347">
        <v>280</v>
      </c>
      <c r="H913" s="344"/>
      <c r="I913" s="347">
        <v>135</v>
      </c>
      <c r="J913" s="344"/>
      <c r="K913" s="344" t="s">
        <v>14211</v>
      </c>
      <c r="L913" s="344" t="s">
        <v>14172</v>
      </c>
      <c r="M913" s="344" t="s">
        <v>13752</v>
      </c>
      <c r="N913" s="344" t="s">
        <v>12339</v>
      </c>
      <c r="O913" s="348"/>
      <c r="P913" s="348"/>
      <c r="Q913" s="348"/>
      <c r="R913" s="348"/>
      <c r="S913" s="348"/>
      <c r="T913" s="348"/>
      <c r="U913" s="348"/>
      <c r="V913" s="348"/>
      <c r="W913" s="348"/>
      <c r="X913" s="348"/>
      <c r="Y913" s="348"/>
      <c r="Z913" s="348"/>
    </row>
    <row r="914" spans="1:26" s="64" customFormat="1" ht="47.25" customHeight="1" thickBot="1" x14ac:dyDescent="0.35">
      <c r="A914" s="343">
        <v>45534</v>
      </c>
      <c r="B914" s="345" t="s">
        <v>14212</v>
      </c>
      <c r="C914" s="344"/>
      <c r="D914" s="344" t="s">
        <v>12341</v>
      </c>
      <c r="E914" s="344" t="s">
        <v>12685</v>
      </c>
      <c r="F914" s="344" t="s">
        <v>12346</v>
      </c>
      <c r="G914" s="347">
        <v>200</v>
      </c>
      <c r="H914" s="344"/>
      <c r="I914" s="347">
        <v>70</v>
      </c>
      <c r="J914" s="344" t="s">
        <v>14213</v>
      </c>
      <c r="K914" s="344"/>
      <c r="L914" s="344" t="s">
        <v>12341</v>
      </c>
      <c r="M914" s="344" t="s">
        <v>13752</v>
      </c>
      <c r="N914" s="344" t="s">
        <v>12339</v>
      </c>
      <c r="O914" s="348"/>
      <c r="P914" s="348"/>
      <c r="Q914" s="348"/>
      <c r="R914" s="348"/>
      <c r="S914" s="348"/>
      <c r="T914" s="348"/>
      <c r="U914" s="348"/>
      <c r="V914" s="348"/>
      <c r="W914" s="348"/>
      <c r="X914" s="348"/>
      <c r="Y914" s="348"/>
      <c r="Z914" s="348"/>
    </row>
    <row r="915" spans="1:26" s="64" customFormat="1" ht="47.25" customHeight="1" thickBot="1" x14ac:dyDescent="0.35">
      <c r="A915" s="343">
        <v>45534</v>
      </c>
      <c r="B915" s="345" t="s">
        <v>14214</v>
      </c>
      <c r="C915" s="344"/>
      <c r="D915" s="344" t="s">
        <v>12341</v>
      </c>
      <c r="E915" s="344" t="s">
        <v>12675</v>
      </c>
      <c r="F915" s="344" t="s">
        <v>12341</v>
      </c>
      <c r="G915" s="347">
        <v>80</v>
      </c>
      <c r="H915" s="344"/>
      <c r="I915" s="347">
        <v>40</v>
      </c>
      <c r="J915" s="344"/>
      <c r="K915" s="344" t="s">
        <v>14215</v>
      </c>
      <c r="L915" s="344" t="s">
        <v>14216</v>
      </c>
      <c r="M915" s="344" t="s">
        <v>13752</v>
      </c>
      <c r="N915" s="344" t="s">
        <v>12339</v>
      </c>
      <c r="O915" s="348"/>
      <c r="P915" s="348"/>
      <c r="Q915" s="348"/>
      <c r="R915" s="348"/>
      <c r="S915" s="348"/>
      <c r="T915" s="348"/>
      <c r="U915" s="348"/>
      <c r="V915" s="348"/>
      <c r="W915" s="348"/>
      <c r="X915" s="348"/>
      <c r="Y915" s="348"/>
      <c r="Z915" s="348"/>
    </row>
    <row r="916" spans="1:26" s="64" customFormat="1" ht="47.25" customHeight="1" thickBot="1" x14ac:dyDescent="0.35">
      <c r="A916" s="343">
        <v>45534</v>
      </c>
      <c r="B916" s="345" t="s">
        <v>14217</v>
      </c>
      <c r="C916" s="344"/>
      <c r="D916" s="344" t="s">
        <v>12341</v>
      </c>
      <c r="E916" s="344" t="s">
        <v>12675</v>
      </c>
      <c r="F916" s="344" t="s">
        <v>12352</v>
      </c>
      <c r="G916" s="344"/>
      <c r="H916" s="344"/>
      <c r="I916" s="347">
        <v>40</v>
      </c>
      <c r="J916" s="344"/>
      <c r="K916" s="344" t="s">
        <v>14218</v>
      </c>
      <c r="L916" s="344" t="s">
        <v>14219</v>
      </c>
      <c r="M916" s="344" t="s">
        <v>13752</v>
      </c>
      <c r="N916" s="344" t="s">
        <v>12339</v>
      </c>
      <c r="O916" s="348"/>
      <c r="P916" s="348"/>
      <c r="Q916" s="348"/>
      <c r="R916" s="348"/>
      <c r="S916" s="348"/>
      <c r="T916" s="348"/>
      <c r="U916" s="348"/>
      <c r="V916" s="348"/>
      <c r="W916" s="348"/>
      <c r="X916" s="348"/>
      <c r="Y916" s="348"/>
      <c r="Z916" s="348"/>
    </row>
    <row r="917" spans="1:26" s="64" customFormat="1" ht="47.25" customHeight="1" thickBot="1" x14ac:dyDescent="0.35">
      <c r="A917" s="343">
        <v>45534</v>
      </c>
      <c r="B917" s="345" t="s">
        <v>14220</v>
      </c>
      <c r="C917" s="344"/>
      <c r="D917" s="344" t="s">
        <v>12341</v>
      </c>
      <c r="E917" s="344" t="s">
        <v>13524</v>
      </c>
      <c r="F917" s="344"/>
      <c r="G917" s="344"/>
      <c r="H917" s="344"/>
      <c r="I917" s="344"/>
      <c r="J917" s="344" t="s">
        <v>14221</v>
      </c>
      <c r="K917" s="344"/>
      <c r="L917" s="344" t="s">
        <v>12341</v>
      </c>
      <c r="M917" s="344" t="s">
        <v>13752</v>
      </c>
      <c r="N917" s="344" t="s">
        <v>12339</v>
      </c>
      <c r="O917" s="348"/>
      <c r="P917" s="348"/>
      <c r="Q917" s="348"/>
      <c r="R917" s="348"/>
      <c r="S917" s="348"/>
      <c r="T917" s="348"/>
      <c r="U917" s="348"/>
      <c r="V917" s="348"/>
      <c r="W917" s="348"/>
      <c r="X917" s="348"/>
      <c r="Y917" s="348"/>
      <c r="Z917" s="348"/>
    </row>
    <row r="918" spans="1:26" s="64" customFormat="1" ht="47.25" customHeight="1" thickBot="1" x14ac:dyDescent="0.35">
      <c r="A918" s="343">
        <v>45537</v>
      </c>
      <c r="B918" s="345" t="s">
        <v>14222</v>
      </c>
      <c r="C918" s="344"/>
      <c r="D918" s="344" t="s">
        <v>12341</v>
      </c>
      <c r="E918" s="344" t="s">
        <v>12341</v>
      </c>
      <c r="F918" s="344"/>
      <c r="G918" s="344"/>
      <c r="H918" s="344"/>
      <c r="I918" s="344"/>
      <c r="J918" s="344"/>
      <c r="K918" s="344" t="s">
        <v>14223</v>
      </c>
      <c r="L918" s="344" t="s">
        <v>14224</v>
      </c>
      <c r="M918" s="344" t="s">
        <v>14225</v>
      </c>
      <c r="N918" s="344" t="s">
        <v>12339</v>
      </c>
      <c r="O918" s="348"/>
      <c r="P918" s="348"/>
      <c r="Q918" s="348"/>
      <c r="R918" s="348"/>
      <c r="S918" s="348"/>
      <c r="T918" s="348"/>
      <c r="U918" s="348"/>
      <c r="V918" s="348"/>
      <c r="W918" s="348"/>
      <c r="X918" s="348"/>
      <c r="Y918" s="348"/>
      <c r="Z918" s="348"/>
    </row>
    <row r="919" spans="1:26" s="64" customFormat="1" ht="47.25" customHeight="1" thickBot="1" x14ac:dyDescent="0.35">
      <c r="A919" s="343">
        <v>45539</v>
      </c>
      <c r="B919" s="345" t="s">
        <v>14226</v>
      </c>
      <c r="C919" s="344"/>
      <c r="D919" s="344" t="s">
        <v>12341</v>
      </c>
      <c r="E919" s="344" t="s">
        <v>12341</v>
      </c>
      <c r="F919" s="344"/>
      <c r="G919" s="344"/>
      <c r="H919" s="344"/>
      <c r="I919" s="344"/>
      <c r="J919" s="344"/>
      <c r="K919" s="344" t="s">
        <v>14227</v>
      </c>
      <c r="L919" s="344" t="s">
        <v>14199</v>
      </c>
      <c r="M919" s="344" t="s">
        <v>14225</v>
      </c>
      <c r="N919" s="344" t="s">
        <v>12339</v>
      </c>
      <c r="O919" s="348"/>
      <c r="P919" s="348"/>
      <c r="Q919" s="348"/>
      <c r="R919" s="348"/>
      <c r="S919" s="348"/>
      <c r="T919" s="348"/>
      <c r="U919" s="348"/>
      <c r="V919" s="348"/>
      <c r="W919" s="348"/>
      <c r="X919" s="348"/>
      <c r="Y919" s="348"/>
      <c r="Z919" s="348"/>
    </row>
    <row r="920" spans="1:26" s="64" customFormat="1" ht="47.25" customHeight="1" thickBot="1" x14ac:dyDescent="0.35">
      <c r="A920" s="343">
        <v>45539</v>
      </c>
      <c r="B920" s="345" t="s">
        <v>14228</v>
      </c>
      <c r="C920" s="344"/>
      <c r="D920" s="344" t="s">
        <v>12341</v>
      </c>
      <c r="E920" s="344" t="s">
        <v>12341</v>
      </c>
      <c r="F920" s="344"/>
      <c r="G920" s="344"/>
      <c r="H920" s="344"/>
      <c r="I920" s="344"/>
      <c r="J920" s="344"/>
      <c r="K920" s="344" t="s">
        <v>12924</v>
      </c>
      <c r="L920" s="344" t="s">
        <v>14229</v>
      </c>
      <c r="M920" s="344" t="s">
        <v>14225</v>
      </c>
      <c r="N920" s="344" t="s">
        <v>12339</v>
      </c>
      <c r="O920" s="348"/>
      <c r="P920" s="348"/>
      <c r="Q920" s="348"/>
      <c r="R920" s="348"/>
      <c r="S920" s="348"/>
      <c r="T920" s="348"/>
      <c r="U920" s="348"/>
      <c r="V920" s="348"/>
      <c r="W920" s="348"/>
      <c r="X920" s="348"/>
      <c r="Y920" s="348"/>
      <c r="Z920" s="348"/>
    </row>
    <row r="921" spans="1:26" s="64" customFormat="1" ht="47.25" customHeight="1" thickBot="1" x14ac:dyDescent="0.35">
      <c r="A921" s="343">
        <v>45540</v>
      </c>
      <c r="B921" s="345" t="s">
        <v>14230</v>
      </c>
      <c r="C921" s="344"/>
      <c r="D921" s="344" t="s">
        <v>12341</v>
      </c>
      <c r="E921" s="344" t="s">
        <v>12341</v>
      </c>
      <c r="F921" s="344"/>
      <c r="G921" s="344"/>
      <c r="H921" s="344"/>
      <c r="I921" s="344"/>
      <c r="J921" s="344"/>
      <c r="K921" s="344" t="s">
        <v>12924</v>
      </c>
      <c r="L921" s="344" t="s">
        <v>14231</v>
      </c>
      <c r="M921" s="344" t="s">
        <v>14225</v>
      </c>
      <c r="N921" s="344" t="s">
        <v>12339</v>
      </c>
      <c r="O921" s="348"/>
      <c r="P921" s="348"/>
      <c r="Q921" s="348"/>
      <c r="R921" s="348"/>
      <c r="S921" s="348"/>
      <c r="T921" s="348"/>
      <c r="U921" s="348"/>
      <c r="V921" s="348"/>
      <c r="W921" s="348"/>
      <c r="X921" s="348"/>
      <c r="Y921" s="348"/>
      <c r="Z921" s="348"/>
    </row>
    <row r="922" spans="1:26" s="64" customFormat="1" ht="47.25" customHeight="1" thickBot="1" x14ac:dyDescent="0.35">
      <c r="A922" s="343">
        <v>45542</v>
      </c>
      <c r="B922" s="345" t="s">
        <v>14232</v>
      </c>
      <c r="C922" s="344"/>
      <c r="D922" s="344" t="s">
        <v>12341</v>
      </c>
      <c r="E922" s="344" t="s">
        <v>13565</v>
      </c>
      <c r="F922" s="344" t="s">
        <v>14233</v>
      </c>
      <c r="G922" s="344"/>
      <c r="H922" s="344"/>
      <c r="I922" s="347">
        <v>0</v>
      </c>
      <c r="J922" s="344" t="s">
        <v>14234</v>
      </c>
      <c r="K922" s="344"/>
      <c r="L922" s="344" t="s">
        <v>12341</v>
      </c>
      <c r="M922" s="344" t="s">
        <v>14225</v>
      </c>
      <c r="N922" s="344" t="s">
        <v>12344</v>
      </c>
      <c r="O922" s="348"/>
      <c r="P922" s="348"/>
      <c r="Q922" s="348"/>
      <c r="R922" s="348"/>
      <c r="S922" s="348"/>
      <c r="T922" s="348"/>
      <c r="U922" s="348"/>
      <c r="V922" s="348"/>
      <c r="W922" s="348"/>
      <c r="X922" s="348"/>
      <c r="Y922" s="348"/>
      <c r="Z922" s="348"/>
    </row>
    <row r="923" spans="1:26" s="64" customFormat="1" ht="47.25" customHeight="1" thickBot="1" x14ac:dyDescent="0.35">
      <c r="A923" s="343">
        <v>45547</v>
      </c>
      <c r="B923" s="345" t="s">
        <v>14235</v>
      </c>
      <c r="C923" s="344"/>
      <c r="D923" s="344" t="s">
        <v>12341</v>
      </c>
      <c r="E923" s="344" t="s">
        <v>12341</v>
      </c>
      <c r="F923" s="344"/>
      <c r="G923" s="344"/>
      <c r="H923" s="344"/>
      <c r="I923" s="344"/>
      <c r="J923" s="344"/>
      <c r="K923" s="344" t="s">
        <v>12778</v>
      </c>
      <c r="L923" s="344" t="s">
        <v>12341</v>
      </c>
      <c r="M923" s="344" t="s">
        <v>14225</v>
      </c>
      <c r="N923" s="344" t="s">
        <v>12339</v>
      </c>
      <c r="O923" s="348"/>
      <c r="P923" s="348"/>
      <c r="Q923" s="348"/>
      <c r="R923" s="348"/>
      <c r="S923" s="348"/>
      <c r="T923" s="348"/>
      <c r="U923" s="348"/>
      <c r="V923" s="348"/>
      <c r="W923" s="348"/>
      <c r="X923" s="348"/>
      <c r="Y923" s="348"/>
      <c r="Z923" s="348"/>
    </row>
    <row r="924" spans="1:26" s="64" customFormat="1" ht="47.25" customHeight="1" thickBot="1" x14ac:dyDescent="0.35">
      <c r="A924" s="343">
        <v>45547</v>
      </c>
      <c r="B924" s="345" t="s">
        <v>14235</v>
      </c>
      <c r="C924" s="344"/>
      <c r="D924" s="344" t="s">
        <v>12341</v>
      </c>
      <c r="E924" s="344" t="s">
        <v>12341</v>
      </c>
      <c r="F924" s="344"/>
      <c r="G924" s="344"/>
      <c r="H924" s="344"/>
      <c r="I924" s="344"/>
      <c r="J924" s="344"/>
      <c r="K924" s="344"/>
      <c r="L924" s="344" t="s">
        <v>12341</v>
      </c>
      <c r="M924" s="344" t="s">
        <v>14225</v>
      </c>
      <c r="N924" s="344" t="s">
        <v>12339</v>
      </c>
      <c r="O924" s="348"/>
      <c r="P924" s="348"/>
      <c r="Q924" s="348"/>
      <c r="R924" s="348"/>
      <c r="S924" s="348"/>
      <c r="T924" s="348"/>
      <c r="U924" s="348"/>
      <c r="V924" s="348"/>
      <c r="W924" s="348"/>
      <c r="X924" s="348"/>
      <c r="Y924" s="348"/>
      <c r="Z924" s="348"/>
    </row>
    <row r="925" spans="1:26" s="64" customFormat="1" ht="47.25" customHeight="1" thickBot="1" x14ac:dyDescent="0.35">
      <c r="A925" s="343">
        <v>45554</v>
      </c>
      <c r="B925" s="345" t="s">
        <v>14230</v>
      </c>
      <c r="C925" s="344"/>
      <c r="D925" s="344" t="s">
        <v>12341</v>
      </c>
      <c r="E925" s="344" t="s">
        <v>12341</v>
      </c>
      <c r="F925" s="344"/>
      <c r="G925" s="344"/>
      <c r="H925" s="344"/>
      <c r="I925" s="344"/>
      <c r="J925" s="344"/>
      <c r="K925" s="344" t="s">
        <v>12778</v>
      </c>
      <c r="L925" s="344" t="s">
        <v>14231</v>
      </c>
      <c r="M925" s="344" t="s">
        <v>14225</v>
      </c>
      <c r="N925" s="344" t="s">
        <v>12339</v>
      </c>
      <c r="O925" s="348"/>
      <c r="P925" s="348"/>
      <c r="Q925" s="348"/>
      <c r="R925" s="348"/>
      <c r="S925" s="348"/>
      <c r="T925" s="348"/>
      <c r="U925" s="348"/>
      <c r="V925" s="348"/>
      <c r="W925" s="348"/>
      <c r="X925" s="348"/>
      <c r="Y925" s="348"/>
      <c r="Z925" s="348"/>
    </row>
    <row r="926" spans="1:26" s="64" customFormat="1" ht="47.25" customHeight="1" thickBot="1" x14ac:dyDescent="0.35">
      <c r="A926" s="343">
        <v>45559</v>
      </c>
      <c r="B926" s="345" t="s">
        <v>14230</v>
      </c>
      <c r="C926" s="344"/>
      <c r="D926" s="344" t="s">
        <v>12341</v>
      </c>
      <c r="E926" s="344" t="s">
        <v>12341</v>
      </c>
      <c r="F926" s="344"/>
      <c r="G926" s="344"/>
      <c r="H926" s="344"/>
      <c r="I926" s="344"/>
      <c r="J926" s="344"/>
      <c r="K926" s="344"/>
      <c r="L926" s="344" t="s">
        <v>14231</v>
      </c>
      <c r="M926" s="344" t="s">
        <v>14225</v>
      </c>
      <c r="N926" s="344" t="s">
        <v>12339</v>
      </c>
      <c r="O926" s="348"/>
      <c r="P926" s="348"/>
      <c r="Q926" s="348"/>
      <c r="R926" s="348"/>
      <c r="S926" s="348"/>
      <c r="T926" s="348"/>
      <c r="U926" s="348"/>
      <c r="V926" s="348"/>
      <c r="W926" s="348"/>
      <c r="X926" s="348"/>
      <c r="Y926" s="348"/>
      <c r="Z926" s="348"/>
    </row>
    <row r="927" spans="1:26" s="64" customFormat="1" ht="47.25" customHeight="1" thickBot="1" x14ac:dyDescent="0.3">
      <c r="A927" s="343">
        <v>45560</v>
      </c>
      <c r="B927" s="350" t="s">
        <v>14236</v>
      </c>
      <c r="C927" s="344"/>
      <c r="D927" s="344" t="s">
        <v>12341</v>
      </c>
      <c r="E927" s="344" t="s">
        <v>12341</v>
      </c>
      <c r="F927" s="344"/>
      <c r="G927" s="344"/>
      <c r="H927" s="344"/>
      <c r="I927" s="344"/>
      <c r="J927" s="344"/>
      <c r="K927" s="344" t="s">
        <v>14237</v>
      </c>
      <c r="L927" s="344" t="s">
        <v>12341</v>
      </c>
      <c r="M927" s="344" t="s">
        <v>14225</v>
      </c>
      <c r="N927" s="344" t="s">
        <v>12339</v>
      </c>
      <c r="O927" s="348"/>
      <c r="P927" s="348"/>
      <c r="Q927" s="348"/>
      <c r="R927" s="348"/>
      <c r="S927" s="348"/>
      <c r="T927" s="348"/>
      <c r="U927" s="348"/>
      <c r="V927" s="348"/>
      <c r="W927" s="348"/>
      <c r="X927" s="348"/>
      <c r="Y927" s="348"/>
      <c r="Z927" s="348"/>
    </row>
    <row r="928" spans="1:26" s="64" customFormat="1" ht="47.25" customHeight="1" thickBot="1" x14ac:dyDescent="0.35">
      <c r="A928" s="343">
        <v>45565</v>
      </c>
      <c r="B928" s="345" t="s">
        <v>12344</v>
      </c>
      <c r="C928" s="344"/>
      <c r="D928" s="344" t="s">
        <v>12341</v>
      </c>
      <c r="E928" s="344" t="s">
        <v>12341</v>
      </c>
      <c r="F928" s="344"/>
      <c r="G928" s="344"/>
      <c r="H928" s="344"/>
      <c r="I928" s="344"/>
      <c r="J928" s="344"/>
      <c r="K928" s="344" t="s">
        <v>14238</v>
      </c>
      <c r="L928" s="344" t="s">
        <v>14239</v>
      </c>
      <c r="M928" s="344" t="s">
        <v>14225</v>
      </c>
      <c r="N928" s="344" t="s">
        <v>12339</v>
      </c>
      <c r="O928" s="348"/>
      <c r="P928" s="348"/>
      <c r="Q928" s="348"/>
      <c r="R928" s="348"/>
      <c r="S928" s="348"/>
      <c r="T928" s="348"/>
      <c r="U928" s="348"/>
      <c r="V928" s="348"/>
      <c r="W928" s="348"/>
      <c r="X928" s="348"/>
      <c r="Y928" s="348"/>
      <c r="Z928" s="348"/>
    </row>
    <row r="929" spans="1:26" s="64" customFormat="1" ht="47.25" customHeight="1" thickBot="1" x14ac:dyDescent="0.35">
      <c r="A929" s="343">
        <v>45571</v>
      </c>
      <c r="B929" s="345" t="s">
        <v>14240</v>
      </c>
      <c r="C929" s="344"/>
      <c r="D929" s="344" t="s">
        <v>12341</v>
      </c>
      <c r="E929" s="344" t="s">
        <v>12335</v>
      </c>
      <c r="F929" s="344" t="s">
        <v>12970</v>
      </c>
      <c r="G929" s="344"/>
      <c r="H929" s="347">
        <v>0</v>
      </c>
      <c r="I929" s="347">
        <v>265</v>
      </c>
      <c r="J929" s="344" t="s">
        <v>14241</v>
      </c>
      <c r="K929" s="344"/>
      <c r="L929" s="344" t="s">
        <v>12341</v>
      </c>
      <c r="M929" s="344" t="s">
        <v>14242</v>
      </c>
      <c r="N929" s="344" t="s">
        <v>12339</v>
      </c>
      <c r="O929" s="348"/>
      <c r="P929" s="348"/>
      <c r="Q929" s="348"/>
      <c r="R929" s="348"/>
      <c r="S929" s="348"/>
      <c r="T929" s="348"/>
      <c r="U929" s="348"/>
      <c r="V929" s="348"/>
      <c r="W929" s="348"/>
      <c r="X929" s="348"/>
      <c r="Y929" s="348"/>
      <c r="Z929" s="348"/>
    </row>
    <row r="930" spans="1:26" s="64" customFormat="1" ht="47.25" customHeight="1" thickBot="1" x14ac:dyDescent="0.35">
      <c r="A930" s="343">
        <v>45571</v>
      </c>
      <c r="B930" s="345" t="s">
        <v>14243</v>
      </c>
      <c r="C930" s="344"/>
      <c r="D930" s="344" t="s">
        <v>12341</v>
      </c>
      <c r="E930" s="344" t="s">
        <v>14244</v>
      </c>
      <c r="F930" s="344" t="s">
        <v>12346</v>
      </c>
      <c r="G930" s="347">
        <v>310</v>
      </c>
      <c r="H930" s="347">
        <v>170</v>
      </c>
      <c r="I930" s="347">
        <v>140</v>
      </c>
      <c r="J930" s="344" t="s">
        <v>14245</v>
      </c>
      <c r="K930" s="344"/>
      <c r="L930" s="344" t="s">
        <v>12341</v>
      </c>
      <c r="M930" s="344" t="s">
        <v>14242</v>
      </c>
      <c r="N930" s="344" t="s">
        <v>12339</v>
      </c>
      <c r="O930" s="348"/>
      <c r="P930" s="348"/>
      <c r="Q930" s="348"/>
      <c r="R930" s="348"/>
      <c r="S930" s="348"/>
      <c r="T930" s="348"/>
      <c r="U930" s="348"/>
      <c r="V930" s="348"/>
      <c r="W930" s="348"/>
      <c r="X930" s="348"/>
      <c r="Y930" s="348"/>
      <c r="Z930" s="348"/>
    </row>
    <row r="931" spans="1:26" s="64" customFormat="1" ht="47.25" customHeight="1" thickBot="1" x14ac:dyDescent="0.35">
      <c r="A931" s="343">
        <v>45572</v>
      </c>
      <c r="B931" s="345" t="s">
        <v>14246</v>
      </c>
      <c r="C931" s="344"/>
      <c r="D931" s="344" t="s">
        <v>12341</v>
      </c>
      <c r="E931" s="344" t="s">
        <v>12356</v>
      </c>
      <c r="F931" s="344" t="s">
        <v>12970</v>
      </c>
      <c r="G931" s="344"/>
      <c r="H931" s="344"/>
      <c r="I931" s="347">
        <v>40</v>
      </c>
      <c r="J931" s="344"/>
      <c r="K931" s="344"/>
      <c r="L931" s="344" t="s">
        <v>12341</v>
      </c>
      <c r="M931" s="344" t="s">
        <v>14242</v>
      </c>
      <c r="N931" s="344" t="s">
        <v>12344</v>
      </c>
      <c r="O931" s="348"/>
      <c r="P931" s="348"/>
      <c r="Q931" s="348"/>
      <c r="R931" s="348"/>
      <c r="S931" s="348"/>
      <c r="T931" s="348"/>
      <c r="U931" s="348"/>
      <c r="V931" s="348"/>
      <c r="W931" s="348"/>
      <c r="X931" s="348"/>
      <c r="Y931" s="348"/>
      <c r="Z931" s="348"/>
    </row>
    <row r="932" spans="1:26" s="64" customFormat="1" ht="47.25" customHeight="1" thickBot="1" x14ac:dyDescent="0.35">
      <c r="A932" s="343">
        <v>45572</v>
      </c>
      <c r="B932" s="345" t="s">
        <v>14247</v>
      </c>
      <c r="C932" s="344"/>
      <c r="D932" s="344" t="s">
        <v>12341</v>
      </c>
      <c r="E932" s="344" t="s">
        <v>12356</v>
      </c>
      <c r="F932" s="344" t="s">
        <v>12346</v>
      </c>
      <c r="G932" s="347">
        <v>80</v>
      </c>
      <c r="H932" s="347">
        <v>40</v>
      </c>
      <c r="I932" s="347">
        <v>40</v>
      </c>
      <c r="J932" s="344"/>
      <c r="K932" s="344"/>
      <c r="L932" s="344" t="s">
        <v>12341</v>
      </c>
      <c r="M932" s="344" t="s">
        <v>14242</v>
      </c>
      <c r="N932" s="344" t="s">
        <v>12344</v>
      </c>
      <c r="O932" s="348"/>
      <c r="P932" s="348"/>
      <c r="Q932" s="348"/>
      <c r="R932" s="348"/>
      <c r="S932" s="348"/>
      <c r="T932" s="348"/>
      <c r="U932" s="348"/>
      <c r="V932" s="348"/>
      <c r="W932" s="348"/>
      <c r="X932" s="348"/>
      <c r="Y932" s="348"/>
      <c r="Z932" s="348"/>
    </row>
    <row r="933" spans="1:26" s="64" customFormat="1" ht="47.25" customHeight="1" thickBot="1" x14ac:dyDescent="0.35">
      <c r="A933" s="343">
        <v>45572</v>
      </c>
      <c r="B933" s="345" t="s">
        <v>14248</v>
      </c>
      <c r="C933" s="344"/>
      <c r="D933" s="344" t="s">
        <v>12341</v>
      </c>
      <c r="E933" s="344" t="s">
        <v>12342</v>
      </c>
      <c r="F933" s="344" t="s">
        <v>12360</v>
      </c>
      <c r="G933" s="344"/>
      <c r="H933" s="344"/>
      <c r="I933" s="347">
        <v>74</v>
      </c>
      <c r="J933" s="344"/>
      <c r="K933" s="344"/>
      <c r="L933" s="344" t="s">
        <v>12341</v>
      </c>
      <c r="M933" s="344" t="s">
        <v>14242</v>
      </c>
      <c r="N933" s="344" t="s">
        <v>12344</v>
      </c>
      <c r="O933" s="348"/>
      <c r="P933" s="348"/>
      <c r="Q933" s="348"/>
      <c r="R933" s="348"/>
      <c r="S933" s="348"/>
      <c r="T933" s="348"/>
      <c r="U933" s="348"/>
      <c r="V933" s="348"/>
      <c r="W933" s="348"/>
      <c r="X933" s="348"/>
      <c r="Y933" s="348"/>
      <c r="Z933" s="348"/>
    </row>
    <row r="934" spans="1:26" s="64" customFormat="1" ht="47.25" customHeight="1" thickBot="1" x14ac:dyDescent="0.35">
      <c r="A934" s="343">
        <v>45572</v>
      </c>
      <c r="B934" s="345" t="s">
        <v>14249</v>
      </c>
      <c r="C934" s="344"/>
      <c r="D934" s="344" t="s">
        <v>12341</v>
      </c>
      <c r="E934" s="344" t="s">
        <v>2992</v>
      </c>
      <c r="F934" s="344" t="s">
        <v>12360</v>
      </c>
      <c r="G934" s="344"/>
      <c r="H934" s="344"/>
      <c r="I934" s="347">
        <v>35</v>
      </c>
      <c r="J934" s="344" t="s">
        <v>14250</v>
      </c>
      <c r="K934" s="344"/>
      <c r="L934" s="344" t="s">
        <v>12341</v>
      </c>
      <c r="M934" s="344" t="s">
        <v>14242</v>
      </c>
      <c r="N934" s="344" t="s">
        <v>12339</v>
      </c>
      <c r="O934" s="348"/>
      <c r="P934" s="348"/>
      <c r="Q934" s="348"/>
      <c r="R934" s="348"/>
      <c r="S934" s="348"/>
      <c r="T934" s="348"/>
      <c r="U934" s="348"/>
      <c r="V934" s="348"/>
      <c r="W934" s="348"/>
      <c r="X934" s="348"/>
      <c r="Y934" s="348"/>
      <c r="Z934" s="348"/>
    </row>
    <row r="935" spans="1:26" s="64" customFormat="1" ht="47.25" customHeight="1" thickBot="1" x14ac:dyDescent="0.35">
      <c r="A935" s="343">
        <v>45572</v>
      </c>
      <c r="B935" s="345" t="s">
        <v>14251</v>
      </c>
      <c r="C935" s="344"/>
      <c r="D935" s="344" t="s">
        <v>12341</v>
      </c>
      <c r="E935" s="344" t="s">
        <v>12356</v>
      </c>
      <c r="F935" s="344" t="s">
        <v>12346</v>
      </c>
      <c r="G935" s="347">
        <v>80</v>
      </c>
      <c r="H935" s="347">
        <v>40</v>
      </c>
      <c r="I935" s="347">
        <v>40</v>
      </c>
      <c r="J935" s="344"/>
      <c r="K935" s="344"/>
      <c r="L935" s="344" t="s">
        <v>12341</v>
      </c>
      <c r="M935" s="344" t="s">
        <v>14242</v>
      </c>
      <c r="N935" s="344" t="s">
        <v>12344</v>
      </c>
      <c r="O935" s="348"/>
      <c r="P935" s="348"/>
      <c r="Q935" s="348"/>
      <c r="R935" s="348"/>
      <c r="S935" s="348"/>
      <c r="T935" s="348"/>
      <c r="U935" s="348"/>
      <c r="V935" s="348"/>
      <c r="W935" s="348"/>
      <c r="X935" s="348"/>
      <c r="Y935" s="348"/>
      <c r="Z935" s="348"/>
    </row>
    <row r="936" spans="1:26" s="64" customFormat="1" ht="47.25" customHeight="1" thickBot="1" x14ac:dyDescent="0.35">
      <c r="A936" s="343">
        <v>45572</v>
      </c>
      <c r="B936" s="345" t="s">
        <v>14252</v>
      </c>
      <c r="C936" s="344"/>
      <c r="D936" s="344" t="s">
        <v>12341</v>
      </c>
      <c r="E936" s="344" t="s">
        <v>12342</v>
      </c>
      <c r="F936" s="344" t="s">
        <v>12360</v>
      </c>
      <c r="G936" s="344"/>
      <c r="H936" s="344"/>
      <c r="I936" s="347">
        <v>0</v>
      </c>
      <c r="J936" s="344" t="s">
        <v>14253</v>
      </c>
      <c r="K936" s="344"/>
      <c r="L936" s="344" t="s">
        <v>12341</v>
      </c>
      <c r="M936" s="344" t="s">
        <v>14242</v>
      </c>
      <c r="N936" s="344" t="s">
        <v>12344</v>
      </c>
      <c r="O936" s="348"/>
      <c r="P936" s="348"/>
      <c r="Q936" s="348"/>
      <c r="R936" s="348"/>
      <c r="S936" s="348"/>
      <c r="T936" s="348"/>
      <c r="U936" s="348"/>
      <c r="V936" s="348"/>
      <c r="W936" s="348"/>
      <c r="X936" s="348"/>
      <c r="Y936" s="348"/>
      <c r="Z936" s="348"/>
    </row>
    <row r="937" spans="1:26" s="64" customFormat="1" ht="47.25" customHeight="1" thickBot="1" x14ac:dyDescent="0.35">
      <c r="A937" s="343">
        <v>45572</v>
      </c>
      <c r="B937" s="345" t="s">
        <v>14254</v>
      </c>
      <c r="C937" s="344"/>
      <c r="D937" s="344" t="s">
        <v>12341</v>
      </c>
      <c r="E937" s="344" t="s">
        <v>12356</v>
      </c>
      <c r="F937" s="344" t="s">
        <v>12346</v>
      </c>
      <c r="G937" s="347">
        <v>90</v>
      </c>
      <c r="H937" s="347">
        <v>50</v>
      </c>
      <c r="I937" s="347">
        <v>40</v>
      </c>
      <c r="J937" s="344"/>
      <c r="K937" s="344"/>
      <c r="L937" s="344" t="s">
        <v>12341</v>
      </c>
      <c r="M937" s="344" t="s">
        <v>14242</v>
      </c>
      <c r="N937" s="344" t="s">
        <v>12344</v>
      </c>
      <c r="O937" s="348"/>
      <c r="P937" s="348"/>
      <c r="Q937" s="348"/>
      <c r="R937" s="348"/>
      <c r="S937" s="348"/>
      <c r="T937" s="348"/>
      <c r="U937" s="348"/>
      <c r="V937" s="348"/>
      <c r="W937" s="348"/>
      <c r="X937" s="348"/>
      <c r="Y937" s="348"/>
      <c r="Z937" s="348"/>
    </row>
    <row r="938" spans="1:26" s="64" customFormat="1" ht="47.25" customHeight="1" thickBot="1" x14ac:dyDescent="0.35">
      <c r="A938" s="343">
        <v>45576</v>
      </c>
      <c r="B938" s="345" t="s">
        <v>14255</v>
      </c>
      <c r="C938" s="344"/>
      <c r="D938" s="344" t="s">
        <v>12341</v>
      </c>
      <c r="E938" s="344" t="s">
        <v>12341</v>
      </c>
      <c r="F938" s="344"/>
      <c r="G938" s="344"/>
      <c r="H938" s="344"/>
      <c r="I938" s="344"/>
      <c r="J938" s="344"/>
      <c r="K938" s="344"/>
      <c r="L938" s="344" t="s">
        <v>12341</v>
      </c>
      <c r="M938" s="344" t="s">
        <v>14242</v>
      </c>
      <c r="N938" s="344" t="s">
        <v>12339</v>
      </c>
      <c r="O938" s="348"/>
      <c r="P938" s="348"/>
      <c r="Q938" s="348"/>
      <c r="R938" s="348"/>
      <c r="S938" s="348"/>
      <c r="T938" s="348"/>
      <c r="U938" s="348"/>
      <c r="V938" s="348"/>
      <c r="W938" s="348"/>
      <c r="X938" s="348"/>
      <c r="Y938" s="348"/>
      <c r="Z938" s="348"/>
    </row>
    <row r="939" spans="1:26" s="64" customFormat="1" ht="47.25" customHeight="1" thickBot="1" x14ac:dyDescent="0.35">
      <c r="A939" s="343">
        <v>45603</v>
      </c>
      <c r="B939" s="345" t="s">
        <v>13366</v>
      </c>
      <c r="C939" s="344"/>
      <c r="D939" s="344" t="s">
        <v>12341</v>
      </c>
      <c r="E939" s="344" t="s">
        <v>12342</v>
      </c>
      <c r="F939" s="344"/>
      <c r="G939" s="344"/>
      <c r="H939" s="344"/>
      <c r="I939" s="347">
        <v>0</v>
      </c>
      <c r="J939" s="344" t="s">
        <v>14256</v>
      </c>
      <c r="K939" s="344"/>
      <c r="L939" s="344" t="s">
        <v>12341</v>
      </c>
      <c r="M939" s="344" t="s">
        <v>14257</v>
      </c>
      <c r="N939" s="344" t="s">
        <v>12344</v>
      </c>
      <c r="O939" s="348"/>
      <c r="P939" s="348"/>
      <c r="Q939" s="348"/>
      <c r="R939" s="348"/>
      <c r="S939" s="348"/>
      <c r="T939" s="348"/>
      <c r="U939" s="348"/>
      <c r="V939" s="348"/>
      <c r="W939" s="348"/>
      <c r="X939" s="348"/>
      <c r="Y939" s="348"/>
      <c r="Z939" s="348"/>
    </row>
    <row r="940" spans="1:26" s="64" customFormat="1" ht="47.25" customHeight="1" thickBot="1" x14ac:dyDescent="0.35">
      <c r="A940" s="343">
        <v>45603</v>
      </c>
      <c r="B940" s="345" t="s">
        <v>13365</v>
      </c>
      <c r="C940" s="344"/>
      <c r="D940" s="344" t="s">
        <v>12341</v>
      </c>
      <c r="E940" s="344" t="s">
        <v>12344</v>
      </c>
      <c r="F940" s="344" t="s">
        <v>12346</v>
      </c>
      <c r="G940" s="344"/>
      <c r="H940" s="344"/>
      <c r="I940" s="347">
        <v>0</v>
      </c>
      <c r="J940" s="344" t="s">
        <v>14258</v>
      </c>
      <c r="K940" s="344"/>
      <c r="L940" s="344" t="s">
        <v>12341</v>
      </c>
      <c r="M940" s="344" t="s">
        <v>14257</v>
      </c>
      <c r="N940" s="344" t="s">
        <v>12344</v>
      </c>
      <c r="O940" s="348"/>
      <c r="P940" s="348"/>
      <c r="Q940" s="348"/>
      <c r="R940" s="348"/>
      <c r="S940" s="348"/>
      <c r="T940" s="348"/>
      <c r="U940" s="348"/>
      <c r="V940" s="348"/>
      <c r="W940" s="348"/>
      <c r="X940" s="348"/>
      <c r="Y940" s="348"/>
      <c r="Z940" s="348"/>
    </row>
    <row r="941" spans="1:26" s="64" customFormat="1" ht="47.25" customHeight="1" thickBot="1" x14ac:dyDescent="0.35">
      <c r="A941" s="343">
        <v>45603</v>
      </c>
      <c r="B941" s="345" t="s">
        <v>13378</v>
      </c>
      <c r="C941" s="344"/>
      <c r="D941" s="344" t="s">
        <v>12341</v>
      </c>
      <c r="E941" s="344" t="s">
        <v>13565</v>
      </c>
      <c r="F941" s="344" t="s">
        <v>12970</v>
      </c>
      <c r="G941" s="344"/>
      <c r="H941" s="344"/>
      <c r="I941" s="347">
        <v>70</v>
      </c>
      <c r="J941" s="344"/>
      <c r="K941" s="344"/>
      <c r="L941" s="344" t="s">
        <v>12341</v>
      </c>
      <c r="M941" s="344" t="s">
        <v>14257</v>
      </c>
      <c r="N941" s="344" t="s">
        <v>12344</v>
      </c>
      <c r="O941" s="348"/>
      <c r="P941" s="348"/>
      <c r="Q941" s="348"/>
      <c r="R941" s="348"/>
      <c r="S941" s="348"/>
      <c r="T941" s="348"/>
      <c r="U941" s="348"/>
      <c r="V941" s="348"/>
      <c r="W941" s="348"/>
      <c r="X941" s="348"/>
      <c r="Y941" s="348"/>
      <c r="Z941" s="348"/>
    </row>
    <row r="942" spans="1:26" s="64" customFormat="1" ht="47.25" customHeight="1" thickBot="1" x14ac:dyDescent="0.35">
      <c r="A942" s="343">
        <v>45608</v>
      </c>
      <c r="B942" s="345" t="s">
        <v>14259</v>
      </c>
      <c r="C942" s="344"/>
      <c r="D942" s="344" t="s">
        <v>12341</v>
      </c>
      <c r="E942" s="344" t="s">
        <v>12341</v>
      </c>
      <c r="F942" s="344"/>
      <c r="G942" s="344"/>
      <c r="H942" s="344"/>
      <c r="I942" s="344"/>
      <c r="J942" s="344"/>
      <c r="K942" s="344"/>
      <c r="L942" s="344" t="s">
        <v>12341</v>
      </c>
      <c r="M942" s="344" t="s">
        <v>14257</v>
      </c>
      <c r="N942" s="344" t="s">
        <v>12339</v>
      </c>
      <c r="O942" s="348"/>
      <c r="P942" s="348"/>
      <c r="Q942" s="348"/>
      <c r="R942" s="348"/>
      <c r="S942" s="348"/>
      <c r="T942" s="348"/>
      <c r="U942" s="348"/>
      <c r="V942" s="348"/>
      <c r="W942" s="348"/>
      <c r="X942" s="348"/>
      <c r="Y942" s="348"/>
      <c r="Z942" s="348"/>
    </row>
    <row r="943" spans="1:26" s="64" customFormat="1" ht="47.25" customHeight="1" thickBot="1" x14ac:dyDescent="0.35">
      <c r="A943" s="343">
        <v>45621</v>
      </c>
      <c r="B943" s="345" t="s">
        <v>14260</v>
      </c>
      <c r="C943" s="344"/>
      <c r="D943" s="344" t="s">
        <v>12341</v>
      </c>
      <c r="E943" s="344" t="s">
        <v>12341</v>
      </c>
      <c r="F943" s="344"/>
      <c r="G943" s="344"/>
      <c r="H943" s="344"/>
      <c r="I943" s="344"/>
      <c r="J943" s="344"/>
      <c r="K943" s="344"/>
      <c r="L943" s="344" t="s">
        <v>12341</v>
      </c>
      <c r="M943" s="344" t="s">
        <v>14257</v>
      </c>
      <c r="N943" s="344" t="s">
        <v>12339</v>
      </c>
      <c r="O943" s="348"/>
      <c r="P943" s="348"/>
      <c r="Q943" s="348"/>
      <c r="R943" s="348"/>
      <c r="S943" s="348"/>
      <c r="T943" s="348"/>
      <c r="U943" s="348"/>
      <c r="V943" s="348"/>
      <c r="W943" s="348"/>
      <c r="X943" s="348"/>
      <c r="Y943" s="348"/>
      <c r="Z943" s="348"/>
    </row>
    <row r="944" spans="1:26" s="64" customFormat="1" ht="47.25" customHeight="1" thickBot="1" x14ac:dyDescent="0.35">
      <c r="A944" s="343">
        <v>45621</v>
      </c>
      <c r="B944" s="345" t="s">
        <v>14260</v>
      </c>
      <c r="C944" s="344"/>
      <c r="D944" s="344" t="s">
        <v>12341</v>
      </c>
      <c r="E944" s="344" t="s">
        <v>12341</v>
      </c>
      <c r="F944" s="344"/>
      <c r="G944" s="344"/>
      <c r="H944" s="344"/>
      <c r="I944" s="344"/>
      <c r="J944" s="344"/>
      <c r="K944" s="344"/>
      <c r="L944" s="344" t="s">
        <v>12341</v>
      </c>
      <c r="M944" s="344" t="s">
        <v>14257</v>
      </c>
      <c r="N944" s="344" t="s">
        <v>12339</v>
      </c>
      <c r="O944" s="348"/>
      <c r="P944" s="348"/>
      <c r="Q944" s="348"/>
      <c r="R944" s="348"/>
      <c r="S944" s="348"/>
      <c r="T944" s="348"/>
      <c r="U944" s="348"/>
      <c r="V944" s="348"/>
      <c r="W944" s="348"/>
      <c r="X944" s="348"/>
      <c r="Y944" s="348"/>
      <c r="Z944" s="348"/>
    </row>
    <row r="945" spans="1:26" s="64" customFormat="1" ht="47.25" customHeight="1" thickBot="1" x14ac:dyDescent="0.35">
      <c r="A945" s="343">
        <v>45632</v>
      </c>
      <c r="B945" s="345" t="s">
        <v>14261</v>
      </c>
      <c r="C945" s="344"/>
      <c r="D945" s="344" t="s">
        <v>12341</v>
      </c>
      <c r="E945" s="344" t="s">
        <v>14262</v>
      </c>
      <c r="F945" s="344" t="s">
        <v>12346</v>
      </c>
      <c r="G945" s="347">
        <v>80</v>
      </c>
      <c r="H945" s="347">
        <v>40</v>
      </c>
      <c r="I945" s="347">
        <v>40</v>
      </c>
      <c r="J945" s="344" t="s">
        <v>14263</v>
      </c>
      <c r="K945" s="344"/>
      <c r="L945" s="344" t="s">
        <v>12341</v>
      </c>
      <c r="M945" s="344" t="s">
        <v>14264</v>
      </c>
      <c r="N945" s="344" t="s">
        <v>12344</v>
      </c>
      <c r="O945" s="348"/>
      <c r="P945" s="348"/>
      <c r="Q945" s="348"/>
      <c r="R945" s="348"/>
      <c r="S945" s="348"/>
      <c r="T945" s="348"/>
      <c r="U945" s="348"/>
      <c r="V945" s="348"/>
      <c r="W945" s="348"/>
      <c r="X945" s="348"/>
      <c r="Y945" s="348"/>
      <c r="Z945" s="348"/>
    </row>
    <row r="946" spans="1:26" s="64" customFormat="1" ht="47.25" customHeight="1" thickBot="1" x14ac:dyDescent="0.35">
      <c r="A946" s="343">
        <v>45632</v>
      </c>
      <c r="B946" s="345" t="s">
        <v>12986</v>
      </c>
      <c r="C946" s="344"/>
      <c r="D946" s="344" t="s">
        <v>12341</v>
      </c>
      <c r="E946" s="344" t="s">
        <v>12342</v>
      </c>
      <c r="F946" s="344" t="s">
        <v>12970</v>
      </c>
      <c r="G946" s="344"/>
      <c r="H946" s="344"/>
      <c r="I946" s="344"/>
      <c r="J946" s="344" t="s">
        <v>14265</v>
      </c>
      <c r="K946" s="344"/>
      <c r="L946" s="344" t="s">
        <v>12341</v>
      </c>
      <c r="M946" s="344" t="s">
        <v>14264</v>
      </c>
      <c r="N946" s="344" t="s">
        <v>12344</v>
      </c>
      <c r="O946" s="348"/>
      <c r="P946" s="348"/>
      <c r="Q946" s="348"/>
      <c r="R946" s="348"/>
      <c r="S946" s="348"/>
      <c r="T946" s="348"/>
      <c r="U946" s="348"/>
      <c r="V946" s="348"/>
      <c r="W946" s="348"/>
      <c r="X946" s="348"/>
      <c r="Y946" s="348"/>
      <c r="Z946" s="348"/>
    </row>
    <row r="947" spans="1:26" s="64" customFormat="1" ht="47.25" customHeight="1" thickBot="1" x14ac:dyDescent="0.35">
      <c r="A947" s="343">
        <v>45633</v>
      </c>
      <c r="B947" s="345" t="s">
        <v>14266</v>
      </c>
      <c r="C947" s="344"/>
      <c r="D947" s="344" t="s">
        <v>12341</v>
      </c>
      <c r="E947" s="344" t="s">
        <v>12344</v>
      </c>
      <c r="F947" s="344" t="s">
        <v>14267</v>
      </c>
      <c r="G947" s="347">
        <v>0</v>
      </c>
      <c r="H947" s="344"/>
      <c r="I947" s="347">
        <v>0</v>
      </c>
      <c r="J947" s="344"/>
      <c r="K947" s="344"/>
      <c r="L947" s="344" t="s">
        <v>12341</v>
      </c>
      <c r="M947" s="344" t="s">
        <v>14264</v>
      </c>
      <c r="N947" s="344" t="s">
        <v>12344</v>
      </c>
      <c r="O947" s="348"/>
      <c r="P947" s="348"/>
      <c r="Q947" s="348"/>
      <c r="R947" s="348"/>
      <c r="S947" s="348"/>
      <c r="T947" s="348"/>
      <c r="U947" s="348"/>
      <c r="V947" s="348"/>
      <c r="W947" s="348"/>
      <c r="X947" s="348"/>
      <c r="Y947" s="348"/>
      <c r="Z947" s="348"/>
    </row>
    <row r="948" spans="1:26" s="64" customFormat="1" ht="47.25" customHeight="1" thickBot="1" x14ac:dyDescent="0.35">
      <c r="A948" s="343">
        <v>45633</v>
      </c>
      <c r="B948" s="345" t="s">
        <v>14268</v>
      </c>
      <c r="C948" s="344"/>
      <c r="D948" s="344" t="s">
        <v>12341</v>
      </c>
      <c r="E948" s="344" t="s">
        <v>2992</v>
      </c>
      <c r="F948" s="344" t="s">
        <v>12346</v>
      </c>
      <c r="G948" s="347">
        <v>100</v>
      </c>
      <c r="H948" s="344"/>
      <c r="I948" s="347">
        <v>40</v>
      </c>
      <c r="J948" s="344" t="s">
        <v>14269</v>
      </c>
      <c r="K948" s="344"/>
      <c r="L948" s="344" t="s">
        <v>12341</v>
      </c>
      <c r="M948" s="344" t="s">
        <v>14264</v>
      </c>
      <c r="N948" s="344" t="s">
        <v>12339</v>
      </c>
      <c r="O948" s="348"/>
      <c r="P948" s="348"/>
      <c r="Q948" s="348"/>
      <c r="R948" s="348"/>
      <c r="S948" s="348"/>
      <c r="T948" s="348"/>
      <c r="U948" s="348"/>
      <c r="V948" s="348"/>
      <c r="W948" s="348"/>
      <c r="X948" s="348"/>
      <c r="Y948" s="348"/>
      <c r="Z948" s="348"/>
    </row>
    <row r="949" spans="1:26" s="64" customFormat="1" ht="47.25" customHeight="1" thickBot="1" x14ac:dyDescent="0.35">
      <c r="A949" s="343">
        <v>45633</v>
      </c>
      <c r="B949" s="345" t="s">
        <v>13405</v>
      </c>
      <c r="C949" s="344"/>
      <c r="D949" s="344" t="s">
        <v>12341</v>
      </c>
      <c r="E949" s="344" t="s">
        <v>13565</v>
      </c>
      <c r="F949" s="344" t="s">
        <v>12346</v>
      </c>
      <c r="G949" s="347">
        <v>0</v>
      </c>
      <c r="H949" s="344"/>
      <c r="I949" s="344"/>
      <c r="J949" s="344" t="s">
        <v>14270</v>
      </c>
      <c r="K949" s="344"/>
      <c r="L949" s="344" t="s">
        <v>12341</v>
      </c>
      <c r="M949" s="344" t="s">
        <v>14264</v>
      </c>
      <c r="N949" s="344" t="s">
        <v>12344</v>
      </c>
      <c r="O949" s="348"/>
      <c r="P949" s="348"/>
      <c r="Q949" s="348"/>
      <c r="R949" s="348"/>
      <c r="S949" s="348"/>
      <c r="T949" s="348"/>
      <c r="U949" s="348"/>
      <c r="V949" s="348"/>
      <c r="W949" s="348"/>
      <c r="X949" s="348"/>
      <c r="Y949" s="348"/>
      <c r="Z949" s="348"/>
    </row>
    <row r="950" spans="1:26" s="64" customFormat="1" ht="47.25" customHeight="1" thickBot="1" x14ac:dyDescent="0.35">
      <c r="A950" s="343">
        <v>45633</v>
      </c>
      <c r="B950" s="345" t="s">
        <v>12493</v>
      </c>
      <c r="C950" s="344"/>
      <c r="D950" s="344" t="s">
        <v>12341</v>
      </c>
      <c r="E950" s="344" t="s">
        <v>14271</v>
      </c>
      <c r="F950" s="344" t="s">
        <v>12360</v>
      </c>
      <c r="G950" s="347">
        <v>0</v>
      </c>
      <c r="H950" s="344"/>
      <c r="I950" s="347">
        <v>0</v>
      </c>
      <c r="J950" s="344" t="s">
        <v>14272</v>
      </c>
      <c r="K950" s="344"/>
      <c r="L950" s="344" t="s">
        <v>12341</v>
      </c>
      <c r="M950" s="344" t="s">
        <v>14264</v>
      </c>
      <c r="N950" s="344" t="s">
        <v>12339</v>
      </c>
      <c r="O950" s="348"/>
      <c r="P950" s="348"/>
      <c r="Q950" s="348"/>
      <c r="R950" s="348"/>
      <c r="S950" s="348"/>
      <c r="T950" s="348"/>
      <c r="U950" s="348"/>
      <c r="V950" s="348"/>
      <c r="W950" s="348"/>
      <c r="X950" s="348"/>
      <c r="Y950" s="348"/>
      <c r="Z950" s="348"/>
    </row>
    <row r="951" spans="1:26" s="64" customFormat="1" ht="47.25" customHeight="1" thickBot="1" x14ac:dyDescent="0.35">
      <c r="A951" s="343">
        <v>45633</v>
      </c>
      <c r="B951" s="345" t="s">
        <v>14273</v>
      </c>
      <c r="C951" s="344"/>
      <c r="D951" s="344" t="s">
        <v>12341</v>
      </c>
      <c r="E951" s="344" t="s">
        <v>12344</v>
      </c>
      <c r="F951" s="344" t="s">
        <v>12346</v>
      </c>
      <c r="G951" s="347">
        <v>80</v>
      </c>
      <c r="H951" s="347">
        <v>40</v>
      </c>
      <c r="I951" s="347">
        <v>40</v>
      </c>
      <c r="J951" s="344" t="s">
        <v>14274</v>
      </c>
      <c r="K951" s="344"/>
      <c r="L951" s="344" t="s">
        <v>12341</v>
      </c>
      <c r="M951" s="344" t="s">
        <v>14264</v>
      </c>
      <c r="N951" s="344" t="s">
        <v>12344</v>
      </c>
      <c r="O951" s="348"/>
      <c r="P951" s="348"/>
      <c r="Q951" s="348"/>
      <c r="R951" s="348"/>
      <c r="S951" s="348"/>
      <c r="T951" s="348"/>
      <c r="U951" s="348"/>
      <c r="V951" s="348"/>
      <c r="W951" s="348"/>
      <c r="X951" s="348"/>
      <c r="Y951" s="348"/>
      <c r="Z951" s="348"/>
    </row>
    <row r="952" spans="1:26" s="64" customFormat="1" ht="47.25" customHeight="1" thickBot="1" x14ac:dyDescent="0.35">
      <c r="A952" s="343">
        <v>45633</v>
      </c>
      <c r="B952" s="345" t="s">
        <v>14275</v>
      </c>
      <c r="C952" s="344"/>
      <c r="D952" s="344" t="s">
        <v>12341</v>
      </c>
      <c r="E952" s="344" t="s">
        <v>12356</v>
      </c>
      <c r="F952" s="344" t="s">
        <v>12346</v>
      </c>
      <c r="G952" s="347">
        <v>80</v>
      </c>
      <c r="H952" s="347">
        <v>40</v>
      </c>
      <c r="I952" s="347">
        <v>40</v>
      </c>
      <c r="J952" s="344"/>
      <c r="K952" s="344"/>
      <c r="L952" s="344" t="s">
        <v>12341</v>
      </c>
      <c r="M952" s="344" t="s">
        <v>14264</v>
      </c>
      <c r="N952" s="344" t="s">
        <v>12344</v>
      </c>
      <c r="O952" s="348"/>
      <c r="P952" s="348"/>
      <c r="Q952" s="348"/>
      <c r="R952" s="348"/>
      <c r="S952" s="348"/>
      <c r="T952" s="348"/>
      <c r="U952" s="348"/>
      <c r="V952" s="348"/>
      <c r="W952" s="348"/>
      <c r="X952" s="348"/>
      <c r="Y952" s="348"/>
      <c r="Z952" s="348"/>
    </row>
    <row r="953" spans="1:26" s="64" customFormat="1" ht="47.25" customHeight="1" thickBot="1" x14ac:dyDescent="0.35">
      <c r="A953" s="343">
        <v>45633</v>
      </c>
      <c r="B953" s="345" t="s">
        <v>13397</v>
      </c>
      <c r="C953" s="344"/>
      <c r="D953" s="344" t="s">
        <v>12341</v>
      </c>
      <c r="E953" s="344" t="s">
        <v>12342</v>
      </c>
      <c r="F953" s="344" t="s">
        <v>12346</v>
      </c>
      <c r="G953" s="347">
        <v>160</v>
      </c>
      <c r="H953" s="344"/>
      <c r="I953" s="347">
        <v>74</v>
      </c>
      <c r="J953" s="344"/>
      <c r="K953" s="344"/>
      <c r="L953" s="344" t="s">
        <v>12341</v>
      </c>
      <c r="M953" s="344" t="s">
        <v>14264</v>
      </c>
      <c r="N953" s="344" t="s">
        <v>12344</v>
      </c>
      <c r="O953" s="348"/>
      <c r="P953" s="348"/>
      <c r="Q953" s="348"/>
      <c r="R953" s="348"/>
      <c r="S953" s="348"/>
      <c r="T953" s="348"/>
      <c r="U953" s="348"/>
      <c r="V953" s="348"/>
      <c r="W953" s="348"/>
      <c r="X953" s="348"/>
      <c r="Y953" s="348"/>
      <c r="Z953" s="348"/>
    </row>
    <row r="954" spans="1:26" ht="47.25" customHeight="1" thickBot="1" x14ac:dyDescent="0.3">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spans="1:26" ht="47.25" customHeight="1" thickBot="1" x14ac:dyDescent="0.3">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spans="1:26" ht="47.25" customHeight="1" thickBot="1" x14ac:dyDescent="0.3">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spans="1:26" ht="47.25" customHeight="1" thickBot="1" x14ac:dyDescent="0.3">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spans="1:26" ht="47.25" customHeight="1" thickBot="1" x14ac:dyDescent="0.3">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spans="1:26" ht="47.25" customHeight="1" thickBot="1" x14ac:dyDescent="0.3">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spans="1:26" ht="47.25" customHeight="1" thickBot="1" x14ac:dyDescent="0.3">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spans="1:26" ht="47.25" customHeight="1" thickBot="1" x14ac:dyDescent="0.3">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spans="1:26" ht="47.25" customHeight="1" thickBot="1" x14ac:dyDescent="0.3">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spans="1:26" ht="47.25" customHeight="1" thickBot="1" x14ac:dyDescent="0.3">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spans="1:26" ht="47.25" customHeight="1" thickBot="1" x14ac:dyDescent="0.3">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spans="1:26" ht="47.25" customHeight="1" thickBot="1" x14ac:dyDescent="0.3">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spans="1:26" ht="47.25" customHeight="1" thickBot="1" x14ac:dyDescent="0.3">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spans="1:26" ht="47.25" customHeight="1" thickBot="1" x14ac:dyDescent="0.3">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spans="1:26" ht="47.25" customHeight="1" thickBot="1" x14ac:dyDescent="0.3">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spans="1:26" ht="47.25" customHeight="1" thickBot="1" x14ac:dyDescent="0.3">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spans="1:26" ht="47.25" customHeight="1" thickBot="1" x14ac:dyDescent="0.3">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spans="1:26" ht="47.25" customHeight="1" thickBot="1" x14ac:dyDescent="0.3">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spans="1:26" ht="47.25" customHeight="1" thickBot="1" x14ac:dyDescent="0.3">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spans="1:26" ht="47.25" customHeight="1" thickBot="1" x14ac:dyDescent="0.3">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spans="1:26" ht="47.25" customHeight="1" thickBot="1" x14ac:dyDescent="0.3">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spans="1:26" ht="47.25" customHeight="1" thickBot="1" x14ac:dyDescent="0.3">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spans="1:26" ht="47.25" customHeight="1" thickBot="1" x14ac:dyDescent="0.3">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spans="1:26" ht="47.25" customHeight="1" thickBot="1" x14ac:dyDescent="0.3">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spans="1:26" ht="47.25" customHeight="1" thickBot="1" x14ac:dyDescent="0.3">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spans="1:26" ht="47.25" customHeight="1" thickBot="1" x14ac:dyDescent="0.3">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spans="1:26" ht="47.25" customHeight="1" thickBot="1" x14ac:dyDescent="0.3">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spans="1:26" ht="47.25" customHeight="1" thickBot="1" x14ac:dyDescent="0.3">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spans="1:26" ht="47.25" customHeight="1" thickBot="1" x14ac:dyDescent="0.3">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spans="1:26" ht="47.25" customHeight="1" thickBot="1" x14ac:dyDescent="0.3">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spans="1:26" ht="47.25" customHeight="1" thickBot="1" x14ac:dyDescent="0.3">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spans="1:26" ht="47.25" customHeight="1" thickBot="1" x14ac:dyDescent="0.3">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spans="1:26" ht="47.25" customHeight="1" thickBot="1" x14ac:dyDescent="0.3">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spans="1:26" ht="47.25" customHeight="1" thickBot="1" x14ac:dyDescent="0.3">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spans="1:26" ht="47.25" customHeight="1" thickBot="1" x14ac:dyDescent="0.3">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spans="1:26" ht="47.25" customHeight="1" thickBot="1" x14ac:dyDescent="0.3">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spans="1:26" ht="47.25" customHeight="1" thickBot="1" x14ac:dyDescent="0.3">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spans="1:26" ht="47.25" customHeight="1" thickBot="1" x14ac:dyDescent="0.3">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spans="1:26" ht="47.25" customHeight="1" thickBot="1" x14ac:dyDescent="0.3">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spans="1:26" ht="47.25" customHeight="1" thickBot="1" x14ac:dyDescent="0.3">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spans="1:26" ht="47.25" customHeight="1" thickBot="1" x14ac:dyDescent="0.3">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spans="1:26" ht="47.25" customHeight="1" thickBot="1" x14ac:dyDescent="0.3">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spans="1:26" ht="47.25" customHeight="1" thickBot="1" x14ac:dyDescent="0.3">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spans="1:26" ht="47.25" customHeight="1" thickBot="1" x14ac:dyDescent="0.3">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spans="1:26" ht="47.25" customHeight="1" thickBot="1" x14ac:dyDescent="0.3">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spans="1:26" ht="47.25" customHeight="1" thickBot="1" x14ac:dyDescent="0.3">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spans="1:26" ht="47.25" customHeight="1" thickBot="1" x14ac:dyDescent="0.3">
      <c r="A1000" s="348"/>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row>
  </sheetData>
  <hyperlinks>
    <hyperlink ref="L753" r:id="rId1" xr:uid="{DAD50B7C-1780-4D54-8DA0-0F4AB5EEF3A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602D-2F4D-4016-AD83-552768C682FB}">
  <sheetPr codeName="Hárok16"/>
  <dimension ref="KEC659974"/>
  <sheetViews>
    <sheetView workbookViewId="0"/>
  </sheetViews>
  <sheetFormatPr defaultRowHeight="15" x14ac:dyDescent="0.25"/>
  <sheetData>
    <row r="659974" spans="7569:7569" x14ac:dyDescent="0.25">
      <c r="KEC659974" t="s">
        <v>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F9FFD0-9D6B-422A-8833-4BE5566BCA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13</vt:i4>
      </vt:variant>
      <vt:variant>
        <vt:lpstr>Pomenované rozsahy</vt:lpstr>
      </vt:variant>
      <vt:variant>
        <vt:i4>6</vt:i4>
      </vt:variant>
    </vt:vector>
  </HeadingPairs>
  <TitlesOfParts>
    <vt:vector size="19" baseType="lpstr">
      <vt:lpstr>Výpis materiálu</vt:lpstr>
      <vt:lpstr>PP</vt:lpstr>
      <vt:lpstr>CP</vt:lpstr>
      <vt:lpstr>Cenník Beijer Anmima</vt:lpstr>
      <vt:lpstr>Cenník Powering </vt:lpstr>
      <vt:lpstr>Cenník VIVAX </vt:lpstr>
      <vt:lpstr>Cenník Sinclair </vt:lpstr>
      <vt:lpstr>cenniktoshiba</vt:lpstr>
      <vt:lpstr>databáza KONTAKTY</vt:lpstr>
      <vt:lpstr>Cenník Mitsubishi</vt:lpstr>
      <vt:lpstr>vivax</vt:lpstr>
      <vt:lpstr>Table_2</vt:lpstr>
      <vt:lpstr>Hárok2</vt:lpstr>
      <vt:lpstr>ABONUS_s.r.o.</vt:lpstr>
      <vt:lpstr>CP!Oblasť_tlače</vt:lpstr>
      <vt:lpstr>PP!Oblasť_tlače</vt:lpstr>
      <vt:lpstr>'Výpis materiálu'!Oblasť_tlače</vt:lpstr>
      <vt:lpstr>producst</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Holik</dc:creator>
  <cp:lastModifiedBy>Martin HOLÍK</cp:lastModifiedBy>
  <cp:lastPrinted>2025-01-19T19:56:37Z</cp:lastPrinted>
  <dcterms:created xsi:type="dcterms:W3CDTF">2023-09-27T06:54:27Z</dcterms:created>
  <dcterms:modified xsi:type="dcterms:W3CDTF">2025-02-26T11:26:45Z</dcterms:modified>
</cp:coreProperties>
</file>